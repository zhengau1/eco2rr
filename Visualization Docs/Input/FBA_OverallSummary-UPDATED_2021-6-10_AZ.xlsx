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2098B588-F463-44F1-B24E-5B73F80C63C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-Results" sheetId="1" r:id="rId1"/>
  </sheets>
  <externalReferences>
    <externalReference r:id="rId2"/>
  </externalReferences>
  <definedNames>
    <definedName name="_xlnm._FilterDatabase" localSheetId="0" hidden="1">'Overall-Results'!$A$1:$AH$1575</definedName>
    <definedName name="_FilterDatabase_0" localSheetId="0">'Overall-Results'!$A$1:$AH$913</definedName>
    <definedName name="_FilterDatabase_0_0" localSheetId="0">'Overall-Results'!$A$1:$AH$801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B822" i="1" l="1"/>
  <c r="AB731" i="1"/>
  <c r="AB589" i="1"/>
  <c r="AB387" i="1"/>
  <c r="AB1409" i="1"/>
  <c r="AB1461" i="1"/>
  <c r="AB1534" i="1"/>
  <c r="AB669" i="1"/>
  <c r="AB582" i="1"/>
  <c r="AB900" i="1"/>
  <c r="AB723" i="1"/>
  <c r="AB533" i="1"/>
  <c r="AB534" i="1"/>
  <c r="AB780" i="1"/>
  <c r="AB670" i="1"/>
  <c r="AB1127" i="1"/>
  <c r="AB879" i="1"/>
  <c r="AB671" i="1"/>
  <c r="AB458" i="1"/>
  <c r="AB1278" i="1"/>
  <c r="AB1174" i="1"/>
  <c r="AB1023" i="1"/>
  <c r="AB742" i="1"/>
  <c r="AB406" i="1"/>
  <c r="AB1137" i="1"/>
  <c r="AB1041" i="1"/>
  <c r="AB941" i="1"/>
  <c r="AB593" i="1"/>
  <c r="AB1474" i="1"/>
  <c r="AB1505" i="1"/>
  <c r="AB1549" i="1"/>
  <c r="AB988" i="1"/>
  <c r="AB914" i="1"/>
  <c r="AB1151" i="1"/>
  <c r="AB1057" i="1"/>
  <c r="AB847" i="1"/>
  <c r="AB848" i="1"/>
  <c r="AB1119" i="1"/>
  <c r="AB996" i="1"/>
  <c r="AB1349" i="1"/>
  <c r="AB1309" i="1"/>
  <c r="AB1257" i="1"/>
  <c r="AB1205" i="1"/>
  <c r="AB1447" i="1"/>
  <c r="AB1401" i="1"/>
  <c r="AB1353" i="1"/>
  <c r="AB1324" i="1"/>
  <c r="AB667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AH73" i="1" l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AG1159" i="1" l="1"/>
  <c r="AC1159" i="1"/>
  <c r="AB1159" i="1"/>
  <c r="AG1249" i="1"/>
  <c r="AC1249" i="1"/>
  <c r="AB1249" i="1"/>
  <c r="AG1308" i="1"/>
  <c r="AC1308" i="1"/>
  <c r="AB1308" i="1"/>
  <c r="AG1384" i="1"/>
  <c r="AC1384" i="1"/>
  <c r="AB1384" i="1"/>
  <c r="AG872" i="1"/>
  <c r="AC872" i="1"/>
  <c r="AB872" i="1"/>
  <c r="AG1065" i="1"/>
  <c r="AC1065" i="1"/>
  <c r="AB1065" i="1"/>
  <c r="AG1177" i="1"/>
  <c r="AC1177" i="1"/>
  <c r="AB1177" i="1"/>
  <c r="AG1277" i="1"/>
  <c r="AC1277" i="1"/>
  <c r="AB1277" i="1"/>
  <c r="AG1173" i="1"/>
  <c r="AC1173" i="1"/>
  <c r="AB1173" i="1"/>
  <c r="AG1211" i="1"/>
  <c r="AC1211" i="1"/>
  <c r="AB1211" i="1"/>
  <c r="AG1051" i="1"/>
  <c r="AC1051" i="1"/>
  <c r="AB1051" i="1"/>
  <c r="AG1050" i="1"/>
  <c r="AC1050" i="1"/>
  <c r="AB1050" i="1"/>
  <c r="AG1206" i="1"/>
  <c r="AC1206" i="1"/>
  <c r="AB1206" i="1"/>
  <c r="AG1250" i="1"/>
  <c r="AC1250" i="1"/>
  <c r="AB1250" i="1"/>
  <c r="AG1111" i="1"/>
  <c r="AC1111" i="1"/>
  <c r="AB1111" i="1"/>
  <c r="AG1172" i="1"/>
  <c r="AC1172" i="1"/>
  <c r="AB1172" i="1"/>
  <c r="AG1559" i="1"/>
  <c r="AC1559" i="1"/>
  <c r="AB1559" i="1"/>
  <c r="AG1531" i="1"/>
  <c r="AC1531" i="1"/>
  <c r="AB1531" i="1"/>
  <c r="AG1503" i="1"/>
  <c r="AC1503" i="1"/>
  <c r="AB1503" i="1"/>
  <c r="AG802" i="1"/>
  <c r="AC802" i="1"/>
  <c r="AB802" i="1"/>
  <c r="AG1129" i="1"/>
  <c r="AC1129" i="1"/>
  <c r="AB1129" i="1"/>
  <c r="AG1194" i="1"/>
  <c r="AC1194" i="1"/>
  <c r="AB1194" i="1"/>
  <c r="AG1233" i="1"/>
  <c r="AC1233" i="1"/>
  <c r="AB1233" i="1"/>
  <c r="AG898" i="1"/>
  <c r="AC898" i="1"/>
  <c r="AB898" i="1"/>
  <c r="AG1106" i="1"/>
  <c r="AC1106" i="1"/>
  <c r="AB1106" i="1"/>
  <c r="AG1241" i="1"/>
  <c r="AC1241" i="1"/>
  <c r="AB1241" i="1"/>
  <c r="AG1307" i="1"/>
  <c r="AC1307" i="1"/>
  <c r="AB1307" i="1"/>
  <c r="AG1383" i="1"/>
  <c r="AC1383" i="1"/>
  <c r="AB1383" i="1"/>
  <c r="AG795" i="1"/>
  <c r="AC795" i="1"/>
  <c r="AB795" i="1"/>
  <c r="AG1030" i="1"/>
  <c r="AC1030" i="1"/>
  <c r="AB1030" i="1"/>
  <c r="AG1176" i="1"/>
  <c r="AC1176" i="1"/>
  <c r="AB1176" i="1"/>
  <c r="AG1276" i="1"/>
  <c r="AC1276" i="1"/>
  <c r="AB1276" i="1"/>
  <c r="AG1081" i="1"/>
  <c r="AC1081" i="1"/>
  <c r="AB1081" i="1"/>
  <c r="AG1133" i="1"/>
  <c r="AC1133" i="1"/>
  <c r="AB1133" i="1"/>
  <c r="AG947" i="1"/>
  <c r="AC947" i="1"/>
  <c r="AB947" i="1"/>
  <c r="AG948" i="1"/>
  <c r="AC948" i="1"/>
  <c r="AB948" i="1"/>
  <c r="AG1124" i="1"/>
  <c r="AC1124" i="1"/>
  <c r="AB1124" i="1"/>
  <c r="AG1198" i="1"/>
  <c r="AC1198" i="1"/>
  <c r="AB1198" i="1"/>
  <c r="AG987" i="1"/>
  <c r="AC987" i="1"/>
  <c r="AB987" i="1"/>
  <c r="AG1072" i="1"/>
  <c r="AC1072" i="1"/>
  <c r="AB1072" i="1"/>
  <c r="AG1558" i="1"/>
  <c r="AC1558" i="1"/>
  <c r="AB1558" i="1"/>
  <c r="AG1515" i="1"/>
  <c r="AC1515" i="1"/>
  <c r="AB1515" i="1"/>
  <c r="AG1486" i="1"/>
  <c r="AC1486" i="1"/>
  <c r="AB1486" i="1"/>
  <c r="AG616" i="1"/>
  <c r="AC616" i="1"/>
  <c r="AB616" i="1"/>
  <c r="AG967" i="1"/>
  <c r="AC967" i="1"/>
  <c r="AB967" i="1"/>
  <c r="AG1130" i="1"/>
  <c r="AC1130" i="1"/>
  <c r="AB1130" i="1"/>
  <c r="AG1156" i="1"/>
  <c r="AC1156" i="1"/>
  <c r="AB1156" i="1"/>
  <c r="AG695" i="1"/>
  <c r="AC695" i="1"/>
  <c r="AB695" i="1"/>
  <c r="AG1272" i="1"/>
  <c r="AC1272" i="1"/>
  <c r="AB1272" i="1"/>
  <c r="AG1336" i="1"/>
  <c r="AC1336" i="1"/>
  <c r="AB1336" i="1"/>
  <c r="AG1378" i="1"/>
  <c r="AC1378" i="1"/>
  <c r="AB1378" i="1"/>
  <c r="AG1429" i="1"/>
  <c r="AC1429" i="1"/>
  <c r="AB1429" i="1"/>
  <c r="AG1145" i="1"/>
  <c r="AC1145" i="1"/>
  <c r="AB1145" i="1"/>
  <c r="AG1222" i="1"/>
  <c r="AC1222" i="1"/>
  <c r="AB1222" i="1"/>
  <c r="AG1271" i="1"/>
  <c r="AC1271" i="1"/>
  <c r="AB1271" i="1"/>
  <c r="AG1334" i="1"/>
  <c r="AC1334" i="1"/>
  <c r="AB1334" i="1"/>
  <c r="AG1066" i="1"/>
  <c r="AC1066" i="1"/>
  <c r="AB1066" i="1"/>
  <c r="AG1155" i="1"/>
  <c r="AC1155" i="1"/>
  <c r="AB1155" i="1"/>
  <c r="AG920" i="1"/>
  <c r="AC920" i="1"/>
  <c r="AB920" i="1"/>
  <c r="AG921" i="1"/>
  <c r="AC921" i="1"/>
  <c r="AB921" i="1"/>
  <c r="AG1123" i="1"/>
  <c r="AC1123" i="1"/>
  <c r="AB1123" i="1"/>
  <c r="AG1185" i="1"/>
  <c r="AC1185" i="1"/>
  <c r="AB1185" i="1"/>
  <c r="AG973" i="1"/>
  <c r="AC973" i="1"/>
  <c r="AB973" i="1"/>
  <c r="AG1052" i="1"/>
  <c r="AC1052" i="1"/>
  <c r="AB1052" i="1"/>
  <c r="AG1557" i="1"/>
  <c r="AC1557" i="1"/>
  <c r="AB1557" i="1"/>
  <c r="AG1518" i="1"/>
  <c r="AC1518" i="1"/>
  <c r="AB1518" i="1"/>
  <c r="AG1492" i="1"/>
  <c r="AC1492" i="1"/>
  <c r="AB1492" i="1"/>
  <c r="AG655" i="1"/>
  <c r="AC655" i="1"/>
  <c r="AB655" i="1"/>
  <c r="AG999" i="1"/>
  <c r="AC999" i="1"/>
  <c r="AB999" i="1"/>
  <c r="AG1107" i="1"/>
  <c r="AC1107" i="1"/>
  <c r="AB1107" i="1"/>
  <c r="AG1183" i="1"/>
  <c r="AC1183" i="1"/>
  <c r="AB1183" i="1"/>
  <c r="AG739" i="1"/>
  <c r="AC739" i="1"/>
  <c r="AB739" i="1"/>
  <c r="AG1101" i="1"/>
  <c r="AC1101" i="1"/>
  <c r="AB1101" i="1"/>
  <c r="AG1237" i="1"/>
  <c r="AC1237" i="1"/>
  <c r="AB1237" i="1"/>
  <c r="AG1302" i="1"/>
  <c r="AC1302" i="1"/>
  <c r="AB1302" i="1"/>
  <c r="AG1377" i="1"/>
  <c r="AC1377" i="1"/>
  <c r="AB1377" i="1"/>
  <c r="AG779" i="1"/>
  <c r="AC779" i="1"/>
  <c r="AB779" i="1"/>
  <c r="AG1020" i="1"/>
  <c r="AC1020" i="1"/>
  <c r="AB1020" i="1"/>
  <c r="AG1168" i="1"/>
  <c r="AC1168" i="1"/>
  <c r="AB1168" i="1"/>
  <c r="AG1268" i="1"/>
  <c r="AC1268" i="1"/>
  <c r="AB1268" i="1"/>
  <c r="AG1037" i="1"/>
  <c r="AC1037" i="1"/>
  <c r="AB1037" i="1"/>
  <c r="AG1105" i="1"/>
  <c r="AC1105" i="1"/>
  <c r="AB1105" i="1"/>
  <c r="AG902" i="1"/>
  <c r="AC902" i="1"/>
  <c r="AB902" i="1"/>
  <c r="AG901" i="1"/>
  <c r="AC901" i="1"/>
  <c r="AB901" i="1"/>
  <c r="AG1104" i="1"/>
  <c r="AC1104" i="1"/>
  <c r="AB1104" i="1"/>
  <c r="AG1189" i="1"/>
  <c r="AC1189" i="1"/>
  <c r="AB1189" i="1"/>
  <c r="AG960" i="1"/>
  <c r="AC960" i="1"/>
  <c r="AB960" i="1"/>
  <c r="AG1032" i="1"/>
  <c r="AC1032" i="1"/>
  <c r="AB1032" i="1"/>
  <c r="AG1556" i="1"/>
  <c r="AC1556" i="1"/>
  <c r="AB1556" i="1"/>
  <c r="AG1513" i="1"/>
  <c r="AC1513" i="1"/>
  <c r="AB1513" i="1"/>
  <c r="AG1483" i="1"/>
  <c r="AC1483" i="1"/>
  <c r="AB1483" i="1"/>
  <c r="AG580" i="1"/>
  <c r="AC580" i="1"/>
  <c r="AB580" i="1"/>
  <c r="AG950" i="1"/>
  <c r="AC950" i="1"/>
  <c r="AB950" i="1"/>
  <c r="AG1102" i="1"/>
  <c r="AC1102" i="1"/>
  <c r="AB1102" i="1"/>
  <c r="AG1141" i="1"/>
  <c r="AC1141" i="1"/>
  <c r="AB1141" i="1"/>
  <c r="AG674" i="1"/>
  <c r="AC674" i="1"/>
  <c r="AB674" i="1"/>
  <c r="AG1098" i="1"/>
  <c r="AC1098" i="1"/>
  <c r="AB1098" i="1"/>
  <c r="AG1232" i="1"/>
  <c r="AC1232" i="1"/>
  <c r="AB1232" i="1"/>
  <c r="AG1297" i="1"/>
  <c r="AC1297" i="1"/>
  <c r="AB1297" i="1"/>
  <c r="AG1376" i="1"/>
  <c r="AC1376" i="1"/>
  <c r="AB1376" i="1"/>
  <c r="AG768" i="1"/>
  <c r="AC768" i="1"/>
  <c r="AB768" i="1"/>
  <c r="AG1016" i="1"/>
  <c r="AC1016" i="1"/>
  <c r="AB1016" i="1"/>
  <c r="AG1165" i="1"/>
  <c r="AC1165" i="1"/>
  <c r="AB1165" i="1"/>
  <c r="AG1264" i="1"/>
  <c r="AC1264" i="1"/>
  <c r="AB1264" i="1"/>
  <c r="AG1015" i="1"/>
  <c r="AC1015" i="1"/>
  <c r="AB1015" i="1"/>
  <c r="AG1110" i="1"/>
  <c r="AC1110" i="1"/>
  <c r="AB1110" i="1"/>
  <c r="AG867" i="1"/>
  <c r="AC867" i="1"/>
  <c r="AB867" i="1"/>
  <c r="AG866" i="1"/>
  <c r="AC866" i="1"/>
  <c r="AB866" i="1"/>
  <c r="AG1093" i="1"/>
  <c r="AC1093" i="1"/>
  <c r="AB1093" i="1"/>
  <c r="AG1167" i="1"/>
  <c r="AC1167" i="1"/>
  <c r="AB1167" i="1"/>
  <c r="AG940" i="1"/>
  <c r="AC940" i="1"/>
  <c r="AB940" i="1"/>
  <c r="AG1014" i="1"/>
  <c r="AC1014" i="1"/>
  <c r="AB1014" i="1"/>
  <c r="AG1554" i="1"/>
  <c r="AC1554" i="1"/>
  <c r="AB1554" i="1"/>
  <c r="AG1514" i="1"/>
  <c r="AC1514" i="1"/>
  <c r="AB1514" i="1"/>
  <c r="AG1484" i="1"/>
  <c r="AC1484" i="1"/>
  <c r="AB1484" i="1"/>
  <c r="AG587" i="1"/>
  <c r="AC587" i="1"/>
  <c r="AB587" i="1"/>
  <c r="AG942" i="1"/>
  <c r="AC942" i="1"/>
  <c r="AB942" i="1"/>
  <c r="AG1061" i="1"/>
  <c r="AC1061" i="1"/>
  <c r="AB1061" i="1"/>
  <c r="AG1149" i="1"/>
  <c r="AC1149" i="1"/>
  <c r="AB1149" i="1"/>
  <c r="AG668" i="1"/>
  <c r="AC668" i="1"/>
  <c r="AB668" i="1"/>
  <c r="AG1097" i="1"/>
  <c r="AC1097" i="1"/>
  <c r="AB1097" i="1"/>
  <c r="AG1229" i="1"/>
  <c r="AC1229" i="1"/>
  <c r="AB1229" i="1"/>
  <c r="AG1294" i="1"/>
  <c r="AC1294" i="1"/>
  <c r="AB1294" i="1"/>
  <c r="AG1372" i="1"/>
  <c r="AC1372" i="1"/>
  <c r="AB1372" i="1"/>
  <c r="AG761" i="1"/>
  <c r="AC761" i="1"/>
  <c r="AB761" i="1"/>
  <c r="AG1009" i="1"/>
  <c r="AC1009" i="1"/>
  <c r="AB1009" i="1"/>
  <c r="AG1164" i="1"/>
  <c r="AC1164" i="1"/>
  <c r="AB1164" i="1"/>
  <c r="AG1263" i="1"/>
  <c r="AC1263" i="1"/>
  <c r="AB1263" i="1"/>
  <c r="AG1024" i="1"/>
  <c r="AC1024" i="1"/>
  <c r="AB1024" i="1"/>
  <c r="AG1096" i="1"/>
  <c r="AC1096" i="1"/>
  <c r="AB1096" i="1"/>
  <c r="AG890" i="1"/>
  <c r="AC890" i="1"/>
  <c r="AB890" i="1"/>
  <c r="AG889" i="1"/>
  <c r="AC889" i="1"/>
  <c r="AB889" i="1"/>
  <c r="AG1090" i="1"/>
  <c r="AC1090" i="1"/>
  <c r="AB1090" i="1"/>
  <c r="AG1179" i="1"/>
  <c r="AC1179" i="1"/>
  <c r="AB1179" i="1"/>
  <c r="AG945" i="1"/>
  <c r="AC945" i="1"/>
  <c r="AB945" i="1"/>
  <c r="AG1021" i="1"/>
  <c r="AC1021" i="1"/>
  <c r="AB1021" i="1"/>
  <c r="AG1555" i="1"/>
  <c r="AC1555" i="1"/>
  <c r="AB1555" i="1"/>
  <c r="AG1509" i="1"/>
  <c r="AC1509" i="1"/>
  <c r="AB1509" i="1"/>
  <c r="AG1479" i="1"/>
  <c r="AC1479" i="1"/>
  <c r="AB1479" i="1"/>
  <c r="AG557" i="1"/>
  <c r="AC557" i="1"/>
  <c r="AB557" i="1"/>
  <c r="AG931" i="1"/>
  <c r="AC931" i="1"/>
  <c r="AB931" i="1"/>
  <c r="AG1078" i="1"/>
  <c r="AC1078" i="1"/>
  <c r="AB1078" i="1"/>
  <c r="AG1134" i="1"/>
  <c r="AC1134" i="1"/>
  <c r="AB1134" i="1"/>
  <c r="AG654" i="1"/>
  <c r="AC654" i="1"/>
  <c r="AB654" i="1"/>
  <c r="AG1092" i="1"/>
  <c r="AC1092" i="1"/>
  <c r="AB1092" i="1"/>
  <c r="AG1225" i="1"/>
  <c r="AC1225" i="1"/>
  <c r="AB1225" i="1"/>
  <c r="AG1293" i="1"/>
  <c r="AC1293" i="1"/>
  <c r="AB1293" i="1"/>
  <c r="AG1371" i="1"/>
  <c r="AC1371" i="1"/>
  <c r="AB1371" i="1"/>
  <c r="AG756" i="1"/>
  <c r="AC756" i="1"/>
  <c r="AB756" i="1"/>
  <c r="AG1005" i="1"/>
  <c r="AC1005" i="1"/>
  <c r="AB1005" i="1"/>
  <c r="AG1161" i="1"/>
  <c r="AC1161" i="1"/>
  <c r="AB1161" i="1"/>
  <c r="AG1262" i="1"/>
  <c r="AC1262" i="1"/>
  <c r="AB1262" i="1"/>
  <c r="AG1004" i="1"/>
  <c r="AC1004" i="1"/>
  <c r="AB1004" i="1"/>
  <c r="AG1103" i="1"/>
  <c r="AC1103" i="1"/>
  <c r="AB1103" i="1"/>
  <c r="AG859" i="1"/>
  <c r="AC859" i="1"/>
  <c r="AB859" i="1"/>
  <c r="AG858" i="1"/>
  <c r="AC858" i="1"/>
  <c r="AB858" i="1"/>
  <c r="AG1077" i="1"/>
  <c r="AC1077" i="1"/>
  <c r="AB1077" i="1"/>
  <c r="AG1163" i="1"/>
  <c r="AC1163" i="1"/>
  <c r="AB1163" i="1"/>
  <c r="AG932" i="1"/>
  <c r="AC932" i="1"/>
  <c r="AB932" i="1"/>
  <c r="AG1003" i="1"/>
  <c r="AC1003" i="1"/>
  <c r="AB1003" i="1"/>
  <c r="AG1552" i="1"/>
  <c r="AC1552" i="1"/>
  <c r="AB1552" i="1"/>
  <c r="AG1512" i="1"/>
  <c r="AC1512" i="1"/>
  <c r="AB1512" i="1"/>
  <c r="AG1481" i="1"/>
  <c r="AC1481" i="1"/>
  <c r="AB1481" i="1"/>
  <c r="AG566" i="1"/>
  <c r="AC566" i="1"/>
  <c r="AB566" i="1"/>
  <c r="AG928" i="1"/>
  <c r="AC928" i="1"/>
  <c r="AB928" i="1"/>
  <c r="AG1053" i="1"/>
  <c r="AC1053" i="1"/>
  <c r="AB1053" i="1"/>
  <c r="AG1140" i="1"/>
  <c r="AC1140" i="1"/>
  <c r="AB1140" i="1"/>
  <c r="AG652" i="1"/>
  <c r="AC652" i="1"/>
  <c r="AB652" i="1"/>
  <c r="AG1089" i="1"/>
  <c r="AC1089" i="1"/>
  <c r="AB1089" i="1"/>
  <c r="AG1224" i="1"/>
  <c r="AC1224" i="1"/>
  <c r="AB1224" i="1"/>
  <c r="AG1291" i="1"/>
  <c r="AC1291" i="1"/>
  <c r="AB1291" i="1"/>
  <c r="AG1370" i="1"/>
  <c r="AC1370" i="1"/>
  <c r="AB1370" i="1"/>
  <c r="AG748" i="1"/>
  <c r="AC748" i="1"/>
  <c r="AB748" i="1"/>
  <c r="AG1002" i="1"/>
  <c r="AC1002" i="1"/>
  <c r="AB1002" i="1"/>
  <c r="AG1160" i="1"/>
  <c r="AC1160" i="1"/>
  <c r="AB1160" i="1"/>
  <c r="AG1261" i="1"/>
  <c r="AC1261" i="1"/>
  <c r="AB1261" i="1"/>
  <c r="AG1012" i="1"/>
  <c r="AC1012" i="1"/>
  <c r="AB1012" i="1"/>
  <c r="AG1083" i="1"/>
  <c r="AC1083" i="1"/>
  <c r="AB1083" i="1"/>
  <c r="AG874" i="1"/>
  <c r="AC874" i="1"/>
  <c r="AB874" i="1"/>
  <c r="AG873" i="1"/>
  <c r="AC873" i="1"/>
  <c r="AB873" i="1"/>
  <c r="AG1076" i="1"/>
  <c r="AC1076" i="1"/>
  <c r="AB1076" i="1"/>
  <c r="AG1175" i="1"/>
  <c r="AC1175" i="1"/>
  <c r="AB1175" i="1"/>
  <c r="AG934" i="1"/>
  <c r="AC934" i="1"/>
  <c r="AB934" i="1"/>
  <c r="AG1007" i="1"/>
  <c r="AC1007" i="1"/>
  <c r="AB1007" i="1"/>
  <c r="AG1553" i="1"/>
  <c r="AC1553" i="1"/>
  <c r="AB1553" i="1"/>
  <c r="AG1507" i="1"/>
  <c r="AC1507" i="1"/>
  <c r="AB1507" i="1"/>
  <c r="AG1477" i="1"/>
  <c r="AC1477" i="1"/>
  <c r="AB1477" i="1"/>
  <c r="AG549" i="1"/>
  <c r="AC549" i="1"/>
  <c r="AB549" i="1"/>
  <c r="AG923" i="1"/>
  <c r="AC923" i="1"/>
  <c r="AB923" i="1"/>
  <c r="AG1068" i="1"/>
  <c r="AC1068" i="1"/>
  <c r="AB1068" i="1"/>
  <c r="AG1132" i="1"/>
  <c r="AC1132" i="1"/>
  <c r="AB1132" i="1"/>
  <c r="AG649" i="1"/>
  <c r="AC649" i="1"/>
  <c r="AB649" i="1"/>
  <c r="AG1144" i="1"/>
  <c r="AC1144" i="1"/>
  <c r="AB1144" i="1"/>
  <c r="AG1235" i="1"/>
  <c r="AC1235" i="1"/>
  <c r="AB1235" i="1"/>
  <c r="AG1282" i="1"/>
  <c r="AC1282" i="1"/>
  <c r="AB1282" i="1"/>
  <c r="AG1341" i="1"/>
  <c r="AC1341" i="1"/>
  <c r="AB1341" i="1"/>
  <c r="AG835" i="1"/>
  <c r="AC835" i="1"/>
  <c r="AB835" i="1"/>
  <c r="AG1019" i="1"/>
  <c r="AC1019" i="1"/>
  <c r="AB1019" i="1"/>
  <c r="AG1147" i="1"/>
  <c r="AC1147" i="1"/>
  <c r="AB1147" i="1"/>
  <c r="AG1228" i="1"/>
  <c r="AC1228" i="1"/>
  <c r="AB1228" i="1"/>
  <c r="AG926" i="1"/>
  <c r="AC926" i="1"/>
  <c r="AB926" i="1"/>
  <c r="AG1025" i="1"/>
  <c r="AC1025" i="1"/>
  <c r="AB1025" i="1"/>
  <c r="AG790" i="1"/>
  <c r="AC790" i="1"/>
  <c r="AB790" i="1"/>
  <c r="AG789" i="1"/>
  <c r="AC789" i="1"/>
  <c r="AB789" i="1"/>
  <c r="AG961" i="1"/>
  <c r="AC961" i="1"/>
  <c r="AB961" i="1"/>
  <c r="AG1100" i="1"/>
  <c r="AC1100" i="1"/>
  <c r="AB1100" i="1"/>
  <c r="AG837" i="1"/>
  <c r="AC837" i="1"/>
  <c r="AB837" i="1"/>
  <c r="AG911" i="1"/>
  <c r="AC911" i="1"/>
  <c r="AB911" i="1"/>
  <c r="AG1543" i="1"/>
  <c r="AC1543" i="1"/>
  <c r="AB1543" i="1"/>
  <c r="AG1499" i="1"/>
  <c r="AC1499" i="1"/>
  <c r="AB1499" i="1"/>
  <c r="AG1453" i="1"/>
  <c r="AC1453" i="1"/>
  <c r="AB1453" i="1"/>
  <c r="AG505" i="1"/>
  <c r="AC505" i="1"/>
  <c r="AB505" i="1"/>
  <c r="AG831" i="1"/>
  <c r="AC831" i="1"/>
  <c r="AB831" i="1"/>
  <c r="AG984" i="1"/>
  <c r="AC984" i="1"/>
  <c r="AB984" i="1"/>
  <c r="AG1042" i="1"/>
  <c r="AC1042" i="1"/>
  <c r="AB1042" i="1"/>
  <c r="AG570" i="1"/>
  <c r="AC570" i="1"/>
  <c r="AB570" i="1"/>
  <c r="AG1143" i="1"/>
  <c r="AC1143" i="1"/>
  <c r="AB1143" i="1"/>
  <c r="AG1234" i="1"/>
  <c r="AC1234" i="1"/>
  <c r="AB1234" i="1"/>
  <c r="AG1281" i="1"/>
  <c r="AC1281" i="1"/>
  <c r="AB1281" i="1"/>
  <c r="AG1340" i="1"/>
  <c r="AC1340" i="1"/>
  <c r="AB1340" i="1"/>
  <c r="AG836" i="1"/>
  <c r="AC836" i="1"/>
  <c r="AB836" i="1"/>
  <c r="AG1018" i="1"/>
  <c r="AC1018" i="1"/>
  <c r="AB1018" i="1"/>
  <c r="AG1146" i="1"/>
  <c r="AC1146" i="1"/>
  <c r="AB1146" i="1"/>
  <c r="AG1227" i="1"/>
  <c r="AC1227" i="1"/>
  <c r="AB1227" i="1"/>
  <c r="AG834" i="1"/>
  <c r="AC834" i="1"/>
  <c r="AB834" i="1"/>
  <c r="AG954" i="1"/>
  <c r="AC954" i="1"/>
  <c r="AB954" i="1"/>
  <c r="AG645" i="1"/>
  <c r="AC645" i="1"/>
  <c r="AB645" i="1"/>
  <c r="AG644" i="1"/>
  <c r="AC644" i="1"/>
  <c r="AB644" i="1"/>
  <c r="AG906" i="1"/>
  <c r="AC906" i="1"/>
  <c r="AB906" i="1"/>
  <c r="AG992" i="1"/>
  <c r="AC992" i="1"/>
  <c r="AB992" i="1"/>
  <c r="AG733" i="1"/>
  <c r="AC733" i="1"/>
  <c r="AB733" i="1"/>
  <c r="AG827" i="1"/>
  <c r="AC827" i="1"/>
  <c r="AB827" i="1"/>
  <c r="AG1540" i="1"/>
  <c r="AC1540" i="1"/>
  <c r="AB1540" i="1"/>
  <c r="AG1490" i="1"/>
  <c r="AC1490" i="1"/>
  <c r="AB1490" i="1"/>
  <c r="AG1448" i="1"/>
  <c r="AC1448" i="1"/>
  <c r="AB1448" i="1"/>
  <c r="AG455" i="1"/>
  <c r="AC455" i="1"/>
  <c r="AB455" i="1"/>
  <c r="AG769" i="1"/>
  <c r="AC769" i="1"/>
  <c r="AB769" i="1"/>
  <c r="AG869" i="1"/>
  <c r="AC869" i="1"/>
  <c r="AB869" i="1"/>
  <c r="AG997" i="1"/>
  <c r="AC997" i="1"/>
  <c r="AB997" i="1"/>
  <c r="AG519" i="1"/>
  <c r="AC519" i="1"/>
  <c r="AB519" i="1"/>
  <c r="AG815" i="1"/>
  <c r="AC815" i="1"/>
  <c r="AB815" i="1"/>
  <c r="AG1071" i="1"/>
  <c r="AC1071" i="1"/>
  <c r="AB1071" i="1"/>
  <c r="AG1197" i="1"/>
  <c r="AC1197" i="1"/>
  <c r="AB1197" i="1"/>
  <c r="AG1296" i="1"/>
  <c r="AC1296" i="1"/>
  <c r="AB1296" i="1"/>
  <c r="AG490" i="1"/>
  <c r="AC490" i="1"/>
  <c r="AB490" i="1"/>
  <c r="AG717" i="1"/>
  <c r="AC717" i="1"/>
  <c r="AB717" i="1"/>
  <c r="AG930" i="1"/>
  <c r="AC930" i="1"/>
  <c r="AB930" i="1"/>
  <c r="AG1157" i="1"/>
  <c r="AC1157" i="1"/>
  <c r="AB1157" i="1"/>
  <c r="AG752" i="1"/>
  <c r="AC752" i="1"/>
  <c r="AB752" i="1"/>
  <c r="AG820" i="1"/>
  <c r="AC820" i="1"/>
  <c r="AB820" i="1"/>
  <c r="AG631" i="1"/>
  <c r="AC631" i="1"/>
  <c r="AB631" i="1"/>
  <c r="AG630" i="1"/>
  <c r="AC630" i="1"/>
  <c r="AB630" i="1"/>
  <c r="AG724" i="1"/>
  <c r="AC724" i="1"/>
  <c r="AB724" i="1"/>
  <c r="AG958" i="1"/>
  <c r="AC958" i="1"/>
  <c r="AB958" i="1"/>
  <c r="AG677" i="1"/>
  <c r="AC677" i="1"/>
  <c r="AB677" i="1"/>
  <c r="AG738" i="1"/>
  <c r="AC738" i="1"/>
  <c r="AB738" i="1"/>
  <c r="AG1535" i="1"/>
  <c r="AC1535" i="1"/>
  <c r="AB1535" i="1"/>
  <c r="AG1464" i="1"/>
  <c r="AC1464" i="1"/>
  <c r="AB1464" i="1"/>
  <c r="AG1411" i="1"/>
  <c r="AC1411" i="1"/>
  <c r="AB1411" i="1"/>
  <c r="AG403" i="1"/>
  <c r="AC403" i="1"/>
  <c r="AB403" i="1"/>
  <c r="AG618" i="1"/>
  <c r="AC618" i="1"/>
  <c r="AB618" i="1"/>
  <c r="AG840" i="1"/>
  <c r="AC840" i="1"/>
  <c r="AB840" i="1"/>
  <c r="AG817" i="1"/>
  <c r="AC817" i="1"/>
  <c r="AB817" i="1"/>
  <c r="AG410" i="1"/>
  <c r="AC410" i="1"/>
  <c r="AB410" i="1"/>
  <c r="AG884" i="1"/>
  <c r="AC884" i="1"/>
  <c r="AB884" i="1"/>
  <c r="AG1122" i="1"/>
  <c r="AC1122" i="1"/>
  <c r="AB1122" i="1"/>
  <c r="AG1218" i="1"/>
  <c r="AC1218" i="1"/>
  <c r="AB1218" i="1"/>
  <c r="AG1322" i="1"/>
  <c r="AC1322" i="1"/>
  <c r="AB1322" i="1"/>
  <c r="AG544" i="1"/>
  <c r="AC544" i="1"/>
  <c r="AB544" i="1"/>
  <c r="AG798" i="1"/>
  <c r="AC798" i="1"/>
  <c r="AB798" i="1"/>
  <c r="AG971" i="1"/>
  <c r="AC971" i="1"/>
  <c r="AB971" i="1"/>
  <c r="AG1193" i="1"/>
  <c r="AC1193" i="1"/>
  <c r="AB1193" i="1"/>
  <c r="AG880" i="1"/>
  <c r="AC880" i="1"/>
  <c r="AB880" i="1"/>
  <c r="AG983" i="1"/>
  <c r="AC983" i="1"/>
  <c r="AB983" i="1"/>
  <c r="AG701" i="1"/>
  <c r="AC701" i="1"/>
  <c r="AB701" i="1"/>
  <c r="AG700" i="1"/>
  <c r="AC700" i="1"/>
  <c r="AB700" i="1"/>
  <c r="AG953" i="1"/>
  <c r="AC953" i="1"/>
  <c r="AB953" i="1"/>
  <c r="AG1031" i="1"/>
  <c r="AC1031" i="1"/>
  <c r="AB1031" i="1"/>
  <c r="AG786" i="1"/>
  <c r="AC786" i="1"/>
  <c r="AB786" i="1"/>
  <c r="AG863" i="1"/>
  <c r="AC863" i="1"/>
  <c r="AB863" i="1"/>
  <c r="AG1542" i="1"/>
  <c r="AC1542" i="1"/>
  <c r="AB1542" i="1"/>
  <c r="AG1497" i="1"/>
  <c r="AC1497" i="1"/>
  <c r="AB1497" i="1"/>
  <c r="AG1449" i="1"/>
  <c r="AC1449" i="1"/>
  <c r="AB1449" i="1"/>
  <c r="AG481" i="1"/>
  <c r="AC481" i="1"/>
  <c r="AB481" i="1"/>
  <c r="AG813" i="1"/>
  <c r="AC813" i="1"/>
  <c r="AB813" i="1"/>
  <c r="AG935" i="1"/>
  <c r="AC935" i="1"/>
  <c r="AB935" i="1"/>
  <c r="AG1028" i="1"/>
  <c r="AC1028" i="1"/>
  <c r="AB1028" i="1"/>
  <c r="AG551" i="1"/>
  <c r="AC551" i="1"/>
  <c r="AB551" i="1"/>
  <c r="AG883" i="1"/>
  <c r="AC883" i="1"/>
  <c r="AB883" i="1"/>
  <c r="AG1121" i="1"/>
  <c r="AC1121" i="1"/>
  <c r="AB1121" i="1"/>
  <c r="AG1217" i="1"/>
  <c r="AC1217" i="1"/>
  <c r="AB1217" i="1"/>
  <c r="AG1321" i="1"/>
  <c r="AC1321" i="1"/>
  <c r="AB1321" i="1"/>
  <c r="AG543" i="1"/>
  <c r="AC543" i="1"/>
  <c r="AB543" i="1"/>
  <c r="AG799" i="1"/>
  <c r="AC799" i="1"/>
  <c r="AB799" i="1"/>
  <c r="AG972" i="1"/>
  <c r="AC972" i="1"/>
  <c r="AB972" i="1"/>
  <c r="AG1192" i="1"/>
  <c r="AC1192" i="1"/>
  <c r="AB1192" i="1"/>
  <c r="AG797" i="1"/>
  <c r="AC797" i="1"/>
  <c r="AB797" i="1"/>
  <c r="AG838" i="1"/>
  <c r="AC838" i="1"/>
  <c r="AB838" i="1"/>
  <c r="AG612" i="1"/>
  <c r="AC612" i="1"/>
  <c r="AB612" i="1"/>
  <c r="AG611" i="1"/>
  <c r="AC611" i="1"/>
  <c r="AB611" i="1"/>
  <c r="AG841" i="1"/>
  <c r="AC841" i="1"/>
  <c r="AB841" i="1"/>
  <c r="AG994" i="1"/>
  <c r="AC994" i="1"/>
  <c r="AB994" i="1"/>
  <c r="AG678" i="1"/>
  <c r="AC678" i="1"/>
  <c r="AB678" i="1"/>
  <c r="AG796" i="1"/>
  <c r="AC796" i="1"/>
  <c r="AB796" i="1"/>
  <c r="AG1537" i="1"/>
  <c r="AC1537" i="1"/>
  <c r="AB1537" i="1"/>
  <c r="AG1476" i="1"/>
  <c r="AC1476" i="1"/>
  <c r="AB1476" i="1"/>
  <c r="AG1432" i="1"/>
  <c r="AC1432" i="1"/>
  <c r="AB1432" i="1"/>
  <c r="AG402" i="1"/>
  <c r="AC402" i="1"/>
  <c r="AB402" i="1"/>
  <c r="AG663" i="1"/>
  <c r="AC663" i="1"/>
  <c r="AB663" i="1"/>
  <c r="AG828" i="1"/>
  <c r="AC828" i="1"/>
  <c r="AB828" i="1"/>
  <c r="AG913" i="1"/>
  <c r="AC913" i="1"/>
  <c r="AB913" i="1"/>
  <c r="AG454" i="1"/>
  <c r="AC454" i="1"/>
  <c r="AB454" i="1"/>
  <c r="AG1112" i="1"/>
  <c r="AC1112" i="1"/>
  <c r="AB1112" i="1"/>
  <c r="AG1215" i="1"/>
  <c r="AC1215" i="1"/>
  <c r="AB1215" i="1"/>
  <c r="AG1269" i="1"/>
  <c r="AC1269" i="1"/>
  <c r="AB1269" i="1"/>
  <c r="AG1332" i="1"/>
  <c r="AC1332" i="1"/>
  <c r="AB1332" i="1"/>
  <c r="AG801" i="1"/>
  <c r="AC801" i="1"/>
  <c r="AB801" i="1"/>
  <c r="AG975" i="1"/>
  <c r="AC975" i="1"/>
  <c r="AB975" i="1"/>
  <c r="AG1116" i="1"/>
  <c r="AC1116" i="1"/>
  <c r="AB1116" i="1"/>
  <c r="AG1213" i="1"/>
  <c r="AC1213" i="1"/>
  <c r="AB1213" i="1"/>
  <c r="AG917" i="1"/>
  <c r="AC917" i="1"/>
  <c r="AB917" i="1"/>
  <c r="AG1029" i="1"/>
  <c r="AC1029" i="1"/>
  <c r="AB1029" i="1"/>
  <c r="AG773" i="1"/>
  <c r="AC773" i="1"/>
  <c r="AB773" i="1"/>
  <c r="AG774" i="1"/>
  <c r="AC774" i="1"/>
  <c r="AB774" i="1"/>
  <c r="AG976" i="1"/>
  <c r="AC976" i="1"/>
  <c r="AB976" i="1"/>
  <c r="AG1084" i="1"/>
  <c r="AC1084" i="1"/>
  <c r="AB1084" i="1"/>
  <c r="AG824" i="1"/>
  <c r="AC824" i="1"/>
  <c r="AB824" i="1"/>
  <c r="AG907" i="1"/>
  <c r="AC907" i="1"/>
  <c r="AB907" i="1"/>
  <c r="AG1545" i="1"/>
  <c r="AC1545" i="1"/>
  <c r="AB1545" i="1"/>
  <c r="AG1501" i="1"/>
  <c r="AC1501" i="1"/>
  <c r="AB1501" i="1"/>
  <c r="AG1459" i="1"/>
  <c r="AC1459" i="1"/>
  <c r="AB1459" i="1"/>
  <c r="AG515" i="1"/>
  <c r="AC515" i="1"/>
  <c r="AB515" i="1"/>
  <c r="AG857" i="1"/>
  <c r="AC857" i="1"/>
  <c r="AB857" i="1"/>
  <c r="AG969" i="1"/>
  <c r="AC969" i="1"/>
  <c r="AB969" i="1"/>
  <c r="AG1070" i="1"/>
  <c r="AC1070" i="1"/>
  <c r="AB1070" i="1"/>
  <c r="AG597" i="1"/>
  <c r="AC597" i="1"/>
  <c r="AB597" i="1"/>
  <c r="AG962" i="1"/>
  <c r="AC962" i="1"/>
  <c r="AB962" i="1"/>
  <c r="AG1152" i="1"/>
  <c r="AC1152" i="1"/>
  <c r="AB1152" i="1"/>
  <c r="AG1238" i="1"/>
  <c r="AC1238" i="1"/>
  <c r="AB1238" i="1"/>
  <c r="AG1328" i="1"/>
  <c r="AC1328" i="1"/>
  <c r="AB1328" i="1"/>
  <c r="AG625" i="1"/>
  <c r="AC625" i="1"/>
  <c r="AB625" i="1"/>
  <c r="AG830" i="1"/>
  <c r="AC830" i="1"/>
  <c r="AB830" i="1"/>
  <c r="AG1008" i="1"/>
  <c r="AC1008" i="1"/>
  <c r="AB1008" i="1"/>
  <c r="AG1201" i="1"/>
  <c r="AC1201" i="1"/>
  <c r="AB1201" i="1"/>
  <c r="AG887" i="1"/>
  <c r="AC887" i="1"/>
  <c r="AB887" i="1"/>
  <c r="AG986" i="1"/>
  <c r="AC986" i="1"/>
  <c r="AB986" i="1"/>
  <c r="AG679" i="1"/>
  <c r="AC679" i="1"/>
  <c r="AB679" i="1"/>
  <c r="AG680" i="1"/>
  <c r="AC680" i="1"/>
  <c r="AB680" i="1"/>
  <c r="AG964" i="1"/>
  <c r="AC964" i="1"/>
  <c r="AB964" i="1"/>
  <c r="AG1038" i="1"/>
  <c r="AC1038" i="1"/>
  <c r="AB1038" i="1"/>
  <c r="AG785" i="1"/>
  <c r="AC785" i="1"/>
  <c r="AB785" i="1"/>
  <c r="AG871" i="1"/>
  <c r="AC871" i="1"/>
  <c r="AB871" i="1"/>
  <c r="AG1544" i="1"/>
  <c r="AC1544" i="1"/>
  <c r="AB1544" i="1"/>
  <c r="AG1500" i="1"/>
  <c r="AC1500" i="1"/>
  <c r="AB1500" i="1"/>
  <c r="AG1455" i="1"/>
  <c r="AC1455" i="1"/>
  <c r="AB1455" i="1"/>
  <c r="AG491" i="1"/>
  <c r="AC491" i="1"/>
  <c r="AB491" i="1"/>
  <c r="AG829" i="1"/>
  <c r="AC829" i="1"/>
  <c r="AB829" i="1"/>
  <c r="AG910" i="1"/>
  <c r="AC910" i="1"/>
  <c r="AB910" i="1"/>
  <c r="AG1046" i="1"/>
  <c r="AC1046" i="1"/>
  <c r="AB1046" i="1"/>
  <c r="AG568" i="1"/>
  <c r="AC568" i="1"/>
  <c r="AB568" i="1"/>
  <c r="AG878" i="1"/>
  <c r="AC878" i="1"/>
  <c r="AB878" i="1"/>
  <c r="AG1086" i="1"/>
  <c r="AC1086" i="1"/>
  <c r="AB1086" i="1"/>
  <c r="AG1196" i="1"/>
  <c r="AC1196" i="1"/>
  <c r="AB1196" i="1"/>
  <c r="AG1295" i="1"/>
  <c r="AC1295" i="1"/>
  <c r="AB1295" i="1"/>
  <c r="AG532" i="1"/>
  <c r="AC532" i="1"/>
  <c r="AB532" i="1"/>
  <c r="AG726" i="1"/>
  <c r="AC726" i="1"/>
  <c r="AB726" i="1"/>
  <c r="AG929" i="1"/>
  <c r="AC929" i="1"/>
  <c r="AB929" i="1"/>
  <c r="AG1158" i="1"/>
  <c r="AC1158" i="1"/>
  <c r="AB1158" i="1"/>
  <c r="AG823" i="1"/>
  <c r="AC823" i="1"/>
  <c r="AB823" i="1"/>
  <c r="AG944" i="1"/>
  <c r="AC944" i="1"/>
  <c r="AB944" i="1"/>
  <c r="AG632" i="1"/>
  <c r="AC632" i="1"/>
  <c r="AB632" i="1"/>
  <c r="AG633" i="1"/>
  <c r="AC633" i="1"/>
  <c r="AB633" i="1"/>
  <c r="AG915" i="1"/>
  <c r="AC915" i="1"/>
  <c r="AB915" i="1"/>
  <c r="AG981" i="1"/>
  <c r="AC981" i="1"/>
  <c r="AB981" i="1"/>
  <c r="AG703" i="1"/>
  <c r="AC703" i="1"/>
  <c r="AB703" i="1"/>
  <c r="AG818" i="1"/>
  <c r="AC818" i="1"/>
  <c r="AB818" i="1"/>
  <c r="AG1538" i="1"/>
  <c r="AC1538" i="1"/>
  <c r="AB1538" i="1"/>
  <c r="AG1491" i="1"/>
  <c r="AC1491" i="1"/>
  <c r="AB1491" i="1"/>
  <c r="AG1441" i="1"/>
  <c r="AC1441" i="1"/>
  <c r="AB1441" i="1"/>
  <c r="AG460" i="1"/>
  <c r="AC460" i="1"/>
  <c r="AB460" i="1"/>
  <c r="AG787" i="1"/>
  <c r="AC787" i="1"/>
  <c r="AB787" i="1"/>
  <c r="AG842" i="1"/>
  <c r="AC842" i="1"/>
  <c r="AB842" i="1"/>
  <c r="AG995" i="1"/>
  <c r="AC995" i="1"/>
  <c r="AB995" i="1"/>
  <c r="AG520" i="1"/>
  <c r="AC520" i="1"/>
  <c r="AB520" i="1"/>
  <c r="AG1188" i="1"/>
  <c r="AC1188" i="1"/>
  <c r="AB1188" i="1"/>
  <c r="AG1256" i="1"/>
  <c r="AC1256" i="1"/>
  <c r="AB1256" i="1"/>
  <c r="AG1311" i="1"/>
  <c r="AC1311" i="1"/>
  <c r="AB1311" i="1"/>
  <c r="AG1358" i="1"/>
  <c r="AC1358" i="1"/>
  <c r="AB1358" i="1"/>
  <c r="AG925" i="1"/>
  <c r="AC925" i="1"/>
  <c r="AB925" i="1"/>
  <c r="AG1088" i="1"/>
  <c r="AC1088" i="1"/>
  <c r="AB1088" i="1"/>
  <c r="AG1181" i="1"/>
  <c r="AC1181" i="1"/>
  <c r="AB1181" i="1"/>
  <c r="AG1253" i="1"/>
  <c r="AC1253" i="1"/>
  <c r="AB1253" i="1"/>
  <c r="AG763" i="1"/>
  <c r="AC763" i="1"/>
  <c r="AB763" i="1"/>
  <c r="AG856" i="1"/>
  <c r="AC856" i="1"/>
  <c r="AB856" i="1"/>
  <c r="AG553" i="1"/>
  <c r="AC553" i="1"/>
  <c r="AB553" i="1"/>
  <c r="AG552" i="1"/>
  <c r="AC552" i="1"/>
  <c r="AB552" i="1"/>
  <c r="AG868" i="1"/>
  <c r="AC868" i="1"/>
  <c r="AB868" i="1"/>
  <c r="AG957" i="1"/>
  <c r="AC957" i="1"/>
  <c r="AB957" i="1"/>
  <c r="AG651" i="1"/>
  <c r="AC651" i="1"/>
  <c r="AB651" i="1"/>
  <c r="AG750" i="1"/>
  <c r="AC750" i="1"/>
  <c r="AB750" i="1"/>
  <c r="AG1536" i="1"/>
  <c r="AC1536" i="1"/>
  <c r="AB1536" i="1"/>
  <c r="AG1466" i="1"/>
  <c r="AC1466" i="1"/>
  <c r="AB1466" i="1"/>
  <c r="AG1431" i="1"/>
  <c r="AC1431" i="1"/>
  <c r="AB1431" i="1"/>
  <c r="AG412" i="1"/>
  <c r="AC412" i="1"/>
  <c r="AB412" i="1"/>
  <c r="AG707" i="1"/>
  <c r="AC707" i="1"/>
  <c r="AB707" i="1"/>
  <c r="AG762" i="1"/>
  <c r="AC762" i="1"/>
  <c r="AB762" i="1"/>
  <c r="AG963" i="1"/>
  <c r="AC963" i="1"/>
  <c r="AB963" i="1"/>
  <c r="AG483" i="1"/>
  <c r="AC483" i="1"/>
  <c r="AB483" i="1"/>
  <c r="AG1094" i="1"/>
  <c r="AC1094" i="1"/>
  <c r="AB1094" i="1"/>
  <c r="AG1191" i="1"/>
  <c r="AC1191" i="1"/>
  <c r="AB1191" i="1"/>
  <c r="AG1242" i="1"/>
  <c r="AC1242" i="1"/>
  <c r="AB1242" i="1"/>
  <c r="AG1318" i="1"/>
  <c r="AC1318" i="1"/>
  <c r="AB1318" i="1"/>
  <c r="AG747" i="1"/>
  <c r="AC747" i="1"/>
  <c r="AB747" i="1"/>
  <c r="AG905" i="1"/>
  <c r="AC905" i="1"/>
  <c r="AB905" i="1"/>
  <c r="AG1036" i="1"/>
  <c r="AC1036" i="1"/>
  <c r="AB1036" i="1"/>
  <c r="AG1184" i="1"/>
  <c r="AC1184" i="1"/>
  <c r="AB1184" i="1"/>
  <c r="AG545" i="1"/>
  <c r="AC545" i="1"/>
  <c r="AB545" i="1"/>
  <c r="AG657" i="1"/>
  <c r="AC657" i="1"/>
  <c r="AB657" i="1"/>
  <c r="AG407" i="1"/>
  <c r="AC407" i="1"/>
  <c r="AB407" i="1"/>
  <c r="AG408" i="1"/>
  <c r="AC408" i="1"/>
  <c r="AB408" i="1"/>
  <c r="AG626" i="1"/>
  <c r="AC626" i="1"/>
  <c r="AB626" i="1"/>
  <c r="AG689" i="1"/>
  <c r="AC689" i="1"/>
  <c r="AB689" i="1"/>
  <c r="AG465" i="1"/>
  <c r="AC465" i="1"/>
  <c r="AB465" i="1"/>
  <c r="AG525" i="1"/>
  <c r="AC525" i="1"/>
  <c r="AB525" i="1"/>
  <c r="AG1521" i="1"/>
  <c r="AC1521" i="1"/>
  <c r="AB1521" i="1"/>
  <c r="AG1438" i="1"/>
  <c r="AC1438" i="1"/>
  <c r="AB1438" i="1"/>
  <c r="AG1368" i="1"/>
  <c r="AC1368" i="1"/>
  <c r="AB1368" i="1"/>
  <c r="AG377" i="1"/>
  <c r="AC377" i="1"/>
  <c r="AB377" i="1"/>
  <c r="AG506" i="1"/>
  <c r="AC506" i="1"/>
  <c r="AB506" i="1"/>
  <c r="AG565" i="1"/>
  <c r="AC565" i="1"/>
  <c r="AB565" i="1"/>
  <c r="AG712" i="1"/>
  <c r="AC712" i="1"/>
  <c r="AB712" i="1"/>
  <c r="AG388" i="1"/>
  <c r="AC388" i="1"/>
  <c r="AB388" i="1"/>
  <c r="AG1320" i="1"/>
  <c r="AC1320" i="1"/>
  <c r="AB1320" i="1"/>
  <c r="AG1350" i="1"/>
  <c r="AC1350" i="1"/>
  <c r="AB1350" i="1"/>
  <c r="AG1398" i="1"/>
  <c r="AC1398" i="1"/>
  <c r="AB1398" i="1"/>
  <c r="AG1444" i="1"/>
  <c r="AC1444" i="1"/>
  <c r="AB1444" i="1"/>
  <c r="AG1200" i="1"/>
  <c r="AC1200" i="1"/>
  <c r="AB1200" i="1"/>
  <c r="AG1255" i="1"/>
  <c r="AC1255" i="1"/>
  <c r="AB1255" i="1"/>
  <c r="AG1304" i="1"/>
  <c r="AC1304" i="1"/>
  <c r="AB1304" i="1"/>
  <c r="AG1348" i="1"/>
  <c r="AC1348" i="1"/>
  <c r="AB1348" i="1"/>
  <c r="AG993" i="1"/>
  <c r="AC993" i="1"/>
  <c r="AB993" i="1"/>
  <c r="AG1117" i="1"/>
  <c r="AC1117" i="1"/>
  <c r="AB1117" i="1"/>
  <c r="AG845" i="1"/>
  <c r="AC845" i="1"/>
  <c r="AB845" i="1"/>
  <c r="AG844" i="1"/>
  <c r="AC844" i="1"/>
  <c r="AB844" i="1"/>
  <c r="AG1055" i="1"/>
  <c r="AC1055" i="1"/>
  <c r="AB1055" i="1"/>
  <c r="AG1150" i="1"/>
  <c r="AC1150" i="1"/>
  <c r="AB1150" i="1"/>
  <c r="AG912" i="1"/>
  <c r="AC912" i="1"/>
  <c r="AB912" i="1"/>
  <c r="AG985" i="1"/>
  <c r="AC985" i="1"/>
  <c r="AB985" i="1"/>
  <c r="AG1548" i="1"/>
  <c r="AC1548" i="1"/>
  <c r="AB1548" i="1"/>
  <c r="AG1504" i="1"/>
  <c r="AC1504" i="1"/>
  <c r="AB1504" i="1"/>
  <c r="AG1473" i="1"/>
  <c r="AC1473" i="1"/>
  <c r="AB1473" i="1"/>
  <c r="AG591" i="1"/>
  <c r="AC591" i="1"/>
  <c r="AB591" i="1"/>
  <c r="AG939" i="1"/>
  <c r="AC939" i="1"/>
  <c r="AB939" i="1"/>
  <c r="AG1040" i="1"/>
  <c r="AC1040" i="1"/>
  <c r="AB1040" i="1"/>
  <c r="AG1136" i="1"/>
  <c r="AC1136" i="1"/>
  <c r="AB1136" i="1"/>
  <c r="AG666" i="1"/>
  <c r="AC666" i="1"/>
  <c r="AB666" i="1"/>
  <c r="AG1326" i="1"/>
  <c r="AC1326" i="1"/>
  <c r="AB1326" i="1"/>
  <c r="AG1359" i="1"/>
  <c r="AC1359" i="1"/>
  <c r="AB1359" i="1"/>
  <c r="AG1406" i="1"/>
  <c r="AC1406" i="1"/>
  <c r="AB1406" i="1"/>
  <c r="AG1451" i="1"/>
  <c r="AC1451" i="1"/>
  <c r="AB1451" i="1"/>
  <c r="AG1209" i="1"/>
  <c r="AC1209" i="1"/>
  <c r="AB1209" i="1"/>
  <c r="AG1258" i="1"/>
  <c r="AC1258" i="1"/>
  <c r="AB1258" i="1"/>
  <c r="AG1312" i="1"/>
  <c r="AC1312" i="1"/>
  <c r="AB1312" i="1"/>
  <c r="AG1355" i="1"/>
  <c r="AC1355" i="1"/>
  <c r="AB1355" i="1"/>
  <c r="AG998" i="1"/>
  <c r="AC998" i="1"/>
  <c r="AB998" i="1"/>
  <c r="AG1120" i="1"/>
  <c r="AC1120" i="1"/>
  <c r="AB1120" i="1"/>
  <c r="AG852" i="1"/>
  <c r="AC852" i="1"/>
  <c r="AB852" i="1"/>
  <c r="AG851" i="1"/>
  <c r="AC851" i="1"/>
  <c r="AB851" i="1"/>
  <c r="AG1059" i="1"/>
  <c r="AC1059" i="1"/>
  <c r="AB1059" i="1"/>
  <c r="AG1153" i="1"/>
  <c r="AC1153" i="1"/>
  <c r="AB1153" i="1"/>
  <c r="AG916" i="1"/>
  <c r="AC916" i="1"/>
  <c r="AB916" i="1"/>
  <c r="AG989" i="1"/>
  <c r="AC989" i="1"/>
  <c r="AB989" i="1"/>
  <c r="AG1550" i="1"/>
  <c r="AC1550" i="1"/>
  <c r="AB1550" i="1"/>
  <c r="AG1506" i="1"/>
  <c r="AC1506" i="1"/>
  <c r="AB1506" i="1"/>
  <c r="AG1475" i="1"/>
  <c r="AC1475" i="1"/>
  <c r="AB1475" i="1"/>
  <c r="AG594" i="1"/>
  <c r="AC594" i="1"/>
  <c r="AB594" i="1"/>
  <c r="AG946" i="1"/>
  <c r="AC946" i="1"/>
  <c r="AB946" i="1"/>
  <c r="AG1043" i="1"/>
  <c r="AC1043" i="1"/>
  <c r="AB1043" i="1"/>
  <c r="AG1138" i="1"/>
  <c r="AC1138" i="1"/>
  <c r="AB1138" i="1"/>
  <c r="AG672" i="1"/>
  <c r="AC672" i="1"/>
  <c r="AB672" i="1"/>
  <c r="AG742" i="1"/>
  <c r="AC742" i="1"/>
  <c r="AG1023" i="1"/>
  <c r="AC1023" i="1"/>
  <c r="AG1174" i="1"/>
  <c r="AC1174" i="1"/>
  <c r="AG1278" i="1"/>
  <c r="AC1278" i="1"/>
  <c r="AG458" i="1"/>
  <c r="AC458" i="1"/>
  <c r="AG671" i="1"/>
  <c r="AC671" i="1"/>
  <c r="AG879" i="1"/>
  <c r="AC879" i="1"/>
  <c r="AG1127" i="1"/>
  <c r="AC1127" i="1"/>
  <c r="AG670" i="1"/>
  <c r="AC670" i="1"/>
  <c r="AG780" i="1"/>
  <c r="AC780" i="1"/>
  <c r="AG534" i="1"/>
  <c r="AC534" i="1"/>
  <c r="AG533" i="1"/>
  <c r="AC533" i="1"/>
  <c r="AG723" i="1"/>
  <c r="AC723" i="1"/>
  <c r="AG900" i="1"/>
  <c r="AC900" i="1"/>
  <c r="AG582" i="1"/>
  <c r="AC582" i="1"/>
  <c r="AG669" i="1"/>
  <c r="AC669" i="1"/>
  <c r="AG1534" i="1"/>
  <c r="AC1534" i="1"/>
  <c r="AG1461" i="1"/>
  <c r="AC1461" i="1"/>
  <c r="AG1409" i="1"/>
  <c r="AC1409" i="1"/>
  <c r="AG387" i="1"/>
  <c r="AC387" i="1"/>
  <c r="AG589" i="1"/>
  <c r="AC589" i="1"/>
  <c r="AG731" i="1"/>
  <c r="AC731" i="1"/>
  <c r="AG822" i="1"/>
  <c r="AC822" i="1"/>
  <c r="AG406" i="1"/>
  <c r="AC406" i="1"/>
  <c r="AG1324" i="1"/>
  <c r="AC1324" i="1"/>
  <c r="AG1353" i="1"/>
  <c r="AC1353" i="1"/>
  <c r="AG1401" i="1"/>
  <c r="AC1401" i="1"/>
  <c r="AG1447" i="1"/>
  <c r="AC1447" i="1"/>
  <c r="AG1205" i="1"/>
  <c r="AC1205" i="1"/>
  <c r="AG1257" i="1"/>
  <c r="AC1257" i="1"/>
  <c r="AG1309" i="1"/>
  <c r="AC1309" i="1"/>
  <c r="AG1349" i="1"/>
  <c r="AC1349" i="1"/>
  <c r="AG996" i="1"/>
  <c r="AC996" i="1"/>
  <c r="AG1119" i="1"/>
  <c r="AC1119" i="1"/>
  <c r="AG848" i="1"/>
  <c r="AC848" i="1"/>
  <c r="AG847" i="1"/>
  <c r="AC847" i="1"/>
  <c r="AG1057" i="1"/>
  <c r="AC1057" i="1"/>
  <c r="AG1151" i="1"/>
  <c r="AC1151" i="1"/>
  <c r="AG914" i="1"/>
  <c r="AC914" i="1"/>
  <c r="AG988" i="1"/>
  <c r="AC988" i="1"/>
  <c r="AG1549" i="1"/>
  <c r="AC1549" i="1"/>
  <c r="AG1505" i="1"/>
  <c r="AC1505" i="1"/>
  <c r="AG1474" i="1"/>
  <c r="AC1474" i="1"/>
  <c r="AG593" i="1"/>
  <c r="AC593" i="1"/>
  <c r="AG941" i="1"/>
  <c r="AC941" i="1"/>
  <c r="AG1041" i="1"/>
  <c r="AC1041" i="1"/>
  <c r="AG1137" i="1"/>
  <c r="AC1137" i="1"/>
  <c r="AG667" i="1"/>
  <c r="AC667" i="1"/>
  <c r="AG698" i="1"/>
  <c r="AC698" i="1"/>
  <c r="AB698" i="1"/>
  <c r="AG937" i="1"/>
  <c r="AC937" i="1"/>
  <c r="AB937" i="1"/>
  <c r="AG1114" i="1"/>
  <c r="AC1114" i="1"/>
  <c r="AB1114" i="1"/>
  <c r="AG1245" i="1"/>
  <c r="AC1245" i="1"/>
  <c r="AB1245" i="1"/>
  <c r="AG428" i="1"/>
  <c r="AC428" i="1"/>
  <c r="AB428" i="1"/>
  <c r="AG578" i="1"/>
  <c r="AC578" i="1"/>
  <c r="AB578" i="1"/>
  <c r="AG770" i="1"/>
  <c r="AC770" i="1"/>
  <c r="AB770" i="1"/>
  <c r="AG1035" i="1"/>
  <c r="AC1035" i="1"/>
  <c r="AB1035" i="1"/>
  <c r="AG576" i="1"/>
  <c r="AC576" i="1"/>
  <c r="AB576" i="1"/>
  <c r="AG665" i="1"/>
  <c r="AC665" i="1"/>
  <c r="AB665" i="1"/>
  <c r="AG470" i="1"/>
  <c r="AC470" i="1"/>
  <c r="AB470" i="1"/>
  <c r="AG471" i="1"/>
  <c r="AC471" i="1"/>
  <c r="AB471" i="1"/>
  <c r="AG623" i="1"/>
  <c r="AC623" i="1"/>
  <c r="AB623" i="1"/>
  <c r="AG805" i="1"/>
  <c r="AC805" i="1"/>
  <c r="AB805" i="1"/>
  <c r="AG509" i="1"/>
  <c r="AC509" i="1"/>
  <c r="AB509" i="1"/>
  <c r="AG573" i="1"/>
  <c r="AC573" i="1"/>
  <c r="AB573" i="1"/>
  <c r="AG1525" i="1"/>
  <c r="AC1525" i="1"/>
  <c r="AB1525" i="1"/>
  <c r="AG1434" i="1"/>
  <c r="AC1434" i="1"/>
  <c r="AB1434" i="1"/>
  <c r="AG1381" i="1"/>
  <c r="AC1381" i="1"/>
  <c r="AB1381" i="1"/>
  <c r="AG374" i="1"/>
  <c r="AC374" i="1"/>
  <c r="AB374" i="1"/>
  <c r="AG495" i="1"/>
  <c r="AC495" i="1"/>
  <c r="AB495" i="1"/>
  <c r="AG646" i="1"/>
  <c r="AC646" i="1"/>
  <c r="AB646" i="1"/>
  <c r="AG688" i="1"/>
  <c r="AC688" i="1"/>
  <c r="AB688" i="1"/>
  <c r="AG385" i="1"/>
  <c r="AC385" i="1"/>
  <c r="AB385" i="1"/>
  <c r="AG1195" i="1"/>
  <c r="AC1195" i="1"/>
  <c r="AB1195" i="1"/>
  <c r="AG1254" i="1"/>
  <c r="AC1254" i="1"/>
  <c r="AB1254" i="1"/>
  <c r="AG1310" i="1"/>
  <c r="AC1310" i="1"/>
  <c r="AB1310" i="1"/>
  <c r="AG1356" i="1"/>
  <c r="AC1356" i="1"/>
  <c r="AB1356" i="1"/>
  <c r="AG952" i="1"/>
  <c r="AC952" i="1"/>
  <c r="AB952" i="1"/>
  <c r="AG1080" i="1"/>
  <c r="AC1080" i="1"/>
  <c r="AB1080" i="1"/>
  <c r="AG1180" i="1"/>
  <c r="AC1180" i="1"/>
  <c r="AB1180" i="1"/>
  <c r="AG1252" i="1"/>
  <c r="AC1252" i="1"/>
  <c r="AB1252" i="1"/>
  <c r="AG599" i="1"/>
  <c r="AC599" i="1"/>
  <c r="AB599" i="1"/>
  <c r="AG658" i="1"/>
  <c r="AC658" i="1"/>
  <c r="AB658" i="1"/>
  <c r="AG448" i="1"/>
  <c r="AC448" i="1"/>
  <c r="AB448" i="1"/>
  <c r="AG447" i="1"/>
  <c r="AC447" i="1"/>
  <c r="AB447" i="1"/>
  <c r="AG659" i="1"/>
  <c r="AC659" i="1"/>
  <c r="AB659" i="1"/>
  <c r="AG727" i="1"/>
  <c r="AC727" i="1"/>
  <c r="AB727" i="1"/>
  <c r="AG517" i="1"/>
  <c r="AC517" i="1"/>
  <c r="AB517" i="1"/>
  <c r="AG585" i="1"/>
  <c r="AC585" i="1"/>
  <c r="AB585" i="1"/>
  <c r="AG1526" i="1"/>
  <c r="AC1526" i="1"/>
  <c r="AB1526" i="1"/>
  <c r="AG1443" i="1"/>
  <c r="AC1443" i="1"/>
  <c r="AB1443" i="1"/>
  <c r="AG1395" i="1"/>
  <c r="AC1395" i="1"/>
  <c r="AB1395" i="1"/>
  <c r="AG378" i="1"/>
  <c r="AC378" i="1"/>
  <c r="AB378" i="1"/>
  <c r="AG523" i="1"/>
  <c r="AC523" i="1"/>
  <c r="AB523" i="1"/>
  <c r="AG581" i="1"/>
  <c r="AC581" i="1"/>
  <c r="AB581" i="1"/>
  <c r="AG783" i="1"/>
  <c r="AC783" i="1"/>
  <c r="AB783" i="1"/>
  <c r="AG392" i="1"/>
  <c r="AC392" i="1"/>
  <c r="AB392" i="1"/>
  <c r="AG697" i="1"/>
  <c r="AC697" i="1"/>
  <c r="AB697" i="1"/>
  <c r="AG936" i="1"/>
  <c r="AC936" i="1"/>
  <c r="AB936" i="1"/>
  <c r="AG1113" i="1"/>
  <c r="AC1113" i="1"/>
  <c r="AB1113" i="1"/>
  <c r="AG1244" i="1"/>
  <c r="AC1244" i="1"/>
  <c r="AB1244" i="1"/>
  <c r="AG427" i="1"/>
  <c r="AC427" i="1"/>
  <c r="AB427" i="1"/>
  <c r="AG577" i="1"/>
  <c r="AC577" i="1"/>
  <c r="AB577" i="1"/>
  <c r="AG772" i="1"/>
  <c r="AC772" i="1"/>
  <c r="AB772" i="1"/>
  <c r="AG1034" i="1"/>
  <c r="AC1034" i="1"/>
  <c r="AB1034" i="1"/>
  <c r="AG575" i="1"/>
  <c r="AC575" i="1"/>
  <c r="AB575" i="1"/>
  <c r="AG638" i="1"/>
  <c r="AC638" i="1"/>
  <c r="AB638" i="1"/>
  <c r="AG462" i="1"/>
  <c r="AC462" i="1"/>
  <c r="AB462" i="1"/>
  <c r="AG461" i="1"/>
  <c r="AC461" i="1"/>
  <c r="AB461" i="1"/>
  <c r="AG620" i="1"/>
  <c r="AC620" i="1"/>
  <c r="AB620" i="1"/>
  <c r="AG806" i="1"/>
  <c r="AC806" i="1"/>
  <c r="AB806" i="1"/>
  <c r="AG504" i="1"/>
  <c r="AC504" i="1"/>
  <c r="AB504" i="1"/>
  <c r="AG572" i="1"/>
  <c r="AC572" i="1"/>
  <c r="AB572" i="1"/>
  <c r="AG1523" i="1"/>
  <c r="AC1523" i="1"/>
  <c r="AB1523" i="1"/>
  <c r="AG1433" i="1"/>
  <c r="AC1433" i="1"/>
  <c r="AB1433" i="1"/>
  <c r="AG1380" i="1"/>
  <c r="AC1380" i="1"/>
  <c r="AB1380" i="1"/>
  <c r="AG369" i="1"/>
  <c r="AC369" i="1"/>
  <c r="AB369" i="1"/>
  <c r="AG472" i="1"/>
  <c r="AC472" i="1"/>
  <c r="AB472" i="1"/>
  <c r="AG636" i="1"/>
  <c r="AC636" i="1"/>
  <c r="AB636" i="1"/>
  <c r="AG682" i="1"/>
  <c r="AC682" i="1"/>
  <c r="AB682" i="1"/>
  <c r="AG380" i="1"/>
  <c r="AC380" i="1"/>
  <c r="AB380" i="1"/>
  <c r="AG696" i="1"/>
  <c r="AC696" i="1"/>
  <c r="AB696" i="1"/>
  <c r="AG938" i="1"/>
  <c r="AC938" i="1"/>
  <c r="AB938" i="1"/>
  <c r="AG1115" i="1"/>
  <c r="AC1115" i="1"/>
  <c r="AB1115" i="1"/>
  <c r="AG1246" i="1"/>
  <c r="AC1246" i="1"/>
  <c r="AB1246" i="1"/>
  <c r="AG426" i="1"/>
  <c r="AC426" i="1"/>
  <c r="AB426" i="1"/>
  <c r="AG579" i="1"/>
  <c r="AC579" i="1"/>
  <c r="AB579" i="1"/>
  <c r="AG771" i="1"/>
  <c r="AC771" i="1"/>
  <c r="AB771" i="1"/>
  <c r="AG1033" i="1"/>
  <c r="AC1033" i="1"/>
  <c r="AB1033" i="1"/>
  <c r="AG574" i="1"/>
  <c r="AC574" i="1"/>
  <c r="AB574" i="1"/>
  <c r="AG650" i="1"/>
  <c r="AC650" i="1"/>
  <c r="AB650" i="1"/>
  <c r="AG468" i="1"/>
  <c r="AC468" i="1"/>
  <c r="AB468" i="1"/>
  <c r="AG469" i="1"/>
  <c r="AC469" i="1"/>
  <c r="AB469" i="1"/>
  <c r="AG619" i="1"/>
  <c r="AC619" i="1"/>
  <c r="AB619" i="1"/>
  <c r="AG804" i="1"/>
  <c r="AC804" i="1"/>
  <c r="AB804" i="1"/>
  <c r="AG513" i="1"/>
  <c r="AC513" i="1"/>
  <c r="AB513" i="1"/>
  <c r="AG571" i="1"/>
  <c r="AC571" i="1"/>
  <c r="AB571" i="1"/>
  <c r="AG1524" i="1"/>
  <c r="AC1524" i="1"/>
  <c r="AB1524" i="1"/>
  <c r="AG1437" i="1"/>
  <c r="AC1437" i="1"/>
  <c r="AB1437" i="1"/>
  <c r="AG1379" i="1"/>
  <c r="AC1379" i="1"/>
  <c r="AB1379" i="1"/>
  <c r="AG371" i="1"/>
  <c r="AC371" i="1"/>
  <c r="AB371" i="1"/>
  <c r="AG480" i="1"/>
  <c r="AC480" i="1"/>
  <c r="AB480" i="1"/>
  <c r="AG643" i="1"/>
  <c r="AC643" i="1"/>
  <c r="AB643" i="1"/>
  <c r="AG681" i="1"/>
  <c r="AC681" i="1"/>
  <c r="AB681" i="1"/>
  <c r="AG383" i="1"/>
  <c r="AC383" i="1"/>
  <c r="AB383" i="1"/>
  <c r="AC1026" i="1"/>
  <c r="AB1026" i="1"/>
  <c r="AC1128" i="1"/>
  <c r="AB1128" i="1"/>
  <c r="AC877" i="1"/>
  <c r="AB877" i="1"/>
  <c r="AC876" i="1"/>
  <c r="AB876" i="1"/>
  <c r="AC1079" i="1"/>
  <c r="AB1079" i="1"/>
  <c r="AC1166" i="1"/>
  <c r="AB1166" i="1"/>
  <c r="AC955" i="1"/>
  <c r="AB955" i="1"/>
  <c r="AC1017" i="1"/>
  <c r="AB1017" i="1"/>
  <c r="AC1551" i="1"/>
  <c r="AB1551" i="1"/>
  <c r="AC1511" i="1"/>
  <c r="AB1511" i="1"/>
  <c r="AC1485" i="1"/>
  <c r="AB1485" i="1"/>
  <c r="AC603" i="1"/>
  <c r="AB603" i="1"/>
  <c r="AC956" i="1"/>
  <c r="AB956" i="1"/>
  <c r="AC1064" i="1"/>
  <c r="AB1064" i="1"/>
  <c r="AC1154" i="1"/>
  <c r="AB1154" i="1"/>
  <c r="AC676" i="1"/>
  <c r="AB676" i="1"/>
  <c r="AG826" i="1"/>
  <c r="AC826" i="1"/>
  <c r="AB826" i="1"/>
  <c r="AG1013" i="1"/>
  <c r="AC1013" i="1"/>
  <c r="AB1013" i="1"/>
  <c r="AG1171" i="1"/>
  <c r="AC1171" i="1"/>
  <c r="AB1171" i="1"/>
  <c r="AG1273" i="1"/>
  <c r="AC1273" i="1"/>
  <c r="AB1273" i="1"/>
  <c r="AG501" i="1"/>
  <c r="AC501" i="1"/>
  <c r="AB501" i="1"/>
  <c r="AG661" i="1"/>
  <c r="AC661" i="1"/>
  <c r="AB661" i="1"/>
  <c r="AG862" i="1"/>
  <c r="AC862" i="1"/>
  <c r="AB862" i="1"/>
  <c r="AG1118" i="1"/>
  <c r="AC1118" i="1"/>
  <c r="AB1118" i="1"/>
  <c r="AG702" i="1"/>
  <c r="AC702" i="1"/>
  <c r="AB702" i="1"/>
  <c r="AG749" i="1"/>
  <c r="AC749" i="1"/>
  <c r="AB749" i="1"/>
  <c r="AG596" i="1"/>
  <c r="AC596" i="1"/>
  <c r="AB596" i="1"/>
  <c r="AG595" i="1"/>
  <c r="AC595" i="1"/>
  <c r="AB595" i="1"/>
  <c r="AG660" i="1"/>
  <c r="AC660" i="1"/>
  <c r="AB660" i="1"/>
  <c r="AG919" i="1"/>
  <c r="AC919" i="1"/>
  <c r="AB919" i="1"/>
  <c r="AG641" i="1"/>
  <c r="AC641" i="1"/>
  <c r="AB641" i="1"/>
  <c r="AG691" i="1"/>
  <c r="AC691" i="1"/>
  <c r="AB691" i="1"/>
  <c r="AG1530" i="1"/>
  <c r="AC1530" i="1"/>
  <c r="AB1530" i="1"/>
  <c r="AG1446" i="1"/>
  <c r="AC1446" i="1"/>
  <c r="AB1446" i="1"/>
  <c r="AG1390" i="1"/>
  <c r="AC1390" i="1"/>
  <c r="AB1390" i="1"/>
  <c r="AG399" i="1"/>
  <c r="AC399" i="1"/>
  <c r="AB399" i="1"/>
  <c r="AG588" i="1"/>
  <c r="AC588" i="1"/>
  <c r="AB588" i="1"/>
  <c r="AG811" i="1"/>
  <c r="AC811" i="1"/>
  <c r="AB811" i="1"/>
  <c r="AG730" i="1"/>
  <c r="AC730" i="1"/>
  <c r="AB730" i="1"/>
  <c r="AG405" i="1"/>
  <c r="AC405" i="1"/>
  <c r="AB405" i="1"/>
  <c r="AG622" i="1"/>
  <c r="AC622" i="1"/>
  <c r="AB622" i="1"/>
  <c r="AG821" i="1"/>
  <c r="AC821" i="1"/>
  <c r="AB821" i="1"/>
  <c r="AG1010" i="1"/>
  <c r="AC1010" i="1"/>
  <c r="AB1010" i="1"/>
  <c r="AG1210" i="1"/>
  <c r="AC1210" i="1"/>
  <c r="AB1210" i="1"/>
  <c r="AG398" i="1"/>
  <c r="AC398" i="1"/>
  <c r="AB398" i="1"/>
  <c r="AG482" i="1"/>
  <c r="AC482" i="1"/>
  <c r="AB482" i="1"/>
  <c r="AG648" i="1"/>
  <c r="AC648" i="1"/>
  <c r="AB648" i="1"/>
  <c r="AG943" i="1"/>
  <c r="AC943" i="1"/>
  <c r="AB943" i="1"/>
  <c r="AG502" i="1"/>
  <c r="AC502" i="1"/>
  <c r="AB502" i="1"/>
  <c r="AG569" i="1"/>
  <c r="AC569" i="1"/>
  <c r="AB569" i="1"/>
  <c r="AG390" i="1"/>
  <c r="AC390" i="1"/>
  <c r="AB390" i="1"/>
  <c r="AG391" i="1"/>
  <c r="AC391" i="1"/>
  <c r="AB391" i="1"/>
  <c r="AG614" i="1"/>
  <c r="AC614" i="1"/>
  <c r="AB614" i="1"/>
  <c r="AG673" i="1"/>
  <c r="AC673" i="1"/>
  <c r="AB673" i="1"/>
  <c r="AG413" i="1"/>
  <c r="AC413" i="1"/>
  <c r="AB413" i="1"/>
  <c r="AG496" i="1"/>
  <c r="AC496" i="1"/>
  <c r="AB496" i="1"/>
  <c r="AG1517" i="1"/>
  <c r="AC1517" i="1"/>
  <c r="AB1517" i="1"/>
  <c r="AG1403" i="1"/>
  <c r="AC1403" i="1"/>
  <c r="AB1403" i="1"/>
  <c r="AG1357" i="1"/>
  <c r="AC1357" i="1"/>
  <c r="AB1357" i="1"/>
  <c r="AG370" i="1"/>
  <c r="AC370" i="1"/>
  <c r="AB370" i="1"/>
  <c r="AG485" i="1"/>
  <c r="AC485" i="1"/>
  <c r="AB485" i="1"/>
  <c r="AG518" i="1"/>
  <c r="AC518" i="1"/>
  <c r="AB518" i="1"/>
  <c r="AG706" i="1"/>
  <c r="AC706" i="1"/>
  <c r="AB706" i="1"/>
  <c r="AG384" i="1"/>
  <c r="AC384" i="1"/>
  <c r="AB384" i="1"/>
  <c r="AG1391" i="1"/>
  <c r="AC1391" i="1"/>
  <c r="AB1391" i="1"/>
  <c r="AG1424" i="1"/>
  <c r="AC1424" i="1"/>
  <c r="AB1424" i="1"/>
  <c r="AG1460" i="1"/>
  <c r="AC1460" i="1"/>
  <c r="AB1460" i="1"/>
  <c r="AG1495" i="1"/>
  <c r="AC1495" i="1"/>
  <c r="AB1495" i="1"/>
  <c r="AG1301" i="1"/>
  <c r="AC1301" i="1"/>
  <c r="AB1301" i="1"/>
  <c r="AG1335" i="1"/>
  <c r="AC1335" i="1"/>
  <c r="AB1335" i="1"/>
  <c r="AG1369" i="1"/>
  <c r="AC1369" i="1"/>
  <c r="AB1369" i="1"/>
  <c r="AG1422" i="1"/>
  <c r="AC1422" i="1"/>
  <c r="AB1422" i="1"/>
  <c r="AG974" i="1"/>
  <c r="AC974" i="1"/>
  <c r="AB974" i="1"/>
  <c r="AG1131" i="1"/>
  <c r="AC1131" i="1"/>
  <c r="AB1131" i="1"/>
  <c r="AG855" i="1"/>
  <c r="AC855" i="1"/>
  <c r="AB855" i="1"/>
  <c r="AG854" i="1"/>
  <c r="AC854" i="1"/>
  <c r="AB854" i="1"/>
  <c r="AG1109" i="1"/>
  <c r="AC1109" i="1"/>
  <c r="AB1109" i="1"/>
  <c r="AG1139" i="1"/>
  <c r="AC1139" i="1"/>
  <c r="AB1139" i="1"/>
  <c r="AG903" i="1"/>
  <c r="AC903" i="1"/>
  <c r="AB903" i="1"/>
  <c r="AG970" i="1"/>
  <c r="AC970" i="1"/>
  <c r="AB970" i="1"/>
  <c r="AG1547" i="1"/>
  <c r="AC1547" i="1"/>
  <c r="AB1547" i="1"/>
  <c r="AG1508" i="1"/>
  <c r="AC1508" i="1"/>
  <c r="AB1508" i="1"/>
  <c r="AG1472" i="1"/>
  <c r="AC1472" i="1"/>
  <c r="AB1472" i="1"/>
  <c r="AG634" i="1"/>
  <c r="AC634" i="1"/>
  <c r="AB634" i="1"/>
  <c r="AG979" i="1"/>
  <c r="AC979" i="1"/>
  <c r="AB979" i="1"/>
  <c r="AG1047" i="1"/>
  <c r="AC1047" i="1"/>
  <c r="AB1047" i="1"/>
  <c r="AG1169" i="1"/>
  <c r="AC1169" i="1"/>
  <c r="AB1169" i="1"/>
  <c r="AG718" i="1"/>
  <c r="AC718" i="1"/>
  <c r="AB718" i="1"/>
  <c r="AG709" i="1"/>
  <c r="AC709" i="1"/>
  <c r="AB709" i="1"/>
  <c r="AG891" i="1"/>
  <c r="AC891" i="1"/>
  <c r="AB891" i="1"/>
  <c r="AG1067" i="1"/>
  <c r="AC1067" i="1"/>
  <c r="AB1067" i="1"/>
  <c r="AG1223" i="1"/>
  <c r="AC1223" i="1"/>
  <c r="AB1223" i="1"/>
  <c r="AG433" i="1"/>
  <c r="AC433" i="1"/>
  <c r="AB433" i="1"/>
  <c r="AG521" i="1"/>
  <c r="AC521" i="1"/>
  <c r="AB521" i="1"/>
  <c r="AG690" i="1"/>
  <c r="AC690" i="1"/>
  <c r="AB690" i="1"/>
  <c r="AG980" i="1"/>
  <c r="AC980" i="1"/>
  <c r="AB980" i="1"/>
  <c r="AG529" i="1"/>
  <c r="AC529" i="1"/>
  <c r="AB529" i="1"/>
  <c r="AG606" i="1"/>
  <c r="AC606" i="1"/>
  <c r="AB606" i="1"/>
  <c r="AG452" i="1"/>
  <c r="AC452" i="1"/>
  <c r="AB452" i="1"/>
  <c r="AG453" i="1"/>
  <c r="AC453" i="1"/>
  <c r="AB453" i="1"/>
  <c r="AG558" i="1"/>
  <c r="AC558" i="1"/>
  <c r="AB558" i="1"/>
  <c r="AG732" i="1"/>
  <c r="AC732" i="1"/>
  <c r="AB732" i="1"/>
  <c r="AG479" i="1"/>
  <c r="AC479" i="1"/>
  <c r="AB479" i="1"/>
  <c r="AG522" i="1"/>
  <c r="AC522" i="1"/>
  <c r="AB522" i="1"/>
  <c r="AG1519" i="1"/>
  <c r="AC1519" i="1"/>
  <c r="AB1519" i="1"/>
  <c r="AG1423" i="1"/>
  <c r="AC1423" i="1"/>
  <c r="AB1423" i="1"/>
  <c r="AG1362" i="1"/>
  <c r="AC1362" i="1"/>
  <c r="AB1362" i="1"/>
  <c r="AG368" i="1"/>
  <c r="AC368" i="1"/>
  <c r="AB368" i="1"/>
  <c r="AG451" i="1"/>
  <c r="AC451" i="1"/>
  <c r="AB451" i="1"/>
  <c r="AG609" i="1"/>
  <c r="AC609" i="1"/>
  <c r="AB609" i="1"/>
  <c r="AG639" i="1"/>
  <c r="AC639" i="1"/>
  <c r="AB639" i="1"/>
  <c r="AG376" i="1"/>
  <c r="AC376" i="1"/>
  <c r="AB376" i="1"/>
  <c r="AG927" i="1"/>
  <c r="AC927" i="1"/>
  <c r="AB927" i="1"/>
  <c r="AG1082" i="1"/>
  <c r="AC1082" i="1"/>
  <c r="AB1082" i="1"/>
  <c r="AG809" i="1"/>
  <c r="AC809" i="1"/>
  <c r="AB809" i="1"/>
  <c r="AG808" i="1"/>
  <c r="AC808" i="1"/>
  <c r="AB808" i="1"/>
  <c r="AG1045" i="1"/>
  <c r="AC1045" i="1"/>
  <c r="AB1045" i="1"/>
  <c r="AG1099" i="1"/>
  <c r="AC1099" i="1"/>
  <c r="AB1099" i="1"/>
  <c r="AG846" i="1"/>
  <c r="AC846" i="1"/>
  <c r="AB846" i="1"/>
  <c r="AG922" i="1"/>
  <c r="AC922" i="1"/>
  <c r="AB922" i="1"/>
  <c r="AG1546" i="1"/>
  <c r="AC1546" i="1"/>
  <c r="AB1546" i="1"/>
  <c r="AG1502" i="1"/>
  <c r="AC1502" i="1"/>
  <c r="AB1502" i="1"/>
  <c r="AG1463" i="1"/>
  <c r="AC1463" i="1"/>
  <c r="AB1463" i="1"/>
  <c r="AG567" i="1"/>
  <c r="AC567" i="1"/>
  <c r="AB567" i="1"/>
  <c r="AG933" i="1"/>
  <c r="AC933" i="1"/>
  <c r="AB933" i="1"/>
  <c r="AG1001" i="1"/>
  <c r="AC1001" i="1"/>
  <c r="AB1001" i="1"/>
  <c r="AG1135" i="1"/>
  <c r="AC1135" i="1"/>
  <c r="AB1135" i="1"/>
  <c r="AG662" i="1"/>
  <c r="AC662" i="1"/>
  <c r="AB662" i="1"/>
  <c r="AC959" i="1"/>
  <c r="AB959" i="1"/>
  <c r="AC1049" i="1"/>
  <c r="AB1049" i="1"/>
  <c r="AC1170" i="1"/>
  <c r="AB1170" i="1"/>
  <c r="AC1251" i="1"/>
  <c r="AB1251" i="1"/>
  <c r="AC607" i="1"/>
  <c r="AB607" i="1"/>
  <c r="AC687" i="1"/>
  <c r="AB687" i="1"/>
  <c r="AC861" i="1"/>
  <c r="AB861" i="1"/>
  <c r="AC1044" i="1"/>
  <c r="AB1044" i="1"/>
  <c r="AC484" i="1"/>
  <c r="AB484" i="1"/>
  <c r="AC590" i="1"/>
  <c r="AB590" i="1"/>
  <c r="AC401" i="1"/>
  <c r="AB401" i="1"/>
  <c r="AC400" i="1"/>
  <c r="AB400" i="1"/>
  <c r="AC556" i="1"/>
  <c r="AB556" i="1"/>
  <c r="AC637" i="1"/>
  <c r="AB637" i="1"/>
  <c r="AC411" i="1"/>
  <c r="AB411" i="1"/>
  <c r="AC475" i="1"/>
  <c r="AB475" i="1"/>
  <c r="AC1510" i="1"/>
  <c r="AB1510" i="1"/>
  <c r="AC1419" i="1"/>
  <c r="AB1419" i="1"/>
  <c r="AC1347" i="1"/>
  <c r="AB1347" i="1"/>
  <c r="AC366" i="1"/>
  <c r="AB366" i="1"/>
  <c r="AC459" i="1"/>
  <c r="AB459" i="1"/>
  <c r="AC514" i="1"/>
  <c r="AB514" i="1"/>
  <c r="AC642" i="1"/>
  <c r="AB642" i="1"/>
  <c r="AC379" i="1"/>
  <c r="AB379" i="1"/>
  <c r="AG624" i="1"/>
  <c r="AC624" i="1"/>
  <c r="AB624" i="1"/>
  <c r="AG741" i="1"/>
  <c r="AC741" i="1"/>
  <c r="AB741" i="1"/>
  <c r="AG477" i="1"/>
  <c r="AC477" i="1"/>
  <c r="AB477" i="1"/>
  <c r="AG478" i="1"/>
  <c r="AC478" i="1"/>
  <c r="AB478" i="1"/>
  <c r="AG699" i="1"/>
  <c r="AC699" i="1"/>
  <c r="AB699" i="1"/>
  <c r="AG812" i="1"/>
  <c r="AC812" i="1"/>
  <c r="AB812" i="1"/>
  <c r="AG524" i="1"/>
  <c r="AC524" i="1"/>
  <c r="AB524" i="1"/>
  <c r="AG613" i="1"/>
  <c r="AC613" i="1"/>
  <c r="AB613" i="1"/>
  <c r="AG1529" i="1"/>
  <c r="AC1529" i="1"/>
  <c r="AB1529" i="1"/>
  <c r="AG1456" i="1"/>
  <c r="AC1456" i="1"/>
  <c r="AB1456" i="1"/>
  <c r="AG1397" i="1"/>
  <c r="AC1397" i="1"/>
  <c r="AB1397" i="1"/>
  <c r="AG386" i="1"/>
  <c r="AC386" i="1"/>
  <c r="AB386" i="1"/>
  <c r="AG583" i="1"/>
  <c r="AC583" i="1"/>
  <c r="AB583" i="1"/>
  <c r="AG656" i="1"/>
  <c r="AC656" i="1"/>
  <c r="AB656" i="1"/>
  <c r="AG816" i="1"/>
  <c r="AC816" i="1"/>
  <c r="AB816" i="1"/>
  <c r="AG404" i="1"/>
  <c r="AC404" i="1"/>
  <c r="AB404" i="1"/>
  <c r="AG722" i="1"/>
  <c r="AC722" i="1"/>
  <c r="AB722" i="1"/>
  <c r="AG897" i="1"/>
  <c r="AC897" i="1"/>
  <c r="AB897" i="1"/>
  <c r="AG1074" i="1"/>
  <c r="AC1074" i="1"/>
  <c r="AB1074" i="1"/>
  <c r="AG1231" i="1"/>
  <c r="AC1231" i="1"/>
  <c r="AB1231" i="1"/>
  <c r="AG446" i="1"/>
  <c r="AC446" i="1"/>
  <c r="AB446" i="1"/>
  <c r="AG531" i="1"/>
  <c r="AC531" i="1"/>
  <c r="AB531" i="1"/>
  <c r="AG705" i="1"/>
  <c r="AC705" i="1"/>
  <c r="AB705" i="1"/>
  <c r="AG991" i="1"/>
  <c r="AC991" i="1"/>
  <c r="AB991" i="1"/>
  <c r="AG559" i="1"/>
  <c r="AC559" i="1"/>
  <c r="AB559" i="1"/>
  <c r="AG647" i="1"/>
  <c r="AC647" i="1"/>
  <c r="AB647" i="1"/>
  <c r="AG467" i="1"/>
  <c r="AC467" i="1"/>
  <c r="AB467" i="1"/>
  <c r="AG466" i="1"/>
  <c r="AC466" i="1"/>
  <c r="AB466" i="1"/>
  <c r="AG586" i="1"/>
  <c r="AC586" i="1"/>
  <c r="AB586" i="1"/>
  <c r="AG736" i="1"/>
  <c r="AC736" i="1"/>
  <c r="AB736" i="1"/>
  <c r="AG503" i="1"/>
  <c r="AC503" i="1"/>
  <c r="AB503" i="1"/>
  <c r="AG554" i="1"/>
  <c r="AC554" i="1"/>
  <c r="AB554" i="1"/>
  <c r="AG1522" i="1"/>
  <c r="AC1522" i="1"/>
  <c r="AB1522" i="1"/>
  <c r="AG1412" i="1"/>
  <c r="AC1412" i="1"/>
  <c r="AB1412" i="1"/>
  <c r="AG1366" i="1"/>
  <c r="AC1366" i="1"/>
  <c r="AB1366" i="1"/>
  <c r="AG372" i="1"/>
  <c r="AC372" i="1"/>
  <c r="AB372" i="1"/>
  <c r="AG474" i="1"/>
  <c r="AC474" i="1"/>
  <c r="AB474" i="1"/>
  <c r="AG640" i="1"/>
  <c r="AC640" i="1"/>
  <c r="AB640" i="1"/>
  <c r="AG675" i="1"/>
  <c r="AC675" i="1"/>
  <c r="AB675" i="1"/>
  <c r="AG381" i="1"/>
  <c r="AC381" i="1"/>
  <c r="AB381" i="1"/>
  <c r="AG721" i="1"/>
  <c r="AC721" i="1"/>
  <c r="AB721" i="1"/>
  <c r="AG896" i="1"/>
  <c r="AC896" i="1"/>
  <c r="AB896" i="1"/>
  <c r="AG1073" i="1"/>
  <c r="AC1073" i="1"/>
  <c r="AB1073" i="1"/>
  <c r="AG1230" i="1"/>
  <c r="AC1230" i="1"/>
  <c r="AB1230" i="1"/>
  <c r="AG445" i="1"/>
  <c r="AC445" i="1"/>
  <c r="AB445" i="1"/>
  <c r="AG530" i="1"/>
  <c r="AC530" i="1"/>
  <c r="AB530" i="1"/>
  <c r="AG704" i="1"/>
  <c r="AC704" i="1"/>
  <c r="AB704" i="1"/>
  <c r="AG990" i="1"/>
  <c r="AC990" i="1"/>
  <c r="AB990" i="1"/>
  <c r="AG528" i="1"/>
  <c r="AC528" i="1"/>
  <c r="AB528" i="1"/>
  <c r="AG592" i="1"/>
  <c r="AC592" i="1"/>
  <c r="AB592" i="1"/>
  <c r="AG449" i="1"/>
  <c r="AC449" i="1"/>
  <c r="AB449" i="1"/>
  <c r="AG450" i="1"/>
  <c r="AC450" i="1"/>
  <c r="AB450" i="1"/>
  <c r="AG555" i="1"/>
  <c r="AC555" i="1"/>
  <c r="AB555" i="1"/>
  <c r="AG735" i="1"/>
  <c r="AC735" i="1"/>
  <c r="AB735" i="1"/>
  <c r="AG473" i="1"/>
  <c r="AC473" i="1"/>
  <c r="AB473" i="1"/>
  <c r="AG527" i="1"/>
  <c r="AC527" i="1"/>
  <c r="AB527" i="1"/>
  <c r="AG1520" i="1"/>
  <c r="AC1520" i="1"/>
  <c r="AB1520" i="1"/>
  <c r="AG1421" i="1"/>
  <c r="AC1421" i="1"/>
  <c r="AB1421" i="1"/>
  <c r="AG1352" i="1"/>
  <c r="AC1352" i="1"/>
  <c r="AB1352" i="1"/>
  <c r="AG367" i="1"/>
  <c r="AC367" i="1"/>
  <c r="AB367" i="1"/>
  <c r="AG444" i="1"/>
  <c r="AC444" i="1"/>
  <c r="AB444" i="1"/>
  <c r="AG605" i="1"/>
  <c r="AC605" i="1"/>
  <c r="AB605" i="1"/>
  <c r="AG617" i="1"/>
  <c r="AC617" i="1"/>
  <c r="AB617" i="1"/>
  <c r="AG373" i="1"/>
  <c r="AC373" i="1"/>
  <c r="AB373" i="1"/>
  <c r="AG1364" i="1"/>
  <c r="AC1364" i="1"/>
  <c r="AB1364" i="1"/>
  <c r="AG1402" i="1"/>
  <c r="AC1402" i="1"/>
  <c r="AB1402" i="1"/>
  <c r="AG1436" i="1"/>
  <c r="AC1436" i="1"/>
  <c r="AB1436" i="1"/>
  <c r="AG1478" i="1"/>
  <c r="AC1478" i="1"/>
  <c r="AB1478" i="1"/>
  <c r="AG1266" i="1"/>
  <c r="AC1266" i="1"/>
  <c r="AB1266" i="1"/>
  <c r="AG1314" i="1"/>
  <c r="AC1314" i="1"/>
  <c r="AB1314" i="1"/>
  <c r="AG1344" i="1"/>
  <c r="AC1344" i="1"/>
  <c r="AB1344" i="1"/>
  <c r="AG1399" i="1"/>
  <c r="AC1399" i="1"/>
  <c r="AB1399" i="1"/>
  <c r="AG843" i="1"/>
  <c r="AC843" i="1"/>
  <c r="AB843" i="1"/>
  <c r="AG1006" i="1"/>
  <c r="AC1006" i="1"/>
  <c r="AB1006" i="1"/>
  <c r="AG714" i="1"/>
  <c r="AC714" i="1"/>
  <c r="AB714" i="1"/>
  <c r="AG713" i="1"/>
  <c r="AC713" i="1"/>
  <c r="AB713" i="1"/>
  <c r="AG977" i="1"/>
  <c r="AC977" i="1"/>
  <c r="AB977" i="1"/>
  <c r="AG1022" i="1"/>
  <c r="AC1022" i="1"/>
  <c r="AB1022" i="1"/>
  <c r="AG784" i="1"/>
  <c r="AC784" i="1"/>
  <c r="AB784" i="1"/>
  <c r="AG839" i="1"/>
  <c r="AC839" i="1"/>
  <c r="AB839" i="1"/>
  <c r="AG1541" i="1"/>
  <c r="AC1541" i="1"/>
  <c r="AB1541" i="1"/>
  <c r="AG1496" i="1"/>
  <c r="AC1496" i="1"/>
  <c r="AB1496" i="1"/>
  <c r="AG1445" i="1"/>
  <c r="AC1445" i="1"/>
  <c r="AB1445" i="1"/>
  <c r="AG512" i="1"/>
  <c r="AC512" i="1"/>
  <c r="AB512" i="1"/>
  <c r="AG860" i="1"/>
  <c r="AC860" i="1"/>
  <c r="AB860" i="1"/>
  <c r="AG949" i="1"/>
  <c r="AC949" i="1"/>
  <c r="AB949" i="1"/>
  <c r="AG1075" i="1"/>
  <c r="AC1075" i="1"/>
  <c r="AB1075" i="1"/>
  <c r="AG598" i="1"/>
  <c r="AC598" i="1"/>
  <c r="AB598" i="1"/>
  <c r="AG1393" i="1"/>
  <c r="AC1393" i="1"/>
  <c r="AB1393" i="1"/>
  <c r="AG1427" i="1"/>
  <c r="AC1427" i="1"/>
  <c r="AB1427" i="1"/>
  <c r="AG1462" i="1"/>
  <c r="AC1462" i="1"/>
  <c r="AB1462" i="1"/>
  <c r="AG1498" i="1"/>
  <c r="AC1498" i="1"/>
  <c r="AB1498" i="1"/>
  <c r="AG1306" i="1"/>
  <c r="AC1306" i="1"/>
  <c r="AB1306" i="1"/>
  <c r="AG1337" i="1"/>
  <c r="AC1337" i="1"/>
  <c r="AB1337" i="1"/>
  <c r="AG1374" i="1"/>
  <c r="AC1374" i="1"/>
  <c r="AB1374" i="1"/>
  <c r="AG1426" i="1"/>
  <c r="AC1426" i="1"/>
  <c r="AB1426" i="1"/>
  <c r="AG853" i="1"/>
  <c r="AC853" i="1"/>
  <c r="AB853" i="1"/>
  <c r="AG1000" i="1"/>
  <c r="AC1000" i="1"/>
  <c r="AB1000" i="1"/>
  <c r="AG683" i="1"/>
  <c r="AC683" i="1"/>
  <c r="AB683" i="1"/>
  <c r="AG684" i="1"/>
  <c r="AC684" i="1"/>
  <c r="AB684" i="1"/>
  <c r="AG982" i="1"/>
  <c r="AC982" i="1"/>
  <c r="AB982" i="1"/>
  <c r="AG1027" i="1"/>
  <c r="AC1027" i="1"/>
  <c r="AB1027" i="1"/>
  <c r="AG740" i="1"/>
  <c r="AC740" i="1"/>
  <c r="AB740" i="1"/>
  <c r="AG849" i="1"/>
  <c r="AC849" i="1"/>
  <c r="AB849" i="1"/>
  <c r="AG1539" i="1"/>
  <c r="AC1539" i="1"/>
  <c r="AB1539" i="1"/>
  <c r="AG1494" i="1"/>
  <c r="AC1494" i="1"/>
  <c r="AB1494" i="1"/>
  <c r="AG1442" i="1"/>
  <c r="AC1442" i="1"/>
  <c r="AB1442" i="1"/>
  <c r="AG516" i="1"/>
  <c r="AC516" i="1"/>
  <c r="AB516" i="1"/>
  <c r="AG865" i="1"/>
  <c r="AC865" i="1"/>
  <c r="AB865" i="1"/>
  <c r="AG918" i="1"/>
  <c r="AC918" i="1"/>
  <c r="AB918" i="1"/>
  <c r="AG1085" i="1"/>
  <c r="AC1085" i="1"/>
  <c r="AB1085" i="1"/>
  <c r="AG600" i="1"/>
  <c r="AC600" i="1"/>
  <c r="AB600" i="1"/>
  <c r="AG1243" i="1"/>
  <c r="AC1243" i="1"/>
  <c r="AB1243" i="1"/>
  <c r="AG1280" i="1"/>
  <c r="AC1280" i="1"/>
  <c r="AB1280" i="1"/>
  <c r="AG1330" i="1"/>
  <c r="AC1330" i="1"/>
  <c r="AB1330" i="1"/>
  <c r="AG1386" i="1"/>
  <c r="AC1386" i="1"/>
  <c r="AB1386" i="1"/>
  <c r="AG1063" i="1"/>
  <c r="AC1063" i="1"/>
  <c r="AB1063" i="1"/>
  <c r="AG1148" i="1"/>
  <c r="AC1148" i="1"/>
  <c r="AB1148" i="1"/>
  <c r="AG1212" i="1"/>
  <c r="AC1212" i="1"/>
  <c r="AB1212" i="1"/>
  <c r="AG1279" i="1"/>
  <c r="AC1279" i="1"/>
  <c r="AB1279" i="1"/>
  <c r="AG550" i="1"/>
  <c r="AC550" i="1"/>
  <c r="AB550" i="1"/>
  <c r="AG653" i="1"/>
  <c r="AC653" i="1"/>
  <c r="AB653" i="1"/>
  <c r="AG464" i="1"/>
  <c r="AC464" i="1"/>
  <c r="AB464" i="1"/>
  <c r="AG463" i="1"/>
  <c r="AC463" i="1"/>
  <c r="AB463" i="1"/>
  <c r="AG584" i="1"/>
  <c r="AC584" i="1"/>
  <c r="AB584" i="1"/>
  <c r="AG725" i="1"/>
  <c r="AC725" i="1"/>
  <c r="AB725" i="1"/>
  <c r="AG494" i="1"/>
  <c r="AC494" i="1"/>
  <c r="AB494" i="1"/>
  <c r="AG546" i="1"/>
  <c r="AC546" i="1"/>
  <c r="AB546" i="1"/>
  <c r="AG1516" i="1"/>
  <c r="AC1516" i="1"/>
  <c r="AB1516" i="1"/>
  <c r="AG1425" i="1"/>
  <c r="AC1425" i="1"/>
  <c r="AB1425" i="1"/>
  <c r="AG1363" i="1"/>
  <c r="AC1363" i="1"/>
  <c r="AB1363" i="1"/>
  <c r="AG375" i="1"/>
  <c r="AC375" i="1"/>
  <c r="AB375" i="1"/>
  <c r="AG476" i="1"/>
  <c r="AC476" i="1"/>
  <c r="AB476" i="1"/>
  <c r="AG635" i="1"/>
  <c r="AC635" i="1"/>
  <c r="AB635" i="1"/>
  <c r="AG664" i="1"/>
  <c r="AC664" i="1"/>
  <c r="AB664" i="1"/>
  <c r="AG382" i="1"/>
  <c r="AC382" i="1"/>
  <c r="AB382" i="1"/>
  <c r="AG1303" i="1"/>
  <c r="AC1303" i="1"/>
  <c r="AB1303" i="1"/>
  <c r="AG1333" i="1"/>
  <c r="AC1333" i="1"/>
  <c r="AB1333" i="1"/>
  <c r="AG1373" i="1"/>
  <c r="AC1373" i="1"/>
  <c r="AB1373" i="1"/>
  <c r="AG1428" i="1"/>
  <c r="AC1428" i="1"/>
  <c r="AB1428" i="1"/>
  <c r="AG1187" i="1"/>
  <c r="AC1187" i="1"/>
  <c r="AB1187" i="1"/>
  <c r="AG1219" i="1"/>
  <c r="AC1219" i="1"/>
  <c r="AB1219" i="1"/>
  <c r="AG1270" i="1"/>
  <c r="AC1270" i="1"/>
  <c r="AB1270" i="1"/>
  <c r="AG1331" i="1"/>
  <c r="AC1331" i="1"/>
  <c r="AB1331" i="1"/>
  <c r="AG604" i="1"/>
  <c r="AC604" i="1"/>
  <c r="AB604" i="1"/>
  <c r="AG788" i="1"/>
  <c r="AC788" i="1"/>
  <c r="AB788" i="1"/>
  <c r="AG507" i="1"/>
  <c r="AC507" i="1"/>
  <c r="AB507" i="1"/>
  <c r="AG508" i="1"/>
  <c r="AC508" i="1"/>
  <c r="AB508" i="1"/>
  <c r="AG737" i="1"/>
  <c r="AC737" i="1"/>
  <c r="AB737" i="1"/>
  <c r="AG807" i="1"/>
  <c r="AC807" i="1"/>
  <c r="AB807" i="1"/>
  <c r="AG548" i="1"/>
  <c r="AC548" i="1"/>
  <c r="AB548" i="1"/>
  <c r="AG601" i="1"/>
  <c r="AC601" i="1"/>
  <c r="AB601" i="1"/>
  <c r="AG1528" i="1"/>
  <c r="AC1528" i="1"/>
  <c r="AB1528" i="1"/>
  <c r="AG1454" i="1"/>
  <c r="AC1454" i="1"/>
  <c r="AB1454" i="1"/>
  <c r="AG1394" i="1"/>
  <c r="AC1394" i="1"/>
  <c r="AB1394" i="1"/>
  <c r="AG389" i="1"/>
  <c r="AC389" i="1"/>
  <c r="AB389" i="1"/>
  <c r="AG608" i="1"/>
  <c r="AC608" i="1"/>
  <c r="AB608" i="1"/>
  <c r="AG685" i="1"/>
  <c r="AC685" i="1"/>
  <c r="AB685" i="1"/>
  <c r="AG850" i="1"/>
  <c r="AC850" i="1"/>
  <c r="AB850" i="1"/>
  <c r="AG409" i="1"/>
  <c r="AC409" i="1"/>
  <c r="AB409" i="1"/>
  <c r="AG1387" i="1"/>
  <c r="AC1387" i="1"/>
  <c r="AB1387" i="1"/>
  <c r="AG1414" i="1"/>
  <c r="AC1414" i="1"/>
  <c r="AB1414" i="1"/>
  <c r="AG1452" i="1"/>
  <c r="AC1452" i="1"/>
  <c r="AB1452" i="1"/>
  <c r="AG1487" i="1"/>
  <c r="AC1487" i="1"/>
  <c r="AB1487" i="1"/>
  <c r="AG1288" i="1"/>
  <c r="AC1288" i="1"/>
  <c r="AB1288" i="1"/>
  <c r="AG1329" i="1"/>
  <c r="AC1329" i="1"/>
  <c r="AB1329" i="1"/>
  <c r="AG1361" i="1"/>
  <c r="AC1361" i="1"/>
  <c r="AB1361" i="1"/>
  <c r="AG1413" i="1"/>
  <c r="AC1413" i="1"/>
  <c r="AB1413" i="1"/>
  <c r="AG716" i="1"/>
  <c r="AC716" i="1"/>
  <c r="AB716" i="1"/>
  <c r="AG894" i="1"/>
  <c r="AC894" i="1"/>
  <c r="AB894" i="1"/>
  <c r="AG562" i="1"/>
  <c r="AC562" i="1"/>
  <c r="AB562" i="1"/>
  <c r="AG561" i="1"/>
  <c r="AC561" i="1"/>
  <c r="AB561" i="1"/>
  <c r="AG886" i="1"/>
  <c r="AC886" i="1"/>
  <c r="AB886" i="1"/>
  <c r="AG909" i="1"/>
  <c r="AC909" i="1"/>
  <c r="AB909" i="1"/>
  <c r="AG627" i="1"/>
  <c r="AC627" i="1"/>
  <c r="AB627" i="1"/>
  <c r="AG711" i="1"/>
  <c r="AC711" i="1"/>
  <c r="AB711" i="1"/>
  <c r="AG1533" i="1"/>
  <c r="AC1533" i="1"/>
  <c r="AB1533" i="1"/>
  <c r="AG1469" i="1"/>
  <c r="AC1469" i="1"/>
  <c r="AB1469" i="1"/>
  <c r="AG1417" i="1"/>
  <c r="AC1417" i="1"/>
  <c r="AB1417" i="1"/>
  <c r="AG435" i="1"/>
  <c r="AC435" i="1"/>
  <c r="AB435" i="1"/>
  <c r="AG729" i="1"/>
  <c r="AC729" i="1"/>
  <c r="AB729" i="1"/>
  <c r="AG782" i="1"/>
  <c r="AC782" i="1"/>
  <c r="AB782" i="1"/>
  <c r="AG966" i="1"/>
  <c r="AC966" i="1"/>
  <c r="AB966" i="1"/>
  <c r="AG492" i="1"/>
  <c r="AC492" i="1"/>
  <c r="AB492" i="1"/>
  <c r="AG1367" i="1"/>
  <c r="AC1367" i="1"/>
  <c r="AB1367" i="1"/>
  <c r="AG1407" i="1"/>
  <c r="AC1407" i="1"/>
  <c r="AB1407" i="1"/>
  <c r="AG1439" i="1"/>
  <c r="AC1439" i="1"/>
  <c r="AB1439" i="1"/>
  <c r="AG1480" i="1"/>
  <c r="AC1480" i="1"/>
  <c r="AB1480" i="1"/>
  <c r="AG1275" i="1"/>
  <c r="AC1275" i="1"/>
  <c r="AB1275" i="1"/>
  <c r="AG1317" i="1"/>
  <c r="AC1317" i="1"/>
  <c r="AB1317" i="1"/>
  <c r="AG1345" i="1"/>
  <c r="AC1345" i="1"/>
  <c r="AB1345" i="1"/>
  <c r="AG1404" i="1"/>
  <c r="AC1404" i="1"/>
  <c r="AB1404" i="1"/>
  <c r="AG715" i="1"/>
  <c r="AC715" i="1"/>
  <c r="AB715" i="1"/>
  <c r="AG895" i="1"/>
  <c r="AC895" i="1"/>
  <c r="AB895" i="1"/>
  <c r="AG563" i="1"/>
  <c r="AC563" i="1"/>
  <c r="AB563" i="1"/>
  <c r="AG560" i="1"/>
  <c r="AC560" i="1"/>
  <c r="AB560" i="1"/>
  <c r="AG885" i="1"/>
  <c r="AC885" i="1"/>
  <c r="AB885" i="1"/>
  <c r="AG908" i="1"/>
  <c r="AC908" i="1"/>
  <c r="AB908" i="1"/>
  <c r="AG628" i="1"/>
  <c r="AC628" i="1"/>
  <c r="AB628" i="1"/>
  <c r="AG710" i="1"/>
  <c r="AC710" i="1"/>
  <c r="AB710" i="1"/>
  <c r="AG1532" i="1"/>
  <c r="AC1532" i="1"/>
  <c r="AB1532" i="1"/>
  <c r="AG1470" i="1"/>
  <c r="AC1470" i="1"/>
  <c r="AB1470" i="1"/>
  <c r="AG1416" i="1"/>
  <c r="AC1416" i="1"/>
  <c r="AB1416" i="1"/>
  <c r="AG434" i="1"/>
  <c r="AC434" i="1"/>
  <c r="AB434" i="1"/>
  <c r="AG728" i="1"/>
  <c r="AC728" i="1"/>
  <c r="AB728" i="1"/>
  <c r="AG781" i="1"/>
  <c r="AC781" i="1"/>
  <c r="AB781" i="1"/>
  <c r="AG965" i="1"/>
  <c r="AC965" i="1"/>
  <c r="AB965" i="1"/>
  <c r="AG493" i="1"/>
  <c r="AC493" i="1"/>
  <c r="AB493" i="1"/>
  <c r="AG1325" i="1"/>
  <c r="AC1325" i="1"/>
  <c r="AB1325" i="1"/>
  <c r="AG1342" i="1"/>
  <c r="AC1342" i="1"/>
  <c r="AB1342" i="1"/>
  <c r="AG1388" i="1"/>
  <c r="AC1388" i="1"/>
  <c r="AB1388" i="1"/>
  <c r="AG1435" i="1"/>
  <c r="AC1435" i="1"/>
  <c r="AB1435" i="1"/>
  <c r="AG1204" i="1"/>
  <c r="AC1204" i="1"/>
  <c r="AB1204" i="1"/>
  <c r="AG1239" i="1"/>
  <c r="AC1239" i="1"/>
  <c r="AB1239" i="1"/>
  <c r="AG1283" i="1"/>
  <c r="AC1283" i="1"/>
  <c r="AB1283" i="1"/>
  <c r="AG1339" i="1"/>
  <c r="AC1339" i="1"/>
  <c r="AB1339" i="1"/>
  <c r="AG615" i="1"/>
  <c r="AC615" i="1"/>
  <c r="AB615" i="1"/>
  <c r="AG800" i="1"/>
  <c r="AC800" i="1"/>
  <c r="AB800" i="1"/>
  <c r="AG511" i="1"/>
  <c r="AC511" i="1"/>
  <c r="AB511" i="1"/>
  <c r="AG510" i="1"/>
  <c r="AC510" i="1"/>
  <c r="AB510" i="1"/>
  <c r="AG764" i="1"/>
  <c r="AC764" i="1"/>
  <c r="AB764" i="1"/>
  <c r="AG810" i="1"/>
  <c r="AC810" i="1"/>
  <c r="AB810" i="1"/>
  <c r="AG547" i="1"/>
  <c r="AC547" i="1"/>
  <c r="AB547" i="1"/>
  <c r="AG610" i="1"/>
  <c r="AC610" i="1"/>
  <c r="AB610" i="1"/>
  <c r="AG1527" i="1"/>
  <c r="AC1527" i="1"/>
  <c r="AB1527" i="1"/>
  <c r="AG1457" i="1"/>
  <c r="AC1457" i="1"/>
  <c r="AB1457" i="1"/>
  <c r="AG1396" i="1"/>
  <c r="AC1396" i="1"/>
  <c r="AB1396" i="1"/>
  <c r="AG393" i="1"/>
  <c r="AC393" i="1"/>
  <c r="AB393" i="1"/>
  <c r="AG629" i="1"/>
  <c r="AC629" i="1"/>
  <c r="AB629" i="1"/>
  <c r="AG686" i="1"/>
  <c r="AC686" i="1"/>
  <c r="AB686" i="1"/>
  <c r="AG864" i="1"/>
  <c r="AC864" i="1"/>
  <c r="AB864" i="1"/>
  <c r="AG414" i="1"/>
  <c r="AC414" i="1"/>
  <c r="AB414" i="1"/>
  <c r="AG352" i="1"/>
  <c r="AC352" i="1"/>
  <c r="AB352" i="1"/>
  <c r="AG355" i="1"/>
  <c r="AC355" i="1"/>
  <c r="AB355" i="1"/>
  <c r="AG347" i="1"/>
  <c r="AC347" i="1"/>
  <c r="AB347" i="1"/>
  <c r="AG348" i="1"/>
  <c r="AC348" i="1"/>
  <c r="AB348" i="1"/>
  <c r="AG354" i="1"/>
  <c r="AC354" i="1"/>
  <c r="AB354" i="1"/>
  <c r="AG356" i="1"/>
  <c r="AC356" i="1"/>
  <c r="AB356" i="1"/>
  <c r="AG349" i="1"/>
  <c r="AC349" i="1"/>
  <c r="AB349" i="1"/>
  <c r="AG350" i="1"/>
  <c r="AC350" i="1"/>
  <c r="AB350" i="1"/>
  <c r="AG360" i="1"/>
  <c r="AC360" i="1"/>
  <c r="AB360" i="1"/>
  <c r="AG359" i="1"/>
  <c r="AC359" i="1"/>
  <c r="AB359" i="1"/>
  <c r="AG358" i="1"/>
  <c r="AC358" i="1"/>
  <c r="AB358" i="1"/>
  <c r="AG345" i="1"/>
  <c r="AC345" i="1"/>
  <c r="AB345" i="1"/>
  <c r="AG351" i="1"/>
  <c r="AC351" i="1"/>
  <c r="AB351" i="1"/>
  <c r="AG353" i="1"/>
  <c r="AC353" i="1"/>
  <c r="AB353" i="1"/>
  <c r="AG357" i="1"/>
  <c r="AC357" i="1"/>
  <c r="AB357" i="1"/>
  <c r="AG346" i="1"/>
  <c r="AC346" i="1"/>
  <c r="AB346" i="1"/>
  <c r="AG335" i="1"/>
  <c r="AC335" i="1"/>
  <c r="AB335" i="1"/>
  <c r="AG337" i="1"/>
  <c r="AC337" i="1"/>
  <c r="AB337" i="1"/>
  <c r="AG338" i="1"/>
  <c r="AC338" i="1"/>
  <c r="AB338" i="1"/>
  <c r="AG341" i="1"/>
  <c r="AC341" i="1"/>
  <c r="AB341" i="1"/>
  <c r="AG330" i="1"/>
  <c r="AC330" i="1"/>
  <c r="AB330" i="1"/>
  <c r="AG332" i="1"/>
  <c r="AC332" i="1"/>
  <c r="AB332" i="1"/>
  <c r="AG333" i="1"/>
  <c r="AC333" i="1"/>
  <c r="AB333" i="1"/>
  <c r="AG336" i="1"/>
  <c r="AC336" i="1"/>
  <c r="AB336" i="1"/>
  <c r="AG322" i="1"/>
  <c r="AC322" i="1"/>
  <c r="AB322" i="1"/>
  <c r="AG326" i="1"/>
  <c r="AC326" i="1"/>
  <c r="AB326" i="1"/>
  <c r="AG319" i="1"/>
  <c r="AC319" i="1"/>
  <c r="AB319" i="1"/>
  <c r="AG318" i="1"/>
  <c r="AC318" i="1"/>
  <c r="AB318" i="1"/>
  <c r="AG325" i="1"/>
  <c r="AC325" i="1"/>
  <c r="AB325" i="1"/>
  <c r="AG327" i="1"/>
  <c r="AC327" i="1"/>
  <c r="AB327" i="1"/>
  <c r="AG320" i="1"/>
  <c r="AC320" i="1"/>
  <c r="AB320" i="1"/>
  <c r="AG321" i="1"/>
  <c r="AC321" i="1"/>
  <c r="AB321" i="1"/>
  <c r="AG344" i="1"/>
  <c r="AC344" i="1"/>
  <c r="AB344" i="1"/>
  <c r="AG343" i="1"/>
  <c r="AC343" i="1"/>
  <c r="AB343" i="1"/>
  <c r="AG340" i="1"/>
  <c r="AC340" i="1"/>
  <c r="AB340" i="1"/>
  <c r="AG316" i="1"/>
  <c r="AC316" i="1"/>
  <c r="AB316" i="1"/>
  <c r="AG323" i="1"/>
  <c r="AC323" i="1"/>
  <c r="AB323" i="1"/>
  <c r="AG324" i="1"/>
  <c r="AC324" i="1"/>
  <c r="AB324" i="1"/>
  <c r="AG328" i="1"/>
  <c r="AC328" i="1"/>
  <c r="AB328" i="1"/>
  <c r="AG317" i="1"/>
  <c r="AC317" i="1"/>
  <c r="AB317" i="1"/>
  <c r="AG289" i="1"/>
  <c r="AC289" i="1"/>
  <c r="AB289" i="1"/>
  <c r="AG292" i="1"/>
  <c r="AC292" i="1"/>
  <c r="AB292" i="1"/>
  <c r="AG293" i="1"/>
  <c r="AC293" i="1"/>
  <c r="AB293" i="1"/>
  <c r="AG299" i="1"/>
  <c r="AC299" i="1"/>
  <c r="AB299" i="1"/>
  <c r="AG282" i="1"/>
  <c r="AC282" i="1"/>
  <c r="AB282" i="1"/>
  <c r="AG285" i="1"/>
  <c r="AC285" i="1"/>
  <c r="AB285" i="1"/>
  <c r="AG288" i="1"/>
  <c r="AC288" i="1"/>
  <c r="AB288" i="1"/>
  <c r="AG291" i="1"/>
  <c r="AC291" i="1"/>
  <c r="AB291" i="1"/>
  <c r="AG270" i="1"/>
  <c r="AC270" i="1"/>
  <c r="AB270" i="1"/>
  <c r="AG273" i="1"/>
  <c r="AC273" i="1"/>
  <c r="AB273" i="1"/>
  <c r="AG263" i="1"/>
  <c r="AC263" i="1"/>
  <c r="AB263" i="1"/>
  <c r="AG262" i="1"/>
  <c r="AC262" i="1"/>
  <c r="AB262" i="1"/>
  <c r="AG272" i="1"/>
  <c r="AC272" i="1"/>
  <c r="AB272" i="1"/>
  <c r="AG279" i="1"/>
  <c r="AC279" i="1"/>
  <c r="AB279" i="1"/>
  <c r="AG264" i="1"/>
  <c r="AC264" i="1"/>
  <c r="AB264" i="1"/>
  <c r="AG269" i="1"/>
  <c r="AC269" i="1"/>
  <c r="AB269" i="1"/>
  <c r="AG314" i="1"/>
  <c r="AC314" i="1"/>
  <c r="AB314" i="1"/>
  <c r="AG309" i="1"/>
  <c r="AC309" i="1"/>
  <c r="AB309" i="1"/>
  <c r="AG304" i="1"/>
  <c r="AC304" i="1"/>
  <c r="AB304" i="1"/>
  <c r="AG258" i="1"/>
  <c r="AC258" i="1"/>
  <c r="AB258" i="1"/>
  <c r="AG265" i="1"/>
  <c r="AC265" i="1"/>
  <c r="AB265" i="1"/>
  <c r="AG271" i="1"/>
  <c r="AC271" i="1"/>
  <c r="AB271" i="1"/>
  <c r="AG277" i="1"/>
  <c r="AC277" i="1"/>
  <c r="AB277" i="1"/>
  <c r="AG259" i="1"/>
  <c r="AC259" i="1"/>
  <c r="AB259" i="1"/>
  <c r="AG303" i="1"/>
  <c r="AC303" i="1"/>
  <c r="AB303" i="1"/>
  <c r="AG306" i="1"/>
  <c r="AC306" i="1"/>
  <c r="AB306" i="1"/>
  <c r="AG308" i="1"/>
  <c r="AC308" i="1"/>
  <c r="AB308" i="1"/>
  <c r="AG312" i="1"/>
  <c r="AC312" i="1"/>
  <c r="AB312" i="1"/>
  <c r="AG296" i="1"/>
  <c r="AC296" i="1"/>
  <c r="AB296" i="1"/>
  <c r="AG298" i="1"/>
  <c r="AC298" i="1"/>
  <c r="AB298" i="1"/>
  <c r="AG300" i="1"/>
  <c r="AC300" i="1"/>
  <c r="AB300" i="1"/>
  <c r="AG305" i="1"/>
  <c r="AC305" i="1"/>
  <c r="AB305" i="1"/>
  <c r="AG276" i="1"/>
  <c r="AC276" i="1"/>
  <c r="AB276" i="1"/>
  <c r="AG283" i="1"/>
  <c r="AC283" i="1"/>
  <c r="AB283" i="1"/>
  <c r="AG267" i="1"/>
  <c r="AC267" i="1"/>
  <c r="AB267" i="1"/>
  <c r="AG266" i="1"/>
  <c r="AC266" i="1"/>
  <c r="AB266" i="1"/>
  <c r="AG280" i="1"/>
  <c r="AC280" i="1"/>
  <c r="AB280" i="1"/>
  <c r="AG284" i="1"/>
  <c r="AC284" i="1"/>
  <c r="AB284" i="1"/>
  <c r="AG268" i="1"/>
  <c r="AC268" i="1"/>
  <c r="AB268" i="1"/>
  <c r="AG274" i="1"/>
  <c r="AC274" i="1"/>
  <c r="AB274" i="1"/>
  <c r="AG315" i="1"/>
  <c r="AC315" i="1"/>
  <c r="AB315" i="1"/>
  <c r="AG311" i="1"/>
  <c r="AC311" i="1"/>
  <c r="AB311" i="1"/>
  <c r="AG307" i="1"/>
  <c r="AC307" i="1"/>
  <c r="AB307" i="1"/>
  <c r="AG260" i="1"/>
  <c r="AC260" i="1"/>
  <c r="AB260" i="1"/>
  <c r="AG275" i="1"/>
  <c r="AC275" i="1"/>
  <c r="AB275" i="1"/>
  <c r="AG278" i="1"/>
  <c r="AC278" i="1"/>
  <c r="AB278" i="1"/>
  <c r="AG287" i="1"/>
  <c r="AC287" i="1"/>
  <c r="AB287" i="1"/>
  <c r="AG261" i="1"/>
  <c r="AC261" i="1"/>
  <c r="AB261" i="1"/>
  <c r="AG244" i="1"/>
  <c r="AC244" i="1"/>
  <c r="AB244" i="1"/>
  <c r="AG247" i="1"/>
  <c r="AC247" i="1"/>
  <c r="AB247" i="1"/>
  <c r="AG240" i="1"/>
  <c r="AC240" i="1"/>
  <c r="AB240" i="1"/>
  <c r="AG239" i="1"/>
  <c r="AC239" i="1"/>
  <c r="AB239" i="1"/>
  <c r="AG246" i="1"/>
  <c r="AC246" i="1"/>
  <c r="AB246" i="1"/>
  <c r="AG248" i="1"/>
  <c r="AC248" i="1"/>
  <c r="AB248" i="1"/>
  <c r="AG241" i="1"/>
  <c r="AC241" i="1"/>
  <c r="AB241" i="1"/>
  <c r="AG243" i="1"/>
  <c r="AC243" i="1"/>
  <c r="AB243" i="1"/>
  <c r="AG252" i="1"/>
  <c r="AC252" i="1"/>
  <c r="AB252" i="1"/>
  <c r="AG251" i="1"/>
  <c r="AC251" i="1"/>
  <c r="AB251" i="1"/>
  <c r="AG250" i="1"/>
  <c r="AC250" i="1"/>
  <c r="AB250" i="1"/>
  <c r="AG237" i="1"/>
  <c r="AC237" i="1"/>
  <c r="AB237" i="1"/>
  <c r="AG242" i="1"/>
  <c r="AC242" i="1"/>
  <c r="AB242" i="1"/>
  <c r="AG245" i="1"/>
  <c r="AC245" i="1"/>
  <c r="AB245" i="1"/>
  <c r="AG249" i="1"/>
  <c r="AC249" i="1"/>
  <c r="AB249" i="1"/>
  <c r="AG238" i="1"/>
  <c r="AC238" i="1"/>
  <c r="AB238" i="1"/>
  <c r="AG229" i="1"/>
  <c r="AC229" i="1"/>
  <c r="AB229" i="1"/>
  <c r="AG231" i="1"/>
  <c r="AC231" i="1"/>
  <c r="AB231" i="1"/>
  <c r="AG232" i="1"/>
  <c r="AC232" i="1"/>
  <c r="AB232" i="1"/>
  <c r="AG233" i="1"/>
  <c r="AC233" i="1"/>
  <c r="AB233" i="1"/>
  <c r="AG226" i="1"/>
  <c r="AC226" i="1"/>
  <c r="AB226" i="1"/>
  <c r="AG227" i="1"/>
  <c r="AC227" i="1"/>
  <c r="AB227" i="1"/>
  <c r="AG228" i="1"/>
  <c r="AC228" i="1"/>
  <c r="AB228" i="1"/>
  <c r="AG230" i="1"/>
  <c r="AC230" i="1"/>
  <c r="AB230" i="1"/>
  <c r="AG220" i="1"/>
  <c r="AC220" i="1"/>
  <c r="AB220" i="1"/>
  <c r="AG224" i="1"/>
  <c r="AC224" i="1"/>
  <c r="AB224" i="1"/>
  <c r="AG216" i="1"/>
  <c r="AC216" i="1"/>
  <c r="AB216" i="1"/>
  <c r="AG215" i="1"/>
  <c r="AC215" i="1"/>
  <c r="AB215" i="1"/>
  <c r="AG221" i="1"/>
  <c r="AC221" i="1"/>
  <c r="AB221" i="1"/>
  <c r="AG225" i="1"/>
  <c r="AC225" i="1"/>
  <c r="AB225" i="1"/>
  <c r="AG218" i="1"/>
  <c r="AC218" i="1"/>
  <c r="AB218" i="1"/>
  <c r="AG219" i="1"/>
  <c r="AC219" i="1"/>
  <c r="AB219" i="1"/>
  <c r="AG236" i="1"/>
  <c r="AC236" i="1"/>
  <c r="AB236" i="1"/>
  <c r="AG235" i="1"/>
  <c r="AC235" i="1"/>
  <c r="AB235" i="1"/>
  <c r="AG234" i="1"/>
  <c r="AC234" i="1"/>
  <c r="AB234" i="1"/>
  <c r="AG213" i="1"/>
  <c r="AC213" i="1"/>
  <c r="AB213" i="1"/>
  <c r="AG217" i="1"/>
  <c r="AC217" i="1"/>
  <c r="AB217" i="1"/>
  <c r="AG222" i="1"/>
  <c r="AC222" i="1"/>
  <c r="AB222" i="1"/>
  <c r="AG223" i="1"/>
  <c r="AC223" i="1"/>
  <c r="AB223" i="1"/>
  <c r="AG214" i="1"/>
  <c r="AC214" i="1"/>
  <c r="AB214" i="1"/>
  <c r="AG198" i="1"/>
  <c r="AC198" i="1"/>
  <c r="AB198" i="1"/>
  <c r="AG202" i="1"/>
  <c r="AC202" i="1"/>
  <c r="AB202" i="1"/>
  <c r="AG195" i="1"/>
  <c r="AC195" i="1"/>
  <c r="AB195" i="1"/>
  <c r="AG194" i="1"/>
  <c r="AC194" i="1"/>
  <c r="AB194" i="1"/>
  <c r="AG201" i="1"/>
  <c r="AC201" i="1"/>
  <c r="AB201" i="1"/>
  <c r="AG203" i="1"/>
  <c r="AC203" i="1"/>
  <c r="AB203" i="1"/>
  <c r="AG196" i="1"/>
  <c r="AC196" i="1"/>
  <c r="AB196" i="1"/>
  <c r="AG197" i="1"/>
  <c r="AC197" i="1"/>
  <c r="AB197" i="1"/>
  <c r="AG207" i="1"/>
  <c r="AC207" i="1"/>
  <c r="AB207" i="1"/>
  <c r="AG206" i="1"/>
  <c r="AC206" i="1"/>
  <c r="AB206" i="1"/>
  <c r="AG205" i="1"/>
  <c r="AC205" i="1"/>
  <c r="AB205" i="1"/>
  <c r="AG192" i="1"/>
  <c r="AC192" i="1"/>
  <c r="AB192" i="1"/>
  <c r="AG199" i="1"/>
  <c r="AC199" i="1"/>
  <c r="AB199" i="1"/>
  <c r="AG200" i="1"/>
  <c r="AC200" i="1"/>
  <c r="AB200" i="1"/>
  <c r="AG204" i="1"/>
  <c r="AC204" i="1"/>
  <c r="AB204" i="1"/>
  <c r="AG193" i="1"/>
  <c r="AC193" i="1"/>
  <c r="AB193" i="1"/>
  <c r="AG182" i="1"/>
  <c r="AC182" i="1"/>
  <c r="AB182" i="1"/>
  <c r="AG184" i="1"/>
  <c r="AC184" i="1"/>
  <c r="AB184" i="1"/>
  <c r="AG185" i="1"/>
  <c r="AC185" i="1"/>
  <c r="AB185" i="1"/>
  <c r="AG187" i="1"/>
  <c r="AC187" i="1"/>
  <c r="AB187" i="1"/>
  <c r="AG177" i="1"/>
  <c r="AC177" i="1"/>
  <c r="AB177" i="1"/>
  <c r="AG178" i="1"/>
  <c r="AC178" i="1"/>
  <c r="AB178" i="1"/>
  <c r="AG180" i="1"/>
  <c r="AC180" i="1"/>
  <c r="AB180" i="1"/>
  <c r="AG183" i="1"/>
  <c r="AC183" i="1"/>
  <c r="AB183" i="1"/>
  <c r="AG170" i="1"/>
  <c r="AC170" i="1"/>
  <c r="AB170" i="1"/>
  <c r="AG174" i="1"/>
  <c r="AC174" i="1"/>
  <c r="AB174" i="1"/>
  <c r="AG165" i="1"/>
  <c r="AC165" i="1"/>
  <c r="AB165" i="1"/>
  <c r="AG166" i="1"/>
  <c r="AC166" i="1"/>
  <c r="AB166" i="1"/>
  <c r="AG171" i="1"/>
  <c r="AC171" i="1"/>
  <c r="AB171" i="1"/>
  <c r="AG175" i="1"/>
  <c r="AC175" i="1"/>
  <c r="AB175" i="1"/>
  <c r="AG168" i="1"/>
  <c r="AC168" i="1"/>
  <c r="AB168" i="1"/>
  <c r="AG169" i="1"/>
  <c r="AC169" i="1"/>
  <c r="AB169" i="1"/>
  <c r="AG191" i="1"/>
  <c r="AC191" i="1"/>
  <c r="AB191" i="1"/>
  <c r="AG190" i="1"/>
  <c r="AC190" i="1"/>
  <c r="AB190" i="1"/>
  <c r="AG189" i="1"/>
  <c r="AC189" i="1"/>
  <c r="AB189" i="1"/>
  <c r="AG163" i="1"/>
  <c r="AC163" i="1"/>
  <c r="AB163" i="1"/>
  <c r="AG167" i="1"/>
  <c r="AC167" i="1"/>
  <c r="AB167" i="1"/>
  <c r="AG172" i="1"/>
  <c r="AC172" i="1"/>
  <c r="AB172" i="1"/>
  <c r="AG173" i="1"/>
  <c r="AC173" i="1"/>
  <c r="AB173" i="1"/>
  <c r="AG164" i="1"/>
  <c r="AC164" i="1"/>
  <c r="AB164" i="1"/>
  <c r="AG153" i="1"/>
  <c r="AC153" i="1"/>
  <c r="AB153" i="1"/>
  <c r="AG154" i="1"/>
  <c r="AC154" i="1"/>
  <c r="AB154" i="1"/>
  <c r="AG156" i="1"/>
  <c r="AC156" i="1"/>
  <c r="AB156" i="1"/>
  <c r="AG158" i="1"/>
  <c r="AC158" i="1"/>
  <c r="AB158" i="1"/>
  <c r="AG148" i="1"/>
  <c r="AC148" i="1"/>
  <c r="AB148" i="1"/>
  <c r="AG149" i="1"/>
  <c r="AC149" i="1"/>
  <c r="AB149" i="1"/>
  <c r="AG151" i="1"/>
  <c r="AC151" i="1"/>
  <c r="AB151" i="1"/>
  <c r="AG152" i="1"/>
  <c r="AC152" i="1"/>
  <c r="AB152" i="1"/>
  <c r="AG141" i="1"/>
  <c r="AC141" i="1"/>
  <c r="AB141" i="1"/>
  <c r="AG144" i="1"/>
  <c r="AC144" i="1"/>
  <c r="AB144" i="1"/>
  <c r="AG137" i="1"/>
  <c r="AC137" i="1"/>
  <c r="AB137" i="1"/>
  <c r="AG136" i="1"/>
  <c r="AC136" i="1"/>
  <c r="AB136" i="1"/>
  <c r="AG143" i="1"/>
  <c r="AC143" i="1"/>
  <c r="AB143" i="1"/>
  <c r="AG145" i="1"/>
  <c r="AC145" i="1"/>
  <c r="AB145" i="1"/>
  <c r="AG138" i="1"/>
  <c r="AC138" i="1"/>
  <c r="AB138" i="1"/>
  <c r="AG140" i="1"/>
  <c r="AC140" i="1"/>
  <c r="AB140" i="1"/>
  <c r="AG162" i="1"/>
  <c r="AC162" i="1"/>
  <c r="AB162" i="1"/>
  <c r="AG161" i="1"/>
  <c r="AC161" i="1"/>
  <c r="AB161" i="1"/>
  <c r="AG160" i="1"/>
  <c r="AC160" i="1"/>
  <c r="AB160" i="1"/>
  <c r="AG134" i="1"/>
  <c r="AC134" i="1"/>
  <c r="AB134" i="1"/>
  <c r="AG139" i="1"/>
  <c r="AC139" i="1"/>
  <c r="AB139" i="1"/>
  <c r="AG142" i="1"/>
  <c r="AC142" i="1"/>
  <c r="AB142" i="1"/>
  <c r="AG146" i="1"/>
  <c r="AC146" i="1"/>
  <c r="AB146" i="1"/>
  <c r="AG135" i="1"/>
  <c r="AC135" i="1"/>
  <c r="AB135" i="1"/>
  <c r="AG125" i="1"/>
  <c r="AC125" i="1"/>
  <c r="AB125" i="1"/>
  <c r="AG128" i="1"/>
  <c r="AC128" i="1"/>
  <c r="AB128" i="1"/>
  <c r="AG121" i="1"/>
  <c r="AC121" i="1"/>
  <c r="AB121" i="1"/>
  <c r="AG120" i="1"/>
  <c r="AC120" i="1"/>
  <c r="AB120" i="1"/>
  <c r="AG127" i="1"/>
  <c r="AC127" i="1"/>
  <c r="AB127" i="1"/>
  <c r="AG129" i="1"/>
  <c r="AC129" i="1"/>
  <c r="AB129" i="1"/>
  <c r="AG122" i="1"/>
  <c r="AC122" i="1"/>
  <c r="AB122" i="1"/>
  <c r="AG124" i="1"/>
  <c r="AC124" i="1"/>
  <c r="AB124" i="1"/>
  <c r="AG133" i="1"/>
  <c r="AC133" i="1"/>
  <c r="AB133" i="1"/>
  <c r="AG132" i="1"/>
  <c r="AC132" i="1"/>
  <c r="AB132" i="1"/>
  <c r="AG131" i="1"/>
  <c r="AC131" i="1"/>
  <c r="AB131" i="1"/>
  <c r="AG118" i="1"/>
  <c r="AC118" i="1"/>
  <c r="AB118" i="1"/>
  <c r="AG123" i="1"/>
  <c r="AC123" i="1"/>
  <c r="AB123" i="1"/>
  <c r="AG126" i="1"/>
  <c r="AC126" i="1"/>
  <c r="AB126" i="1"/>
  <c r="AG130" i="1"/>
  <c r="AC130" i="1"/>
  <c r="AB130" i="1"/>
  <c r="AG119" i="1"/>
  <c r="AC119" i="1"/>
  <c r="AB119" i="1"/>
  <c r="AC81" i="1"/>
  <c r="AB81" i="1"/>
  <c r="AC83" i="1"/>
  <c r="AB83" i="1"/>
  <c r="AC88" i="1"/>
  <c r="AB88" i="1"/>
  <c r="AC96" i="1"/>
  <c r="AB96" i="1"/>
  <c r="AC71" i="1"/>
  <c r="AB71" i="1"/>
  <c r="AC72" i="1"/>
  <c r="AB72" i="1"/>
  <c r="AC78" i="1"/>
  <c r="AB78" i="1"/>
  <c r="AC80" i="1"/>
  <c r="AB80" i="1"/>
  <c r="AC52" i="1"/>
  <c r="AB52" i="1"/>
  <c r="AC63" i="1"/>
  <c r="AB63" i="1"/>
  <c r="AC38" i="1"/>
  <c r="AB38" i="1"/>
  <c r="AC37" i="1"/>
  <c r="AB37" i="1"/>
  <c r="AC60" i="1"/>
  <c r="AB60" i="1"/>
  <c r="AC65" i="1"/>
  <c r="AB65" i="1"/>
  <c r="AC42" i="1"/>
  <c r="AB42" i="1"/>
  <c r="AC50" i="1"/>
  <c r="AB50" i="1"/>
  <c r="AC116" i="1"/>
  <c r="AB116" i="1"/>
  <c r="AC109" i="1"/>
  <c r="AB109" i="1"/>
  <c r="AC100" i="1"/>
  <c r="AB100" i="1"/>
  <c r="AC31" i="1"/>
  <c r="AB31" i="1"/>
  <c r="AC46" i="1"/>
  <c r="AB46" i="1"/>
  <c r="AC55" i="1"/>
  <c r="AB55" i="1"/>
  <c r="AC66" i="1"/>
  <c r="AB66" i="1"/>
  <c r="AC35" i="1"/>
  <c r="AB35" i="1"/>
  <c r="AG105" i="1"/>
  <c r="AC105" i="1"/>
  <c r="AB105" i="1"/>
  <c r="AG106" i="1"/>
  <c r="AC106" i="1"/>
  <c r="AB106" i="1"/>
  <c r="AG111" i="1"/>
  <c r="AC111" i="1"/>
  <c r="AB111" i="1"/>
  <c r="AG113" i="1"/>
  <c r="AC113" i="1"/>
  <c r="AB113" i="1"/>
  <c r="AG91" i="1"/>
  <c r="AC91" i="1"/>
  <c r="AB91" i="1"/>
  <c r="AG92" i="1"/>
  <c r="AC92" i="1"/>
  <c r="AB92" i="1"/>
  <c r="AG98" i="1"/>
  <c r="AC98" i="1"/>
  <c r="AB98" i="1"/>
  <c r="AG102" i="1"/>
  <c r="AC102" i="1"/>
  <c r="AB102" i="1"/>
  <c r="AG59" i="1"/>
  <c r="AC59" i="1"/>
  <c r="AB59" i="1"/>
  <c r="AG61" i="1"/>
  <c r="AC61" i="1"/>
  <c r="AB61" i="1"/>
  <c r="AG45" i="1"/>
  <c r="AC45" i="1"/>
  <c r="AB45" i="1"/>
  <c r="AG39" i="1"/>
  <c r="AC39" i="1"/>
  <c r="AB39" i="1"/>
  <c r="AG47" i="1"/>
  <c r="AC47" i="1"/>
  <c r="AB47" i="1"/>
  <c r="AG48" i="1"/>
  <c r="AC48" i="1"/>
  <c r="AB48" i="1"/>
  <c r="AG53" i="1"/>
  <c r="AC53" i="1"/>
  <c r="AB53" i="1"/>
  <c r="AG57" i="1"/>
  <c r="AC57" i="1"/>
  <c r="AB57" i="1"/>
  <c r="AG115" i="1"/>
  <c r="AC115" i="1"/>
  <c r="AB115" i="1"/>
  <c r="AG108" i="1"/>
  <c r="AC108" i="1"/>
  <c r="AB108" i="1"/>
  <c r="AG97" i="1"/>
  <c r="AC97" i="1"/>
  <c r="AB97" i="1"/>
  <c r="AG32" i="1"/>
  <c r="AC32" i="1"/>
  <c r="AB32" i="1"/>
  <c r="AG40" i="1"/>
  <c r="AC40" i="1"/>
  <c r="AB40" i="1"/>
  <c r="AG41" i="1"/>
  <c r="AC41" i="1"/>
  <c r="AB41" i="1"/>
  <c r="AG58" i="1"/>
  <c r="AC58" i="1"/>
  <c r="AB58" i="1"/>
  <c r="AG34" i="1"/>
  <c r="AC34" i="1"/>
  <c r="AB34" i="1"/>
  <c r="AC85" i="1"/>
  <c r="AB85" i="1"/>
  <c r="AC87" i="1"/>
  <c r="AB87" i="1"/>
  <c r="AC89" i="1"/>
  <c r="AB89" i="1"/>
  <c r="AC99" i="1"/>
  <c r="AB99" i="1"/>
  <c r="AC74" i="1"/>
  <c r="AB74" i="1"/>
  <c r="AC75" i="1"/>
  <c r="AB75" i="1"/>
  <c r="AC79" i="1"/>
  <c r="AB79" i="1"/>
  <c r="AC82" i="1"/>
  <c r="AB82" i="1"/>
  <c r="AC56" i="1"/>
  <c r="AB56" i="1"/>
  <c r="AC68" i="1"/>
  <c r="AB68" i="1"/>
  <c r="AC44" i="1"/>
  <c r="AB44" i="1"/>
  <c r="AC43" i="1"/>
  <c r="AB43" i="1"/>
  <c r="AC62" i="1"/>
  <c r="AB62" i="1"/>
  <c r="AC69" i="1"/>
  <c r="AB69" i="1"/>
  <c r="AC51" i="1"/>
  <c r="AB51" i="1"/>
  <c r="AC54" i="1"/>
  <c r="AB54" i="1"/>
  <c r="AC117" i="1"/>
  <c r="AB117" i="1"/>
  <c r="AC110" i="1"/>
  <c r="AB110" i="1"/>
  <c r="AC101" i="1"/>
  <c r="AB101" i="1"/>
  <c r="AC33" i="1"/>
  <c r="AB33" i="1"/>
  <c r="AC49" i="1"/>
  <c r="AB49" i="1"/>
  <c r="AC64" i="1"/>
  <c r="AB64" i="1"/>
  <c r="AC67" i="1"/>
  <c r="AB67" i="1"/>
  <c r="AC36" i="1"/>
  <c r="AB36" i="1"/>
  <c r="AG21" i="1"/>
  <c r="AC21" i="1"/>
  <c r="AB21" i="1"/>
  <c r="AG23" i="1"/>
  <c r="AC23" i="1"/>
  <c r="AB23" i="1"/>
  <c r="AG24" i="1"/>
  <c r="AC24" i="1"/>
  <c r="AB24" i="1"/>
  <c r="AG27" i="1"/>
  <c r="AC27" i="1"/>
  <c r="AB27" i="1"/>
  <c r="AG16" i="1"/>
  <c r="AC16" i="1"/>
  <c r="AB16" i="1"/>
  <c r="AG17" i="1"/>
  <c r="AC17" i="1"/>
  <c r="AB17" i="1"/>
  <c r="AG19" i="1"/>
  <c r="AC19" i="1"/>
  <c r="AB19" i="1"/>
  <c r="AG20" i="1"/>
  <c r="AC20" i="1"/>
  <c r="AB20" i="1"/>
  <c r="AG9" i="1"/>
  <c r="AC9" i="1"/>
  <c r="AB9" i="1"/>
  <c r="AG12" i="1"/>
  <c r="AC12" i="1"/>
  <c r="AB12" i="1"/>
  <c r="AG5" i="1"/>
  <c r="AC5" i="1"/>
  <c r="AB5" i="1"/>
  <c r="AG4" i="1"/>
  <c r="AC4" i="1"/>
  <c r="AB4" i="1"/>
  <c r="AG10" i="1"/>
  <c r="AC10" i="1"/>
  <c r="AB10" i="1"/>
  <c r="AG14" i="1"/>
  <c r="AC14" i="1"/>
  <c r="AB14" i="1"/>
  <c r="AG7" i="1"/>
  <c r="AC7" i="1"/>
  <c r="AB7" i="1"/>
  <c r="AG8" i="1"/>
  <c r="AC8" i="1"/>
  <c r="AB8" i="1"/>
  <c r="AG30" i="1"/>
  <c r="AC30" i="1"/>
  <c r="AB30" i="1"/>
  <c r="AG28" i="1"/>
  <c r="AC28" i="1"/>
  <c r="AB28" i="1"/>
  <c r="AG26" i="1"/>
  <c r="AC26" i="1"/>
  <c r="AB26" i="1"/>
  <c r="AG2" i="1"/>
  <c r="AC2" i="1"/>
  <c r="AB2" i="1"/>
  <c r="AG6" i="1"/>
  <c r="AC6" i="1"/>
  <c r="AB6" i="1"/>
  <c r="AG11" i="1"/>
  <c r="AC11" i="1"/>
  <c r="AB11" i="1"/>
  <c r="AG13" i="1"/>
  <c r="AC13" i="1"/>
  <c r="AB13" i="1"/>
  <c r="AG3" i="1"/>
  <c r="AC3" i="1"/>
  <c r="A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000-000001000000}">
      <text>
        <r>
          <rPr>
            <sz val="10"/>
            <rFont val="Arial"/>
            <family val="2"/>
            <charset val="1"/>
          </rPr>
          <t>Mol Product/mol Carbon source
For C+H2, doesn’t account for H2. Only Carbon source (CO or Formate)</t>
        </r>
      </text>
    </comment>
    <comment ref="R1" authorId="0" shapeId="0" xr:uid="{00000000-0006-0000-0000-000002000000}">
      <text>
        <r>
          <rPr>
            <sz val="10"/>
            <rFont val="Arial"/>
            <family val="2"/>
            <charset val="1"/>
          </rPr>
          <t>2021-5-30: Mass yields in yellow were changed on May 30</t>
        </r>
        <r>
          <rPr>
            <vertAlign val="superscript"/>
            <sz val="10"/>
            <rFont val="Arial"/>
            <family val="2"/>
            <charset val="1"/>
          </rPr>
          <t>th</t>
        </r>
        <r>
          <rPr>
            <sz val="10"/>
            <rFont val="Arial"/>
            <family val="2"/>
            <charset val="1"/>
          </rPr>
          <t xml:space="preserve">; there was a mistake in the molecular weight calculation for the C+H2 mixture at a 1:2 ratio --&gt; assumed that a ratio of 1:2 was used, BUT the H2 maxed out at a lower ratio than this in most cases so the molecular weight of the mixture was wrong (and thus the mass yield).
The molecular weight is always g feedstock/mol carbon source --&gt; In the case of CO+H2 or Formate+H2 this means that it’s the mass of the C+H2 mixture/mol of C (ie. g mix/mol CO or g mix/mol Formate).
==&gt; g P/g mix =  (molP/mol CO)*(g P/mol)*(mol CO/g Mix)
= (Molar yield)*(MW_product)/(MW_mix on C basis)
</t>
        </r>
        <r>
          <rPr>
            <b/>
            <sz val="10"/>
            <rFont val="arial"/>
            <family val="2"/>
            <charset val="1"/>
          </rPr>
          <t>NOTE:
On 2021-5-31, I modified the RunModel JuPy file such that the molecular weight is calculated correctly</t>
        </r>
        <r>
          <rPr>
            <sz val="10"/>
            <rFont val="Arial"/>
            <family val="2"/>
            <charset val="1"/>
          </rPr>
          <t xml:space="preserve"> for all CO+H2 and Formate+H2 combinations (based on molar fluxes in the FBA result). So if running models in future, won’t need to perform these corrections!</t>
        </r>
      </text>
    </comment>
    <comment ref="AB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D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  <comment ref="AD31" authorId="0" shapeId="0" xr:uid="{00000000-0006-0000-0000-000021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3" authorId="0" shapeId="0" xr:uid="{00000000-0006-0000-0000-00000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5" authorId="0" shapeId="0" xr:uid="{00000000-0006-0000-0000-00001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6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7" authorId="0" shapeId="0" xr:uid="{00000000-0006-0000-0000-00002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8" authorId="0" shapeId="0" xr:uid="{00000000-0006-0000-0000-00002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2" authorId="0" shapeId="0" xr:uid="{00000000-0006-0000-0000-00002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3" authorId="0" shapeId="0" xr:uid="{00000000-0006-0000-0000-00001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4" authorId="0" shapeId="0" xr:uid="{00000000-0006-0000-0000-00001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6" authorId="0" shapeId="0" xr:uid="{00000000-0006-0000-0000-00002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9" authorId="0" shapeId="0" xr:uid="{00000000-0006-0000-0000-00000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0" authorId="0" shapeId="0" xr:uid="{00000000-0006-0000-0000-00002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51" authorId="0" shapeId="0" xr:uid="{00000000-0006-0000-0000-00000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2" authorId="0" shapeId="0" xr:uid="{00000000-0006-0000-0000-00002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54" authorId="0" shapeId="0" xr:uid="{00000000-0006-0000-0000-00000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5" authorId="0" shapeId="0" xr:uid="{00000000-0006-0000-0000-00001F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56" authorId="0" shapeId="0" xr:uid="{00000000-0006-0000-0000-00001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0" authorId="0" shapeId="0" xr:uid="{00000000-0006-0000-0000-00002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62" authorId="0" shapeId="0" xr:uid="{00000000-0006-0000-0000-00001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3" authorId="0" shapeId="0" xr:uid="{00000000-0006-0000-0000-00002B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64" authorId="0" shapeId="0" xr:uid="{00000000-0006-0000-0000-00000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5" authorId="0" shapeId="0" xr:uid="{00000000-0006-0000-0000-00002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66" authorId="0" shapeId="0" xr:uid="{00000000-0006-0000-0000-00001E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67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68" authorId="0" shapeId="0" xr:uid="{00000000-0006-0000-0000-00001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9" authorId="0" shapeId="0" xr:uid="{00000000-0006-0000-0000-00000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1" authorId="0" shapeId="0" xr:uid="{00000000-0006-0000-0000-00003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2" authorId="0" shapeId="0" xr:uid="{00000000-0006-0000-0000-00002F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4" authorId="0" shapeId="0" xr:uid="{00000000-0006-0000-0000-00001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5" authorId="0" shapeId="0" xr:uid="{00000000-0006-0000-0000-00001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8" authorId="0" shapeId="0" xr:uid="{00000000-0006-0000-0000-00002E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9" authorId="0" shapeId="0" xr:uid="{00000000-0006-0000-0000-00001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0" authorId="0" shapeId="0" xr:uid="{00000000-0006-0000-0000-00002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1" authorId="0" shapeId="0" xr:uid="{00000000-0006-0000-0000-000034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2" authorId="0" shapeId="0" xr:uid="{00000000-0006-0000-0000-00001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3" authorId="0" shapeId="0" xr:uid="{00000000-0006-0000-0000-00003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5" authorId="0" shapeId="0" xr:uid="{00000000-0006-0000-0000-00001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7" authorId="0" shapeId="0" xr:uid="{00000000-0006-0000-0000-00001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8" authorId="0" shapeId="0" xr:uid="{00000000-0006-0000-0000-000032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9" authorId="0" shapeId="0" xr:uid="{00000000-0006-0000-0000-00001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6" authorId="0" shapeId="0" xr:uid="{00000000-0006-0000-0000-000031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9" authorId="0" shapeId="0" xr:uid="{00000000-0006-0000-0000-00001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0" authorId="0" shapeId="0" xr:uid="{00000000-0006-0000-0000-000022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01" authorId="0" shapeId="0" xr:uid="{00000000-0006-0000-0000-00000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9" authorId="0" shapeId="0" xr:uid="{00000000-0006-0000-0000-00002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0" authorId="0" shapeId="0" xr:uid="{00000000-0006-0000-0000-00000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6" authorId="0" shapeId="0" xr:uid="{00000000-0006-0000-0000-000024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7" authorId="0" shapeId="0" xr:uid="{00000000-0006-0000-0000-00000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66" authorId="0" shapeId="0" xr:uid="{00000000-0006-0000-0000-00003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79" authorId="0" shapeId="0" xr:uid="{00000000-0006-0000-0000-00003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00" authorId="0" shapeId="0" xr:uid="{00000000-0006-0000-0000-00004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01" authorId="0" shapeId="0" xr:uid="{00000000-0006-0000-0000-00004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11" authorId="0" shapeId="0" xr:uid="{00000000-0006-0000-0000-00003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59" authorId="0" shapeId="0" xr:uid="{00000000-0006-0000-0000-00003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75" authorId="0" shapeId="0" xr:uid="{00000000-0006-0000-0000-00003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84" authorId="0" shapeId="0" xr:uid="{00000000-0006-0000-0000-00004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14" authorId="0" shapeId="0" xr:uid="{00000000-0006-0000-0000-00003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56" authorId="0" shapeId="0" xr:uid="{00000000-0006-0000-0000-00004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90" authorId="0" shapeId="0" xr:uid="{00000000-0006-0000-0000-00004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07" authorId="0" shapeId="0" xr:uid="{00000000-0006-0000-0000-00004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37" authorId="0" shapeId="0" xr:uid="{00000000-0006-0000-0000-00003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42" authorId="0" shapeId="0" xr:uid="{00000000-0006-0000-0000-00003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87" authorId="0" shapeId="0" xr:uid="{00000000-0006-0000-0000-00004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61" authorId="0" shapeId="0" xr:uid="{00000000-0006-0000-0000-00004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59" authorId="0" shapeId="0" xr:uid="{00000000-0006-0000-0000-00004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44" authorId="0" shapeId="0" xr:uid="{00000000-0006-0000-0000-00004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49" authorId="0" shapeId="0" xr:uid="{00000000-0006-0000-0000-00004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70" authorId="0" shapeId="0" xr:uid="{00000000-0006-0000-0000-00004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51" authorId="0" shapeId="0" xr:uid="{00000000-0006-0000-0000-00004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47" authorId="0" shapeId="0" xr:uid="{00000000-0006-0000-0000-00003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19" authorId="0" shapeId="0" xr:uid="{00000000-0006-0000-0000-00003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10" authorId="0" shapeId="0" xr:uid="{00000000-0006-0000-0000-00003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sharedStrings.xml><?xml version="1.0" encoding="utf-8"?>
<sst xmlns="http://schemas.openxmlformats.org/spreadsheetml/2006/main" count="20691" uniqueCount="370">
  <si>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</si>
  <si>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</si>
  <si>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</si>
  <si>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</si>
  <si>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</si>
  <si>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</si>
  <si>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</si>
  <si>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</si>
  <si>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</si>
  <si>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</si>
  <si>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</si>
  <si>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</si>
  <si>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</si>
  <si>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</si>
  <si>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</si>
  <si>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</si>
  <si>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</si>
  <si>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</si>
  <si>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</si>
  <si>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</si>
  <si>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</si>
  <si>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</si>
  <si>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</si>
  <si>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</si>
  <si>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</si>
  <si>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</si>
  <si>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</si>
  <si>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</si>
  <si>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</si>
  <si>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</si>
  <si>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</si>
  <si>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</si>
  <si>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</si>
  <si>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</si>
  <si>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2021-05-11</t>
  </si>
  <si>
    <t>iJO1366</t>
  </si>
  <si>
    <t>Acetaldehyde</t>
  </si>
  <si>
    <t>ECR-C2</t>
  </si>
  <si>
    <t>Malonate</t>
  </si>
  <si>
    <t>EX_malon_e</t>
  </si>
  <si>
    <t>NA</t>
  </si>
  <si>
    <t>A</t>
  </si>
  <si>
    <t>C3H2O4</t>
  </si>
  <si>
    <t>Dicarboxylate</t>
  </si>
  <si>
    <t>Oxaloacetate</t>
  </si>
  <si>
    <t>malon_c</t>
  </si>
  <si>
    <t>Acetate</t>
  </si>
  <si>
    <t>EG_Glycolate</t>
  </si>
  <si>
    <t>EG_SACA</t>
  </si>
  <si>
    <t>Ethanol</t>
  </si>
  <si>
    <t>Formate_Formolase</t>
  </si>
  <si>
    <t>ECR-C1a</t>
  </si>
  <si>
    <t>Formate_RGP-Serine</t>
  </si>
  <si>
    <t>Formate_SerineCycle</t>
  </si>
  <si>
    <t>Glucose</t>
  </si>
  <si>
    <t>Sugar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</si>
  <si>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</si>
  <si>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</si>
  <si>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</si>
  <si>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</si>
  <si>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</si>
  <si>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</si>
  <si>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</si>
  <si>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2021-05-27</t>
  </si>
  <si>
    <t>iHN637</t>
  </si>
  <si>
    <t>CO_1:H2_0</t>
  </si>
  <si>
    <t>ECR-C1b</t>
  </si>
  <si>
    <t>CO_1:H2_0.5</t>
  </si>
  <si>
    <t>CO_1:H2_1</t>
  </si>
  <si>
    <t>CO_1:H2_2</t>
  </si>
  <si>
    <t>FOR_1:H2_0</t>
  </si>
  <si>
    <t>FOR_1:H2_0.5</t>
  </si>
  <si>
    <t>FOR_1:H2_1</t>
  </si>
  <si>
    <t>FOR_1:H2_2</t>
  </si>
  <si>
    <t>2021-05-17</t>
  </si>
  <si>
    <t>Citrate</t>
  </si>
  <si>
    <t>EX_cit_e</t>
  </si>
  <si>
    <t>C6H5O7</t>
  </si>
  <si>
    <t>Tricarboxylate + Alcohol</t>
  </si>
  <si>
    <t>Acetyl-CoA</t>
  </si>
  <si>
    <t>Proton antiport</t>
  </si>
  <si>
    <t>cit_c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</si>
  <si>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</si>
  <si>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</si>
  <si>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</si>
  <si>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</si>
  <si>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</si>
  <si>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</si>
  <si>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Malate_L</t>
  </si>
  <si>
    <t>EX_mal__L_e</t>
  </si>
  <si>
    <t>L-Malate</t>
  </si>
  <si>
    <t>C4H4O5</t>
  </si>
  <si>
    <t>Proton symporter</t>
  </si>
  <si>
    <t>mal__L_e</t>
  </si>
  <si>
    <t>2-Pyrone-4-6-Dicarboxylate</t>
  </si>
  <si>
    <t>EX_2p46dc_e</t>
  </si>
  <si>
    <t>2-Pyrone 4,6-dicarboxylate</t>
  </si>
  <si>
    <t>C7H2O6</t>
  </si>
  <si>
    <t>Glyceraldehyde 3-P</t>
  </si>
  <si>
    <t>2p46dc_c</t>
  </si>
  <si>
    <t>Succinate</t>
  </si>
  <si>
    <t>EX_succ_e</t>
  </si>
  <si>
    <t>C4H4O4</t>
  </si>
  <si>
    <t>succ_c</t>
  </si>
  <si>
    <t>Itaconate</t>
  </si>
  <si>
    <t>EX_itacon_e</t>
  </si>
  <si>
    <t>E</t>
  </si>
  <si>
    <t>C5H4O4</t>
  </si>
  <si>
    <t>Acetyl-CoA + Oxaloacetate</t>
  </si>
  <si>
    <t>itacon_c</t>
  </si>
  <si>
    <t>ciscisMuconate</t>
  </si>
  <si>
    <t>EX_ccmuac_e</t>
  </si>
  <si>
    <t>cis,cis-Muconate</t>
  </si>
  <si>
    <t>C6H4O4</t>
  </si>
  <si>
    <t>ccmuac_c</t>
  </si>
  <si>
    <t>Glutamate_L</t>
  </si>
  <si>
    <t>EX_glu__L_e</t>
  </si>
  <si>
    <t>L-Glutamate</t>
  </si>
  <si>
    <t>C5H8NO4</t>
  </si>
  <si>
    <t>Amino acid</t>
  </si>
  <si>
    <t>aKG</t>
  </si>
  <si>
    <t>glu__L_c</t>
  </si>
  <si>
    <t>Glutarate</t>
  </si>
  <si>
    <t>EX_glutar_e</t>
  </si>
  <si>
    <t>C5H6O4</t>
  </si>
  <si>
    <t>Oxaloacetate + aKG</t>
  </si>
  <si>
    <t>glutar_c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</si>
  <si>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</si>
  <si>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</si>
  <si>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</si>
  <si>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</si>
  <si>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</si>
  <si>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</si>
  <si>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</si>
  <si>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</si>
  <si>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Pyruvate</t>
  </si>
  <si>
    <t>Shikimate</t>
  </si>
  <si>
    <t>EX_skm_e</t>
  </si>
  <si>
    <t>C7H9O5</t>
  </si>
  <si>
    <t>Aromatic + Alcohol + Carboxylate</t>
  </si>
  <si>
    <t>PEP + E4P (Glyceraldehyde 3-P)</t>
  </si>
  <si>
    <t>skm_c</t>
  </si>
  <si>
    <t>Adipate</t>
  </si>
  <si>
    <t>EX_adpac_e</t>
  </si>
  <si>
    <t>C6H8O4</t>
  </si>
  <si>
    <t>adpac_c</t>
  </si>
  <si>
    <t>CoumaricAcid</t>
  </si>
  <si>
    <t>EX_T4hcinnm_e</t>
  </si>
  <si>
    <t>Coumaric acid</t>
  </si>
  <si>
    <t>C9H7O3</t>
  </si>
  <si>
    <t>E4P + L-glutamate</t>
  </si>
  <si>
    <t>T4hcinnm_c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</si>
  <si>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</si>
  <si>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</si>
  <si>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</si>
  <si>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</si>
  <si>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</si>
  <si>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</si>
  <si>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</si>
  <si>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</si>
  <si>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</si>
  <si>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Catechol</t>
  </si>
  <si>
    <t>EX_catechol_e</t>
  </si>
  <si>
    <t>C6H6O2</t>
  </si>
  <si>
    <t>Aromatic + Diol</t>
  </si>
  <si>
    <t>catechol_c</t>
  </si>
  <si>
    <t>GammaButyrolactone</t>
  </si>
  <si>
    <t>EX_gblt_e</t>
  </si>
  <si>
    <t>Gamma butyrolactone</t>
  </si>
  <si>
    <t>C4H6O2</t>
  </si>
  <si>
    <t>Lactone (cyclic ester)</t>
  </si>
  <si>
    <t>gblt_c</t>
  </si>
  <si>
    <t>Phenol</t>
  </si>
  <si>
    <t>EX_phenol_e</t>
  </si>
  <si>
    <t>E-S</t>
  </si>
  <si>
    <t>C6H6O</t>
  </si>
  <si>
    <t>Aromatic + Alcohol</t>
  </si>
  <si>
    <t>phenol_c</t>
  </si>
  <si>
    <t>4-Hydroxystyrene</t>
  </si>
  <si>
    <t>EX_hxst_e</t>
  </si>
  <si>
    <t>C8H8O</t>
  </si>
  <si>
    <t>4hxst_c</t>
  </si>
  <si>
    <t>Butyrate</t>
  </si>
  <si>
    <t>EX_but_e</t>
  </si>
  <si>
    <t>C4H7O2</t>
  </si>
  <si>
    <t>but_c</t>
  </si>
  <si>
    <t>Isobutyrate</t>
  </si>
  <si>
    <t>EX_ibt_e</t>
  </si>
  <si>
    <t>ibt_c</t>
  </si>
  <si>
    <t>5-Aminopentanoate</t>
  </si>
  <si>
    <t>EX_5aptn_e</t>
  </si>
  <si>
    <t>C5H11NO2</t>
  </si>
  <si>
    <t>D-Amino Acid</t>
  </si>
  <si>
    <t>5aptn_c</t>
  </si>
  <si>
    <t>Lysine_L</t>
  </si>
  <si>
    <t>EX_lys__L_e</t>
  </si>
  <si>
    <t>L-Lysine</t>
  </si>
  <si>
    <t>C6H15N2O2</t>
  </si>
  <si>
    <t>lys__L_</t>
  </si>
  <si>
    <t>BenzylAlcohol</t>
  </si>
  <si>
    <t>EX_bzalc_e</t>
  </si>
  <si>
    <t>Benzyl alcohol</t>
  </si>
  <si>
    <t>C7H8O</t>
  </si>
  <si>
    <t>E4P</t>
  </si>
  <si>
    <t>bzalc_c</t>
  </si>
  <si>
    <t>EthylAcetate</t>
  </si>
  <si>
    <t>EX_aces_e</t>
  </si>
  <si>
    <t>Ethyl acetate</t>
  </si>
  <si>
    <t>C4H8O2</t>
  </si>
  <si>
    <t>Carboxylate Ester</t>
  </si>
  <si>
    <t>aces_c</t>
  </si>
  <si>
    <t>Styrene</t>
  </si>
  <si>
    <t>EX_styr_e</t>
  </si>
  <si>
    <t>C8H8</t>
  </si>
  <si>
    <t>Cycloalkane</t>
  </si>
  <si>
    <t>styr_c</t>
  </si>
  <si>
    <t>1-3-Propanediol</t>
  </si>
  <si>
    <t>EX_13ppd_e</t>
  </si>
  <si>
    <t>1,3-Propanediol</t>
  </si>
  <si>
    <t>C3H8O2</t>
  </si>
  <si>
    <t>Diol</t>
  </si>
  <si>
    <t>13ppd_c</t>
  </si>
  <si>
    <t>Acetone</t>
  </si>
  <si>
    <t>EX_acetone_e</t>
  </si>
  <si>
    <t>C3H6O</t>
  </si>
  <si>
    <t>Ketone</t>
  </si>
  <si>
    <t>acetone_c</t>
  </si>
  <si>
    <t>BetaCarotene</t>
  </si>
  <si>
    <t>EX_caro_e</t>
  </si>
  <si>
    <t>Beta carotene</t>
  </si>
  <si>
    <t>C40H56</t>
  </si>
  <si>
    <t>Hydrocarbon</t>
  </si>
  <si>
    <t>ABC Transporter</t>
  </si>
  <si>
    <t>caro_c</t>
  </si>
  <si>
    <t>1-3-Butanediol-PW1</t>
  </si>
  <si>
    <t>EX_r13bdo_e</t>
  </si>
  <si>
    <t>1-3-butanediol-PW1</t>
  </si>
  <si>
    <t>1,3-Butanediol (PW1)</t>
  </si>
  <si>
    <t>C4H10O2</t>
  </si>
  <si>
    <t>13bdo__R_c</t>
  </si>
  <si>
    <t>1-3-Butanediol-PW2</t>
  </si>
  <si>
    <t>1-3-butanediol-PW2</t>
  </si>
  <si>
    <t>1,3-Butanediol (PW2)</t>
  </si>
  <si>
    <t>Pyruvate (acetalehyde)</t>
  </si>
  <si>
    <t>1-4-Butanediol</t>
  </si>
  <si>
    <t>EX_14bdo_e</t>
  </si>
  <si>
    <t>1-4-butanediol</t>
  </si>
  <si>
    <t>1,4-Butanediol</t>
  </si>
  <si>
    <t>14bdo_c</t>
  </si>
  <si>
    <t>2-3-Butanediol</t>
  </si>
  <si>
    <t>EX_btd_RR_e</t>
  </si>
  <si>
    <t>2-3-butanediol</t>
  </si>
  <si>
    <t>2,3-Butanediol</t>
  </si>
  <si>
    <t>btd_RR_c</t>
  </si>
  <si>
    <t>Farnesene</t>
  </si>
  <si>
    <t>EX_frene_e</t>
  </si>
  <si>
    <t>C15H24</t>
  </si>
  <si>
    <t>260 (A)/272 (B)</t>
  </si>
  <si>
    <t>frene_c</t>
  </si>
  <si>
    <t>Isobutanol</t>
  </si>
  <si>
    <t>EX_ibutoh_e</t>
  </si>
  <si>
    <t>C5H10O</t>
  </si>
  <si>
    <t>Alcohol</t>
  </si>
  <si>
    <t>ibutoh_c</t>
  </si>
  <si>
    <t>Isoprene</t>
  </si>
  <si>
    <t>EX_iprene_e</t>
  </si>
  <si>
    <t>C5H8</t>
  </si>
  <si>
    <t>iprene_c</t>
  </si>
  <si>
    <t>Limonene</t>
  </si>
  <si>
    <t>EX_limnen_e</t>
  </si>
  <si>
    <t>C10H16</t>
  </si>
  <si>
    <t>Isoprenoid; Aromatic (Cycloalkane)</t>
  </si>
  <si>
    <t>limnen_c</t>
  </si>
  <si>
    <t>1-3-Diaminopropane</t>
  </si>
  <si>
    <t>EX_13dampp_e</t>
  </si>
  <si>
    <t>1,3-Diaminopropane</t>
  </si>
  <si>
    <t>C3H12N2</t>
  </si>
  <si>
    <t>Diamine</t>
  </si>
  <si>
    <t>13dampp_c</t>
  </si>
  <si>
    <t>1-Propanol-PW1</t>
  </si>
  <si>
    <t>EX_ppoh_e</t>
  </si>
  <si>
    <t>1-propanol-PW1</t>
  </si>
  <si>
    <t>1-Propanol (PW1)</t>
  </si>
  <si>
    <t>C3H8O</t>
  </si>
  <si>
    <t>Glyceraldehyde 3-P (--&gt;DHAP)</t>
  </si>
  <si>
    <t>ppoh_c</t>
  </si>
  <si>
    <t>1-Propanol-PW2</t>
  </si>
  <si>
    <t>1-propanol-PW2</t>
  </si>
  <si>
    <t>1-Propanol (PW2)</t>
  </si>
  <si>
    <t>2-Methyl-1-Butanol</t>
  </si>
  <si>
    <t>EX_2mbtoh_e</t>
  </si>
  <si>
    <t>2-Methyl-1-butanol</t>
  </si>
  <si>
    <t>C5H12O</t>
  </si>
  <si>
    <t>PEP</t>
  </si>
  <si>
    <t>2mbtoh_c</t>
  </si>
  <si>
    <t>3-Methyl-1-Pentanol</t>
  </si>
  <si>
    <t>EX_3mptoh_e</t>
  </si>
  <si>
    <t>3-Methyl-1-pentanol</t>
  </si>
  <si>
    <t>C6H14O</t>
  </si>
  <si>
    <t>3mptoh_c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</si>
  <si>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</si>
  <si>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</si>
  <si>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</si>
  <si>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</si>
  <si>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</si>
  <si>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</si>
  <si>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</si>
  <si>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Isopropanol</t>
  </si>
  <si>
    <t>EX_2ppoh_e</t>
  </si>
  <si>
    <t>2ppoh_c</t>
  </si>
  <si>
    <t>Pentanol-PW1</t>
  </si>
  <si>
    <t>EX_pentoh_e</t>
  </si>
  <si>
    <t>Pentanol (PW1)</t>
  </si>
  <si>
    <t>Acetyl-CoA + Succinyl-CoA</t>
  </si>
  <si>
    <t>pentoh_c</t>
  </si>
  <si>
    <t>Pentanol-PW2</t>
  </si>
  <si>
    <t>Pentanol (PW2)</t>
  </si>
  <si>
    <t>2021-05-25</t>
  </si>
  <si>
    <t>Nonane</t>
  </si>
  <si>
    <t>EX_nonane_e</t>
  </si>
  <si>
    <t>C9H20</t>
  </si>
  <si>
    <t>Hydrocarbon (alkane)</t>
  </si>
  <si>
    <t>nonan_c</t>
  </si>
  <si>
    <t>Octane</t>
  </si>
  <si>
    <t>EX_octane_e</t>
  </si>
  <si>
    <t>C8H18</t>
  </si>
  <si>
    <t>octn_c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</si>
  <si>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</si>
  <si>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</si>
  <si>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</si>
  <si>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</si>
  <si>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</si>
  <si>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</si>
  <si>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</si>
  <si>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</si>
  <si>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Pentane</t>
  </si>
  <si>
    <t>EX_pentane_e</t>
  </si>
  <si>
    <t>C5H12</t>
  </si>
  <si>
    <t>pent_c</t>
  </si>
  <si>
    <t>Butane</t>
  </si>
  <si>
    <t>EX_butane_e</t>
  </si>
  <si>
    <t>C4H10</t>
  </si>
  <si>
    <t>butn_c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</si>
  <si>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</si>
  <si>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</si>
  <si>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</si>
  <si>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</si>
  <si>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</si>
  <si>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</si>
  <si>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</si>
  <si>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2023-11-29</t>
  </si>
  <si>
    <t>Methanol_MethylTransferase_1</t>
  </si>
  <si>
    <t>Methanol_MethylTransferase_0.5</t>
  </si>
  <si>
    <t>Methanol_MethylTransferase_0.1</t>
  </si>
  <si>
    <t>Methanol_MethylTransferase_0</t>
  </si>
  <si>
    <t>0.45454545454545414</t>
  </si>
  <si>
    <t>0.45454545454545503</t>
  </si>
  <si>
    <t>0.45454545454545325</t>
  </si>
  <si>
    <t>0.5263157894736867</t>
  </si>
  <si>
    <t>0.5263157894736852</t>
  </si>
  <si>
    <t>0.3529411764705914</t>
  </si>
  <si>
    <t>0.3571428571428559</t>
  </si>
  <si>
    <t>0.3999999999999977</t>
  </si>
  <si>
    <t>0.40000000000000124</t>
  </si>
  <si>
    <t>0.4599999999999991</t>
  </si>
  <si>
    <t>0.6249999999999982</t>
  </si>
  <si>
    <t>0.17098445595854983</t>
  </si>
  <si>
    <t>0.41052631578947185</t>
  </si>
  <si>
    <t>2023-12-14</t>
  </si>
  <si>
    <t>CO_2:H2_2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</si>
</sst>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E0EFD4"/>
        <bgColor rgb="FFFFFFCC"/>
      </patternFill>
    </fill>
    <fill>
      <patternFill patternType="solid">
        <fgColor rgb="FFDFCCE4"/>
        <bgColor rgb="FFFBE0F7"/>
      </patternFill>
    </fill>
    <fill>
      <patternFill patternType="solid">
        <fgColor rgb="FFFBE0F7"/>
        <bgColor rgb="FFE0EFD4"/>
      </patternFill>
    </fill>
    <fill>
      <patternFill patternType="solid">
        <fgColor rgb="FFBCE4E5"/>
        <bgColor rgb="FFE0EFD4"/>
      </patternFill>
    </fill>
    <fill>
      <patternFill patternType="solid">
        <fgColor rgb="FF65FAED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/>
    <xf numFmtId="49" fontId="1" fillId="3" borderId="0" xfId="0" applyNumberFormat="1" applyFont="1" applyFill="1"/>
    <xf numFmtId="0" fontId="1" fillId="4" borderId="0" xfId="0" applyFont="1" applyFill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0" fillId="5" borderId="0" xfId="0" applyFill="1"/>
    <xf numFmtId="0" fontId="1" fillId="6" borderId="0" xfId="0" applyFont="1" applyFill="1"/>
    <xf numFmtId="0" fontId="0" fillId="6" borderId="0" xfId="0" applyFill="1"/>
    <xf numFmtId="49" fontId="0" fillId="0" borderId="0" xfId="0" applyNumberFormat="1"/>
    <xf numFmtId="49" fontId="0" fillId="7" borderId="0" xfId="0" applyNumberFormat="1" applyFill="1"/>
    <xf numFmtId="0" fontId="0" fillId="7" borderId="0" xfId="0" applyFill="1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0" fillId="4" borderId="0" xfId="0" applyFill="1"/>
    <xf numFmtId="2" fontId="1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quotePrefix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6" name="shapetype_202" hidden="1">
          <a:extLst>
            <a:ext uri="{FF2B5EF4-FFF2-40B4-BE49-F238E27FC236}">
              <a16:creationId xmlns:a16="http://schemas.microsoft.com/office/drawing/2014/main" id="{AA75EE50-170E-6BAE-BECE-83DB34F5FA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4" name="shapetype_202" hidden="1">
          <a:extLst>
            <a:ext uri="{FF2B5EF4-FFF2-40B4-BE49-F238E27FC236}">
              <a16:creationId xmlns:a16="http://schemas.microsoft.com/office/drawing/2014/main" id="{7B9FD139-38E4-D014-751F-4E107F3E09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2" name="shapetype_202" hidden="1">
          <a:extLst>
            <a:ext uri="{FF2B5EF4-FFF2-40B4-BE49-F238E27FC236}">
              <a16:creationId xmlns:a16="http://schemas.microsoft.com/office/drawing/2014/main" id="{3AE7B61F-CF36-FC08-6379-22534049C92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0" name="shapetype_202" hidden="1">
          <a:extLst>
            <a:ext uri="{FF2B5EF4-FFF2-40B4-BE49-F238E27FC236}">
              <a16:creationId xmlns:a16="http://schemas.microsoft.com/office/drawing/2014/main" id="{EB13EBF3-9E06-CE31-C8F6-43C49B8A58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8" name="shapetype_202" hidden="1">
          <a:extLst>
            <a:ext uri="{FF2B5EF4-FFF2-40B4-BE49-F238E27FC236}">
              <a16:creationId xmlns:a16="http://schemas.microsoft.com/office/drawing/2014/main" id="{3F971F38-99E9-718F-8661-EDA48B8C7E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45D44844-85A6-DC4E-BF52-AEBF22A6B5D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1E52FE52-1465-A63C-5B35-0DEECB0E9A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B467C132-0086-4DB4-43B5-0268C669565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64F876E9-7D33-0C88-6A95-90A8F2F33A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058EF386-3AE3-7108-C821-C71EBE63ED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7C44EAC5-0A74-0116-F0FD-BACAB96E87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20791535-2190-D633-E97F-3178915C13B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4763E7B0-597E-DCC7-7512-614175363E6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BDEB7F50-14CC-B0A1-2C84-5236D196A0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05C58097-7766-D0AA-5B78-902F9F8F135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57102390-B043-E11F-4704-0E142D9827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5A3F9B1F-2AB5-0E4D-5B3D-9F21CAE360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C5B84727-9139-3D23-F1E5-B503871385D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25975B63-44D0-462B-68A2-DAF63B510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FC259AD6-B018-EF85-E3C8-D3C232E068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705E6A2A-C15F-F1CD-6D37-23020A25E0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3F900C34-ACC9-7E99-8BEA-32476D0D20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9D461D34-B626-81B1-2505-3DCABE6573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26F522FF-1ECB-056F-98AD-27A111EE5D5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37B6F3AC-E8B6-E75B-62A3-01D7EAB766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3B99E6F2-3652-4B8C-4F67-018794CA9C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E63C219D-2E8A-7FA4-5366-CE0F21661F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93B69A05-8524-3833-5748-9202A009953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332AEAD2-959F-88D3-E2DE-7D731F8232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B56CBF23-8B74-F08E-EC5F-A55CA6B929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C029EC8E-18C4-09DB-3C5A-A3E6C76803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EB3AE4C4-DEFD-604A-BCE2-8B812E1A17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69C8CED6-BBB4-721E-C200-B5218EABEF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A3240DC4-551E-1835-2D41-F6E346ED15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DA114F6F-6AF3-0729-156B-ABF38E5C6A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7D6151C9-B2E9-A819-35EA-0A95208766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DBDB78DB-67C4-E123-BD5A-EFDC0774A6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FA7ABA76-813E-9A12-62F5-6D26B81521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0533787D-221E-1407-8D17-514B1AB270D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EAADD02E-29FC-23FA-EEB9-DDEFD50E4BE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EA961FCF-D81F-9B88-5952-30BDB857A8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020F824B-3B14-D368-8E29-1C8A4F031A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60475278-4EE4-49DF-F010-A91B9CD629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9845948F-DABA-BF1F-E986-C93D27BC42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4E095978-06F0-437B-39B6-576500FC1C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056CAABB-73A9-EFAF-E05F-C4B21DAB0C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F034941B-1867-3274-4BCD-E559551671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AFA9462F-3AF3-ECD3-C360-C6C4C19EFD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62B889A0-CE40-C06E-3552-AF34939848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C110F75F-9F34-8C32-001A-E17D570F65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48CF4C31-8EFE-6A7F-0F53-53047B71A8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1BD8BF21-C6A7-8465-CA16-23DC59C33FD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5A270054-A86D-3D17-C459-DD74F75E34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518BCB57-BFE9-AD86-D18E-DABAB6792B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E5DFDDAC-7829-51F3-AA4A-A0B544D59B2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ABBCC745-E4C2-F5FF-63BF-552C36E5681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41A90E90-2A73-2930-DFA5-E98DF2B1EB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78DA91E7-52C5-DA38-AED3-0187091ECC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263E64D9-7515-E9EF-E6B2-BA3CD82135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E75E6DE6-A7D7-A7A3-79E3-4E2A01904B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F388B3F6-98B8-FDCB-7D54-D2C551A031B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D601B72A-6240-3B2A-C3FD-41FC875241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6626493D-268F-6B34-0F32-0D319BFD4C9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4314126F-EB78-341D-8796-D25BE63AAE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607C9978-DB5E-EFC8-6257-24A66E15D6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F6F3BE4D-3745-AE1B-04DC-F302E9947A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366BCE3-DAAC-E4DD-5144-90FB6E5E5E6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F3EDDECA-2BC0-CE73-F444-37310DF2D5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A3F2A6D4-086F-D085-DB15-1946457685C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88531452-DA52-9A0B-23EC-11097F25DC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DA419031-249A-0F6B-6F79-70B8FF8F80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E91F5D34-9030-F5DB-43AA-CF485228DE0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E2E69652-6E61-E9AB-56D9-EDC2DF9761D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A45824BB-6736-831C-1885-C15E5C1547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9B2ECF17-72E8-ED54-CCD6-B335C2BE78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A33B54F4-1E70-7874-B037-7B784C7712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sti\Documents\eCO2R%20TEA%20Code\ecor-tea\Input\FBA_OverallSummary-UPDATED_2022-02-13AZ-withMT.xlsx" TargetMode="External"/><Relationship Id="rId1" Type="http://schemas.openxmlformats.org/officeDocument/2006/relationships/externalLinkPath" Target="/Users/austi/Documents/eCO2R%20TEA%20Code/ecor-tea/Input/FBA_OverallSummary-UPDATED_2022-02-13AZ-withM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Results"/>
      <sheetName val="Product Parameters"/>
      <sheetName val="Product Naming"/>
    </sheetNames>
    <sheetDataSet>
      <sheetData sheetId="0" refreshError="1"/>
      <sheetData sheetId="1" refreshError="1"/>
      <sheetData sheetId="2">
        <row r="1">
          <cell r="A1" t="str">
            <v>1-3-Butanediol-PW1</v>
          </cell>
          <cell r="B1" t="str">
            <v>1-3-butanediol-PW1</v>
          </cell>
          <cell r="C1" t="str">
            <v>1,3-Butanediol (PW1)</v>
          </cell>
          <cell r="D1" t="str">
            <v>E</v>
          </cell>
          <cell r="E1" t="str">
            <v>C4H10O2</v>
          </cell>
          <cell r="F1">
            <v>4</v>
          </cell>
          <cell r="G1">
            <v>10</v>
          </cell>
          <cell r="H1">
            <v>2</v>
          </cell>
          <cell r="I1">
            <v>0</v>
          </cell>
          <cell r="J1">
            <v>0</v>
          </cell>
          <cell r="K1">
            <v>5.5</v>
          </cell>
          <cell r="L1">
            <v>90.119200000000006</v>
          </cell>
          <cell r="M1">
            <v>207</v>
          </cell>
          <cell r="N1" t="str">
            <v>Diol</v>
          </cell>
          <cell r="O1" t="str">
            <v>Acetyl-CoA</v>
          </cell>
          <cell r="P1" t="str">
            <v>Proton symporter</v>
          </cell>
          <cell r="Q1" t="str">
            <v>13bdo__R_c</v>
          </cell>
        </row>
        <row r="2">
          <cell r="A2" t="str">
            <v>1-3-Butanediol-PW2</v>
          </cell>
          <cell r="B2" t="str">
            <v>1-3-butanediol-PW2</v>
          </cell>
          <cell r="C2" t="str">
            <v>1,3-Butanediol (PW2)</v>
          </cell>
          <cell r="D2" t="str">
            <v>E</v>
          </cell>
          <cell r="E2" t="str">
            <v>C4H10O2</v>
          </cell>
          <cell r="F2">
            <v>4</v>
          </cell>
          <cell r="G2">
            <v>10</v>
          </cell>
          <cell r="H2">
            <v>2</v>
          </cell>
          <cell r="I2">
            <v>0</v>
          </cell>
          <cell r="J2">
            <v>0</v>
          </cell>
          <cell r="K2">
            <v>5.5</v>
          </cell>
          <cell r="L2">
            <v>90.119200000000006</v>
          </cell>
          <cell r="M2">
            <v>207</v>
          </cell>
          <cell r="N2" t="str">
            <v>Diol</v>
          </cell>
          <cell r="O2" t="str">
            <v>Pyruvate (acetalehyde)</v>
          </cell>
          <cell r="P2" t="str">
            <v>Proton symporter</v>
          </cell>
          <cell r="Q2" t="str">
            <v>13bdo__R_c</v>
          </cell>
        </row>
        <row r="3">
          <cell r="A3" t="str">
            <v>1-3-Diaminopropane</v>
          </cell>
          <cell r="B3" t="str">
            <v>1-3-Diaminopropane</v>
          </cell>
          <cell r="C3" t="str">
            <v>1,3-Diaminopropane</v>
          </cell>
          <cell r="D3" t="str">
            <v>A</v>
          </cell>
          <cell r="E3" t="str">
            <v>C3H12N2</v>
          </cell>
          <cell r="F3">
            <v>3</v>
          </cell>
          <cell r="G3">
            <v>12</v>
          </cell>
          <cell r="H3">
            <v>0</v>
          </cell>
          <cell r="I3">
            <v>2</v>
          </cell>
          <cell r="J3">
            <v>2</v>
          </cell>
          <cell r="K3">
            <v>6</v>
          </cell>
          <cell r="L3">
            <v>76.139580000000009</v>
          </cell>
          <cell r="M3">
            <v>139.30000000000001</v>
          </cell>
          <cell r="N3" t="str">
            <v>Diamine</v>
          </cell>
          <cell r="O3" t="str">
            <v>Oxaloacetate + aKG</v>
          </cell>
          <cell r="P3" t="str">
            <v>Proton symporter</v>
          </cell>
          <cell r="Q3" t="str">
            <v>13dampp_c</v>
          </cell>
        </row>
        <row r="4">
          <cell r="A4" t="str">
            <v>1-3-Propanediol</v>
          </cell>
          <cell r="B4" t="str">
            <v>1-3-Propanediol</v>
          </cell>
          <cell r="C4" t="str">
            <v>1,3-Propanediol</v>
          </cell>
          <cell r="D4" t="str">
            <v>A</v>
          </cell>
          <cell r="E4" t="str">
            <v>C3H8O2</v>
          </cell>
          <cell r="F4">
            <v>3</v>
          </cell>
          <cell r="G4">
            <v>8</v>
          </cell>
          <cell r="H4">
            <v>2</v>
          </cell>
          <cell r="I4">
            <v>0</v>
          </cell>
          <cell r="J4">
            <v>0</v>
          </cell>
          <cell r="K4">
            <v>5.333333333333333</v>
          </cell>
          <cell r="L4">
            <v>76.092820000000003</v>
          </cell>
          <cell r="M4">
            <v>213</v>
          </cell>
          <cell r="N4" t="str">
            <v>Diol</v>
          </cell>
          <cell r="O4" t="str">
            <v>Glyceraldehyde 3-P</v>
          </cell>
          <cell r="P4" t="str">
            <v>Proton symporter</v>
          </cell>
          <cell r="Q4" t="str">
            <v>13ppd_c</v>
          </cell>
        </row>
        <row r="5">
          <cell r="A5" t="str">
            <v>1-4-Butanediol</v>
          </cell>
          <cell r="B5" t="str">
            <v>1-4-butanediol</v>
          </cell>
          <cell r="C5" t="str">
            <v>1,4-Butanediol</v>
          </cell>
          <cell r="D5" t="str">
            <v>E</v>
          </cell>
          <cell r="E5" t="str">
            <v>C4H10O2</v>
          </cell>
          <cell r="F5">
            <v>4</v>
          </cell>
          <cell r="G5">
            <v>10</v>
          </cell>
          <cell r="H5">
            <v>2</v>
          </cell>
          <cell r="I5">
            <v>0</v>
          </cell>
          <cell r="J5">
            <v>0</v>
          </cell>
          <cell r="K5">
            <v>5.5</v>
          </cell>
          <cell r="L5">
            <v>90.119200000000006</v>
          </cell>
          <cell r="M5">
            <v>230</v>
          </cell>
          <cell r="N5" t="str">
            <v>Diol</v>
          </cell>
          <cell r="O5" t="str">
            <v>aKG</v>
          </cell>
          <cell r="P5" t="str">
            <v>Proton symporter</v>
          </cell>
          <cell r="Q5" t="str">
            <v>14bdo_c</v>
          </cell>
        </row>
        <row r="6">
          <cell r="A6" t="str">
            <v>1-Propanol-PW1</v>
          </cell>
          <cell r="B6" t="str">
            <v>1-propanol-PW1</v>
          </cell>
          <cell r="C6" t="str">
            <v>1-Propanol (PW1)</v>
          </cell>
          <cell r="D6" t="str">
            <v>E-S</v>
          </cell>
          <cell r="E6" t="str">
            <v>C3H8O</v>
          </cell>
          <cell r="F6">
            <v>3</v>
          </cell>
          <cell r="G6">
            <v>8</v>
          </cell>
          <cell r="H6">
            <v>1</v>
          </cell>
          <cell r="I6">
            <v>0</v>
          </cell>
          <cell r="J6">
            <v>0</v>
          </cell>
          <cell r="K6">
            <v>6</v>
          </cell>
          <cell r="L6">
            <v>60.093820000000001</v>
          </cell>
          <cell r="M6">
            <v>97</v>
          </cell>
          <cell r="N6" t="str">
            <v>Alcohol</v>
          </cell>
          <cell r="O6" t="str">
            <v>Glyceraldehyde 3-P (--&gt;DHAP)</v>
          </cell>
          <cell r="P6" t="str">
            <v>Proton symporter</v>
          </cell>
          <cell r="Q6" t="str">
            <v>ppoh_c</v>
          </cell>
        </row>
        <row r="7">
          <cell r="A7" t="str">
            <v>1-Propanol-PW2</v>
          </cell>
          <cell r="B7" t="str">
            <v>1-propanol-PW2</v>
          </cell>
          <cell r="C7" t="str">
            <v>1-Propanol (PW2)</v>
          </cell>
          <cell r="D7" t="str">
            <v>E-S</v>
          </cell>
          <cell r="E7" t="str">
            <v>C3H8O</v>
          </cell>
          <cell r="F7">
            <v>3</v>
          </cell>
          <cell r="G7">
            <v>8</v>
          </cell>
          <cell r="H7">
            <v>1</v>
          </cell>
          <cell r="I7">
            <v>0</v>
          </cell>
          <cell r="J7">
            <v>0</v>
          </cell>
          <cell r="K7">
            <v>6</v>
          </cell>
          <cell r="L7">
            <v>60.093820000000001</v>
          </cell>
          <cell r="M7">
            <v>97</v>
          </cell>
          <cell r="N7" t="str">
            <v>Alcohol</v>
          </cell>
          <cell r="O7" t="str">
            <v>Oxaloacetate</v>
          </cell>
          <cell r="P7" t="str">
            <v>Proton symporter</v>
          </cell>
          <cell r="Q7" t="str">
            <v>ppoh_c</v>
          </cell>
        </row>
        <row r="8">
          <cell r="A8" t="str">
            <v>2-3-Butanediol</v>
          </cell>
          <cell r="B8" t="str">
            <v>2-3-butanediol</v>
          </cell>
          <cell r="C8" t="str">
            <v>2,3-Butanediol</v>
          </cell>
          <cell r="D8" t="str">
            <v>E</v>
          </cell>
          <cell r="E8" t="str">
            <v>C4H10O2</v>
          </cell>
          <cell r="F8">
            <v>4</v>
          </cell>
          <cell r="G8">
            <v>10</v>
          </cell>
          <cell r="H8">
            <v>2</v>
          </cell>
          <cell r="I8">
            <v>0</v>
          </cell>
          <cell r="J8">
            <v>0</v>
          </cell>
          <cell r="K8">
            <v>5.5</v>
          </cell>
          <cell r="L8">
            <v>90.119200000000006</v>
          </cell>
          <cell r="M8">
            <v>177</v>
          </cell>
          <cell r="N8" t="str">
            <v>Diol</v>
          </cell>
          <cell r="O8" t="str">
            <v>Pyruvate</v>
          </cell>
          <cell r="P8" t="str">
            <v>Proton symporter</v>
          </cell>
          <cell r="Q8" t="str">
            <v>btd_RR_c</v>
          </cell>
        </row>
        <row r="9">
          <cell r="A9" t="str">
            <v>2-Methyl-1-Butanol</v>
          </cell>
          <cell r="B9" t="str">
            <v>2-Methyl-1-Butanol</v>
          </cell>
          <cell r="C9" t="str">
            <v>2-Methyl-1-butanol</v>
          </cell>
          <cell r="D9" t="str">
            <v>A</v>
          </cell>
          <cell r="E9" t="str">
            <v>C5H12O</v>
          </cell>
          <cell r="F9">
            <v>5</v>
          </cell>
          <cell r="G9">
            <v>12</v>
          </cell>
          <cell r="H9">
            <v>1</v>
          </cell>
          <cell r="I9">
            <v>0</v>
          </cell>
          <cell r="J9">
            <v>0</v>
          </cell>
          <cell r="K9">
            <v>6</v>
          </cell>
          <cell r="L9">
            <v>88.14658</v>
          </cell>
          <cell r="M9">
            <v>129</v>
          </cell>
          <cell r="N9" t="str">
            <v>Alcohol</v>
          </cell>
          <cell r="O9" t="str">
            <v>PEP</v>
          </cell>
          <cell r="P9" t="str">
            <v>Proton symporter</v>
          </cell>
          <cell r="Q9" t="str">
            <v>2mbtoh_c</v>
          </cell>
        </row>
        <row r="10">
          <cell r="A10" t="str">
            <v>2-Pyrone-4-6-Dicarboxylate</v>
          </cell>
          <cell r="B10" t="str">
            <v>2-Pyrone-4-6-Dicarboxylate</v>
          </cell>
          <cell r="C10" t="str">
            <v>2-Pyrone 4,6-dicarboxylate</v>
          </cell>
          <cell r="D10" t="str">
            <v>A</v>
          </cell>
          <cell r="E10" t="str">
            <v>C7H2O6</v>
          </cell>
          <cell r="F10">
            <v>7</v>
          </cell>
          <cell r="G10">
            <v>2</v>
          </cell>
          <cell r="H10">
            <v>6</v>
          </cell>
          <cell r="I10">
            <v>0</v>
          </cell>
          <cell r="J10">
            <v>-2</v>
          </cell>
          <cell r="K10">
            <v>2.5714285714285716</v>
          </cell>
          <cell r="L10">
            <v>182.08458000000002</v>
          </cell>
          <cell r="M10">
            <v>355.5</v>
          </cell>
          <cell r="N10" t="str">
            <v>Dicarboxylate</v>
          </cell>
          <cell r="O10" t="str">
            <v>Glyceraldehyde 3-P</v>
          </cell>
          <cell r="P10" t="str">
            <v>Proton symporter</v>
          </cell>
          <cell r="Q10" t="str">
            <v>2p46dc_c</v>
          </cell>
        </row>
        <row r="11">
          <cell r="A11" t="str">
            <v>3-Methyl-1-Pentanol</v>
          </cell>
          <cell r="B11" t="str">
            <v>3-Methyl-1-Pentanol</v>
          </cell>
          <cell r="C11" t="str">
            <v>3-Methyl-1-pentanol</v>
          </cell>
          <cell r="D11" t="str">
            <v>A</v>
          </cell>
          <cell r="E11" t="str">
            <v>C6H14O</v>
          </cell>
          <cell r="F11">
            <v>6</v>
          </cell>
          <cell r="G11">
            <v>14</v>
          </cell>
          <cell r="H11">
            <v>1</v>
          </cell>
          <cell r="I11">
            <v>0</v>
          </cell>
          <cell r="J11">
            <v>0</v>
          </cell>
          <cell r="K11">
            <v>6</v>
          </cell>
          <cell r="L11">
            <v>102.17295999999999</v>
          </cell>
          <cell r="M11">
            <v>153</v>
          </cell>
          <cell r="N11" t="str">
            <v>Alcohol</v>
          </cell>
          <cell r="O11" t="str">
            <v>Oxaloacetate</v>
          </cell>
          <cell r="P11" t="str">
            <v>Proton symporter</v>
          </cell>
          <cell r="Q11" t="str">
            <v>3mptoh_c</v>
          </cell>
        </row>
        <row r="12">
          <cell r="A12" t="str">
            <v>4-Hydroxystyrene</v>
          </cell>
          <cell r="B12" t="str">
            <v>4-Hydroxystyrene</v>
          </cell>
          <cell r="C12" t="str">
            <v>4-Hydroxystyrene</v>
          </cell>
          <cell r="D12" t="str">
            <v>E</v>
          </cell>
          <cell r="E12" t="str">
            <v>C8H8O</v>
          </cell>
          <cell r="F12">
            <v>8</v>
          </cell>
          <cell r="G12">
            <v>8</v>
          </cell>
          <cell r="H12">
            <v>1</v>
          </cell>
          <cell r="I12">
            <v>0</v>
          </cell>
          <cell r="J12">
            <v>0</v>
          </cell>
          <cell r="K12">
            <v>4.75</v>
          </cell>
          <cell r="L12">
            <v>120.14731999999999</v>
          </cell>
          <cell r="M12">
            <v>229</v>
          </cell>
          <cell r="N12" t="str">
            <v>Aromatic + Alcohol</v>
          </cell>
          <cell r="O12" t="str">
            <v>E4P + L-glutamate</v>
          </cell>
          <cell r="P12" t="str">
            <v>Proton symporter</v>
          </cell>
          <cell r="Q12" t="str">
            <v>4hxst_c</v>
          </cell>
        </row>
        <row r="13">
          <cell r="A13" t="str">
            <v>5-Aminopentanoate</v>
          </cell>
          <cell r="B13" t="str">
            <v>5-Aminopentanoate</v>
          </cell>
          <cell r="C13" t="str">
            <v>5-Aminopentanoate</v>
          </cell>
          <cell r="D13" t="str">
            <v>A</v>
          </cell>
          <cell r="E13" t="str">
            <v>C5H11NO2</v>
          </cell>
          <cell r="F13">
            <v>5</v>
          </cell>
          <cell r="G13">
            <v>11</v>
          </cell>
          <cell r="H13">
            <v>2</v>
          </cell>
          <cell r="I13">
            <v>1</v>
          </cell>
          <cell r="J13">
            <v>0</v>
          </cell>
          <cell r="K13">
            <v>4.8</v>
          </cell>
          <cell r="L13">
            <v>117.14444</v>
          </cell>
          <cell r="M13">
            <v>247.5</v>
          </cell>
          <cell r="N13" t="str">
            <v>D-Amino Acid</v>
          </cell>
          <cell r="O13" t="str">
            <v>Oxaloacetate</v>
          </cell>
          <cell r="P13" t="str">
            <v>Proton symporter</v>
          </cell>
          <cell r="Q13" t="str">
            <v>5aptn_c</v>
          </cell>
        </row>
        <row r="14">
          <cell r="A14" t="str">
            <v>Acetone</v>
          </cell>
          <cell r="B14" t="str">
            <v>Acetone</v>
          </cell>
          <cell r="C14" t="str">
            <v>Acetone</v>
          </cell>
          <cell r="D14" t="str">
            <v>A</v>
          </cell>
          <cell r="E14" t="str">
            <v>C3H6O</v>
          </cell>
          <cell r="F14">
            <v>3</v>
          </cell>
          <cell r="G14">
            <v>6</v>
          </cell>
          <cell r="H14">
            <v>1</v>
          </cell>
          <cell r="I14">
            <v>0</v>
          </cell>
          <cell r="J14">
            <v>0</v>
          </cell>
          <cell r="K14">
            <v>5.333333333333333</v>
          </cell>
          <cell r="L14">
            <v>58.078140000000005</v>
          </cell>
          <cell r="M14">
            <v>56</v>
          </cell>
          <cell r="N14" t="str">
            <v>Ketone</v>
          </cell>
          <cell r="O14" t="str">
            <v>Acetyl-CoA</v>
          </cell>
          <cell r="P14" t="str">
            <v>Proton symporter</v>
          </cell>
          <cell r="Q14" t="str">
            <v>acetone_c</v>
          </cell>
        </row>
        <row r="15">
          <cell r="A15" t="str">
            <v>Acrylate-PW1</v>
          </cell>
          <cell r="B15" t="str">
            <v>Acrylate-PW1</v>
          </cell>
          <cell r="C15" t="str">
            <v>Acrylate (PW1)</v>
          </cell>
          <cell r="D15" t="str">
            <v>A</v>
          </cell>
          <cell r="E15" t="str">
            <v>C3H3O2</v>
          </cell>
          <cell r="F15">
            <v>3</v>
          </cell>
          <cell r="G15">
            <v>3</v>
          </cell>
          <cell r="H15">
            <v>2</v>
          </cell>
          <cell r="I15">
            <v>0</v>
          </cell>
          <cell r="J15">
            <v>-1</v>
          </cell>
          <cell r="K15">
            <v>3.6666666666666665</v>
          </cell>
          <cell r="L15">
            <v>71.053619999999995</v>
          </cell>
          <cell r="M15">
            <v>80</v>
          </cell>
          <cell r="N15" t="str">
            <v>Carboxylate</v>
          </cell>
          <cell r="O15" t="str">
            <v>Glyceraldehyde 3-P</v>
          </cell>
          <cell r="P15" t="str">
            <v>Proton symporter</v>
          </cell>
          <cell r="Q15" t="str">
            <v>acryl_c</v>
          </cell>
        </row>
        <row r="16">
          <cell r="A16" t="str">
            <v>Acrylate-PW2</v>
          </cell>
          <cell r="B16" t="str">
            <v>Acrylate-PW2</v>
          </cell>
          <cell r="C16" t="str">
            <v>Acrylate (PW2)</v>
          </cell>
          <cell r="D16" t="str">
            <v>A</v>
          </cell>
          <cell r="E16" t="str">
            <v>C3H3O2</v>
          </cell>
          <cell r="F16">
            <v>3</v>
          </cell>
          <cell r="G16">
            <v>3</v>
          </cell>
          <cell r="H16">
            <v>2</v>
          </cell>
          <cell r="I16">
            <v>0</v>
          </cell>
          <cell r="J16">
            <v>-1</v>
          </cell>
          <cell r="K16">
            <v>3.6666666666666665</v>
          </cell>
          <cell r="L16">
            <v>71.053619999999995</v>
          </cell>
          <cell r="M16">
            <v>80</v>
          </cell>
          <cell r="N16" t="str">
            <v>Carboxylate</v>
          </cell>
          <cell r="O16" t="str">
            <v>Pyruvate</v>
          </cell>
          <cell r="P16" t="str">
            <v>Proton symporter</v>
          </cell>
          <cell r="Q16" t="str">
            <v>acryl_c</v>
          </cell>
        </row>
        <row r="17">
          <cell r="A17" t="str">
            <v>Adipate</v>
          </cell>
          <cell r="B17" t="str">
            <v>Adipate</v>
          </cell>
          <cell r="C17" t="str">
            <v>Adipate</v>
          </cell>
          <cell r="D17" t="str">
            <v>E</v>
          </cell>
          <cell r="E17" t="str">
            <v>C6H8O4</v>
          </cell>
          <cell r="F17">
            <v>6</v>
          </cell>
          <cell r="G17">
            <v>8</v>
          </cell>
          <cell r="H17">
            <v>4</v>
          </cell>
          <cell r="I17">
            <v>0</v>
          </cell>
          <cell r="J17">
            <v>-2</v>
          </cell>
          <cell r="K17">
            <v>4</v>
          </cell>
          <cell r="L17">
            <v>144.12291999999999</v>
          </cell>
          <cell r="M17">
            <v>337.5</v>
          </cell>
          <cell r="N17" t="str">
            <v>Dicarboxylate</v>
          </cell>
          <cell r="O17" t="str">
            <v>Glyceraldehyde 3-P</v>
          </cell>
          <cell r="P17" t="str">
            <v>Proton symporter</v>
          </cell>
          <cell r="Q17" t="str">
            <v>adpac_c</v>
          </cell>
        </row>
        <row r="18">
          <cell r="A18" t="str">
            <v>Benzoate-PW1</v>
          </cell>
          <cell r="B18" t="str">
            <v>Benzoate-PW1</v>
          </cell>
          <cell r="C18" t="str">
            <v>Benzoate (PW1)</v>
          </cell>
          <cell r="D18" t="str">
            <v>A</v>
          </cell>
          <cell r="E18" t="str">
            <v>C7H5O2</v>
          </cell>
          <cell r="F18">
            <v>7</v>
          </cell>
          <cell r="G18">
            <v>5</v>
          </cell>
          <cell r="H18">
            <v>2</v>
          </cell>
          <cell r="I18">
            <v>0</v>
          </cell>
          <cell r="J18">
            <v>-1</v>
          </cell>
          <cell r="K18">
            <v>4.1428571428571432</v>
          </cell>
          <cell r="L18">
            <v>121.1121</v>
          </cell>
          <cell r="M18">
            <v>249.2</v>
          </cell>
          <cell r="N18" t="str">
            <v>Aromatic + Carboxylate</v>
          </cell>
          <cell r="O18" t="str">
            <v>E4P + aKG</v>
          </cell>
          <cell r="P18" t="str">
            <v>Proton symporter</v>
          </cell>
          <cell r="Q18" t="str">
            <v>bz_c</v>
          </cell>
        </row>
        <row r="19">
          <cell r="A19" t="str">
            <v>Benzoate-PW2</v>
          </cell>
          <cell r="B19" t="str">
            <v>Benzoate-PW2</v>
          </cell>
          <cell r="C19" t="str">
            <v>Benzoate (PW2)</v>
          </cell>
          <cell r="D19" t="str">
            <v>A</v>
          </cell>
          <cell r="E19" t="str">
            <v>C7H5O2</v>
          </cell>
          <cell r="F19">
            <v>7</v>
          </cell>
          <cell r="G19">
            <v>5</v>
          </cell>
          <cell r="H19">
            <v>2</v>
          </cell>
          <cell r="I19">
            <v>0</v>
          </cell>
          <cell r="J19">
            <v>-1</v>
          </cell>
          <cell r="K19">
            <v>4.1428571428571432</v>
          </cell>
          <cell r="L19">
            <v>121.1121</v>
          </cell>
          <cell r="M19">
            <v>249.2</v>
          </cell>
          <cell r="N19" t="str">
            <v>Aromatic + Carboxylate</v>
          </cell>
          <cell r="O19" t="str">
            <v>E4P + aKG</v>
          </cell>
          <cell r="P19" t="str">
            <v>Proton symporter</v>
          </cell>
          <cell r="Q19" t="str">
            <v>bz_c</v>
          </cell>
        </row>
        <row r="20">
          <cell r="A20" t="str">
            <v>BenzylAlcohol</v>
          </cell>
          <cell r="B20" t="str">
            <v>Benzyl alcohol</v>
          </cell>
          <cell r="C20" t="str">
            <v>Benzyl alcohol</v>
          </cell>
          <cell r="D20" t="str">
            <v>E</v>
          </cell>
          <cell r="E20" t="str">
            <v>C7H8O</v>
          </cell>
          <cell r="F20">
            <v>7</v>
          </cell>
          <cell r="G20">
            <v>8</v>
          </cell>
          <cell r="H20">
            <v>1</v>
          </cell>
          <cell r="I20">
            <v>0</v>
          </cell>
          <cell r="J20">
            <v>0</v>
          </cell>
          <cell r="K20">
            <v>4.8571428571428568</v>
          </cell>
          <cell r="L20">
            <v>108.13661999999999</v>
          </cell>
          <cell r="M20">
            <v>205</v>
          </cell>
          <cell r="N20" t="str">
            <v>Aromatic + Alcohol</v>
          </cell>
          <cell r="O20" t="str">
            <v>E4P</v>
          </cell>
          <cell r="P20" t="str">
            <v>Proton symporter</v>
          </cell>
          <cell r="Q20" t="str">
            <v>bzalc_c</v>
          </cell>
        </row>
        <row r="21">
          <cell r="A21" t="str">
            <v>BetaCarotene</v>
          </cell>
          <cell r="B21" t="str">
            <v>BetaCarotene</v>
          </cell>
          <cell r="C21" t="str">
            <v>Beta carotene</v>
          </cell>
          <cell r="D21" t="str">
            <v>A</v>
          </cell>
          <cell r="E21" t="str">
            <v>C40H56</v>
          </cell>
          <cell r="F21">
            <v>40</v>
          </cell>
          <cell r="G21">
            <v>56</v>
          </cell>
          <cell r="H21">
            <v>0</v>
          </cell>
          <cell r="I21">
            <v>0</v>
          </cell>
          <cell r="J21">
            <v>0</v>
          </cell>
          <cell r="K21">
            <v>5.4</v>
          </cell>
          <cell r="L21">
            <v>536.86703999999997</v>
          </cell>
          <cell r="M21">
            <v>633</v>
          </cell>
          <cell r="N21" t="str">
            <v>Hydrocarbon</v>
          </cell>
          <cell r="O21" t="str">
            <v>Acetyl-CoA</v>
          </cell>
          <cell r="P21" t="str">
            <v>ABC Transporter</v>
          </cell>
          <cell r="Q21" t="str">
            <v>caro_c</v>
          </cell>
        </row>
        <row r="22">
          <cell r="A22" t="str">
            <v>Butane</v>
          </cell>
          <cell r="B22" t="str">
            <v>Butane</v>
          </cell>
          <cell r="C22" t="str">
            <v>Butane</v>
          </cell>
          <cell r="D22" t="str">
            <v>E</v>
          </cell>
          <cell r="E22" t="str">
            <v>C4H10</v>
          </cell>
          <cell r="F22">
            <v>4</v>
          </cell>
          <cell r="G22">
            <v>10</v>
          </cell>
          <cell r="H22">
            <v>0</v>
          </cell>
          <cell r="I22">
            <v>0</v>
          </cell>
          <cell r="J22">
            <v>0</v>
          </cell>
          <cell r="K22">
            <v>6.5</v>
          </cell>
          <cell r="L22">
            <v>58.121200000000002</v>
          </cell>
          <cell r="M22">
            <v>-1</v>
          </cell>
          <cell r="N22" t="str">
            <v>Hydrocarbon (alkane)</v>
          </cell>
          <cell r="O22" t="str">
            <v>Acetyl-CoA + Succinyl-CoA</v>
          </cell>
          <cell r="P22" t="str">
            <v>Diffusion</v>
          </cell>
          <cell r="Q22" t="str">
            <v>butn_c</v>
          </cell>
        </row>
        <row r="23">
          <cell r="A23" t="str">
            <v>Butanol-PW1</v>
          </cell>
          <cell r="B23" t="str">
            <v>Butanol-PW1</v>
          </cell>
          <cell r="C23" t="str">
            <v>Butanol (PW1)</v>
          </cell>
          <cell r="D23" t="str">
            <v>E</v>
          </cell>
          <cell r="E23" t="str">
            <v>C4H10O</v>
          </cell>
          <cell r="F23">
            <v>4</v>
          </cell>
          <cell r="G23">
            <v>10</v>
          </cell>
          <cell r="H23">
            <v>1</v>
          </cell>
          <cell r="I23">
            <v>0</v>
          </cell>
          <cell r="J23">
            <v>0</v>
          </cell>
          <cell r="K23">
            <v>6</v>
          </cell>
          <cell r="L23">
            <v>74.120199999999997</v>
          </cell>
          <cell r="M23">
            <v>117.7</v>
          </cell>
          <cell r="N23" t="str">
            <v>Alcohol</v>
          </cell>
          <cell r="O23" t="str">
            <v>Acetyl-CoA</v>
          </cell>
          <cell r="P23" t="str">
            <v>Proton symporter</v>
          </cell>
          <cell r="Q23" t="str">
            <v>btoh_c</v>
          </cell>
        </row>
        <row r="24">
          <cell r="A24" t="str">
            <v>Butanol-PW2</v>
          </cell>
          <cell r="B24" t="str">
            <v>Butanol-PW2</v>
          </cell>
          <cell r="C24" t="str">
            <v>Butanol (PW2)</v>
          </cell>
          <cell r="D24" t="str">
            <v>E</v>
          </cell>
          <cell r="E24" t="str">
            <v>C4H10O</v>
          </cell>
          <cell r="F24">
            <v>4</v>
          </cell>
          <cell r="G24">
            <v>10</v>
          </cell>
          <cell r="H24">
            <v>1</v>
          </cell>
          <cell r="I24">
            <v>0</v>
          </cell>
          <cell r="J24">
            <v>0</v>
          </cell>
          <cell r="K24">
            <v>6</v>
          </cell>
          <cell r="L24">
            <v>74.120199999999997</v>
          </cell>
          <cell r="M24">
            <v>117.7</v>
          </cell>
          <cell r="N24" t="str">
            <v>Alcohol</v>
          </cell>
          <cell r="O24" t="str">
            <v>Oxaloacetate</v>
          </cell>
          <cell r="P24" t="str">
            <v>Proton symporter</v>
          </cell>
          <cell r="Q24" t="str">
            <v>btoh_c</v>
          </cell>
        </row>
        <row r="25">
          <cell r="A25" t="str">
            <v>Butyrate</v>
          </cell>
          <cell r="B25" t="str">
            <v>Butyrate</v>
          </cell>
          <cell r="C25" t="str">
            <v>Butyrate</v>
          </cell>
          <cell r="D25" t="str">
            <v>A</v>
          </cell>
          <cell r="E25" t="str">
            <v>C4H7O2</v>
          </cell>
          <cell r="F25">
            <v>4</v>
          </cell>
          <cell r="G25">
            <v>7</v>
          </cell>
          <cell r="H25">
            <v>2</v>
          </cell>
          <cell r="I25">
            <v>0</v>
          </cell>
          <cell r="J25">
            <v>-1</v>
          </cell>
          <cell r="K25">
            <v>4.75</v>
          </cell>
          <cell r="L25">
            <v>87.095680000000002</v>
          </cell>
          <cell r="M25">
            <v>163.5</v>
          </cell>
          <cell r="N25" t="str">
            <v>Carboxylate</v>
          </cell>
          <cell r="O25" t="str">
            <v>Acetyl-CoA</v>
          </cell>
          <cell r="P25" t="str">
            <v>Proton symporter</v>
          </cell>
          <cell r="Q25" t="str">
            <v>but_c</v>
          </cell>
        </row>
        <row r="26">
          <cell r="A26" t="str">
            <v>Catechol</v>
          </cell>
          <cell r="B26" t="str">
            <v>Catechol</v>
          </cell>
          <cell r="C26" t="str">
            <v>Catechol</v>
          </cell>
          <cell r="D26" t="str">
            <v>E</v>
          </cell>
          <cell r="E26" t="str">
            <v>C6H6O2</v>
          </cell>
          <cell r="F26">
            <v>6</v>
          </cell>
          <cell r="G26">
            <v>6</v>
          </cell>
          <cell r="H26">
            <v>2</v>
          </cell>
          <cell r="I26">
            <v>0</v>
          </cell>
          <cell r="J26">
            <v>0</v>
          </cell>
          <cell r="K26">
            <v>4.333333333333333</v>
          </cell>
          <cell r="L26">
            <v>110.10924</v>
          </cell>
          <cell r="M26">
            <v>245</v>
          </cell>
          <cell r="N26" t="str">
            <v>Aromatic + Diol</v>
          </cell>
          <cell r="O26" t="str">
            <v>Glyceraldehyde 3-P</v>
          </cell>
          <cell r="P26" t="str">
            <v>Proton symporter</v>
          </cell>
          <cell r="Q26" t="str">
            <v>catechol_c</v>
          </cell>
        </row>
        <row r="27">
          <cell r="A27" t="str">
            <v>ciscisMuconate</v>
          </cell>
          <cell r="B27" t="str">
            <v>ciscisMuconate</v>
          </cell>
          <cell r="C27" t="str">
            <v>cis,cis-Muconate</v>
          </cell>
          <cell r="D27" t="str">
            <v>A</v>
          </cell>
          <cell r="E27" t="str">
            <v>C6H4O4</v>
          </cell>
          <cell r="F27">
            <v>6</v>
          </cell>
          <cell r="G27">
            <v>4</v>
          </cell>
          <cell r="H27">
            <v>4</v>
          </cell>
          <cell r="I27">
            <v>0</v>
          </cell>
          <cell r="J27">
            <v>-2</v>
          </cell>
          <cell r="K27">
            <v>3.3333333333333335</v>
          </cell>
          <cell r="L27">
            <v>140.09156000000002</v>
          </cell>
          <cell r="M27">
            <v>345.4</v>
          </cell>
          <cell r="N27" t="str">
            <v>Dicarboxylate</v>
          </cell>
          <cell r="O27" t="str">
            <v>Glyceraldehyde 3-P</v>
          </cell>
          <cell r="P27" t="str">
            <v>Proton symporter</v>
          </cell>
          <cell r="Q27" t="str">
            <v>ccmuac_c</v>
          </cell>
        </row>
        <row r="28">
          <cell r="A28" t="str">
            <v>Citrate</v>
          </cell>
          <cell r="B28" t="str">
            <v>Citrate</v>
          </cell>
          <cell r="C28" t="str">
            <v>Citrate</v>
          </cell>
          <cell r="D28" t="str">
            <v>iJO1366</v>
          </cell>
          <cell r="E28" t="str">
            <v>C6H5O7</v>
          </cell>
          <cell r="F28">
            <v>6</v>
          </cell>
          <cell r="G28">
            <v>5</v>
          </cell>
          <cell r="H28">
            <v>7</v>
          </cell>
          <cell r="I28">
            <v>0</v>
          </cell>
          <cell r="J28">
            <v>-3</v>
          </cell>
          <cell r="K28">
            <v>2.5</v>
          </cell>
          <cell r="L28">
            <v>189.09640000000002</v>
          </cell>
          <cell r="M28" t="str">
            <v>NA</v>
          </cell>
          <cell r="N28" t="str">
            <v>Tricarboxylate + Alcohol</v>
          </cell>
          <cell r="O28" t="str">
            <v>Acetyl-CoA</v>
          </cell>
          <cell r="P28" t="str">
            <v>Proton antiport</v>
          </cell>
          <cell r="Q28" t="str">
            <v>cit_c</v>
          </cell>
        </row>
        <row r="29">
          <cell r="A29" t="str">
            <v>CoumaricAcid</v>
          </cell>
          <cell r="B29" t="str">
            <v>Coumaric acid</v>
          </cell>
          <cell r="C29" t="str">
            <v>Coumaric acid</v>
          </cell>
          <cell r="D29" t="str">
            <v>E</v>
          </cell>
          <cell r="E29" t="str">
            <v>C9H7O3</v>
          </cell>
          <cell r="F29">
            <v>9</v>
          </cell>
          <cell r="G29">
            <v>7</v>
          </cell>
          <cell r="H29">
            <v>3</v>
          </cell>
          <cell r="I29">
            <v>0</v>
          </cell>
          <cell r="J29">
            <v>-1</v>
          </cell>
          <cell r="K29">
            <v>4.1111111111111107</v>
          </cell>
          <cell r="L29">
            <v>163.14818</v>
          </cell>
          <cell r="M29">
            <v>346</v>
          </cell>
          <cell r="N29" t="str">
            <v>Aromatic + Alcohol + Carboxylate</v>
          </cell>
          <cell r="O29" t="str">
            <v>E4P + L-glutamate</v>
          </cell>
          <cell r="P29" t="str">
            <v>Proton symporter</v>
          </cell>
          <cell r="Q29" t="str">
            <v>T4hcinnm_c</v>
          </cell>
        </row>
        <row r="30">
          <cell r="A30" t="str">
            <v>EthylAcetate</v>
          </cell>
          <cell r="B30" t="str">
            <v>EthylAcetate</v>
          </cell>
          <cell r="C30" t="str">
            <v>Ethyl acetate</v>
          </cell>
          <cell r="D30" t="str">
            <v>E</v>
          </cell>
          <cell r="E30" t="str">
            <v>C4H8O2</v>
          </cell>
          <cell r="F30">
            <v>4</v>
          </cell>
          <cell r="G30">
            <v>8</v>
          </cell>
          <cell r="H30">
            <v>2</v>
          </cell>
          <cell r="I30">
            <v>0</v>
          </cell>
          <cell r="J30">
            <v>0</v>
          </cell>
          <cell r="K30">
            <v>5</v>
          </cell>
          <cell r="L30">
            <v>88.103520000000003</v>
          </cell>
          <cell r="M30">
            <v>77.099999999999994</v>
          </cell>
          <cell r="N30" t="str">
            <v>Carboxylate Ester</v>
          </cell>
          <cell r="O30" t="str">
            <v>Acetyl-CoA</v>
          </cell>
          <cell r="P30" t="str">
            <v>Proton symporter</v>
          </cell>
          <cell r="Q30" t="str">
            <v>aces_c</v>
          </cell>
        </row>
        <row r="31">
          <cell r="A31" t="str">
            <v>Farnesene</v>
          </cell>
          <cell r="B31" t="str">
            <v>Farnesene</v>
          </cell>
          <cell r="C31" t="str">
            <v>Farnesene</v>
          </cell>
          <cell r="D31" t="str">
            <v>A</v>
          </cell>
          <cell r="E31" t="str">
            <v>C15H24</v>
          </cell>
          <cell r="F31">
            <v>15</v>
          </cell>
          <cell r="G31">
            <v>24</v>
          </cell>
          <cell r="H31">
            <v>0</v>
          </cell>
          <cell r="I31">
            <v>0</v>
          </cell>
          <cell r="J31">
            <v>0</v>
          </cell>
          <cell r="K31">
            <v>5.6</v>
          </cell>
          <cell r="L31">
            <v>204.34866000000002</v>
          </cell>
          <cell r="M31" t="str">
            <v>260 (A)/272 (B)</v>
          </cell>
          <cell r="N31" t="str">
            <v>Hydrocarbon</v>
          </cell>
          <cell r="O31" t="str">
            <v>Acetyl-CoA</v>
          </cell>
          <cell r="P31" t="str">
            <v>Proton symporter</v>
          </cell>
          <cell r="Q31" t="str">
            <v>frene_c</v>
          </cell>
        </row>
        <row r="32">
          <cell r="A32" t="str">
            <v>GammaButyrolactone</v>
          </cell>
          <cell r="B32" t="str">
            <v>GammaButyrolactone</v>
          </cell>
          <cell r="C32" t="str">
            <v>Gamma butyrolactone</v>
          </cell>
          <cell r="D32" t="str">
            <v>A</v>
          </cell>
          <cell r="E32" t="str">
            <v>C4H6O2</v>
          </cell>
          <cell r="F32">
            <v>4</v>
          </cell>
          <cell r="G32">
            <v>6</v>
          </cell>
          <cell r="H32">
            <v>2</v>
          </cell>
          <cell r="I32">
            <v>0</v>
          </cell>
          <cell r="J32">
            <v>0</v>
          </cell>
          <cell r="K32">
            <v>4.5</v>
          </cell>
          <cell r="L32">
            <v>86.08784</v>
          </cell>
          <cell r="M32">
            <v>204</v>
          </cell>
          <cell r="N32" t="str">
            <v>Lactone (cyclic ester)</v>
          </cell>
          <cell r="O32" t="str">
            <v>aKG</v>
          </cell>
          <cell r="P32" t="str">
            <v>Proton symporter</v>
          </cell>
          <cell r="Q32" t="str">
            <v>gblt_c</v>
          </cell>
        </row>
        <row r="33">
          <cell r="A33" t="str">
            <v>Glutamate_L</v>
          </cell>
          <cell r="B33" t="str">
            <v>Glutamate_L</v>
          </cell>
          <cell r="C33" t="str">
            <v>L-Glutamate</v>
          </cell>
          <cell r="D33" t="str">
            <v>iJO1366</v>
          </cell>
          <cell r="E33" t="str">
            <v>C5H8NO4</v>
          </cell>
          <cell r="F33">
            <v>5</v>
          </cell>
          <cell r="G33">
            <v>8</v>
          </cell>
          <cell r="H33">
            <v>4</v>
          </cell>
          <cell r="I33">
            <v>1</v>
          </cell>
          <cell r="J33">
            <v>-1</v>
          </cell>
          <cell r="K33">
            <v>3.4</v>
          </cell>
          <cell r="L33">
            <v>146.11892</v>
          </cell>
          <cell r="M33">
            <v>333.8</v>
          </cell>
          <cell r="N33" t="str">
            <v>Amino acid</v>
          </cell>
          <cell r="O33" t="str">
            <v>aKG</v>
          </cell>
          <cell r="P33" t="str">
            <v>Proton symporter</v>
          </cell>
          <cell r="Q33" t="str">
            <v>glu__L_c</v>
          </cell>
        </row>
        <row r="34">
          <cell r="A34" t="str">
            <v>Glutarate</v>
          </cell>
          <cell r="B34" t="str">
            <v>Glutarate</v>
          </cell>
          <cell r="C34" t="str">
            <v>Glutarate</v>
          </cell>
          <cell r="D34" t="str">
            <v>A</v>
          </cell>
          <cell r="E34" t="str">
            <v>C5H6O4</v>
          </cell>
          <cell r="F34">
            <v>5</v>
          </cell>
          <cell r="G34">
            <v>6</v>
          </cell>
          <cell r="H34">
            <v>4</v>
          </cell>
          <cell r="I34">
            <v>0</v>
          </cell>
          <cell r="J34">
            <v>-2</v>
          </cell>
          <cell r="K34">
            <v>3.6</v>
          </cell>
          <cell r="L34">
            <v>130.09654</v>
          </cell>
          <cell r="M34">
            <v>200</v>
          </cell>
          <cell r="N34" t="str">
            <v>Dicarboxylate</v>
          </cell>
          <cell r="O34" t="str">
            <v>Oxaloacetate + aKG</v>
          </cell>
          <cell r="P34" t="str">
            <v>Proton symporter</v>
          </cell>
          <cell r="Q34" t="str">
            <v>glutar_c</v>
          </cell>
        </row>
        <row r="35">
          <cell r="A35" t="str">
            <v>Glycolate</v>
          </cell>
          <cell r="B35" t="str">
            <v>Glycolate</v>
          </cell>
          <cell r="C35" t="str">
            <v>Glycolate</v>
          </cell>
          <cell r="D35" t="str">
            <v>iJO1366</v>
          </cell>
          <cell r="E35" t="str">
            <v>C2H3O3</v>
          </cell>
          <cell r="F35">
            <v>2</v>
          </cell>
          <cell r="G35">
            <v>3</v>
          </cell>
          <cell r="H35">
            <v>3</v>
          </cell>
          <cell r="I35">
            <v>0</v>
          </cell>
          <cell r="J35">
            <v>-1</v>
          </cell>
          <cell r="K35">
            <v>2.5</v>
          </cell>
          <cell r="L35">
            <v>75.041920000000005</v>
          </cell>
          <cell r="M35">
            <v>112</v>
          </cell>
          <cell r="N35" t="str">
            <v>Carboxylate + Alcohol (hydroxy carboxylate)</v>
          </cell>
          <cell r="O35" t="str">
            <v>Glyoxylate (*isocitrate)</v>
          </cell>
          <cell r="P35" t="str">
            <v>Proton symporter</v>
          </cell>
          <cell r="Q35" t="str">
            <v>glyclt_c</v>
          </cell>
        </row>
        <row r="36">
          <cell r="A36" t="str">
            <v>Heptane</v>
          </cell>
          <cell r="B36" t="str">
            <v>Heptane</v>
          </cell>
          <cell r="C36" t="str">
            <v>Heptane</v>
          </cell>
          <cell r="D36" t="str">
            <v>E</v>
          </cell>
          <cell r="E36" t="str">
            <v>C7H16</v>
          </cell>
          <cell r="F36">
            <v>7</v>
          </cell>
          <cell r="G36">
            <v>16</v>
          </cell>
          <cell r="H36">
            <v>0</v>
          </cell>
          <cell r="I36">
            <v>0</v>
          </cell>
          <cell r="J36">
            <v>0</v>
          </cell>
          <cell r="K36">
            <v>6.2857142857142856</v>
          </cell>
          <cell r="L36">
            <v>100.20034</v>
          </cell>
          <cell r="M36">
            <v>98</v>
          </cell>
          <cell r="N36" t="str">
            <v>Hydrocarbon (alkane)</v>
          </cell>
          <cell r="O36" t="str">
            <v>Acetyl-CoA</v>
          </cell>
          <cell r="P36" t="str">
            <v>Proton symporter</v>
          </cell>
          <cell r="Q36" t="str">
            <v>hept_c</v>
          </cell>
        </row>
        <row r="37">
          <cell r="A37" t="str">
            <v>Hexane</v>
          </cell>
          <cell r="B37" t="str">
            <v>Hexane</v>
          </cell>
          <cell r="C37" t="str">
            <v>Hexane</v>
          </cell>
          <cell r="D37" t="str">
            <v>E</v>
          </cell>
          <cell r="E37" t="str">
            <v>C6H14</v>
          </cell>
          <cell r="F37">
            <v>6</v>
          </cell>
          <cell r="G37">
            <v>14</v>
          </cell>
          <cell r="H37">
            <v>0</v>
          </cell>
          <cell r="I37">
            <v>0</v>
          </cell>
          <cell r="J37">
            <v>0</v>
          </cell>
          <cell r="K37">
            <v>6.333333333333333</v>
          </cell>
          <cell r="L37">
            <v>86.173959999999994</v>
          </cell>
          <cell r="M37">
            <v>69</v>
          </cell>
          <cell r="N37" t="str">
            <v>Hydrocarbon (alkane)</v>
          </cell>
          <cell r="O37" t="str">
            <v>Acetyl-CoA + Succinyl-CoA</v>
          </cell>
          <cell r="P37" t="str">
            <v>Proton symporter</v>
          </cell>
          <cell r="Q37" t="str">
            <v>hex_c</v>
          </cell>
        </row>
        <row r="38">
          <cell r="A38" t="str">
            <v>Isobutanol</v>
          </cell>
          <cell r="B38" t="str">
            <v>Isobutanol</v>
          </cell>
          <cell r="C38" t="str">
            <v>Isobutanol</v>
          </cell>
          <cell r="D38" t="str">
            <v>E</v>
          </cell>
          <cell r="E38" t="str">
            <v>C5H10O</v>
          </cell>
          <cell r="F38">
            <v>5</v>
          </cell>
          <cell r="G38">
            <v>10</v>
          </cell>
          <cell r="H38">
            <v>1</v>
          </cell>
          <cell r="I38">
            <v>0</v>
          </cell>
          <cell r="J38">
            <v>0</v>
          </cell>
          <cell r="K38">
            <v>5.6</v>
          </cell>
          <cell r="L38">
            <v>86.130899999999997</v>
          </cell>
          <cell r="M38">
            <v>108</v>
          </cell>
          <cell r="N38" t="str">
            <v>Alcohol</v>
          </cell>
          <cell r="O38" t="str">
            <v>Pyruvate</v>
          </cell>
          <cell r="P38" t="str">
            <v>Proton symporter</v>
          </cell>
          <cell r="Q38" t="str">
            <v>ibutoh_c</v>
          </cell>
        </row>
        <row r="39">
          <cell r="A39" t="str">
            <v>Isobutyrate</v>
          </cell>
          <cell r="B39" t="str">
            <v>Isobutyrate</v>
          </cell>
          <cell r="C39" t="str">
            <v>Isobutyrate</v>
          </cell>
          <cell r="D39" t="str">
            <v>A</v>
          </cell>
          <cell r="E39" t="str">
            <v>C4H7O2</v>
          </cell>
          <cell r="F39">
            <v>4</v>
          </cell>
          <cell r="G39">
            <v>7</v>
          </cell>
          <cell r="H39">
            <v>2</v>
          </cell>
          <cell r="I39">
            <v>0</v>
          </cell>
          <cell r="J39">
            <v>-1</v>
          </cell>
          <cell r="K39">
            <v>4.75</v>
          </cell>
          <cell r="L39">
            <v>87.095680000000002</v>
          </cell>
          <cell r="M39">
            <v>155</v>
          </cell>
          <cell r="N39" t="str">
            <v>Carboxylate</v>
          </cell>
          <cell r="O39" t="str">
            <v>Pyruvate</v>
          </cell>
          <cell r="P39" t="str">
            <v>Proton symporter</v>
          </cell>
          <cell r="Q39" t="str">
            <v>ibt_c</v>
          </cell>
        </row>
        <row r="40">
          <cell r="A40" t="str">
            <v>Isoprene</v>
          </cell>
          <cell r="B40" t="str">
            <v>Isoprene</v>
          </cell>
          <cell r="C40" t="str">
            <v>Isoprene</v>
          </cell>
          <cell r="D40" t="str">
            <v>E</v>
          </cell>
          <cell r="E40" t="str">
            <v>C5H8</v>
          </cell>
          <cell r="F40">
            <v>5</v>
          </cell>
          <cell r="G40">
            <v>8</v>
          </cell>
          <cell r="H40">
            <v>0</v>
          </cell>
          <cell r="I40">
            <v>0</v>
          </cell>
          <cell r="J40">
            <v>0</v>
          </cell>
          <cell r="K40">
            <v>5.6</v>
          </cell>
          <cell r="L40">
            <v>68.116219999999998</v>
          </cell>
          <cell r="M40">
            <v>34.07</v>
          </cell>
          <cell r="N40" t="str">
            <v>Hydrocarbon</v>
          </cell>
          <cell r="O40" t="str">
            <v>Acetyl-CoA</v>
          </cell>
          <cell r="P40" t="str">
            <v>Diffusion</v>
          </cell>
          <cell r="Q40" t="str">
            <v>iprene_c</v>
          </cell>
        </row>
        <row r="41">
          <cell r="A41" t="str">
            <v>Isopropanol</v>
          </cell>
          <cell r="B41" t="str">
            <v>Isopropanol</v>
          </cell>
          <cell r="C41" t="str">
            <v>Isopropanol</v>
          </cell>
          <cell r="D41" t="str">
            <v>A</v>
          </cell>
          <cell r="E41" t="str">
            <v>C3H8O</v>
          </cell>
          <cell r="F41">
            <v>3</v>
          </cell>
          <cell r="G41">
            <v>8</v>
          </cell>
          <cell r="H41">
            <v>1</v>
          </cell>
          <cell r="I41">
            <v>0</v>
          </cell>
          <cell r="J41">
            <v>0</v>
          </cell>
          <cell r="K41">
            <v>6</v>
          </cell>
          <cell r="L41">
            <v>60.093820000000001</v>
          </cell>
          <cell r="M41">
            <v>82.5</v>
          </cell>
          <cell r="N41" t="str">
            <v>Alcohol</v>
          </cell>
          <cell r="O41" t="str">
            <v>Acetyl-CoA</v>
          </cell>
          <cell r="P41" t="str">
            <v>Proton symporter</v>
          </cell>
          <cell r="Q41" t="str">
            <v>2ppoh_c</v>
          </cell>
        </row>
        <row r="42">
          <cell r="A42" t="str">
            <v>Itaconate</v>
          </cell>
          <cell r="B42" t="str">
            <v>Itaconate</v>
          </cell>
          <cell r="C42" t="str">
            <v>Itaconate</v>
          </cell>
          <cell r="D42" t="str">
            <v>E</v>
          </cell>
          <cell r="E42" t="str">
            <v>C5H4O4</v>
          </cell>
          <cell r="F42">
            <v>5</v>
          </cell>
          <cell r="G42">
            <v>4</v>
          </cell>
          <cell r="H42">
            <v>4</v>
          </cell>
          <cell r="I42">
            <v>0</v>
          </cell>
          <cell r="J42">
            <v>-2</v>
          </cell>
          <cell r="K42">
            <v>3.2</v>
          </cell>
          <cell r="L42">
            <v>128.08086</v>
          </cell>
          <cell r="M42">
            <v>381</v>
          </cell>
          <cell r="N42" t="str">
            <v>Dicarboxylate</v>
          </cell>
          <cell r="O42" t="str">
            <v>Acetyl-CoA + Oxaloacetate</v>
          </cell>
          <cell r="P42" t="str">
            <v>Proton symporter</v>
          </cell>
          <cell r="Q42" t="str">
            <v>itacon_c</v>
          </cell>
        </row>
        <row r="43">
          <cell r="A43" t="str">
            <v>Limonene</v>
          </cell>
          <cell r="B43" t="str">
            <v>Limonene</v>
          </cell>
          <cell r="C43" t="str">
            <v>Limonene</v>
          </cell>
          <cell r="D43" t="str">
            <v>E</v>
          </cell>
          <cell r="E43" t="str">
            <v>C10H16</v>
          </cell>
          <cell r="F43">
            <v>10</v>
          </cell>
          <cell r="G43">
            <v>16</v>
          </cell>
          <cell r="H43">
            <v>0</v>
          </cell>
          <cell r="I43">
            <v>0</v>
          </cell>
          <cell r="J43">
            <v>0</v>
          </cell>
          <cell r="K43">
            <v>5.6</v>
          </cell>
          <cell r="L43">
            <v>136.23244</v>
          </cell>
          <cell r="M43">
            <v>176</v>
          </cell>
          <cell r="N43" t="str">
            <v>Isoprenoid; Aromatic (Cycloalkane)</v>
          </cell>
          <cell r="O43" t="str">
            <v>Acetyl-CoA</v>
          </cell>
          <cell r="P43" t="str">
            <v>Proton symporter</v>
          </cell>
          <cell r="Q43" t="str">
            <v>limnen_c</v>
          </cell>
        </row>
        <row r="44">
          <cell r="A44" t="str">
            <v>Lysine_L</v>
          </cell>
          <cell r="B44" t="str">
            <v>Lysine_L</v>
          </cell>
          <cell r="C44" t="str">
            <v>L-Lysine</v>
          </cell>
          <cell r="D44" t="str">
            <v>iJO1366</v>
          </cell>
          <cell r="E44" t="str">
            <v>C6H15N2O2</v>
          </cell>
          <cell r="F44">
            <v>6</v>
          </cell>
          <cell r="G44">
            <v>15</v>
          </cell>
          <cell r="H44">
            <v>2</v>
          </cell>
          <cell r="I44">
            <v>2</v>
          </cell>
          <cell r="J44">
            <v>1</v>
          </cell>
          <cell r="K44">
            <v>4.833333333333333</v>
          </cell>
          <cell r="L44">
            <v>147.19319999999999</v>
          </cell>
          <cell r="M44" t="str">
            <v>NA</v>
          </cell>
          <cell r="N44" t="str">
            <v>Amino acid</v>
          </cell>
          <cell r="O44" t="str">
            <v>Oxaloacetate</v>
          </cell>
          <cell r="P44" t="str">
            <v>Proton antiport</v>
          </cell>
          <cell r="Q44" t="str">
            <v>lys__L_</v>
          </cell>
        </row>
        <row r="45">
          <cell r="A45" t="str">
            <v>Malate_L</v>
          </cell>
          <cell r="B45" t="str">
            <v>Malate_L</v>
          </cell>
          <cell r="C45" t="str">
            <v>L-Malate</v>
          </cell>
          <cell r="D45" t="str">
            <v>iJO1366</v>
          </cell>
          <cell r="E45" t="str">
            <v>C4H4O5</v>
          </cell>
          <cell r="F45">
            <v>4</v>
          </cell>
          <cell r="G45">
            <v>4</v>
          </cell>
          <cell r="H45">
            <v>5</v>
          </cell>
          <cell r="I45">
            <v>0</v>
          </cell>
          <cell r="J45">
            <v>-2</v>
          </cell>
          <cell r="K45">
            <v>2.5</v>
          </cell>
          <cell r="L45">
            <v>132.06916000000001</v>
          </cell>
          <cell r="M45" t="str">
            <v>NA</v>
          </cell>
          <cell r="N45" t="str">
            <v>Dicarboxylate</v>
          </cell>
          <cell r="O45" t="str">
            <v>Oxaloacetate</v>
          </cell>
          <cell r="P45" t="str">
            <v>Proton symporter</v>
          </cell>
          <cell r="Q45" t="str">
            <v>mal__L_e</v>
          </cell>
        </row>
        <row r="46">
          <cell r="A46" t="str">
            <v>Malonate</v>
          </cell>
          <cell r="B46" t="str">
            <v>Malonate</v>
          </cell>
          <cell r="C46" t="str">
            <v>Malonate</v>
          </cell>
          <cell r="D46" t="str">
            <v>A</v>
          </cell>
          <cell r="E46" t="str">
            <v>C3H2O4</v>
          </cell>
          <cell r="F46">
            <v>3</v>
          </cell>
          <cell r="G46">
            <v>2</v>
          </cell>
          <cell r="H46">
            <v>4</v>
          </cell>
          <cell r="I46">
            <v>0</v>
          </cell>
          <cell r="J46">
            <v>-2</v>
          </cell>
          <cell r="K46">
            <v>2</v>
          </cell>
          <cell r="L46">
            <v>102.04378</v>
          </cell>
          <cell r="M46">
            <v>199</v>
          </cell>
          <cell r="N46" t="str">
            <v>Dicarboxylate</v>
          </cell>
          <cell r="O46" t="str">
            <v>Oxaloacetate</v>
          </cell>
          <cell r="P46" t="str">
            <v>Proton symporter</v>
          </cell>
          <cell r="Q46" t="str">
            <v>malon_c</v>
          </cell>
        </row>
        <row r="47">
          <cell r="A47" t="str">
            <v>Nonane</v>
          </cell>
          <cell r="B47" t="str">
            <v>Nonane</v>
          </cell>
          <cell r="C47" t="str">
            <v>Nonane</v>
          </cell>
          <cell r="D47" t="str">
            <v>E</v>
          </cell>
          <cell r="E47" t="str">
            <v>C9H20</v>
          </cell>
          <cell r="F47">
            <v>9</v>
          </cell>
          <cell r="G47">
            <v>20</v>
          </cell>
          <cell r="H47">
            <v>0</v>
          </cell>
          <cell r="I47">
            <v>0</v>
          </cell>
          <cell r="J47">
            <v>0</v>
          </cell>
          <cell r="K47">
            <v>6.2222222222222223</v>
          </cell>
          <cell r="L47">
            <v>128.25309999999999</v>
          </cell>
          <cell r="M47">
            <v>151</v>
          </cell>
          <cell r="N47" t="str">
            <v>Hydrocarbon (alkane)</v>
          </cell>
          <cell r="O47" t="str">
            <v>Acetyl-CoA</v>
          </cell>
          <cell r="P47" t="str">
            <v>Proton symporter</v>
          </cell>
          <cell r="Q47" t="str">
            <v>nonan_c</v>
          </cell>
        </row>
        <row r="48">
          <cell r="A48" t="str">
            <v>Octane</v>
          </cell>
          <cell r="B48" t="str">
            <v>Octane</v>
          </cell>
          <cell r="C48" t="str">
            <v>Octane</v>
          </cell>
          <cell r="D48" t="str">
            <v>E</v>
          </cell>
          <cell r="E48" t="str">
            <v>C8H18</v>
          </cell>
          <cell r="F48">
            <v>8</v>
          </cell>
          <cell r="G48">
            <v>18</v>
          </cell>
          <cell r="H48">
            <v>0</v>
          </cell>
          <cell r="I48">
            <v>0</v>
          </cell>
          <cell r="J48">
            <v>0</v>
          </cell>
          <cell r="K48">
            <v>6.25</v>
          </cell>
          <cell r="L48">
            <v>114.22672</v>
          </cell>
          <cell r="M48">
            <v>126</v>
          </cell>
          <cell r="N48" t="str">
            <v>Hydrocarbon (alkane)</v>
          </cell>
          <cell r="O48" t="str">
            <v>Acetyl-CoA + Succinyl-CoA</v>
          </cell>
          <cell r="P48" t="str">
            <v>Proton symporter</v>
          </cell>
          <cell r="Q48" t="str">
            <v>octn_c</v>
          </cell>
        </row>
        <row r="49">
          <cell r="A49" t="str">
            <v>Pentane</v>
          </cell>
          <cell r="B49" t="str">
            <v>Pentane</v>
          </cell>
          <cell r="C49" t="str">
            <v>Pentane</v>
          </cell>
          <cell r="D49" t="str">
            <v>E</v>
          </cell>
          <cell r="E49" t="str">
            <v>C5H12</v>
          </cell>
          <cell r="F49">
            <v>5</v>
          </cell>
          <cell r="G49">
            <v>12</v>
          </cell>
          <cell r="H49">
            <v>0</v>
          </cell>
          <cell r="I49">
            <v>0</v>
          </cell>
          <cell r="J49">
            <v>0</v>
          </cell>
          <cell r="K49">
            <v>6.4</v>
          </cell>
          <cell r="L49">
            <v>72.147580000000005</v>
          </cell>
          <cell r="M49">
            <v>36.1</v>
          </cell>
          <cell r="N49" t="str">
            <v>Hydrocarbon (alkane)</v>
          </cell>
          <cell r="O49" t="str">
            <v>Acetyl-CoA</v>
          </cell>
          <cell r="P49" t="str">
            <v>Diffusion</v>
          </cell>
          <cell r="Q49" t="str">
            <v>pent_c</v>
          </cell>
        </row>
        <row r="50">
          <cell r="A50" t="str">
            <v>Pentanol-PW1</v>
          </cell>
          <cell r="B50" t="str">
            <v>Pentanol-PW1</v>
          </cell>
          <cell r="C50" t="str">
            <v>Pentanol (PW1)</v>
          </cell>
          <cell r="D50" t="str">
            <v>E</v>
          </cell>
          <cell r="E50" t="str">
            <v>C5H12O</v>
          </cell>
          <cell r="F50">
            <v>5</v>
          </cell>
          <cell r="G50">
            <v>12</v>
          </cell>
          <cell r="H50">
            <v>1</v>
          </cell>
          <cell r="I50">
            <v>0</v>
          </cell>
          <cell r="J50">
            <v>0</v>
          </cell>
          <cell r="K50">
            <v>6</v>
          </cell>
          <cell r="L50">
            <v>88.14658</v>
          </cell>
          <cell r="M50">
            <v>138</v>
          </cell>
          <cell r="N50" t="str">
            <v>Alcohol</v>
          </cell>
          <cell r="O50" t="str">
            <v>Acetyl-CoA + Succinyl-CoA</v>
          </cell>
          <cell r="P50" t="str">
            <v>Proton symporter</v>
          </cell>
          <cell r="Q50" t="str">
            <v>pentoh_c</v>
          </cell>
        </row>
        <row r="51">
          <cell r="A51" t="str">
            <v>Pentanol-PW2</v>
          </cell>
          <cell r="B51" t="str">
            <v>Pentanol-PW2</v>
          </cell>
          <cell r="C51" t="str">
            <v>Pentanol (PW2)</v>
          </cell>
          <cell r="D51" t="str">
            <v>E</v>
          </cell>
          <cell r="E51" t="str">
            <v>C5H12O</v>
          </cell>
          <cell r="F51">
            <v>5</v>
          </cell>
          <cell r="G51">
            <v>12</v>
          </cell>
          <cell r="H51">
            <v>1</v>
          </cell>
          <cell r="I51">
            <v>0</v>
          </cell>
          <cell r="J51">
            <v>0</v>
          </cell>
          <cell r="K51">
            <v>6</v>
          </cell>
          <cell r="L51">
            <v>88.14658</v>
          </cell>
          <cell r="M51">
            <v>138</v>
          </cell>
          <cell r="N51" t="str">
            <v>Alcohol</v>
          </cell>
          <cell r="O51" t="str">
            <v>Oxaloacetate</v>
          </cell>
          <cell r="P51" t="str">
            <v>Proton symporter</v>
          </cell>
          <cell r="Q51" t="str">
            <v>pentoh_c</v>
          </cell>
        </row>
        <row r="52">
          <cell r="A52" t="str">
            <v>Phenol</v>
          </cell>
          <cell r="B52" t="str">
            <v>Phenol</v>
          </cell>
          <cell r="C52" t="str">
            <v>Phenol</v>
          </cell>
          <cell r="D52" t="str">
            <v>E-S</v>
          </cell>
          <cell r="E52" t="str">
            <v>C6H6O</v>
          </cell>
          <cell r="F52">
            <v>6</v>
          </cell>
          <cell r="G52">
            <v>6</v>
          </cell>
          <cell r="H52">
            <v>1</v>
          </cell>
          <cell r="I52">
            <v>0</v>
          </cell>
          <cell r="J52">
            <v>0</v>
          </cell>
          <cell r="K52">
            <v>4.666666666666667</v>
          </cell>
          <cell r="L52">
            <v>94.11023999999999</v>
          </cell>
          <cell r="M52">
            <v>181.7</v>
          </cell>
          <cell r="N52" t="str">
            <v>Aromatic + Alcohol</v>
          </cell>
          <cell r="O52" t="str">
            <v>E4P + L-glutamate</v>
          </cell>
          <cell r="P52" t="str">
            <v>Proton symporter</v>
          </cell>
          <cell r="Q52" t="str">
            <v>phenol_c</v>
          </cell>
        </row>
        <row r="53">
          <cell r="A53" t="str">
            <v>Propane-PW1</v>
          </cell>
          <cell r="B53" t="str">
            <v>Propane-PW1</v>
          </cell>
          <cell r="C53" t="str">
            <v>Propane (PW1)</v>
          </cell>
          <cell r="D53" t="str">
            <v>E</v>
          </cell>
          <cell r="E53" t="str">
            <v>C3H8</v>
          </cell>
          <cell r="F53">
            <v>3</v>
          </cell>
          <cell r="G53">
            <v>8</v>
          </cell>
          <cell r="H53">
            <v>0</v>
          </cell>
          <cell r="I53">
            <v>0</v>
          </cell>
          <cell r="J53">
            <v>0</v>
          </cell>
          <cell r="K53">
            <v>6.666666666666667</v>
          </cell>
          <cell r="L53">
            <v>44.094819999999999</v>
          </cell>
          <cell r="M53">
            <v>-42</v>
          </cell>
          <cell r="N53" t="str">
            <v>Hydrocarbon</v>
          </cell>
          <cell r="O53" t="str">
            <v>Acetyl-CoA</v>
          </cell>
          <cell r="P53" t="str">
            <v>Diffusion</v>
          </cell>
          <cell r="Q53" t="str">
            <v>prop_c</v>
          </cell>
        </row>
        <row r="54">
          <cell r="A54" t="str">
            <v>Propane-PW2</v>
          </cell>
          <cell r="B54" t="str">
            <v>Propane-PW2</v>
          </cell>
          <cell r="C54" t="str">
            <v>Propane (PW2)</v>
          </cell>
          <cell r="D54" t="str">
            <v>E</v>
          </cell>
          <cell r="E54" t="str">
            <v>C3H8</v>
          </cell>
          <cell r="F54">
            <v>3</v>
          </cell>
          <cell r="G54">
            <v>8</v>
          </cell>
          <cell r="H54">
            <v>0</v>
          </cell>
          <cell r="I54">
            <v>0</v>
          </cell>
          <cell r="J54">
            <v>0</v>
          </cell>
          <cell r="K54">
            <v>6.666666666666667</v>
          </cell>
          <cell r="L54">
            <v>44.094819999999999</v>
          </cell>
          <cell r="M54">
            <v>-42</v>
          </cell>
          <cell r="N54" t="str">
            <v>Hydrocarbon</v>
          </cell>
          <cell r="O54" t="str">
            <v>Oxaloacetate</v>
          </cell>
          <cell r="P54" t="str">
            <v>Diffusion</v>
          </cell>
          <cell r="Q54" t="str">
            <v>prop_c</v>
          </cell>
        </row>
        <row r="55">
          <cell r="A55" t="str">
            <v>Shikimate</v>
          </cell>
          <cell r="B55" t="str">
            <v>Shikimate</v>
          </cell>
          <cell r="C55" t="str">
            <v>Shikimate</v>
          </cell>
          <cell r="D55" t="str">
            <v>E</v>
          </cell>
          <cell r="E55" t="str">
            <v>C7H9O5</v>
          </cell>
          <cell r="F55">
            <v>7</v>
          </cell>
          <cell r="G55">
            <v>9</v>
          </cell>
          <cell r="H55">
            <v>5</v>
          </cell>
          <cell r="I55">
            <v>0</v>
          </cell>
          <cell r="J55">
            <v>-1</v>
          </cell>
          <cell r="K55">
            <v>3.8571428571428572</v>
          </cell>
          <cell r="L55">
            <v>173.14046000000002</v>
          </cell>
          <cell r="M55">
            <v>400.5</v>
          </cell>
          <cell r="N55" t="str">
            <v>Aromatic + Alcohol + Carboxylate</v>
          </cell>
          <cell r="O55" t="str">
            <v>PEP + E4P (Glyceraldehyde 3-P)</v>
          </cell>
          <cell r="P55" t="str">
            <v>Proton symporter</v>
          </cell>
          <cell r="Q55" t="str">
            <v>skm_c</v>
          </cell>
        </row>
        <row r="56">
          <cell r="A56" t="str">
            <v>Styrene</v>
          </cell>
          <cell r="B56" t="str">
            <v>Styrene</v>
          </cell>
          <cell r="C56" t="str">
            <v>Styrene</v>
          </cell>
          <cell r="D56" t="str">
            <v>E-S</v>
          </cell>
          <cell r="E56" t="str">
            <v>C8H8</v>
          </cell>
          <cell r="F56">
            <v>8</v>
          </cell>
          <cell r="G56">
            <v>8</v>
          </cell>
          <cell r="H56">
            <v>0</v>
          </cell>
          <cell r="I56">
            <v>0</v>
          </cell>
          <cell r="J56">
            <v>0</v>
          </cell>
          <cell r="K56">
            <v>5</v>
          </cell>
          <cell r="L56">
            <v>104.14832</v>
          </cell>
          <cell r="M56">
            <v>145</v>
          </cell>
          <cell r="N56" t="str">
            <v>Cycloalkane</v>
          </cell>
          <cell r="O56" t="str">
            <v>E4P</v>
          </cell>
          <cell r="P56" t="str">
            <v>Proton symporter</v>
          </cell>
          <cell r="Q56" t="str">
            <v>styr_c</v>
          </cell>
        </row>
        <row r="57">
          <cell r="A57" t="str">
            <v>Succinate</v>
          </cell>
          <cell r="B57" t="str">
            <v>Succinate</v>
          </cell>
          <cell r="C57" t="str">
            <v>Succinate</v>
          </cell>
          <cell r="D57" t="str">
            <v>iJO1366</v>
          </cell>
          <cell r="E57" t="str">
            <v>C4H4O4</v>
          </cell>
          <cell r="F57">
            <v>4</v>
          </cell>
          <cell r="G57">
            <v>4</v>
          </cell>
          <cell r="H57">
            <v>4</v>
          </cell>
          <cell r="I57">
            <v>0</v>
          </cell>
          <cell r="J57">
            <v>-2</v>
          </cell>
          <cell r="K57">
            <v>3</v>
          </cell>
          <cell r="L57">
            <v>116.07016</v>
          </cell>
          <cell r="M57">
            <v>235</v>
          </cell>
          <cell r="N57" t="str">
            <v>Dicarboxylate</v>
          </cell>
          <cell r="O57" t="str">
            <v>Oxaloacetate</v>
          </cell>
          <cell r="P57" t="str">
            <v>Proton symporter</v>
          </cell>
          <cell r="Q57" t="str">
            <v>succ_c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K1575"/>
  <sheetViews>
    <sheetView tabSelected="1" zoomScaleNormal="100" workbookViewId="0">
      <pane xSplit="3" ySplit="1" topLeftCell="O370" activePane="bottomRight" state="frozen"/>
      <selection pane="topRight" activeCell="Q1" sqref="Q1"/>
      <selection pane="bottomLeft" activeCell="A999" sqref="A999"/>
      <selection pane="bottomRight" activeCell="R370" sqref="R370:R482"/>
    </sheetView>
  </sheetViews>
  <sheetFormatPr defaultRowHeight="12.75" x14ac:dyDescent="0.2"/>
  <cols>
    <col min="1" max="1" width="11.5703125" style="1"/>
    <col min="2" max="3" width="15.28515625" style="1" customWidth="1"/>
    <col min="4" max="5" width="20" style="1" customWidth="1"/>
    <col min="6" max="6" width="16.7109375" style="1" customWidth="1"/>
    <col min="7" max="7" width="16.5703125" style="1" customWidth="1"/>
    <col min="8" max="8" width="18.5703125" style="1" customWidth="1"/>
    <col min="9" max="9" width="18" style="1" customWidth="1"/>
    <col min="10" max="10" width="12.7109375" style="1" customWidth="1"/>
    <col min="11" max="11" width="11.5703125" style="1"/>
    <col min="12" max="12" width="21" style="1" customWidth="1"/>
    <col min="13" max="14" width="11.5703125" style="1"/>
    <col min="15" max="15" width="17.7109375" style="1" customWidth="1"/>
    <col min="16" max="16" width="11.5703125" style="1"/>
    <col min="17" max="18" width="17.7109375" style="1" customWidth="1"/>
    <col min="19" max="19" width="21.7109375" style="1" customWidth="1"/>
    <col min="20" max="20" width="26.5703125" style="2" customWidth="1"/>
    <col min="21" max="30" width="11.5703125" style="1"/>
    <col min="31" max="31" width="31.85546875" style="1" customWidth="1"/>
    <col min="32" max="32" width="32" style="1" customWidth="1"/>
    <col min="33" max="33" width="17.28515625" style="1" customWidth="1"/>
    <col min="34" max="34" width="11.5703125" style="3"/>
    <col min="35" max="1025" width="11.5703125" style="1"/>
  </cols>
  <sheetData>
    <row r="1" spans="1:3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</row>
    <row r="2" spans="1:34" hidden="1" x14ac:dyDescent="0.2">
      <c r="A2" s="8" t="s">
        <v>34</v>
      </c>
      <c r="B2" s="9" t="s">
        <v>35</v>
      </c>
      <c r="C2" s="1" t="s">
        <v>49</v>
      </c>
      <c r="D2" s="10" t="s">
        <v>37</v>
      </c>
      <c r="E2" s="1" t="s">
        <v>38</v>
      </c>
      <c r="F2" s="1" t="s">
        <v>39</v>
      </c>
      <c r="G2" s="1">
        <v>-10</v>
      </c>
      <c r="H2" s="1">
        <v>-20</v>
      </c>
      <c r="I2" s="1" t="s">
        <v>40</v>
      </c>
      <c r="J2" s="1">
        <v>3.15</v>
      </c>
      <c r="K2" s="1">
        <v>-10</v>
      </c>
      <c r="L2" s="1">
        <v>-14.162686567164201</v>
      </c>
      <c r="M2" s="1" t="s">
        <v>40</v>
      </c>
      <c r="N2" s="1">
        <v>-11.6746268656717</v>
      </c>
      <c r="O2" s="1">
        <v>10.5582089552239</v>
      </c>
      <c r="Q2" s="1">
        <v>1.05582089552239</v>
      </c>
      <c r="R2" s="1">
        <v>2.3387441364679602</v>
      </c>
      <c r="S2" s="11" t="s">
        <v>38</v>
      </c>
      <c r="T2" s="2" t="s">
        <v>38</v>
      </c>
      <c r="U2" s="3" t="s">
        <v>41</v>
      </c>
      <c r="V2" s="2" t="s">
        <v>42</v>
      </c>
      <c r="W2" s="2">
        <v>3</v>
      </c>
      <c r="X2" s="2">
        <v>2</v>
      </c>
      <c r="Y2" s="2">
        <v>4</v>
      </c>
      <c r="Z2" s="2">
        <v>0</v>
      </c>
      <c r="AA2" s="2">
        <v>0</v>
      </c>
      <c r="AB2" s="12">
        <f>(W2*4+X2*1+Y2*-2+Z2*-3)/W2</f>
        <v>2</v>
      </c>
      <c r="AC2" s="3">
        <f>W2*12.0107+X2*1.00784+Y2*15.999+Z2*14.0067</f>
        <v>102.04378</v>
      </c>
      <c r="AD2" s="12">
        <v>199</v>
      </c>
      <c r="AE2" s="2" t="s">
        <v>43</v>
      </c>
      <c r="AF2" s="2" t="s">
        <v>44</v>
      </c>
      <c r="AG2" s="2" t="str">
        <f>IF(AD2&gt;37,"Proton symporter", "Diffusion")</f>
        <v>Proton symporter</v>
      </c>
      <c r="AH2" s="3" t="s">
        <v>45</v>
      </c>
    </row>
    <row r="3" spans="1:34" hidden="1" x14ac:dyDescent="0.2">
      <c r="A3" s="8" t="s">
        <v>34</v>
      </c>
      <c r="B3" s="9" t="s">
        <v>35</v>
      </c>
      <c r="C3" s="1" t="s">
        <v>36</v>
      </c>
      <c r="D3" s="10" t="s">
        <v>37</v>
      </c>
      <c r="E3" s="1" t="s">
        <v>38</v>
      </c>
      <c r="F3" s="1" t="s">
        <v>39</v>
      </c>
      <c r="G3" s="1">
        <v>-10</v>
      </c>
      <c r="H3" s="1">
        <v>-20</v>
      </c>
      <c r="I3" s="1" t="s">
        <v>40</v>
      </c>
      <c r="J3" s="1">
        <v>3.15</v>
      </c>
      <c r="K3" s="1">
        <v>-10</v>
      </c>
      <c r="L3" s="1">
        <v>-11.1642857142857</v>
      </c>
      <c r="M3" s="1" t="s">
        <v>40</v>
      </c>
      <c r="N3" s="1">
        <v>-7.6714285714285797</v>
      </c>
      <c r="O3" s="1">
        <v>9.2238095238095195</v>
      </c>
      <c r="Q3" s="1">
        <v>0.92238095238095197</v>
      </c>
      <c r="R3" s="1">
        <v>2.13665104370296</v>
      </c>
      <c r="S3" s="11" t="s">
        <v>38</v>
      </c>
      <c r="T3" s="2" t="s">
        <v>38</v>
      </c>
      <c r="U3" s="3" t="s">
        <v>41</v>
      </c>
      <c r="V3" s="2" t="s">
        <v>42</v>
      </c>
      <c r="W3" s="2">
        <v>3</v>
      </c>
      <c r="X3" s="2">
        <v>2</v>
      </c>
      <c r="Y3" s="2">
        <v>4</v>
      </c>
      <c r="Z3" s="2">
        <v>0</v>
      </c>
      <c r="AA3" s="2">
        <v>0</v>
      </c>
      <c r="AB3" s="12">
        <f>(W3*4+X3*1+Y3*-2+Z3*-3)/W3</f>
        <v>2</v>
      </c>
      <c r="AC3" s="3">
        <f>W3*12.0107+X3*1.00784+Y3*15.999+Z3*14.0067</f>
        <v>102.04378</v>
      </c>
      <c r="AD3" s="12">
        <v>199</v>
      </c>
      <c r="AE3" s="2" t="s">
        <v>43</v>
      </c>
      <c r="AF3" s="2" t="s">
        <v>44</v>
      </c>
      <c r="AG3" s="2" t="str">
        <f>IF(AD3&gt;37,"Proton symporter", "Diffusion")</f>
        <v>Proton symporter</v>
      </c>
      <c r="AH3" s="3" t="s">
        <v>45</v>
      </c>
    </row>
    <row r="4" spans="1:34" hidden="1" x14ac:dyDescent="0.2">
      <c r="A4" s="8" t="s">
        <v>34</v>
      </c>
      <c r="B4" s="9" t="s">
        <v>35</v>
      </c>
      <c r="C4" s="1" t="s">
        <v>59</v>
      </c>
      <c r="D4" s="13" t="s">
        <v>51</v>
      </c>
      <c r="E4" s="1" t="s">
        <v>38</v>
      </c>
      <c r="F4" s="1" t="s">
        <v>39</v>
      </c>
      <c r="G4" s="1">
        <v>-10</v>
      </c>
      <c r="H4" s="1">
        <v>-20</v>
      </c>
      <c r="I4" s="1" t="s">
        <v>40</v>
      </c>
      <c r="J4" s="1">
        <v>3.15</v>
      </c>
      <c r="K4" s="1">
        <v>-10</v>
      </c>
      <c r="L4" s="1">
        <v>-5.1273631840796003</v>
      </c>
      <c r="M4" s="1" t="s">
        <v>40</v>
      </c>
      <c r="N4" s="1">
        <v>-4.8089552238806004</v>
      </c>
      <c r="O4" s="1">
        <v>4.9363184079601901</v>
      </c>
      <c r="Q4" s="1">
        <v>0.49363184079601902</v>
      </c>
      <c r="R4" s="1">
        <v>1.57210962943124</v>
      </c>
      <c r="S4" s="11" t="s">
        <v>38</v>
      </c>
      <c r="T4" s="2" t="s">
        <v>38</v>
      </c>
      <c r="U4" s="3" t="s">
        <v>41</v>
      </c>
      <c r="V4" s="2" t="s">
        <v>42</v>
      </c>
      <c r="W4" s="2">
        <v>3</v>
      </c>
      <c r="X4" s="2">
        <v>2</v>
      </c>
      <c r="Y4" s="2">
        <v>4</v>
      </c>
      <c r="Z4" s="2">
        <v>0</v>
      </c>
      <c r="AA4" s="2">
        <v>0</v>
      </c>
      <c r="AB4" s="12">
        <f>(W4*4+X4*1+Y4*-2+Z4*-3)/W4</f>
        <v>2</v>
      </c>
      <c r="AC4" s="3">
        <f>W4*12.0107+X4*1.00784+Y4*15.999+Z4*14.0067</f>
        <v>102.04378</v>
      </c>
      <c r="AD4" s="12">
        <v>199</v>
      </c>
      <c r="AE4" s="2" t="s">
        <v>43</v>
      </c>
      <c r="AF4" s="2" t="s">
        <v>44</v>
      </c>
      <c r="AG4" s="2" t="str">
        <f>IF(AD4&gt;37,"Proton symporter", "Diffusion")</f>
        <v>Proton symporter</v>
      </c>
      <c r="AH4" s="3" t="s">
        <v>45</v>
      </c>
    </row>
    <row r="5" spans="1:34" hidden="1" x14ac:dyDescent="0.2">
      <c r="A5" s="8" t="s">
        <v>34</v>
      </c>
      <c r="B5" s="9" t="s">
        <v>35</v>
      </c>
      <c r="C5" s="1" t="s">
        <v>60</v>
      </c>
      <c r="D5" s="13" t="s">
        <v>51</v>
      </c>
      <c r="E5" s="1" t="s">
        <v>38</v>
      </c>
      <c r="F5" s="1" t="s">
        <v>39</v>
      </c>
      <c r="G5" s="1">
        <v>-10</v>
      </c>
      <c r="H5" s="1">
        <v>-20</v>
      </c>
      <c r="I5" s="1" t="s">
        <v>40</v>
      </c>
      <c r="J5" s="1">
        <v>3.15</v>
      </c>
      <c r="K5" s="1">
        <v>-10</v>
      </c>
      <c r="L5" s="1">
        <v>-5.1273631840796003</v>
      </c>
      <c r="M5" s="1" t="s">
        <v>40</v>
      </c>
      <c r="N5" s="1">
        <v>-4.8089552238806004</v>
      </c>
      <c r="O5" s="1">
        <v>4.9363184079601998</v>
      </c>
      <c r="Q5" s="1">
        <v>0.49363184079602002</v>
      </c>
      <c r="R5" s="1">
        <v>1.57210962943124</v>
      </c>
      <c r="S5" s="11" t="s">
        <v>38</v>
      </c>
      <c r="T5" s="2" t="s">
        <v>38</v>
      </c>
      <c r="U5" s="3" t="s">
        <v>41</v>
      </c>
      <c r="V5" s="2" t="s">
        <v>42</v>
      </c>
      <c r="W5" s="2">
        <v>3</v>
      </c>
      <c r="X5" s="2">
        <v>2</v>
      </c>
      <c r="Y5" s="2">
        <v>4</v>
      </c>
      <c r="Z5" s="2">
        <v>0</v>
      </c>
      <c r="AA5" s="2">
        <v>0</v>
      </c>
      <c r="AB5" s="12">
        <f>(W5*4+X5*1+Y5*-2+Z5*-3)/W5</f>
        <v>2</v>
      </c>
      <c r="AC5" s="3">
        <f>W5*12.0107+X5*1.00784+Y5*15.999+Z5*14.0067</f>
        <v>102.04378</v>
      </c>
      <c r="AD5" s="12">
        <v>199</v>
      </c>
      <c r="AE5" s="2" t="s">
        <v>43</v>
      </c>
      <c r="AF5" s="2" t="s">
        <v>44</v>
      </c>
      <c r="AG5" s="2" t="str">
        <f>IF(AD5&gt;37,"Proton symporter", "Diffusion")</f>
        <v>Proton symporter</v>
      </c>
      <c r="AH5" s="3" t="s">
        <v>45</v>
      </c>
    </row>
    <row r="6" spans="1:34" hidden="1" x14ac:dyDescent="0.2">
      <c r="A6" s="8" t="s">
        <v>34</v>
      </c>
      <c r="B6" s="9" t="s">
        <v>35</v>
      </c>
      <c r="C6" s="1" t="s">
        <v>48</v>
      </c>
      <c r="D6" s="10" t="s">
        <v>37</v>
      </c>
      <c r="E6" s="1" t="s">
        <v>38</v>
      </c>
      <c r="F6" s="1" t="s">
        <v>39</v>
      </c>
      <c r="G6" s="1">
        <v>-10</v>
      </c>
      <c r="H6" s="1">
        <v>-20</v>
      </c>
      <c r="I6" s="1" t="s">
        <v>40</v>
      </c>
      <c r="J6" s="1">
        <v>3.15</v>
      </c>
      <c r="K6" s="1">
        <v>-10</v>
      </c>
      <c r="L6" s="1">
        <v>-11.1642857142857</v>
      </c>
      <c r="M6" s="1" t="s">
        <v>40</v>
      </c>
      <c r="N6" s="1">
        <v>-7.6714285714285904</v>
      </c>
      <c r="O6" s="1">
        <v>9.2238095238095301</v>
      </c>
      <c r="Q6" s="1">
        <v>0.92238095238095297</v>
      </c>
      <c r="R6" s="1">
        <v>1.5164926430557</v>
      </c>
      <c r="S6" s="11" t="s">
        <v>38</v>
      </c>
      <c r="T6" s="2" t="s">
        <v>38</v>
      </c>
      <c r="U6" s="3" t="s">
        <v>41</v>
      </c>
      <c r="V6" s="2" t="s">
        <v>42</v>
      </c>
      <c r="W6" s="2">
        <v>3</v>
      </c>
      <c r="X6" s="2">
        <v>2</v>
      </c>
      <c r="Y6" s="2">
        <v>4</v>
      </c>
      <c r="Z6" s="2">
        <v>0</v>
      </c>
      <c r="AA6" s="2">
        <v>0</v>
      </c>
      <c r="AB6" s="12">
        <f>(W6*4+X6*1+Y6*-2+Z6*-3)/W6</f>
        <v>2</v>
      </c>
      <c r="AC6" s="3">
        <f>W6*12.0107+X6*1.00784+Y6*15.999+Z6*14.0067</f>
        <v>102.04378</v>
      </c>
      <c r="AD6" s="12">
        <v>199</v>
      </c>
      <c r="AE6" s="2" t="s">
        <v>43</v>
      </c>
      <c r="AF6" s="2" t="s">
        <v>44</v>
      </c>
      <c r="AG6" s="2" t="str">
        <f>IF(AD6&gt;37,"Proton symporter", "Diffusion")</f>
        <v>Proton symporter</v>
      </c>
      <c r="AH6" s="3" t="s">
        <v>45</v>
      </c>
    </row>
    <row r="7" spans="1:34" hidden="1" x14ac:dyDescent="0.2">
      <c r="A7" s="8" t="s">
        <v>34</v>
      </c>
      <c r="B7" s="9" t="s">
        <v>35</v>
      </c>
      <c r="C7" s="1" t="s">
        <v>56</v>
      </c>
      <c r="D7" s="14" t="s">
        <v>55</v>
      </c>
      <c r="E7" s="1" t="s">
        <v>38</v>
      </c>
      <c r="F7" s="1" t="s">
        <v>39</v>
      </c>
      <c r="G7" s="1">
        <v>-10</v>
      </c>
      <c r="H7" s="1">
        <v>-20</v>
      </c>
      <c r="I7" s="1" t="s">
        <v>40</v>
      </c>
      <c r="J7" s="1">
        <v>3.15</v>
      </c>
      <c r="K7" s="1">
        <v>-10</v>
      </c>
      <c r="L7" s="1">
        <v>-8.4245614035087701</v>
      </c>
      <c r="M7" s="1" t="s">
        <v>40</v>
      </c>
      <c r="N7" s="1">
        <v>-9.8631578947368403</v>
      </c>
      <c r="O7" s="1">
        <v>13.2877192982456</v>
      </c>
      <c r="Q7" s="1">
        <v>1.3287719298245599</v>
      </c>
      <c r="R7" s="1">
        <v>1.47233452230772</v>
      </c>
      <c r="S7" s="11" t="s">
        <v>38</v>
      </c>
      <c r="T7" s="2" t="s">
        <v>38</v>
      </c>
      <c r="U7" s="3" t="s">
        <v>41</v>
      </c>
      <c r="V7" s="2" t="s">
        <v>42</v>
      </c>
      <c r="W7" s="2">
        <v>3</v>
      </c>
      <c r="X7" s="2">
        <v>2</v>
      </c>
      <c r="Y7" s="2">
        <v>4</v>
      </c>
      <c r="Z7" s="2">
        <v>0</v>
      </c>
      <c r="AA7" s="2">
        <v>0</v>
      </c>
      <c r="AB7" s="12">
        <f>(W7*4+X7*1+Y7*-2+Z7*-3)/W7</f>
        <v>2</v>
      </c>
      <c r="AC7" s="3">
        <f>W7*12.0107+X7*1.00784+Y7*15.999+Z7*14.0067</f>
        <v>102.04378</v>
      </c>
      <c r="AD7" s="12">
        <v>199</v>
      </c>
      <c r="AE7" s="2" t="s">
        <v>43</v>
      </c>
      <c r="AF7" s="2" t="s">
        <v>44</v>
      </c>
      <c r="AG7" s="2" t="str">
        <f>IF(AD7&gt;37,"Proton symporter", "Diffusion")</f>
        <v>Proton symporter</v>
      </c>
      <c r="AH7" s="3" t="s">
        <v>45</v>
      </c>
    </row>
    <row r="8" spans="1:34" hidden="1" x14ac:dyDescent="0.2">
      <c r="A8" s="8" t="s">
        <v>34</v>
      </c>
      <c r="B8" s="9" t="s">
        <v>35</v>
      </c>
      <c r="C8" s="1" t="s">
        <v>54</v>
      </c>
      <c r="D8" s="14" t="s">
        <v>55</v>
      </c>
      <c r="E8" s="1" t="s">
        <v>38</v>
      </c>
      <c r="F8" s="1" t="s">
        <v>39</v>
      </c>
      <c r="G8" s="1">
        <v>-10</v>
      </c>
      <c r="H8" s="1">
        <v>-20</v>
      </c>
      <c r="I8" s="1" t="s">
        <v>40</v>
      </c>
      <c r="J8" s="1">
        <v>3.15</v>
      </c>
      <c r="K8" s="1">
        <v>-10</v>
      </c>
      <c r="L8" s="1">
        <v>-11.7194029850746</v>
      </c>
      <c r="M8" s="1" t="s">
        <v>40</v>
      </c>
      <c r="N8" s="1">
        <v>-12.420895522388101</v>
      </c>
      <c r="O8" s="1">
        <v>24.140298507462699</v>
      </c>
      <c r="Q8" s="1">
        <v>2.4140298507462701</v>
      </c>
      <c r="R8" s="1">
        <v>1.36738059048148</v>
      </c>
      <c r="S8" s="11" t="s">
        <v>38</v>
      </c>
      <c r="T8" s="2" t="s">
        <v>38</v>
      </c>
      <c r="U8" s="3" t="s">
        <v>41</v>
      </c>
      <c r="V8" s="2" t="s">
        <v>42</v>
      </c>
      <c r="W8" s="2">
        <v>3</v>
      </c>
      <c r="X8" s="2">
        <v>2</v>
      </c>
      <c r="Y8" s="2">
        <v>4</v>
      </c>
      <c r="Z8" s="2">
        <v>0</v>
      </c>
      <c r="AA8" s="2">
        <v>0</v>
      </c>
      <c r="AB8" s="12">
        <f>(W8*4+X8*1+Y8*-2+Z8*-3)/W8</f>
        <v>2</v>
      </c>
      <c r="AC8" s="3">
        <f>W8*12.0107+X8*1.00784+Y8*15.999+Z8*14.0067</f>
        <v>102.04378</v>
      </c>
      <c r="AD8" s="12">
        <v>199</v>
      </c>
      <c r="AE8" s="2" t="s">
        <v>43</v>
      </c>
      <c r="AF8" s="2" t="s">
        <v>44</v>
      </c>
      <c r="AG8" s="2" t="str">
        <f>IF(AD8&gt;37,"Proton symporter", "Diffusion")</f>
        <v>Proton symporter</v>
      </c>
      <c r="AH8" s="3" t="s">
        <v>45</v>
      </c>
    </row>
    <row r="9" spans="1:34" hidden="1" x14ac:dyDescent="0.2">
      <c r="A9" s="8" t="s">
        <v>34</v>
      </c>
      <c r="B9" s="9" t="s">
        <v>35</v>
      </c>
      <c r="C9" s="1" t="s">
        <v>62</v>
      </c>
      <c r="D9" s="15" t="s">
        <v>55</v>
      </c>
      <c r="E9" s="1" t="s">
        <v>38</v>
      </c>
      <c r="F9" s="1" t="s">
        <v>39</v>
      </c>
      <c r="G9" s="1">
        <v>-10</v>
      </c>
      <c r="H9" s="1">
        <v>-20</v>
      </c>
      <c r="I9" s="1" t="s">
        <v>40</v>
      </c>
      <c r="J9" s="1">
        <v>3.15</v>
      </c>
      <c r="K9" s="1">
        <v>-10</v>
      </c>
      <c r="L9" s="1">
        <v>-9.8786069651741304</v>
      </c>
      <c r="M9" s="1" t="s">
        <v>40</v>
      </c>
      <c r="N9" s="1">
        <v>-10.1820895522388</v>
      </c>
      <c r="O9" s="1">
        <v>20.0606965174129</v>
      </c>
      <c r="Q9" s="1">
        <v>2.0060696517412899</v>
      </c>
      <c r="R9" s="1">
        <v>1.3635311410575199</v>
      </c>
      <c r="S9" s="11" t="s">
        <v>38</v>
      </c>
      <c r="T9" s="2" t="s">
        <v>38</v>
      </c>
      <c r="U9" s="3" t="s">
        <v>41</v>
      </c>
      <c r="V9" s="2" t="s">
        <v>42</v>
      </c>
      <c r="W9" s="2">
        <v>3</v>
      </c>
      <c r="X9" s="2">
        <v>2</v>
      </c>
      <c r="Y9" s="2">
        <v>4</v>
      </c>
      <c r="Z9" s="2">
        <v>0</v>
      </c>
      <c r="AA9" s="2">
        <v>0</v>
      </c>
      <c r="AB9" s="12">
        <f>(W9*4+X9*1+Y9*-2+Z9*-3)/W9</f>
        <v>2</v>
      </c>
      <c r="AC9" s="3">
        <f>W9*12.0107+X9*1.00784+Y9*15.999+Z9*14.0067</f>
        <v>102.04378</v>
      </c>
      <c r="AD9" s="12">
        <v>199</v>
      </c>
      <c r="AE9" s="2" t="s">
        <v>43</v>
      </c>
      <c r="AF9" s="2" t="s">
        <v>44</v>
      </c>
      <c r="AG9" s="2" t="str">
        <f>IF(AD9&gt;37,"Proton symporter", "Diffusion")</f>
        <v>Proton symporter</v>
      </c>
      <c r="AH9" s="3" t="s">
        <v>45</v>
      </c>
    </row>
    <row r="10" spans="1:34" hidden="1" x14ac:dyDescent="0.2">
      <c r="A10" s="8" t="s">
        <v>34</v>
      </c>
      <c r="B10" s="9" t="s">
        <v>35</v>
      </c>
      <c r="C10" s="1" t="s">
        <v>58</v>
      </c>
      <c r="D10" s="10" t="s">
        <v>37</v>
      </c>
      <c r="E10" s="1" t="s">
        <v>38</v>
      </c>
      <c r="F10" s="1" t="s">
        <v>39</v>
      </c>
      <c r="G10" s="1">
        <v>-10</v>
      </c>
      <c r="H10" s="1">
        <v>-20</v>
      </c>
      <c r="I10" s="1" t="s">
        <v>40</v>
      </c>
      <c r="J10" s="1">
        <v>3.15</v>
      </c>
      <c r="K10" s="1">
        <v>-10</v>
      </c>
      <c r="L10" s="1">
        <v>-4.8857142857142897</v>
      </c>
      <c r="M10" s="1" t="s">
        <v>40</v>
      </c>
      <c r="N10" s="1">
        <v>-2.6714285714285699</v>
      </c>
      <c r="O10" s="1">
        <v>7.5571428571428401</v>
      </c>
      <c r="Q10" s="1">
        <v>0.75571428571428401</v>
      </c>
      <c r="R10" s="1">
        <v>1.28415277283497</v>
      </c>
      <c r="S10" s="11" t="s">
        <v>38</v>
      </c>
      <c r="T10" s="2" t="s">
        <v>38</v>
      </c>
      <c r="U10" s="3" t="s">
        <v>41</v>
      </c>
      <c r="V10" s="2" t="s">
        <v>42</v>
      </c>
      <c r="W10" s="2">
        <v>3</v>
      </c>
      <c r="X10" s="2">
        <v>2</v>
      </c>
      <c r="Y10" s="2">
        <v>4</v>
      </c>
      <c r="Z10" s="2">
        <v>0</v>
      </c>
      <c r="AA10" s="2">
        <v>0</v>
      </c>
      <c r="AB10" s="12">
        <f>(W10*4+X10*1+Y10*-2+Z10*-3)/W10</f>
        <v>2</v>
      </c>
      <c r="AC10" s="3">
        <f>W10*12.0107+X10*1.00784+Y10*15.999+Z10*14.0067</f>
        <v>102.04378</v>
      </c>
      <c r="AD10" s="12">
        <v>199</v>
      </c>
      <c r="AE10" s="2" t="s">
        <v>43</v>
      </c>
      <c r="AF10" s="2" t="s">
        <v>44</v>
      </c>
      <c r="AG10" s="2" t="str">
        <f>IF(AD10&gt;37,"Proton symporter", "Diffusion")</f>
        <v>Proton symporter</v>
      </c>
      <c r="AH10" s="3" t="s">
        <v>45</v>
      </c>
    </row>
    <row r="11" spans="1:34" hidden="1" x14ac:dyDescent="0.2">
      <c r="A11" s="8" t="s">
        <v>34</v>
      </c>
      <c r="B11" s="9" t="s">
        <v>35</v>
      </c>
      <c r="C11" s="1" t="s">
        <v>47</v>
      </c>
      <c r="D11" s="10" t="s">
        <v>37</v>
      </c>
      <c r="E11" s="1" t="s">
        <v>38</v>
      </c>
      <c r="F11" s="1" t="s">
        <v>39</v>
      </c>
      <c r="G11" s="1">
        <v>-10</v>
      </c>
      <c r="H11" s="1">
        <v>-20</v>
      </c>
      <c r="I11" s="1" t="s">
        <v>40</v>
      </c>
      <c r="J11" s="1">
        <v>3.15</v>
      </c>
      <c r="K11" s="1">
        <v>-10</v>
      </c>
      <c r="L11" s="1">
        <v>-14.088059701492501</v>
      </c>
      <c r="M11" s="1" t="s">
        <v>40</v>
      </c>
      <c r="N11" s="1">
        <v>-1.8238805970149199</v>
      </c>
      <c r="O11" s="1">
        <v>7.2746268656716504</v>
      </c>
      <c r="Q11" s="1">
        <v>0.72746268656716495</v>
      </c>
      <c r="R11" s="1">
        <v>1.19602622910735</v>
      </c>
      <c r="S11" s="11" t="s">
        <v>38</v>
      </c>
      <c r="T11" s="2" t="s">
        <v>38</v>
      </c>
      <c r="U11" s="3" t="s">
        <v>41</v>
      </c>
      <c r="V11" s="2" t="s">
        <v>42</v>
      </c>
      <c r="W11" s="2">
        <v>3</v>
      </c>
      <c r="X11" s="2">
        <v>2</v>
      </c>
      <c r="Y11" s="2">
        <v>4</v>
      </c>
      <c r="Z11" s="2">
        <v>0</v>
      </c>
      <c r="AA11" s="2">
        <v>0</v>
      </c>
      <c r="AB11" s="12">
        <f>(W11*4+X11*1+Y11*-2+Z11*-3)/W11</f>
        <v>2</v>
      </c>
      <c r="AC11" s="3">
        <f>W11*12.0107+X11*1.00784+Y11*15.999+Z11*14.0067</f>
        <v>102.04378</v>
      </c>
      <c r="AD11" s="12">
        <v>199</v>
      </c>
      <c r="AE11" s="2" t="s">
        <v>43</v>
      </c>
      <c r="AF11" s="2" t="s">
        <v>44</v>
      </c>
      <c r="AG11" s="2" t="str">
        <f>IF(AD11&gt;37,"Proton symporter", "Diffusion")</f>
        <v>Proton symporter</v>
      </c>
      <c r="AH11" s="3" t="s">
        <v>45</v>
      </c>
    </row>
    <row r="12" spans="1:34" hidden="1" x14ac:dyDescent="0.2">
      <c r="A12" s="8" t="s">
        <v>34</v>
      </c>
      <c r="B12" s="9" t="s">
        <v>35</v>
      </c>
      <c r="C12" s="1" t="s">
        <v>61</v>
      </c>
      <c r="D12" s="13" t="s">
        <v>51</v>
      </c>
      <c r="E12" s="1" t="s">
        <v>38</v>
      </c>
      <c r="F12" s="1" t="s">
        <v>39</v>
      </c>
      <c r="G12" s="1">
        <v>-10</v>
      </c>
      <c r="H12" s="1">
        <v>-20</v>
      </c>
      <c r="I12" s="1" t="s">
        <v>40</v>
      </c>
      <c r="J12" s="1">
        <v>3.15</v>
      </c>
      <c r="K12" s="1">
        <v>-10</v>
      </c>
      <c r="L12" s="1">
        <v>-7.7591836734693898</v>
      </c>
      <c r="M12" s="1" t="s">
        <v>40</v>
      </c>
      <c r="N12" s="1">
        <v>-0.86122448979591304</v>
      </c>
      <c r="O12" s="1">
        <v>3.6204081632652998</v>
      </c>
      <c r="Q12" s="1">
        <v>0.36204081632653001</v>
      </c>
      <c r="R12" s="1">
        <v>1.1530209491273</v>
      </c>
      <c r="S12" s="11" t="s">
        <v>38</v>
      </c>
      <c r="T12" s="2" t="s">
        <v>38</v>
      </c>
      <c r="U12" s="3" t="s">
        <v>41</v>
      </c>
      <c r="V12" s="2" t="s">
        <v>42</v>
      </c>
      <c r="W12" s="2">
        <v>3</v>
      </c>
      <c r="X12" s="2">
        <v>2</v>
      </c>
      <c r="Y12" s="2">
        <v>4</v>
      </c>
      <c r="Z12" s="2">
        <v>0</v>
      </c>
      <c r="AA12" s="2">
        <v>0</v>
      </c>
      <c r="AB12" s="12">
        <f>(W12*4+X12*1+Y12*-2+Z12*-3)/W12</f>
        <v>2</v>
      </c>
      <c r="AC12" s="3">
        <f>W12*12.0107+X12*1.00784+Y12*15.999+Z12*14.0067</f>
        <v>102.04378</v>
      </c>
      <c r="AD12" s="12">
        <v>199</v>
      </c>
      <c r="AE12" s="2" t="s">
        <v>43</v>
      </c>
      <c r="AF12" s="2" t="s">
        <v>44</v>
      </c>
      <c r="AG12" s="2" t="str">
        <f>IF(AD12&gt;37,"Proton symporter", "Diffusion")</f>
        <v>Proton symporter</v>
      </c>
      <c r="AH12" s="3" t="s">
        <v>45</v>
      </c>
    </row>
    <row r="13" spans="1:34" hidden="1" x14ac:dyDescent="0.2">
      <c r="A13" s="8" t="s">
        <v>34</v>
      </c>
      <c r="B13" s="9" t="s">
        <v>35</v>
      </c>
      <c r="C13" s="1" t="s">
        <v>46</v>
      </c>
      <c r="D13" s="10" t="s">
        <v>37</v>
      </c>
      <c r="E13" s="1" t="s">
        <v>38</v>
      </c>
      <c r="F13" s="1" t="s">
        <v>39</v>
      </c>
      <c r="G13" s="1">
        <v>-10</v>
      </c>
      <c r="H13" s="1">
        <v>-20</v>
      </c>
      <c r="I13" s="1" t="s">
        <v>40</v>
      </c>
      <c r="J13" s="1">
        <v>3.15</v>
      </c>
      <c r="K13" s="1">
        <v>-10</v>
      </c>
      <c r="L13" s="1">
        <v>-6.7904761904761903</v>
      </c>
      <c r="M13" s="1" t="s">
        <v>40</v>
      </c>
      <c r="N13" s="1">
        <v>0.18571428571429499</v>
      </c>
      <c r="O13" s="1">
        <v>6.6047619047618999</v>
      </c>
      <c r="Q13" s="1">
        <v>0.66047619047618999</v>
      </c>
      <c r="R13" s="1">
        <v>1.1414998966208101</v>
      </c>
      <c r="S13" s="11" t="s">
        <v>38</v>
      </c>
      <c r="T13" s="2" t="s">
        <v>38</v>
      </c>
      <c r="U13" s="3" t="s">
        <v>41</v>
      </c>
      <c r="V13" s="2" t="s">
        <v>42</v>
      </c>
      <c r="W13" s="2">
        <v>3</v>
      </c>
      <c r="X13" s="2">
        <v>2</v>
      </c>
      <c r="Y13" s="2">
        <v>4</v>
      </c>
      <c r="Z13" s="2">
        <v>0</v>
      </c>
      <c r="AA13" s="2">
        <v>0</v>
      </c>
      <c r="AB13" s="12">
        <f>(W13*4+X13*1+Y13*-2+Z13*-3)/W13</f>
        <v>2</v>
      </c>
      <c r="AC13" s="3">
        <f>W13*12.0107+X13*1.00784+Y13*15.999+Z13*14.0067</f>
        <v>102.04378</v>
      </c>
      <c r="AD13" s="12">
        <v>199</v>
      </c>
      <c r="AE13" s="2" t="s">
        <v>43</v>
      </c>
      <c r="AF13" s="2" t="s">
        <v>44</v>
      </c>
      <c r="AG13" s="2" t="str">
        <f>IF(AD13&gt;37,"Proton symporter", "Diffusion")</f>
        <v>Proton symporter</v>
      </c>
      <c r="AH13" s="3" t="s">
        <v>45</v>
      </c>
    </row>
    <row r="14" spans="1:34" hidden="1" x14ac:dyDescent="0.2">
      <c r="A14" s="8" t="s">
        <v>34</v>
      </c>
      <c r="B14" s="9" t="s">
        <v>35</v>
      </c>
      <c r="C14" s="1" t="s">
        <v>57</v>
      </c>
      <c r="D14" s="10" t="s">
        <v>37</v>
      </c>
      <c r="E14" s="1" t="s">
        <v>38</v>
      </c>
      <c r="F14" s="1" t="s">
        <v>39</v>
      </c>
      <c r="G14" s="1">
        <v>-10</v>
      </c>
      <c r="H14" s="1">
        <v>-20</v>
      </c>
      <c r="I14" s="1" t="s">
        <v>40</v>
      </c>
      <c r="J14" s="1">
        <v>3.15</v>
      </c>
      <c r="K14" s="1">
        <v>-10</v>
      </c>
      <c r="L14" s="1">
        <v>-7.5402985074626896</v>
      </c>
      <c r="M14" s="1" t="s">
        <v>40</v>
      </c>
      <c r="N14" s="1">
        <v>1.3104477611940299</v>
      </c>
      <c r="O14" s="1">
        <v>6.2298507462686601</v>
      </c>
      <c r="Q14" s="1">
        <v>0.62298507462686603</v>
      </c>
      <c r="R14" s="1">
        <v>1.05861173480496</v>
      </c>
      <c r="S14" s="11" t="s">
        <v>38</v>
      </c>
      <c r="T14" s="2" t="s">
        <v>38</v>
      </c>
      <c r="U14" s="3" t="s">
        <v>41</v>
      </c>
      <c r="V14" s="2" t="s">
        <v>42</v>
      </c>
      <c r="W14" s="2">
        <v>3</v>
      </c>
      <c r="X14" s="2">
        <v>2</v>
      </c>
      <c r="Y14" s="2">
        <v>4</v>
      </c>
      <c r="Z14" s="2">
        <v>0</v>
      </c>
      <c r="AA14" s="2">
        <v>0</v>
      </c>
      <c r="AB14" s="12">
        <f>(W14*4+X14*1+Y14*-2+Z14*-3)/W14</f>
        <v>2</v>
      </c>
      <c r="AC14" s="3">
        <f>W14*12.0107+X14*1.00784+Y14*15.999+Z14*14.0067</f>
        <v>102.04378</v>
      </c>
      <c r="AD14" s="12">
        <v>199</v>
      </c>
      <c r="AE14" s="2" t="s">
        <v>43</v>
      </c>
      <c r="AF14" s="2" t="s">
        <v>44</v>
      </c>
      <c r="AG14" s="2" t="str">
        <f>IF(AD14&gt;37,"Proton symporter", "Diffusion")</f>
        <v>Proton symporter</v>
      </c>
      <c r="AH14" s="3" t="s">
        <v>45</v>
      </c>
    </row>
    <row r="15" spans="1:34" hidden="1" x14ac:dyDescent="0.2">
      <c r="A15" s="8" t="s">
        <v>350</v>
      </c>
      <c r="B15" s="17" t="s">
        <v>64</v>
      </c>
      <c r="C15" t="s">
        <v>354</v>
      </c>
      <c r="D15" s="13" t="s">
        <v>51</v>
      </c>
      <c r="E15" t="s">
        <v>38</v>
      </c>
      <c r="F15" t="s">
        <v>39</v>
      </c>
      <c r="G15">
        <v>-10</v>
      </c>
      <c r="H15">
        <v>0</v>
      </c>
      <c r="I15">
        <v>0</v>
      </c>
      <c r="J15">
        <v>0.45</v>
      </c>
      <c r="K15">
        <v>-10</v>
      </c>
      <c r="L15">
        <v>0</v>
      </c>
      <c r="M15" s="26">
        <v>8.9230769230769091</v>
      </c>
      <c r="N15">
        <v>0</v>
      </c>
      <c r="O15" s="26">
        <v>1.7846153846153801</v>
      </c>
      <c r="P15"/>
      <c r="Q15" s="26">
        <v>0.17846153846153801</v>
      </c>
      <c r="R15" s="26">
        <v>0.60216880464765099</v>
      </c>
      <c r="S15" s="3" t="str">
        <f>VLOOKUP($E15,'[1]Product Naming'!$A$1:$P$58,2)</f>
        <v>Malonate</v>
      </c>
      <c r="T15" s="3" t="str">
        <f>VLOOKUP($E15,'[1]Product Naming'!$A$1:$P$58,3)</f>
        <v>Malonate</v>
      </c>
      <c r="U15" s="3" t="str">
        <f>VLOOKUP($E15,'[1]Product Naming'!$A$1:$P$58,4)</f>
        <v>A</v>
      </c>
      <c r="V15" s="3" t="str">
        <f>VLOOKUP($E15,'[1]Product Naming'!$A$1:$P$58,5)</f>
        <v>C3H2O4</v>
      </c>
      <c r="W15" s="3">
        <f>VLOOKUP($E15,'[1]Product Naming'!$A$1:$P$58,6)</f>
        <v>3</v>
      </c>
      <c r="X15" s="3">
        <f>VLOOKUP($E15,'[1]Product Naming'!$A$1:$P$58,7)</f>
        <v>2</v>
      </c>
      <c r="Y15" s="3">
        <f>VLOOKUP($E15,'[1]Product Naming'!$A$1:$P$58,8)</f>
        <v>4</v>
      </c>
      <c r="Z15" s="3">
        <f>VLOOKUP($E15,'[1]Product Naming'!$A$1:$P$58,9)</f>
        <v>0</v>
      </c>
      <c r="AA15" s="3">
        <f>VLOOKUP($E15,'[1]Product Naming'!$A$1:$P$58,10)</f>
        <v>-2</v>
      </c>
      <c r="AB15" s="3">
        <f>VLOOKUP($E15,'[1]Product Naming'!$A$1:$P$58,11)</f>
        <v>2</v>
      </c>
      <c r="AC15" s="3">
        <f>VLOOKUP($E15,'[1]Product Naming'!$A$1:$P$58,12)</f>
        <v>102.04378</v>
      </c>
      <c r="AD15" s="3">
        <f>VLOOKUP($E15,'[1]Product Naming'!$A$1:$P$58,13)</f>
        <v>199</v>
      </c>
      <c r="AE15" s="3" t="str">
        <f>VLOOKUP($E15,'[1]Product Naming'!$A$1:$P$58,14)</f>
        <v>Dicarboxylate</v>
      </c>
      <c r="AF15" s="3" t="str">
        <f>VLOOKUP($E15,'[1]Product Naming'!$A$1:$P$58,15)</f>
        <v>Oxaloacetate</v>
      </c>
      <c r="AG15" s="3" t="str">
        <f>VLOOKUP($E15,'[1]Product Naming'!$A$1:$P$58,16)</f>
        <v>Proton symporter</v>
      </c>
      <c r="AH15" s="3" t="str">
        <f>VLOOKUP($E15,'[1]Product Naming'!$A$1:$Q$58,17)</f>
        <v>malon_c</v>
      </c>
    </row>
    <row r="16" spans="1:34" hidden="1" x14ac:dyDescent="0.2">
      <c r="A16" s="16" t="s">
        <v>63</v>
      </c>
      <c r="B16" s="17" t="s">
        <v>64</v>
      </c>
      <c r="C16" t="s">
        <v>69</v>
      </c>
      <c r="D16" s="18" t="s">
        <v>66</v>
      </c>
      <c r="E16" t="s">
        <v>38</v>
      </c>
      <c r="F16" t="s">
        <v>39</v>
      </c>
      <c r="G16">
        <v>-10</v>
      </c>
      <c r="H16">
        <v>0</v>
      </c>
      <c r="I16">
        <v>-20</v>
      </c>
      <c r="J16">
        <v>0.45</v>
      </c>
      <c r="K16">
        <v>-10</v>
      </c>
      <c r="L16">
        <v>0</v>
      </c>
      <c r="M16">
        <v>-11.0769230769231</v>
      </c>
      <c r="N16">
        <v>0</v>
      </c>
      <c r="O16">
        <v>1.7846153846153801</v>
      </c>
      <c r="P16"/>
      <c r="Q16">
        <v>0.17846153846153801</v>
      </c>
      <c r="R16" s="19">
        <v>0.60206188323016596</v>
      </c>
      <c r="S16" s="11" t="s">
        <v>38</v>
      </c>
      <c r="T16" s="2" t="s">
        <v>38</v>
      </c>
      <c r="U16" s="3" t="s">
        <v>41</v>
      </c>
      <c r="V16" s="2" t="s">
        <v>42</v>
      </c>
      <c r="W16" s="2">
        <v>3</v>
      </c>
      <c r="X16" s="2">
        <v>2</v>
      </c>
      <c r="Y16" s="2">
        <v>4</v>
      </c>
      <c r="Z16" s="2">
        <v>0</v>
      </c>
      <c r="AA16" s="2">
        <v>0</v>
      </c>
      <c r="AB16" s="12">
        <f>(W16*4+X16*1+Y16*-2+Z16*-3)/W16</f>
        <v>2</v>
      </c>
      <c r="AC16" s="3">
        <f>W16*12.0107+X16*1.00784+Y16*15.999+Z16*14.0067</f>
        <v>102.04378</v>
      </c>
      <c r="AD16" s="12">
        <v>199</v>
      </c>
      <c r="AE16" s="2" t="s">
        <v>43</v>
      </c>
      <c r="AF16" s="2" t="s">
        <v>44</v>
      </c>
      <c r="AG16" s="2" t="str">
        <f>IF(AD16&gt;37,"Proton symporter", "Diffusion")</f>
        <v>Proton symporter</v>
      </c>
      <c r="AH16" s="3" t="s">
        <v>45</v>
      </c>
    </row>
    <row r="17" spans="1:34" hidden="1" x14ac:dyDescent="0.2">
      <c r="A17" s="16" t="s">
        <v>63</v>
      </c>
      <c r="B17" s="17" t="s">
        <v>64</v>
      </c>
      <c r="C17" t="s">
        <v>68</v>
      </c>
      <c r="D17" s="18" t="s">
        <v>66</v>
      </c>
      <c r="E17" t="s">
        <v>38</v>
      </c>
      <c r="F17" t="s">
        <v>39</v>
      </c>
      <c r="G17">
        <v>-10</v>
      </c>
      <c r="H17">
        <v>0</v>
      </c>
      <c r="I17">
        <v>-10</v>
      </c>
      <c r="J17">
        <v>0.45</v>
      </c>
      <c r="K17">
        <v>-10</v>
      </c>
      <c r="L17">
        <v>0</v>
      </c>
      <c r="M17">
        <v>-10</v>
      </c>
      <c r="N17">
        <v>0</v>
      </c>
      <c r="O17">
        <v>1.7333333333333301</v>
      </c>
      <c r="P17"/>
      <c r="Q17">
        <v>0.17333333333333301</v>
      </c>
      <c r="R17">
        <v>0.58899728715728705</v>
      </c>
      <c r="S17" s="11" t="s">
        <v>38</v>
      </c>
      <c r="T17" s="2" t="s">
        <v>38</v>
      </c>
      <c r="U17" s="3" t="s">
        <v>41</v>
      </c>
      <c r="V17" s="2" t="s">
        <v>42</v>
      </c>
      <c r="W17" s="2">
        <v>3</v>
      </c>
      <c r="X17" s="2">
        <v>2</v>
      </c>
      <c r="Y17" s="2">
        <v>4</v>
      </c>
      <c r="Z17" s="2">
        <v>0</v>
      </c>
      <c r="AA17" s="2">
        <v>0</v>
      </c>
      <c r="AB17" s="12">
        <f>(W17*4+X17*1+Y17*-2+Z17*-3)/W17</f>
        <v>2</v>
      </c>
      <c r="AC17" s="3">
        <f>W17*12.0107+X17*1.00784+Y17*15.999+Z17*14.0067</f>
        <v>102.04378</v>
      </c>
      <c r="AD17" s="12">
        <v>199</v>
      </c>
      <c r="AE17" s="2" t="s">
        <v>43</v>
      </c>
      <c r="AF17" s="2" t="s">
        <v>44</v>
      </c>
      <c r="AG17" s="2" t="str">
        <f>IF(AD17&gt;37,"Proton symporter", "Diffusion")</f>
        <v>Proton symporter</v>
      </c>
      <c r="AH17" s="3" t="s">
        <v>45</v>
      </c>
    </row>
    <row r="18" spans="1:34" hidden="1" x14ac:dyDescent="0.2">
      <c r="A18" s="8" t="s">
        <v>350</v>
      </c>
      <c r="B18" s="17" t="s">
        <v>64</v>
      </c>
      <c r="C18" t="s">
        <v>353</v>
      </c>
      <c r="D18" s="13" t="s">
        <v>51</v>
      </c>
      <c r="E18" t="s">
        <v>38</v>
      </c>
      <c r="F18" t="s">
        <v>39</v>
      </c>
      <c r="G18">
        <v>-10</v>
      </c>
      <c r="H18">
        <v>0</v>
      </c>
      <c r="I18">
        <v>0</v>
      </c>
      <c r="J18">
        <v>0.45</v>
      </c>
      <c r="K18">
        <v>-10</v>
      </c>
      <c r="L18">
        <v>0</v>
      </c>
      <c r="M18" s="26">
        <v>8.2509505703421908</v>
      </c>
      <c r="N18">
        <v>0</v>
      </c>
      <c r="O18" s="26">
        <v>1.6501901140684301</v>
      </c>
      <c r="P18"/>
      <c r="Q18" s="26">
        <v>0.165019011406843</v>
      </c>
      <c r="R18" s="26">
        <v>0.55432706333736803</v>
      </c>
      <c r="S18" s="3" t="str">
        <f>VLOOKUP($E18,'[1]Product Naming'!$A$1:$P$58,2)</f>
        <v>Malonate</v>
      </c>
      <c r="T18" s="3" t="str">
        <f>VLOOKUP($E18,'[1]Product Naming'!$A$1:$P$58,3)</f>
        <v>Malonate</v>
      </c>
      <c r="U18" s="3" t="str">
        <f>VLOOKUP($E18,'[1]Product Naming'!$A$1:$P$58,4)</f>
        <v>A</v>
      </c>
      <c r="V18" s="3" t="str">
        <f>VLOOKUP($E18,'[1]Product Naming'!$A$1:$P$58,5)</f>
        <v>C3H2O4</v>
      </c>
      <c r="W18" s="3">
        <f>VLOOKUP($E18,'[1]Product Naming'!$A$1:$P$58,6)</f>
        <v>3</v>
      </c>
      <c r="X18" s="3">
        <f>VLOOKUP($E18,'[1]Product Naming'!$A$1:$P$58,7)</f>
        <v>2</v>
      </c>
      <c r="Y18" s="3">
        <f>VLOOKUP($E18,'[1]Product Naming'!$A$1:$P$58,8)</f>
        <v>4</v>
      </c>
      <c r="Z18" s="3">
        <f>VLOOKUP($E18,'[1]Product Naming'!$A$1:$P$58,9)</f>
        <v>0</v>
      </c>
      <c r="AA18" s="3">
        <f>VLOOKUP($E18,'[1]Product Naming'!$A$1:$P$58,10)</f>
        <v>-2</v>
      </c>
      <c r="AB18" s="3">
        <f>VLOOKUP($E18,'[1]Product Naming'!$A$1:$P$58,11)</f>
        <v>2</v>
      </c>
      <c r="AC18" s="3">
        <f>VLOOKUP($E18,'[1]Product Naming'!$A$1:$P$58,12)</f>
        <v>102.04378</v>
      </c>
      <c r="AD18" s="3">
        <f>VLOOKUP($E18,'[1]Product Naming'!$A$1:$P$58,13)</f>
        <v>199</v>
      </c>
      <c r="AE18" s="3" t="str">
        <f>VLOOKUP($E18,'[1]Product Naming'!$A$1:$P$58,14)</f>
        <v>Dicarboxylate</v>
      </c>
      <c r="AF18" s="3" t="str">
        <f>VLOOKUP($E18,'[1]Product Naming'!$A$1:$P$58,15)</f>
        <v>Oxaloacetate</v>
      </c>
      <c r="AG18" s="3" t="str">
        <f>VLOOKUP($E18,'[1]Product Naming'!$A$1:$P$58,16)</f>
        <v>Proton symporter</v>
      </c>
      <c r="AH18" s="3" t="str">
        <f>VLOOKUP($E18,'[1]Product Naming'!$A$1:$Q$58,17)</f>
        <v>malon_c</v>
      </c>
    </row>
    <row r="19" spans="1:34" hidden="1" x14ac:dyDescent="0.2">
      <c r="A19" s="16" t="s">
        <v>63</v>
      </c>
      <c r="B19" s="17" t="s">
        <v>64</v>
      </c>
      <c r="C19" t="s">
        <v>67</v>
      </c>
      <c r="D19" s="18" t="s">
        <v>66</v>
      </c>
      <c r="E19" t="s">
        <v>38</v>
      </c>
      <c r="F19" t="s">
        <v>39</v>
      </c>
      <c r="G19">
        <v>-10</v>
      </c>
      <c r="H19">
        <v>0</v>
      </c>
      <c r="I19">
        <v>-5</v>
      </c>
      <c r="J19">
        <v>0.45</v>
      </c>
      <c r="K19">
        <v>-10</v>
      </c>
      <c r="L19">
        <v>0</v>
      </c>
      <c r="M19">
        <v>-5</v>
      </c>
      <c r="N19">
        <v>1.0549999999999999</v>
      </c>
      <c r="O19">
        <v>1.4450000000000001</v>
      </c>
      <c r="P19"/>
      <c r="Q19">
        <v>0.14449999999999999</v>
      </c>
      <c r="R19">
        <v>0.50810910441075097</v>
      </c>
      <c r="S19" s="11" t="s">
        <v>38</v>
      </c>
      <c r="T19" s="2" t="s">
        <v>38</v>
      </c>
      <c r="U19" s="3" t="s">
        <v>41</v>
      </c>
      <c r="V19" s="2" t="s">
        <v>42</v>
      </c>
      <c r="W19" s="2">
        <v>3</v>
      </c>
      <c r="X19" s="2">
        <v>2</v>
      </c>
      <c r="Y19" s="2">
        <v>4</v>
      </c>
      <c r="Z19" s="2">
        <v>0</v>
      </c>
      <c r="AA19" s="2">
        <v>0</v>
      </c>
      <c r="AB19" s="12">
        <f>(W19*4+X19*1+Y19*-2+Z19*-3)/W19</f>
        <v>2</v>
      </c>
      <c r="AC19" s="3">
        <f>W19*12.0107+X19*1.00784+Y19*15.999+Z19*14.0067</f>
        <v>102.04378</v>
      </c>
      <c r="AD19" s="12">
        <v>199</v>
      </c>
      <c r="AE19" s="2" t="s">
        <v>43</v>
      </c>
      <c r="AF19" s="2" t="s">
        <v>44</v>
      </c>
      <c r="AG19" s="2" t="str">
        <f>IF(AD19&gt;37,"Proton symporter", "Diffusion")</f>
        <v>Proton symporter</v>
      </c>
      <c r="AH19" s="3" t="s">
        <v>45</v>
      </c>
    </row>
    <row r="20" spans="1:34" hidden="1" x14ac:dyDescent="0.2">
      <c r="A20" s="16" t="s">
        <v>63</v>
      </c>
      <c r="B20" s="17" t="s">
        <v>64</v>
      </c>
      <c r="C20" t="s">
        <v>65</v>
      </c>
      <c r="D20" s="18" t="s">
        <v>66</v>
      </c>
      <c r="E20" t="s">
        <v>38</v>
      </c>
      <c r="F20" t="s">
        <v>39</v>
      </c>
      <c r="G20">
        <v>-10</v>
      </c>
      <c r="H20">
        <v>0</v>
      </c>
      <c r="I20">
        <v>0</v>
      </c>
      <c r="J20">
        <v>0.45</v>
      </c>
      <c r="K20">
        <v>-10</v>
      </c>
      <c r="L20">
        <v>0</v>
      </c>
      <c r="M20">
        <v>0</v>
      </c>
      <c r="N20">
        <v>3.93</v>
      </c>
      <c r="O20">
        <v>1.07</v>
      </c>
      <c r="P20"/>
      <c r="Q20">
        <v>0.107</v>
      </c>
      <c r="R20">
        <v>0.38981379721527998</v>
      </c>
      <c r="S20" s="11" t="s">
        <v>38</v>
      </c>
      <c r="T20" s="2" t="s">
        <v>38</v>
      </c>
      <c r="U20" s="3" t="s">
        <v>41</v>
      </c>
      <c r="V20" s="2" t="s">
        <v>42</v>
      </c>
      <c r="W20" s="2">
        <v>3</v>
      </c>
      <c r="X20" s="2">
        <v>2</v>
      </c>
      <c r="Y20" s="2">
        <v>4</v>
      </c>
      <c r="Z20" s="2">
        <v>0</v>
      </c>
      <c r="AA20" s="2">
        <v>0</v>
      </c>
      <c r="AB20" s="12">
        <f>(W20*4+X20*1+Y20*-2+Z20*-3)/W20</f>
        <v>2</v>
      </c>
      <c r="AC20" s="3">
        <f>W20*12.0107+X20*1.00784+Y20*15.999+Z20*14.0067</f>
        <v>102.04378</v>
      </c>
      <c r="AD20" s="12">
        <v>199</v>
      </c>
      <c r="AE20" s="2" t="s">
        <v>43</v>
      </c>
      <c r="AF20" s="2" t="s">
        <v>44</v>
      </c>
      <c r="AG20" s="2" t="str">
        <f>IF(AD20&gt;37,"Proton symporter", "Diffusion")</f>
        <v>Proton symporter</v>
      </c>
      <c r="AH20" s="3" t="s">
        <v>45</v>
      </c>
    </row>
    <row r="21" spans="1:34" hidden="1" x14ac:dyDescent="0.2">
      <c r="A21" s="16" t="s">
        <v>63</v>
      </c>
      <c r="B21" s="17" t="s">
        <v>64</v>
      </c>
      <c r="C21" t="s">
        <v>73</v>
      </c>
      <c r="D21" s="18" t="s">
        <v>66</v>
      </c>
      <c r="E21" t="s">
        <v>38</v>
      </c>
      <c r="F21" t="s">
        <v>39</v>
      </c>
      <c r="G21">
        <v>-10</v>
      </c>
      <c r="H21">
        <v>0</v>
      </c>
      <c r="I21">
        <v>-20</v>
      </c>
      <c r="J21">
        <v>0.45</v>
      </c>
      <c r="K21">
        <v>-10</v>
      </c>
      <c r="L21">
        <v>0</v>
      </c>
      <c r="M21">
        <v>-11.0769230769231</v>
      </c>
      <c r="N21">
        <v>0</v>
      </c>
      <c r="O21">
        <v>1.7846153846153801</v>
      </c>
      <c r="P21"/>
      <c r="Q21">
        <v>0.17846153846153801</v>
      </c>
      <c r="R21" s="19">
        <v>0.37729062947226699</v>
      </c>
      <c r="S21" s="11" t="s">
        <v>38</v>
      </c>
      <c r="T21" s="2" t="s">
        <v>38</v>
      </c>
      <c r="U21" s="3" t="s">
        <v>41</v>
      </c>
      <c r="V21" s="2" t="s">
        <v>42</v>
      </c>
      <c r="W21" s="2">
        <v>3</v>
      </c>
      <c r="X21" s="2">
        <v>2</v>
      </c>
      <c r="Y21" s="2">
        <v>4</v>
      </c>
      <c r="Z21" s="2">
        <v>0</v>
      </c>
      <c r="AA21" s="2">
        <v>0</v>
      </c>
      <c r="AB21" s="12">
        <f>(W21*4+X21*1+Y21*-2+Z21*-3)/W21</f>
        <v>2</v>
      </c>
      <c r="AC21" s="3">
        <f>W21*12.0107+X21*1.00784+Y21*15.999+Z21*14.0067</f>
        <v>102.04378</v>
      </c>
      <c r="AD21" s="12">
        <v>199</v>
      </c>
      <c r="AE21" s="2" t="s">
        <v>43</v>
      </c>
      <c r="AF21" s="2" t="s">
        <v>44</v>
      </c>
      <c r="AG21" s="2" t="str">
        <f>IF(AD21&gt;37,"Proton symporter", "Diffusion")</f>
        <v>Proton symporter</v>
      </c>
      <c r="AH21" s="3" t="s">
        <v>45</v>
      </c>
    </row>
    <row r="22" spans="1:34" hidden="1" x14ac:dyDescent="0.2">
      <c r="A22" s="8" t="s">
        <v>350</v>
      </c>
      <c r="B22" s="17" t="s">
        <v>64</v>
      </c>
      <c r="C22" t="s">
        <v>352</v>
      </c>
      <c r="D22" s="13" t="s">
        <v>51</v>
      </c>
      <c r="E22" t="s">
        <v>38</v>
      </c>
      <c r="F22" t="s">
        <v>39</v>
      </c>
      <c r="G22">
        <v>-10</v>
      </c>
      <c r="H22">
        <v>0</v>
      </c>
      <c r="I22">
        <v>0</v>
      </c>
      <c r="J22">
        <v>0.45</v>
      </c>
      <c r="K22">
        <v>-10</v>
      </c>
      <c r="L22">
        <v>0</v>
      </c>
      <c r="M22" s="26">
        <v>5.7090909090908504</v>
      </c>
      <c r="N22">
        <v>0</v>
      </c>
      <c r="O22" s="26">
        <v>1.1418181818181701</v>
      </c>
      <c r="P22"/>
      <c r="Q22" s="26">
        <v>0.114181818181817</v>
      </c>
      <c r="R22" s="26">
        <v>0.37719339177667499</v>
      </c>
      <c r="S22" s="3" t="str">
        <f>VLOOKUP($E22,'[1]Product Naming'!$A$1:$P$58,2)</f>
        <v>Malonate</v>
      </c>
      <c r="T22" s="3" t="str">
        <f>VLOOKUP($E22,'[1]Product Naming'!$A$1:$P$58,3)</f>
        <v>Malonate</v>
      </c>
      <c r="U22" s="3" t="str">
        <f>VLOOKUP($E22,'[1]Product Naming'!$A$1:$P$58,4)</f>
        <v>A</v>
      </c>
      <c r="V22" s="3" t="str">
        <f>VLOOKUP($E22,'[1]Product Naming'!$A$1:$P$58,5)</f>
        <v>C3H2O4</v>
      </c>
      <c r="W22" s="3">
        <f>VLOOKUP($E22,'[1]Product Naming'!$A$1:$P$58,6)</f>
        <v>3</v>
      </c>
      <c r="X22" s="3">
        <f>VLOOKUP($E22,'[1]Product Naming'!$A$1:$P$58,7)</f>
        <v>2</v>
      </c>
      <c r="Y22" s="3">
        <f>VLOOKUP($E22,'[1]Product Naming'!$A$1:$P$58,8)</f>
        <v>4</v>
      </c>
      <c r="Z22" s="3">
        <f>VLOOKUP($E22,'[1]Product Naming'!$A$1:$P$58,9)</f>
        <v>0</v>
      </c>
      <c r="AA22" s="3">
        <f>VLOOKUP($E22,'[1]Product Naming'!$A$1:$P$58,10)</f>
        <v>-2</v>
      </c>
      <c r="AB22" s="3">
        <f>VLOOKUP($E22,'[1]Product Naming'!$A$1:$P$58,11)</f>
        <v>2</v>
      </c>
      <c r="AC22" s="3">
        <f>VLOOKUP($E22,'[1]Product Naming'!$A$1:$P$58,12)</f>
        <v>102.04378</v>
      </c>
      <c r="AD22" s="3">
        <f>VLOOKUP($E22,'[1]Product Naming'!$A$1:$P$58,13)</f>
        <v>199</v>
      </c>
      <c r="AE22" s="3" t="str">
        <f>VLOOKUP($E22,'[1]Product Naming'!$A$1:$P$58,14)</f>
        <v>Dicarboxylate</v>
      </c>
      <c r="AF22" s="3" t="str">
        <f>VLOOKUP($E22,'[1]Product Naming'!$A$1:$P$58,15)</f>
        <v>Oxaloacetate</v>
      </c>
      <c r="AG22" s="3" t="str">
        <f>VLOOKUP($E22,'[1]Product Naming'!$A$1:$P$58,16)</f>
        <v>Proton symporter</v>
      </c>
      <c r="AH22" s="3" t="str">
        <f>VLOOKUP($E22,'[1]Product Naming'!$A$1:$Q$58,17)</f>
        <v>malon_c</v>
      </c>
    </row>
    <row r="23" spans="1:34" hidden="1" x14ac:dyDescent="0.2">
      <c r="A23" s="16" t="s">
        <v>63</v>
      </c>
      <c r="B23" s="17" t="s">
        <v>64</v>
      </c>
      <c r="C23" t="s">
        <v>72</v>
      </c>
      <c r="D23" s="18" t="s">
        <v>66</v>
      </c>
      <c r="E23" t="s">
        <v>38</v>
      </c>
      <c r="F23" t="s">
        <v>39</v>
      </c>
      <c r="G23">
        <v>-10</v>
      </c>
      <c r="H23">
        <v>0</v>
      </c>
      <c r="I23">
        <v>-10</v>
      </c>
      <c r="J23">
        <v>0.45</v>
      </c>
      <c r="K23">
        <v>-10</v>
      </c>
      <c r="L23">
        <v>0</v>
      </c>
      <c r="M23">
        <v>-10</v>
      </c>
      <c r="N23">
        <v>0</v>
      </c>
      <c r="O23">
        <v>1.7333333333333301</v>
      </c>
      <c r="P23"/>
      <c r="Q23">
        <v>0.17333333333333301</v>
      </c>
      <c r="R23">
        <v>0.36811104636320202</v>
      </c>
      <c r="S23" s="11" t="s">
        <v>38</v>
      </c>
      <c r="T23" s="2" t="s">
        <v>38</v>
      </c>
      <c r="U23" s="3" t="s">
        <v>41</v>
      </c>
      <c r="V23" s="2" t="s">
        <v>42</v>
      </c>
      <c r="W23" s="2">
        <v>3</v>
      </c>
      <c r="X23" s="2">
        <v>2</v>
      </c>
      <c r="Y23" s="2">
        <v>4</v>
      </c>
      <c r="Z23" s="2">
        <v>0</v>
      </c>
      <c r="AA23" s="2">
        <v>0</v>
      </c>
      <c r="AB23" s="12">
        <f>(W23*4+X23*1+Y23*-2+Z23*-3)/W23</f>
        <v>2</v>
      </c>
      <c r="AC23" s="3">
        <f>W23*12.0107+X23*1.00784+Y23*15.999+Z23*14.0067</f>
        <v>102.04378</v>
      </c>
      <c r="AD23" s="12">
        <v>199</v>
      </c>
      <c r="AE23" s="2" t="s">
        <v>43</v>
      </c>
      <c r="AF23" s="2" t="s">
        <v>44</v>
      </c>
      <c r="AG23" s="2" t="str">
        <f>IF(AD23&gt;37,"Proton symporter", "Diffusion")</f>
        <v>Proton symporter</v>
      </c>
      <c r="AH23" s="3" t="s">
        <v>45</v>
      </c>
    </row>
    <row r="24" spans="1:34" hidden="1" x14ac:dyDescent="0.2">
      <c r="A24" s="16" t="s">
        <v>63</v>
      </c>
      <c r="B24" s="17" t="s">
        <v>64</v>
      </c>
      <c r="C24" t="s">
        <v>71</v>
      </c>
      <c r="D24" s="18" t="s">
        <v>66</v>
      </c>
      <c r="E24" t="s">
        <v>38</v>
      </c>
      <c r="F24" t="s">
        <v>39</v>
      </c>
      <c r="G24">
        <v>-10</v>
      </c>
      <c r="H24">
        <v>0</v>
      </c>
      <c r="I24">
        <v>-5</v>
      </c>
      <c r="J24">
        <v>0.45</v>
      </c>
      <c r="K24">
        <v>-10</v>
      </c>
      <c r="L24">
        <v>0</v>
      </c>
      <c r="M24">
        <v>-5</v>
      </c>
      <c r="N24">
        <v>1.0549999999999999</v>
      </c>
      <c r="O24">
        <v>1.4450000000000001</v>
      </c>
      <c r="P24"/>
      <c r="Q24">
        <v>0.14449999999999999</v>
      </c>
      <c r="R24">
        <v>0.313466232918647</v>
      </c>
      <c r="S24" s="11" t="s">
        <v>38</v>
      </c>
      <c r="T24" s="2" t="s">
        <v>38</v>
      </c>
      <c r="U24" s="3" t="s">
        <v>41</v>
      </c>
      <c r="V24" s="2" t="s">
        <v>42</v>
      </c>
      <c r="W24" s="2">
        <v>3</v>
      </c>
      <c r="X24" s="2">
        <v>2</v>
      </c>
      <c r="Y24" s="2">
        <v>4</v>
      </c>
      <c r="Z24" s="2">
        <v>0</v>
      </c>
      <c r="AA24" s="2">
        <v>0</v>
      </c>
      <c r="AB24" s="12">
        <f>(W24*4+X24*1+Y24*-2+Z24*-3)/W24</f>
        <v>2</v>
      </c>
      <c r="AC24" s="3">
        <f>W24*12.0107+X24*1.00784+Y24*15.999+Z24*14.0067</f>
        <v>102.04378</v>
      </c>
      <c r="AD24" s="12">
        <v>199</v>
      </c>
      <c r="AE24" s="2" t="s">
        <v>43</v>
      </c>
      <c r="AF24" s="2" t="s">
        <v>44</v>
      </c>
      <c r="AG24" s="2" t="str">
        <f>IF(AD24&gt;37,"Proton symporter", "Diffusion")</f>
        <v>Proton symporter</v>
      </c>
      <c r="AH24" s="3" t="s">
        <v>45</v>
      </c>
    </row>
    <row r="25" spans="1:34" hidden="1" x14ac:dyDescent="0.2">
      <c r="A25" s="8" t="s">
        <v>368</v>
      </c>
      <c r="B25" s="17" t="s">
        <v>64</v>
      </c>
      <c r="C25" t="s">
        <v>369</v>
      </c>
      <c r="D25" s="18" t="s">
        <v>66</v>
      </c>
      <c r="E25" t="s">
        <v>38</v>
      </c>
      <c r="F25" t="s">
        <v>39</v>
      </c>
      <c r="G25">
        <v>-10</v>
      </c>
      <c r="H25">
        <v>0</v>
      </c>
      <c r="I25">
        <v>-20</v>
      </c>
      <c r="J25">
        <v>0.45</v>
      </c>
      <c r="K25">
        <v>-10</v>
      </c>
      <c r="L25">
        <v>0</v>
      </c>
      <c r="M25">
        <v>-20</v>
      </c>
      <c r="N25">
        <v>-10</v>
      </c>
      <c r="O25">
        <v>1.25714285714285</v>
      </c>
      <c r="P25"/>
      <c r="Q25">
        <v>0.125714285714285</v>
      </c>
      <c r="R25">
        <v>0.26702387315860499</v>
      </c>
      <c r="S25" s="1" t="str">
        <f>VLOOKUP($E25,'[1]Product Naming'!$A$1:$P$58,2)</f>
        <v>Malonate</v>
      </c>
      <c r="T25" s="1" t="str">
        <f>VLOOKUP($E25,'[1]Product Naming'!$A$1:$P$58,3)</f>
        <v>Malonate</v>
      </c>
      <c r="U25" s="1" t="str">
        <f>VLOOKUP($E25,'[1]Product Naming'!$A$1:$P$58,4)</f>
        <v>A</v>
      </c>
      <c r="V25" s="1" t="str">
        <f>VLOOKUP($E25,'[1]Product Naming'!$A$1:$P$58,5)</f>
        <v>C3H2O4</v>
      </c>
      <c r="W25" s="1">
        <f>VLOOKUP($E25,'[1]Product Naming'!$A$1:$P$58,6)</f>
        <v>3</v>
      </c>
      <c r="X25" s="1">
        <f>VLOOKUP($E25,'[1]Product Naming'!$A$1:$P$58,7)</f>
        <v>2</v>
      </c>
      <c r="Y25" s="1">
        <f>VLOOKUP($E25,'[1]Product Naming'!$A$1:$P$58,8)</f>
        <v>4</v>
      </c>
      <c r="Z25" s="1">
        <f>VLOOKUP($E25,'[1]Product Naming'!$A$1:$P$58,9)</f>
        <v>0</v>
      </c>
      <c r="AA25" s="1">
        <f>VLOOKUP($E25,'[1]Product Naming'!$A$1:$P$58,10)</f>
        <v>-2</v>
      </c>
      <c r="AB25" s="27">
        <f>VLOOKUP($E25,'[1]Product Naming'!$A$1:$P$58,11)</f>
        <v>2</v>
      </c>
      <c r="AC25" s="3">
        <f>VLOOKUP($E25,'[1]Product Naming'!$A$1:$P$58,12)</f>
        <v>102.04378</v>
      </c>
      <c r="AD25" s="1">
        <f>VLOOKUP($E25,'[1]Product Naming'!$A$1:$P$58,13)</f>
        <v>199</v>
      </c>
      <c r="AE25" s="1" t="str">
        <f>VLOOKUP($E25,'[1]Product Naming'!$A$1:$P$58,14)</f>
        <v>Dicarboxylate</v>
      </c>
      <c r="AF25" s="1" t="str">
        <f>VLOOKUP($E25,'[1]Product Naming'!$A$1:$P$58,15)</f>
        <v>Oxaloacetate</v>
      </c>
      <c r="AG25" s="28" t="str">
        <f>VLOOKUP($E25,'[1]Product Naming'!$A$1:$P$58,16)</f>
        <v>Proton symporter</v>
      </c>
      <c r="AH25" s="3" t="str">
        <f>VLOOKUP($E25,'[1]Product Naming'!$A$1:$Q$58,17)</f>
        <v>malon_c</v>
      </c>
    </row>
    <row r="26" spans="1:34" hidden="1" x14ac:dyDescent="0.2">
      <c r="A26" s="8" t="s">
        <v>34</v>
      </c>
      <c r="B26" s="9" t="s">
        <v>35</v>
      </c>
      <c r="C26" s="1" t="s">
        <v>50</v>
      </c>
      <c r="D26" s="13" t="s">
        <v>51</v>
      </c>
      <c r="E26" s="1" t="s">
        <v>38</v>
      </c>
      <c r="F26" s="1" t="s">
        <v>39</v>
      </c>
      <c r="G26" s="1">
        <v>-10</v>
      </c>
      <c r="H26" s="1">
        <v>-20</v>
      </c>
      <c r="I26" s="1" t="s">
        <v>40</v>
      </c>
      <c r="J26" s="1">
        <v>3.15</v>
      </c>
      <c r="K26" s="1">
        <v>-10</v>
      </c>
      <c r="L26" s="1">
        <v>-2.63</v>
      </c>
      <c r="M26" s="1" t="s">
        <v>40</v>
      </c>
      <c r="N26" s="1">
        <v>6.4450000000000003</v>
      </c>
      <c r="O26" s="1">
        <v>1.1850000000000001</v>
      </c>
      <c r="Q26" s="1">
        <v>0.11849999999999999</v>
      </c>
      <c r="R26" s="1">
        <v>0.26270460594921502</v>
      </c>
      <c r="S26" s="11" t="s">
        <v>38</v>
      </c>
      <c r="T26" s="2" t="s">
        <v>38</v>
      </c>
      <c r="U26" s="3" t="s">
        <v>41</v>
      </c>
      <c r="V26" s="2" t="s">
        <v>42</v>
      </c>
      <c r="W26" s="2">
        <v>3</v>
      </c>
      <c r="X26" s="2">
        <v>2</v>
      </c>
      <c r="Y26" s="2">
        <v>4</v>
      </c>
      <c r="Z26" s="2">
        <v>0</v>
      </c>
      <c r="AA26" s="2">
        <v>0</v>
      </c>
      <c r="AB26" s="12">
        <f>(W26*4+X26*1+Y26*-2+Z26*-3)/W26</f>
        <v>2</v>
      </c>
      <c r="AC26" s="3">
        <f>W26*12.0107+X26*1.00784+Y26*15.999+Z26*14.0067</f>
        <v>102.04378</v>
      </c>
      <c r="AD26" s="12">
        <v>199</v>
      </c>
      <c r="AE26" s="2" t="s">
        <v>43</v>
      </c>
      <c r="AF26" s="2" t="s">
        <v>44</v>
      </c>
      <c r="AG26" s="2" t="str">
        <f>IF(AD26&gt;37,"Proton symporter", "Diffusion")</f>
        <v>Proton symporter</v>
      </c>
      <c r="AH26" s="3" t="s">
        <v>45</v>
      </c>
    </row>
    <row r="27" spans="1:34" hidden="1" x14ac:dyDescent="0.2">
      <c r="A27" s="16" t="s">
        <v>63</v>
      </c>
      <c r="B27" s="17" t="s">
        <v>64</v>
      </c>
      <c r="C27" t="s">
        <v>70</v>
      </c>
      <c r="D27" s="18" t="s">
        <v>66</v>
      </c>
      <c r="E27" t="s">
        <v>38</v>
      </c>
      <c r="F27" t="s">
        <v>39</v>
      </c>
      <c r="G27">
        <v>-10</v>
      </c>
      <c r="H27">
        <v>0</v>
      </c>
      <c r="I27">
        <v>0</v>
      </c>
      <c r="J27">
        <v>0.45</v>
      </c>
      <c r="K27">
        <v>-10</v>
      </c>
      <c r="L27">
        <v>0</v>
      </c>
      <c r="M27">
        <v>0</v>
      </c>
      <c r="N27">
        <v>3.93</v>
      </c>
      <c r="O27">
        <v>1.07</v>
      </c>
      <c r="P27"/>
      <c r="Q27">
        <v>0.107</v>
      </c>
      <c r="R27">
        <v>0.237210066131359</v>
      </c>
      <c r="S27" s="11" t="s">
        <v>38</v>
      </c>
      <c r="T27" s="2" t="s">
        <v>38</v>
      </c>
      <c r="U27" s="3" t="s">
        <v>41</v>
      </c>
      <c r="V27" s="2" t="s">
        <v>42</v>
      </c>
      <c r="W27" s="2">
        <v>3</v>
      </c>
      <c r="X27" s="2">
        <v>2</v>
      </c>
      <c r="Y27" s="2">
        <v>4</v>
      </c>
      <c r="Z27" s="2">
        <v>0</v>
      </c>
      <c r="AA27" s="2">
        <v>0</v>
      </c>
      <c r="AB27" s="12">
        <f>(W27*4+X27*1+Y27*-2+Z27*-3)/W27</f>
        <v>2</v>
      </c>
      <c r="AC27" s="3">
        <f>W27*12.0107+X27*1.00784+Y27*15.999+Z27*14.0067</f>
        <v>102.04378</v>
      </c>
      <c r="AD27" s="12">
        <v>199</v>
      </c>
      <c r="AE27" s="2" t="s">
        <v>43</v>
      </c>
      <c r="AF27" s="2" t="s">
        <v>44</v>
      </c>
      <c r="AG27" s="2" t="str">
        <f>IF(AD27&gt;37,"Proton symporter", "Diffusion")</f>
        <v>Proton symporter</v>
      </c>
      <c r="AH27" s="3" t="s">
        <v>45</v>
      </c>
    </row>
    <row r="28" spans="1:34" hidden="1" x14ac:dyDescent="0.2">
      <c r="A28" s="8" t="s">
        <v>34</v>
      </c>
      <c r="B28" s="9" t="s">
        <v>35</v>
      </c>
      <c r="C28" s="1" t="s">
        <v>52</v>
      </c>
      <c r="D28" s="13" t="s">
        <v>51</v>
      </c>
      <c r="E28" s="1" t="s">
        <v>38</v>
      </c>
      <c r="F28" s="1" t="s">
        <v>39</v>
      </c>
      <c r="G28" s="1">
        <v>-10</v>
      </c>
      <c r="H28" s="1">
        <v>-20</v>
      </c>
      <c r="I28" s="1" t="s">
        <v>40</v>
      </c>
      <c r="J28" s="1">
        <v>3.15</v>
      </c>
      <c r="K28" s="1">
        <v>-10</v>
      </c>
      <c r="L28" s="1">
        <v>-3.2763636363636399</v>
      </c>
      <c r="M28" s="1" t="s">
        <v>40</v>
      </c>
      <c r="N28" s="1">
        <v>7.4145454545454497</v>
      </c>
      <c r="O28" s="1">
        <v>0.86181818181818204</v>
      </c>
      <c r="Q28" s="1">
        <v>8.6181818181818207E-2</v>
      </c>
      <c r="R28" s="1">
        <v>0.191057895235793</v>
      </c>
      <c r="S28" s="11" t="s">
        <v>38</v>
      </c>
      <c r="T28" s="2" t="s">
        <v>38</v>
      </c>
      <c r="U28" s="3" t="s">
        <v>41</v>
      </c>
      <c r="V28" s="2" t="s">
        <v>42</v>
      </c>
      <c r="W28" s="2">
        <v>3</v>
      </c>
      <c r="X28" s="2">
        <v>2</v>
      </c>
      <c r="Y28" s="2">
        <v>4</v>
      </c>
      <c r="Z28" s="2">
        <v>0</v>
      </c>
      <c r="AA28" s="2">
        <v>0</v>
      </c>
      <c r="AB28" s="12">
        <f>(W28*4+X28*1+Y28*-2+Z28*-3)/W28</f>
        <v>2</v>
      </c>
      <c r="AC28" s="3">
        <f>W28*12.0107+X28*1.00784+Y28*15.999+Z28*14.0067</f>
        <v>102.04378</v>
      </c>
      <c r="AD28" s="12">
        <v>199</v>
      </c>
      <c r="AE28" s="2" t="s">
        <v>43</v>
      </c>
      <c r="AF28" s="2" t="s">
        <v>44</v>
      </c>
      <c r="AG28" s="2" t="str">
        <f>IF(AD28&gt;37,"Proton symporter", "Diffusion")</f>
        <v>Proton symporter</v>
      </c>
      <c r="AH28" s="3" t="s">
        <v>45</v>
      </c>
    </row>
    <row r="29" spans="1:34" hidden="1" x14ac:dyDescent="0.2">
      <c r="A29" s="8" t="s">
        <v>350</v>
      </c>
      <c r="B29" s="17" t="s">
        <v>64</v>
      </c>
      <c r="C29" t="s">
        <v>351</v>
      </c>
      <c r="D29" s="13" t="s">
        <v>51</v>
      </c>
      <c r="E29" t="s">
        <v>38</v>
      </c>
      <c r="F29" t="s">
        <v>39</v>
      </c>
      <c r="G29">
        <v>-10</v>
      </c>
      <c r="H29">
        <v>0</v>
      </c>
      <c r="I29">
        <v>0</v>
      </c>
      <c r="J29">
        <v>0.45</v>
      </c>
      <c r="K29">
        <v>-10</v>
      </c>
      <c r="L29">
        <v>0</v>
      </c>
      <c r="M29" s="26">
        <v>2.8275862068965498</v>
      </c>
      <c r="N29">
        <v>0</v>
      </c>
      <c r="O29">
        <v>0.56551724137931103</v>
      </c>
      <c r="P29"/>
      <c r="Q29">
        <v>5.6551724137931102E-2</v>
      </c>
      <c r="R29" s="26">
        <v>0.183367172385005</v>
      </c>
      <c r="S29" s="3" t="str">
        <f>VLOOKUP($E29,'[1]Product Naming'!$A$1:$P$58,2)</f>
        <v>Malonate</v>
      </c>
      <c r="T29" s="3" t="str">
        <f>VLOOKUP($E29,'[1]Product Naming'!$A$1:$P$58,3)</f>
        <v>Malonate</v>
      </c>
      <c r="U29" s="3" t="str">
        <f>VLOOKUP($E29,'[1]Product Naming'!$A$1:$P$58,4)</f>
        <v>A</v>
      </c>
      <c r="V29" s="3" t="str">
        <f>VLOOKUP($E29,'[1]Product Naming'!$A$1:$P$58,5)</f>
        <v>C3H2O4</v>
      </c>
      <c r="W29" s="3">
        <f>VLOOKUP($E29,'[1]Product Naming'!$A$1:$P$58,6)</f>
        <v>3</v>
      </c>
      <c r="X29" s="3">
        <f>VLOOKUP($E29,'[1]Product Naming'!$A$1:$P$58,7)</f>
        <v>2</v>
      </c>
      <c r="Y29" s="3">
        <f>VLOOKUP($E29,'[1]Product Naming'!$A$1:$P$58,8)</f>
        <v>4</v>
      </c>
      <c r="Z29" s="3">
        <f>VLOOKUP($E29,'[1]Product Naming'!$A$1:$P$58,9)</f>
        <v>0</v>
      </c>
      <c r="AA29" s="3">
        <f>VLOOKUP($E29,'[1]Product Naming'!$A$1:$P$58,10)</f>
        <v>-2</v>
      </c>
      <c r="AB29" s="3">
        <f>VLOOKUP($E29,'[1]Product Naming'!$A$1:$P$58,11)</f>
        <v>2</v>
      </c>
      <c r="AC29" s="3">
        <f>VLOOKUP($E29,'[1]Product Naming'!$A$1:$P$58,12)</f>
        <v>102.04378</v>
      </c>
      <c r="AD29" s="3">
        <f>VLOOKUP($E29,'[1]Product Naming'!$A$1:$P$58,13)</f>
        <v>199</v>
      </c>
      <c r="AE29" s="3" t="str">
        <f>VLOOKUP($E29,'[1]Product Naming'!$A$1:$P$58,14)</f>
        <v>Dicarboxylate</v>
      </c>
      <c r="AF29" s="3" t="str">
        <f>VLOOKUP($E29,'[1]Product Naming'!$A$1:$P$58,15)</f>
        <v>Oxaloacetate</v>
      </c>
      <c r="AG29" s="3" t="str">
        <f>VLOOKUP($E29,'[1]Product Naming'!$A$1:$P$58,16)</f>
        <v>Proton symporter</v>
      </c>
      <c r="AH29" s="3" t="str">
        <f>VLOOKUP($E29,'[1]Product Naming'!$A$1:$Q$58,17)</f>
        <v>malon_c</v>
      </c>
    </row>
    <row r="30" spans="1:34" hidden="1" x14ac:dyDescent="0.2">
      <c r="A30" s="8" t="s">
        <v>34</v>
      </c>
      <c r="B30" s="9" t="s">
        <v>35</v>
      </c>
      <c r="C30" s="1" t="s">
        <v>53</v>
      </c>
      <c r="D30" s="13" t="s">
        <v>51</v>
      </c>
      <c r="E30" s="1" t="s">
        <v>38</v>
      </c>
      <c r="F30" s="1" t="s">
        <v>39</v>
      </c>
      <c r="G30" s="1">
        <v>-10</v>
      </c>
      <c r="H30" s="1">
        <v>-20</v>
      </c>
      <c r="I30" s="1" t="s">
        <v>40</v>
      </c>
      <c r="J30" s="1">
        <v>3.15</v>
      </c>
      <c r="K30" s="1">
        <v>-10</v>
      </c>
      <c r="L30" s="1">
        <v>-4.1580817051509804</v>
      </c>
      <c r="M30" s="1" t="s">
        <v>40</v>
      </c>
      <c r="N30" s="1">
        <v>8.7371225577264706</v>
      </c>
      <c r="O30" s="1">
        <v>0.42095914742451401</v>
      </c>
      <c r="Q30" s="1">
        <v>4.2095914742451397E-2</v>
      </c>
      <c r="R30" s="1">
        <v>9.3323128223522803E-2</v>
      </c>
      <c r="S30" s="11" t="s">
        <v>38</v>
      </c>
      <c r="T30" s="2" t="s">
        <v>38</v>
      </c>
      <c r="U30" s="3" t="s">
        <v>41</v>
      </c>
      <c r="V30" s="2" t="s">
        <v>42</v>
      </c>
      <c r="W30" s="2">
        <v>3</v>
      </c>
      <c r="X30" s="2">
        <v>2</v>
      </c>
      <c r="Y30" s="2">
        <v>4</v>
      </c>
      <c r="Z30" s="2">
        <v>0</v>
      </c>
      <c r="AA30" s="2">
        <v>0</v>
      </c>
      <c r="AB30" s="12">
        <f>(W30*4+X30*1+Y30*-2+Z30*-3)/W30</f>
        <v>2</v>
      </c>
      <c r="AC30" s="3">
        <f>W30*12.0107+X30*1.00784+Y30*15.999+Z30*14.0067</f>
        <v>102.04378</v>
      </c>
      <c r="AD30" s="12">
        <v>199</v>
      </c>
      <c r="AE30" s="2" t="s">
        <v>43</v>
      </c>
      <c r="AF30" s="2" t="s">
        <v>44</v>
      </c>
      <c r="AG30" s="2" t="str">
        <f>IF(AD30&gt;37,"Proton symporter", "Diffusion")</f>
        <v>Proton symporter</v>
      </c>
      <c r="AH30" s="3" t="s">
        <v>45</v>
      </c>
    </row>
    <row r="31" spans="1:34" hidden="1" x14ac:dyDescent="0.2">
      <c r="A31" s="16" t="s">
        <v>74</v>
      </c>
      <c r="B31" s="9" t="s">
        <v>35</v>
      </c>
      <c r="C31" t="s">
        <v>49</v>
      </c>
      <c r="D31" s="10" t="s">
        <v>37</v>
      </c>
      <c r="E31" t="s">
        <v>88</v>
      </c>
      <c r="F31" t="s">
        <v>89</v>
      </c>
      <c r="G31">
        <v>-10</v>
      </c>
      <c r="H31">
        <v>-20</v>
      </c>
      <c r="I31" s="1" t="s">
        <v>40</v>
      </c>
      <c r="J31">
        <v>3.15</v>
      </c>
      <c r="K31">
        <v>-10</v>
      </c>
      <c r="L31">
        <v>-10.75</v>
      </c>
      <c r="M31" s="1" t="s">
        <v>40</v>
      </c>
      <c r="N31">
        <v>-10.8</v>
      </c>
      <c r="O31">
        <v>7.7</v>
      </c>
      <c r="P31"/>
      <c r="Q31">
        <v>0.77</v>
      </c>
      <c r="R31">
        <v>2.20748652844612</v>
      </c>
      <c r="S31" s="3" t="s">
        <v>88</v>
      </c>
      <c r="T31" s="3" t="s">
        <v>90</v>
      </c>
      <c r="U31" s="3" t="s">
        <v>35</v>
      </c>
      <c r="V31" s="3" t="s">
        <v>91</v>
      </c>
      <c r="W31" s="3">
        <v>4</v>
      </c>
      <c r="X31" s="3">
        <v>4</v>
      </c>
      <c r="Y31" s="3">
        <v>5</v>
      </c>
      <c r="Z31" s="3">
        <v>0</v>
      </c>
      <c r="AA31" s="3">
        <v>-2</v>
      </c>
      <c r="AB31" s="12">
        <f>(W31*4+X31*1+Y31*-2+Z31*-3)/W31</f>
        <v>2.5</v>
      </c>
      <c r="AC31" s="3">
        <f>W31*12.0107+X31*1.00784+Y31*15.999+Z31*14.0067</f>
        <v>132.06916000000001</v>
      </c>
      <c r="AD31" s="12" t="s">
        <v>40</v>
      </c>
      <c r="AE31" s="3" t="s">
        <v>43</v>
      </c>
      <c r="AF31" s="3" t="s">
        <v>44</v>
      </c>
      <c r="AG31" s="2" t="s">
        <v>92</v>
      </c>
      <c r="AH31" s="2" t="s">
        <v>93</v>
      </c>
    </row>
    <row r="32" spans="1:34" hidden="1" x14ac:dyDescent="0.2">
      <c r="A32" s="16" t="s">
        <v>74</v>
      </c>
      <c r="B32" s="9" t="s">
        <v>35</v>
      </c>
      <c r="C32" t="s">
        <v>49</v>
      </c>
      <c r="D32" s="10" t="s">
        <v>37</v>
      </c>
      <c r="E32" t="s">
        <v>82</v>
      </c>
      <c r="F32" t="s">
        <v>83</v>
      </c>
      <c r="G32">
        <v>-10</v>
      </c>
      <c r="H32">
        <v>-20</v>
      </c>
      <c r="I32" s="1" t="s">
        <v>40</v>
      </c>
      <c r="J32">
        <v>3.15</v>
      </c>
      <c r="K32">
        <v>-10</v>
      </c>
      <c r="L32">
        <v>-13.625</v>
      </c>
      <c r="M32" s="1" t="s">
        <v>40</v>
      </c>
      <c r="N32">
        <v>-6.2</v>
      </c>
      <c r="O32">
        <v>13.1</v>
      </c>
      <c r="P32"/>
      <c r="Q32">
        <v>1.31</v>
      </c>
      <c r="R32">
        <v>2.1339348398782301</v>
      </c>
      <c r="S32" s="3" t="s">
        <v>82</v>
      </c>
      <c r="T32" s="3" t="s">
        <v>82</v>
      </c>
      <c r="U32" s="3" t="s">
        <v>35</v>
      </c>
      <c r="V32" s="3" t="s">
        <v>84</v>
      </c>
      <c r="W32" s="3">
        <v>2</v>
      </c>
      <c r="X32" s="3">
        <v>3</v>
      </c>
      <c r="Y32" s="3">
        <v>3</v>
      </c>
      <c r="Z32" s="3">
        <v>0</v>
      </c>
      <c r="AA32" s="3">
        <v>-1</v>
      </c>
      <c r="AB32" s="12">
        <f>(W32*4+X32*1+Y32*-2+Z32*-3)/W32</f>
        <v>2.5</v>
      </c>
      <c r="AC32" s="3">
        <f>W32*12.0107+X32*1.00784+Y32*15.999+Z32*14.0067</f>
        <v>75.041920000000005</v>
      </c>
      <c r="AD32" s="12">
        <v>112</v>
      </c>
      <c r="AE32" s="3" t="s">
        <v>85</v>
      </c>
      <c r="AF32" s="3" t="s">
        <v>86</v>
      </c>
      <c r="AG32" s="2" t="str">
        <f>IF(AD32&gt;37,"Proton symporter", "Diffusion")</f>
        <v>Proton symporter</v>
      </c>
      <c r="AH32" s="2" t="s">
        <v>87</v>
      </c>
    </row>
    <row r="33" spans="1:34" hidden="1" x14ac:dyDescent="0.2">
      <c r="A33" s="16" t="s">
        <v>74</v>
      </c>
      <c r="B33" s="9" t="s">
        <v>35</v>
      </c>
      <c r="C33" t="s">
        <v>49</v>
      </c>
      <c r="D33" s="10" t="s">
        <v>37</v>
      </c>
      <c r="E33" t="s">
        <v>75</v>
      </c>
      <c r="F33" t="s">
        <v>76</v>
      </c>
      <c r="G33">
        <v>-10</v>
      </c>
      <c r="H33">
        <v>-20</v>
      </c>
      <c r="I33" s="1" t="s">
        <v>40</v>
      </c>
      <c r="J33">
        <v>3.15</v>
      </c>
      <c r="K33">
        <v>-10</v>
      </c>
      <c r="L33">
        <v>-6.7642335766423303</v>
      </c>
      <c r="M33" s="1" t="s">
        <v>40</v>
      </c>
      <c r="N33">
        <v>-10.9810218978102</v>
      </c>
      <c r="O33">
        <v>5.16350364963502</v>
      </c>
      <c r="P33"/>
      <c r="Q33">
        <v>0.51635036496350195</v>
      </c>
      <c r="R33">
        <v>2.1195012171999199</v>
      </c>
      <c r="S33" s="3" t="s">
        <v>75</v>
      </c>
      <c r="T33" s="3" t="s">
        <v>75</v>
      </c>
      <c r="U33" s="3" t="s">
        <v>35</v>
      </c>
      <c r="V33" s="3" t="s">
        <v>77</v>
      </c>
      <c r="W33" s="3">
        <v>6</v>
      </c>
      <c r="X33" s="3">
        <v>5</v>
      </c>
      <c r="Y33" s="3">
        <v>7</v>
      </c>
      <c r="Z33" s="3">
        <v>0</v>
      </c>
      <c r="AA33" s="3">
        <v>-3</v>
      </c>
      <c r="AB33" s="12">
        <f>(W33*4+X33*1+Y33*-2+Z33*-3)/W33</f>
        <v>2.5</v>
      </c>
      <c r="AC33" s="3">
        <f>W33*12.0107+X33*1.00784+Y33*15.999+Z33*14.0067</f>
        <v>189.09640000000002</v>
      </c>
      <c r="AD33" s="12" t="s">
        <v>40</v>
      </c>
      <c r="AE33" s="3" t="s">
        <v>78</v>
      </c>
      <c r="AF33" s="3" t="s">
        <v>79</v>
      </c>
      <c r="AG33" s="2" t="s">
        <v>80</v>
      </c>
      <c r="AH33" s="2" t="s">
        <v>81</v>
      </c>
    </row>
    <row r="34" spans="1:34" hidden="1" x14ac:dyDescent="0.2">
      <c r="A34" s="16" t="s">
        <v>74</v>
      </c>
      <c r="B34" s="9" t="s">
        <v>35</v>
      </c>
      <c r="C34" t="s">
        <v>36</v>
      </c>
      <c r="D34" s="10" t="s">
        <v>37</v>
      </c>
      <c r="E34" t="s">
        <v>82</v>
      </c>
      <c r="F34" t="s">
        <v>83</v>
      </c>
      <c r="G34">
        <v>-10</v>
      </c>
      <c r="H34">
        <v>-20</v>
      </c>
      <c r="I34" s="1" t="s">
        <v>40</v>
      </c>
      <c r="J34">
        <v>3.15</v>
      </c>
      <c r="K34">
        <v>-10</v>
      </c>
      <c r="L34">
        <v>-10.2453703703704</v>
      </c>
      <c r="M34" s="1" t="s">
        <v>40</v>
      </c>
      <c r="N34">
        <v>-3.6074074074074098</v>
      </c>
      <c r="O34">
        <v>11.8037037037037</v>
      </c>
      <c r="P34"/>
      <c r="Q34">
        <v>1.1803703703703701</v>
      </c>
      <c r="R34">
        <v>2.0107541424838402</v>
      </c>
      <c r="S34" s="3" t="s">
        <v>82</v>
      </c>
      <c r="T34" s="3" t="s">
        <v>82</v>
      </c>
      <c r="U34" s="3" t="s">
        <v>35</v>
      </c>
      <c r="V34" s="3" t="s">
        <v>84</v>
      </c>
      <c r="W34" s="3">
        <v>2</v>
      </c>
      <c r="X34" s="3">
        <v>3</v>
      </c>
      <c r="Y34" s="3">
        <v>3</v>
      </c>
      <c r="Z34" s="3">
        <v>0</v>
      </c>
      <c r="AA34" s="3">
        <v>-1</v>
      </c>
      <c r="AB34" s="12">
        <f>(W34*4+X34*1+Y34*-2+Z34*-3)/W34</f>
        <v>2.5</v>
      </c>
      <c r="AC34" s="3">
        <f>W34*12.0107+X34*1.00784+Y34*15.999+Z34*14.0067</f>
        <v>75.041920000000005</v>
      </c>
      <c r="AD34" s="12">
        <v>112</v>
      </c>
      <c r="AE34" s="3" t="s">
        <v>85</v>
      </c>
      <c r="AF34" s="3" t="s">
        <v>86</v>
      </c>
      <c r="AG34" s="2" t="str">
        <f>IF(AD34&gt;37,"Proton symporter", "Diffusion")</f>
        <v>Proton symporter</v>
      </c>
      <c r="AH34" s="2" t="s">
        <v>87</v>
      </c>
    </row>
    <row r="35" spans="1:34" hidden="1" x14ac:dyDescent="0.2">
      <c r="A35" s="16" t="s">
        <v>74</v>
      </c>
      <c r="B35" s="9" t="s">
        <v>35</v>
      </c>
      <c r="C35" t="s">
        <v>36</v>
      </c>
      <c r="D35" s="10" t="s">
        <v>37</v>
      </c>
      <c r="E35" t="s">
        <v>88</v>
      </c>
      <c r="F35" t="s">
        <v>89</v>
      </c>
      <c r="G35">
        <v>-10</v>
      </c>
      <c r="H35">
        <v>-20</v>
      </c>
      <c r="I35" s="1" t="s">
        <v>40</v>
      </c>
      <c r="J35">
        <v>3.15</v>
      </c>
      <c r="K35">
        <v>-10</v>
      </c>
      <c r="L35">
        <v>-8.57258064516129</v>
      </c>
      <c r="M35" s="1" t="s">
        <v>40</v>
      </c>
      <c r="N35">
        <v>-6.2838709677419402</v>
      </c>
      <c r="O35">
        <v>6.5709677419354797</v>
      </c>
      <c r="P35"/>
      <c r="Q35">
        <v>0.65709677419354795</v>
      </c>
      <c r="R35">
        <v>1.97000571614963</v>
      </c>
      <c r="S35" s="3" t="s">
        <v>88</v>
      </c>
      <c r="T35" s="3" t="s">
        <v>90</v>
      </c>
      <c r="U35" s="3" t="s">
        <v>35</v>
      </c>
      <c r="V35" s="3" t="s">
        <v>91</v>
      </c>
      <c r="W35" s="3">
        <v>4</v>
      </c>
      <c r="X35" s="3">
        <v>4</v>
      </c>
      <c r="Y35" s="3">
        <v>5</v>
      </c>
      <c r="Z35" s="3">
        <v>0</v>
      </c>
      <c r="AA35" s="3">
        <v>-2</v>
      </c>
      <c r="AB35" s="12">
        <f>(W35*4+X35*1+Y35*-2+Z35*-3)/W35</f>
        <v>2.5</v>
      </c>
      <c r="AC35" s="3">
        <f>W35*12.0107+X35*1.00784+Y35*15.999+Z35*14.0067</f>
        <v>132.06916000000001</v>
      </c>
      <c r="AD35" s="12" t="s">
        <v>40</v>
      </c>
      <c r="AE35" s="3" t="s">
        <v>43</v>
      </c>
      <c r="AF35" s="3" t="s">
        <v>44</v>
      </c>
      <c r="AG35" s="2" t="s">
        <v>92</v>
      </c>
      <c r="AH35" s="2" t="s">
        <v>93</v>
      </c>
    </row>
    <row r="36" spans="1:34" hidden="1" x14ac:dyDescent="0.2">
      <c r="A36" s="16" t="s">
        <v>74</v>
      </c>
      <c r="B36" s="9" t="s">
        <v>35</v>
      </c>
      <c r="C36" t="s">
        <v>36</v>
      </c>
      <c r="D36" s="10" t="s">
        <v>37</v>
      </c>
      <c r="E36" t="s">
        <v>75</v>
      </c>
      <c r="F36" t="s">
        <v>76</v>
      </c>
      <c r="G36">
        <v>-10</v>
      </c>
      <c r="H36">
        <v>-20</v>
      </c>
      <c r="I36" s="1" t="s">
        <v>40</v>
      </c>
      <c r="J36">
        <v>3.15</v>
      </c>
      <c r="K36">
        <v>-10</v>
      </c>
      <c r="L36">
        <v>-8.2115384615384599</v>
      </c>
      <c r="M36" s="1" t="s">
        <v>40</v>
      </c>
      <c r="N36">
        <v>-6.8615384615384603</v>
      </c>
      <c r="O36">
        <v>4.4769230769230797</v>
      </c>
      <c r="P36"/>
      <c r="Q36">
        <v>0.447692307692308</v>
      </c>
      <c r="R36">
        <v>1.92176212011297</v>
      </c>
      <c r="S36" s="3" t="s">
        <v>75</v>
      </c>
      <c r="T36" s="3" t="s">
        <v>75</v>
      </c>
      <c r="U36" s="3" t="s">
        <v>35</v>
      </c>
      <c r="V36" s="3" t="s">
        <v>77</v>
      </c>
      <c r="W36" s="3">
        <v>6</v>
      </c>
      <c r="X36" s="3">
        <v>5</v>
      </c>
      <c r="Y36" s="3">
        <v>7</v>
      </c>
      <c r="Z36" s="3">
        <v>0</v>
      </c>
      <c r="AA36" s="3">
        <v>-3</v>
      </c>
      <c r="AB36" s="12">
        <f>(W36*4+X36*1+Y36*-2+Z36*-3)/W36</f>
        <v>2.5</v>
      </c>
      <c r="AC36" s="3">
        <f>W36*12.0107+X36*1.00784+Y36*15.999+Z36*14.0067</f>
        <v>189.09640000000002</v>
      </c>
      <c r="AD36" s="12" t="s">
        <v>40</v>
      </c>
      <c r="AE36" s="3" t="s">
        <v>78</v>
      </c>
      <c r="AF36" s="3" t="s">
        <v>79</v>
      </c>
      <c r="AG36" s="2" t="s">
        <v>80</v>
      </c>
      <c r="AH36" s="2" t="s">
        <v>81</v>
      </c>
    </row>
    <row r="37" spans="1:34" hidden="1" x14ac:dyDescent="0.2">
      <c r="A37" s="16" t="s">
        <v>74</v>
      </c>
      <c r="B37" s="9" t="s">
        <v>35</v>
      </c>
      <c r="C37" t="s">
        <v>59</v>
      </c>
      <c r="D37" s="13" t="s">
        <v>51</v>
      </c>
      <c r="E37" t="s">
        <v>88</v>
      </c>
      <c r="F37" t="s">
        <v>89</v>
      </c>
      <c r="G37">
        <v>-10</v>
      </c>
      <c r="H37">
        <v>-20</v>
      </c>
      <c r="I37" s="1" t="s">
        <v>40</v>
      </c>
      <c r="J37">
        <v>3.15</v>
      </c>
      <c r="K37">
        <v>-10</v>
      </c>
      <c r="L37">
        <v>-3.3270588235294101</v>
      </c>
      <c r="M37" s="1" t="s">
        <v>40</v>
      </c>
      <c r="N37">
        <v>-5.5639215686274497</v>
      </c>
      <c r="O37">
        <v>3.8909803921568602</v>
      </c>
      <c r="P37"/>
      <c r="Q37">
        <v>0.38909803921568598</v>
      </c>
      <c r="R37">
        <v>1.6038124580417401</v>
      </c>
      <c r="S37" s="3" t="s">
        <v>88</v>
      </c>
      <c r="T37" s="3" t="s">
        <v>90</v>
      </c>
      <c r="U37" s="3" t="s">
        <v>35</v>
      </c>
      <c r="V37" s="3" t="s">
        <v>91</v>
      </c>
      <c r="W37" s="3">
        <v>4</v>
      </c>
      <c r="X37" s="3">
        <v>4</v>
      </c>
      <c r="Y37" s="3">
        <v>5</v>
      </c>
      <c r="Z37" s="3">
        <v>0</v>
      </c>
      <c r="AA37" s="3">
        <v>-2</v>
      </c>
      <c r="AB37" s="12">
        <f>(W37*4+X37*1+Y37*-2+Z37*-3)/W37</f>
        <v>2.5</v>
      </c>
      <c r="AC37" s="3">
        <f>W37*12.0107+X37*1.00784+Y37*15.999+Z37*14.0067</f>
        <v>132.06916000000001</v>
      </c>
      <c r="AD37" s="12" t="s">
        <v>40</v>
      </c>
      <c r="AE37" s="3" t="s">
        <v>43</v>
      </c>
      <c r="AF37" s="3" t="s">
        <v>44</v>
      </c>
      <c r="AG37" s="2" t="s">
        <v>92</v>
      </c>
      <c r="AH37" s="2" t="s">
        <v>93</v>
      </c>
    </row>
    <row r="38" spans="1:34" hidden="1" x14ac:dyDescent="0.2">
      <c r="A38" s="16" t="s">
        <v>74</v>
      </c>
      <c r="B38" s="9" t="s">
        <v>35</v>
      </c>
      <c r="C38" t="s">
        <v>60</v>
      </c>
      <c r="D38" s="13" t="s">
        <v>51</v>
      </c>
      <c r="E38" t="s">
        <v>88</v>
      </c>
      <c r="F38" t="s">
        <v>89</v>
      </c>
      <c r="G38">
        <v>-10</v>
      </c>
      <c r="H38">
        <v>-20</v>
      </c>
      <c r="I38" s="1" t="s">
        <v>40</v>
      </c>
      <c r="J38">
        <v>3.15</v>
      </c>
      <c r="K38">
        <v>-10</v>
      </c>
      <c r="L38">
        <v>-3.3270588235294101</v>
      </c>
      <c r="M38" s="1" t="s">
        <v>40</v>
      </c>
      <c r="N38">
        <v>-5.5639215686274497</v>
      </c>
      <c r="O38">
        <v>3.8909803921568602</v>
      </c>
      <c r="P38"/>
      <c r="Q38">
        <v>0.38909803921568598</v>
      </c>
      <c r="R38">
        <v>1.6038124580417401</v>
      </c>
      <c r="S38" s="3" t="s">
        <v>88</v>
      </c>
      <c r="T38" s="3" t="s">
        <v>90</v>
      </c>
      <c r="U38" s="3" t="s">
        <v>35</v>
      </c>
      <c r="V38" s="3" t="s">
        <v>91</v>
      </c>
      <c r="W38" s="3">
        <v>4</v>
      </c>
      <c r="X38" s="3">
        <v>4</v>
      </c>
      <c r="Y38" s="3">
        <v>5</v>
      </c>
      <c r="Z38" s="3">
        <v>0</v>
      </c>
      <c r="AA38" s="3">
        <v>-2</v>
      </c>
      <c r="AB38" s="12">
        <f>(W38*4+X38*1+Y38*-2+Z38*-3)/W38</f>
        <v>2.5</v>
      </c>
      <c r="AC38" s="3">
        <f>W38*12.0107+X38*1.00784+Y38*15.999+Z38*14.0067</f>
        <v>132.06916000000001</v>
      </c>
      <c r="AD38" s="12" t="s">
        <v>40</v>
      </c>
      <c r="AE38" s="3" t="s">
        <v>43</v>
      </c>
      <c r="AF38" s="3" t="s">
        <v>44</v>
      </c>
      <c r="AG38" s="2" t="s">
        <v>92</v>
      </c>
      <c r="AH38" s="2" t="s">
        <v>93</v>
      </c>
    </row>
    <row r="39" spans="1:34" hidden="1" x14ac:dyDescent="0.2">
      <c r="A39" s="16" t="s">
        <v>74</v>
      </c>
      <c r="B39" s="9" t="s">
        <v>35</v>
      </c>
      <c r="C39" t="s">
        <v>59</v>
      </c>
      <c r="D39" s="13" t="s">
        <v>51</v>
      </c>
      <c r="E39" t="s">
        <v>82</v>
      </c>
      <c r="F39" t="s">
        <v>83</v>
      </c>
      <c r="G39">
        <v>-10</v>
      </c>
      <c r="H39">
        <v>-20</v>
      </c>
      <c r="I39" s="1" t="s">
        <v>40</v>
      </c>
      <c r="J39">
        <v>3.15</v>
      </c>
      <c r="K39">
        <v>-10</v>
      </c>
      <c r="L39">
        <v>-4.93333333333333</v>
      </c>
      <c r="M39" s="1" t="s">
        <v>40</v>
      </c>
      <c r="N39">
        <v>-3.4222222222222198</v>
      </c>
      <c r="O39">
        <v>6.7111111111111104</v>
      </c>
      <c r="P39"/>
      <c r="Q39">
        <v>0.67111111111111099</v>
      </c>
      <c r="R39">
        <v>1.57177903325018</v>
      </c>
      <c r="S39" s="3" t="s">
        <v>82</v>
      </c>
      <c r="T39" s="3" t="s">
        <v>82</v>
      </c>
      <c r="U39" s="3" t="s">
        <v>35</v>
      </c>
      <c r="V39" s="3" t="s">
        <v>84</v>
      </c>
      <c r="W39" s="3">
        <v>2</v>
      </c>
      <c r="X39" s="3">
        <v>3</v>
      </c>
      <c r="Y39" s="3">
        <v>3</v>
      </c>
      <c r="Z39" s="3">
        <v>0</v>
      </c>
      <c r="AA39" s="3">
        <v>-1</v>
      </c>
      <c r="AB39" s="12">
        <f>(W39*4+X39*1+Y39*-2+Z39*-3)/W39</f>
        <v>2.5</v>
      </c>
      <c r="AC39" s="3">
        <f>W39*12.0107+X39*1.00784+Y39*15.999+Z39*14.0067</f>
        <v>75.041920000000005</v>
      </c>
      <c r="AD39" s="12">
        <v>112</v>
      </c>
      <c r="AE39" s="3" t="s">
        <v>85</v>
      </c>
      <c r="AF39" s="3" t="s">
        <v>86</v>
      </c>
      <c r="AG39" s="2" t="str">
        <f>IF(AD39&gt;37,"Proton symporter", "Diffusion")</f>
        <v>Proton symporter</v>
      </c>
      <c r="AH39" s="2" t="s">
        <v>87</v>
      </c>
    </row>
    <row r="40" spans="1:34" hidden="1" x14ac:dyDescent="0.2">
      <c r="A40" s="16" t="s">
        <v>74</v>
      </c>
      <c r="B40" s="9" t="s">
        <v>35</v>
      </c>
      <c r="C40" t="s">
        <v>48</v>
      </c>
      <c r="D40" s="10" t="s">
        <v>37</v>
      </c>
      <c r="E40" t="s">
        <v>82</v>
      </c>
      <c r="F40" t="s">
        <v>83</v>
      </c>
      <c r="G40">
        <v>-10</v>
      </c>
      <c r="H40">
        <v>-20</v>
      </c>
      <c r="I40" s="1" t="s">
        <v>40</v>
      </c>
      <c r="J40">
        <v>3.15</v>
      </c>
      <c r="K40">
        <v>-10</v>
      </c>
      <c r="L40">
        <v>-9.3774509803921493</v>
      </c>
      <c r="M40" s="1" t="s">
        <v>40</v>
      </c>
      <c r="N40">
        <v>-4.9960784313725499</v>
      </c>
      <c r="O40">
        <v>12.498039215686299</v>
      </c>
      <c r="P40"/>
      <c r="Q40">
        <v>1.2498039215686301</v>
      </c>
      <c r="R40">
        <v>1.5110862865904799</v>
      </c>
      <c r="S40" s="3" t="s">
        <v>82</v>
      </c>
      <c r="T40" s="3" t="s">
        <v>82</v>
      </c>
      <c r="U40" s="3" t="s">
        <v>35</v>
      </c>
      <c r="V40" s="3" t="s">
        <v>84</v>
      </c>
      <c r="W40" s="3">
        <v>2</v>
      </c>
      <c r="X40" s="3">
        <v>3</v>
      </c>
      <c r="Y40" s="3">
        <v>3</v>
      </c>
      <c r="Z40" s="3">
        <v>0</v>
      </c>
      <c r="AA40" s="3">
        <v>-1</v>
      </c>
      <c r="AB40" s="12">
        <f>(W40*4+X40*1+Y40*-2+Z40*-3)/W40</f>
        <v>2.5</v>
      </c>
      <c r="AC40" s="3">
        <f>W40*12.0107+X40*1.00784+Y40*15.999+Z40*14.0067</f>
        <v>75.041920000000005</v>
      </c>
      <c r="AD40" s="12">
        <v>112</v>
      </c>
      <c r="AE40" s="3" t="s">
        <v>85</v>
      </c>
      <c r="AF40" s="3" t="s">
        <v>86</v>
      </c>
      <c r="AG40" s="2" t="str">
        <f>IF(AD40&gt;37,"Proton symporter", "Diffusion")</f>
        <v>Proton symporter</v>
      </c>
      <c r="AH40" s="2" t="s">
        <v>87</v>
      </c>
    </row>
    <row r="41" spans="1:34" hidden="1" x14ac:dyDescent="0.2">
      <c r="A41" s="16" t="s">
        <v>74</v>
      </c>
      <c r="B41" s="9" t="s">
        <v>35</v>
      </c>
      <c r="C41" t="s">
        <v>47</v>
      </c>
      <c r="D41" s="10" t="s">
        <v>37</v>
      </c>
      <c r="E41" t="s">
        <v>82</v>
      </c>
      <c r="F41" t="s">
        <v>83</v>
      </c>
      <c r="G41">
        <v>-10</v>
      </c>
      <c r="H41">
        <v>-20</v>
      </c>
      <c r="I41" s="1" t="s">
        <v>40</v>
      </c>
      <c r="J41">
        <v>3.15</v>
      </c>
      <c r="K41">
        <v>-10</v>
      </c>
      <c r="L41">
        <v>-9.5509259259259398</v>
      </c>
      <c r="M41" s="1" t="s">
        <v>40</v>
      </c>
      <c r="N41">
        <v>-4.7185185185185201</v>
      </c>
      <c r="O41">
        <v>12.3592592592593</v>
      </c>
      <c r="P41"/>
      <c r="Q41">
        <v>1.2359259259259301</v>
      </c>
      <c r="R41">
        <v>1.49430697542083</v>
      </c>
      <c r="S41" s="3" t="s">
        <v>82</v>
      </c>
      <c r="T41" s="3" t="s">
        <v>82</v>
      </c>
      <c r="U41" s="3" t="s">
        <v>35</v>
      </c>
      <c r="V41" s="3" t="s">
        <v>84</v>
      </c>
      <c r="W41" s="3">
        <v>2</v>
      </c>
      <c r="X41" s="3">
        <v>3</v>
      </c>
      <c r="Y41" s="3">
        <v>3</v>
      </c>
      <c r="Z41" s="3">
        <v>0</v>
      </c>
      <c r="AA41" s="3">
        <v>-1</v>
      </c>
      <c r="AB41" s="12">
        <f>(W41*4+X41*1+Y41*-2+Z41*-3)/W41</f>
        <v>2.5</v>
      </c>
      <c r="AC41" s="3">
        <f>W41*12.0107+X41*1.00784+Y41*15.999+Z41*14.0067</f>
        <v>75.041920000000005</v>
      </c>
      <c r="AD41" s="12">
        <v>112</v>
      </c>
      <c r="AE41" s="3" t="s">
        <v>85</v>
      </c>
      <c r="AF41" s="3" t="s">
        <v>86</v>
      </c>
      <c r="AG41" s="2" t="str">
        <f>IF(AD41&gt;37,"Proton symporter", "Diffusion")</f>
        <v>Proton symporter</v>
      </c>
      <c r="AH41" s="2" t="s">
        <v>87</v>
      </c>
    </row>
    <row r="42" spans="1:34" hidden="1" x14ac:dyDescent="0.2">
      <c r="A42" s="16" t="s">
        <v>74</v>
      </c>
      <c r="B42" s="9" t="s">
        <v>35</v>
      </c>
      <c r="C42" t="s">
        <v>56</v>
      </c>
      <c r="D42" s="14" t="s">
        <v>55</v>
      </c>
      <c r="E42" t="s">
        <v>88</v>
      </c>
      <c r="F42" t="s">
        <v>89</v>
      </c>
      <c r="G42">
        <v>-10</v>
      </c>
      <c r="H42">
        <v>-20</v>
      </c>
      <c r="I42" s="1" t="s">
        <v>40</v>
      </c>
      <c r="J42">
        <v>3.15</v>
      </c>
      <c r="K42">
        <v>-10</v>
      </c>
      <c r="L42">
        <v>-3.8739726027397299</v>
      </c>
      <c r="M42" s="1" t="s">
        <v>40</v>
      </c>
      <c r="N42">
        <v>-11.5013698630137</v>
      </c>
      <c r="O42">
        <v>10.3753424657534</v>
      </c>
      <c r="P42"/>
      <c r="Q42">
        <v>1.0375342465753401</v>
      </c>
      <c r="R42">
        <v>1.48789871477194</v>
      </c>
      <c r="S42" s="3" t="s">
        <v>88</v>
      </c>
      <c r="T42" s="3" t="s">
        <v>90</v>
      </c>
      <c r="U42" s="3" t="s">
        <v>35</v>
      </c>
      <c r="V42" s="3" t="s">
        <v>91</v>
      </c>
      <c r="W42" s="3">
        <v>4</v>
      </c>
      <c r="X42" s="3">
        <v>4</v>
      </c>
      <c r="Y42" s="3">
        <v>5</v>
      </c>
      <c r="Z42" s="3">
        <v>0</v>
      </c>
      <c r="AA42" s="3">
        <v>-2</v>
      </c>
      <c r="AB42" s="12">
        <f>(W42*4+X42*1+Y42*-2+Z42*-3)/W42</f>
        <v>2.5</v>
      </c>
      <c r="AC42" s="3">
        <f>W42*12.0107+X42*1.00784+Y42*15.999+Z42*14.0067</f>
        <v>132.06916000000001</v>
      </c>
      <c r="AD42" s="12" t="s">
        <v>40</v>
      </c>
      <c r="AE42" s="3" t="s">
        <v>43</v>
      </c>
      <c r="AF42" s="3" t="s">
        <v>44</v>
      </c>
      <c r="AG42" s="2" t="s">
        <v>92</v>
      </c>
      <c r="AH42" s="2" t="s">
        <v>93</v>
      </c>
    </row>
    <row r="43" spans="1:34" hidden="1" x14ac:dyDescent="0.2">
      <c r="A43" s="16" t="s">
        <v>74</v>
      </c>
      <c r="B43" s="9" t="s">
        <v>35</v>
      </c>
      <c r="C43" t="s">
        <v>59</v>
      </c>
      <c r="D43" s="13" t="s">
        <v>51</v>
      </c>
      <c r="E43" t="s">
        <v>75</v>
      </c>
      <c r="F43" t="s">
        <v>76</v>
      </c>
      <c r="G43">
        <v>-10</v>
      </c>
      <c r="H43">
        <v>-20</v>
      </c>
      <c r="I43" s="1" t="s">
        <v>40</v>
      </c>
      <c r="J43">
        <v>3.15</v>
      </c>
      <c r="K43">
        <v>-10</v>
      </c>
      <c r="L43">
        <v>-4.1364963503649603</v>
      </c>
      <c r="M43" s="1" t="s">
        <v>40</v>
      </c>
      <c r="N43">
        <v>-4.4846715328467104</v>
      </c>
      <c r="O43">
        <v>2.41411192214112</v>
      </c>
      <c r="P43"/>
      <c r="Q43">
        <v>0.241411192214112</v>
      </c>
      <c r="R43">
        <v>1.4247339934258301</v>
      </c>
      <c r="S43" s="3" t="s">
        <v>75</v>
      </c>
      <c r="T43" s="3" t="s">
        <v>75</v>
      </c>
      <c r="U43" s="3" t="s">
        <v>35</v>
      </c>
      <c r="V43" s="3" t="s">
        <v>77</v>
      </c>
      <c r="W43" s="3">
        <v>6</v>
      </c>
      <c r="X43" s="3">
        <v>5</v>
      </c>
      <c r="Y43" s="3">
        <v>7</v>
      </c>
      <c r="Z43" s="3">
        <v>0</v>
      </c>
      <c r="AA43" s="3">
        <v>-3</v>
      </c>
      <c r="AB43" s="12">
        <f>(W43*4+X43*1+Y43*-2+Z43*-3)/W43</f>
        <v>2.5</v>
      </c>
      <c r="AC43" s="3">
        <f>W43*12.0107+X43*1.00784+Y43*15.999+Z43*14.0067</f>
        <v>189.09640000000002</v>
      </c>
      <c r="AD43" s="12" t="s">
        <v>40</v>
      </c>
      <c r="AE43" s="3" t="s">
        <v>78</v>
      </c>
      <c r="AF43" s="3" t="s">
        <v>79</v>
      </c>
      <c r="AG43" s="2" t="s">
        <v>80</v>
      </c>
      <c r="AH43" s="2" t="s">
        <v>81</v>
      </c>
    </row>
    <row r="44" spans="1:34" hidden="1" x14ac:dyDescent="0.2">
      <c r="A44" s="16" t="s">
        <v>74</v>
      </c>
      <c r="B44" s="9" t="s">
        <v>35</v>
      </c>
      <c r="C44" t="s">
        <v>60</v>
      </c>
      <c r="D44" s="13" t="s">
        <v>51</v>
      </c>
      <c r="E44" t="s">
        <v>75</v>
      </c>
      <c r="F44" t="s">
        <v>76</v>
      </c>
      <c r="G44">
        <v>-10</v>
      </c>
      <c r="H44">
        <v>-20</v>
      </c>
      <c r="I44" s="1" t="s">
        <v>40</v>
      </c>
      <c r="J44">
        <v>3.15</v>
      </c>
      <c r="K44">
        <v>-10</v>
      </c>
      <c r="L44">
        <v>-4.1364963503649603</v>
      </c>
      <c r="M44" s="1" t="s">
        <v>40</v>
      </c>
      <c r="N44">
        <v>-4.4846715328467202</v>
      </c>
      <c r="O44">
        <v>2.41411192214112</v>
      </c>
      <c r="P44"/>
      <c r="Q44">
        <v>0.241411192214112</v>
      </c>
      <c r="R44">
        <v>1.4247339934258301</v>
      </c>
      <c r="S44" s="3" t="s">
        <v>75</v>
      </c>
      <c r="T44" s="3" t="s">
        <v>75</v>
      </c>
      <c r="U44" s="3" t="s">
        <v>35</v>
      </c>
      <c r="V44" s="3" t="s">
        <v>77</v>
      </c>
      <c r="W44" s="3">
        <v>6</v>
      </c>
      <c r="X44" s="3">
        <v>5</v>
      </c>
      <c r="Y44" s="3">
        <v>7</v>
      </c>
      <c r="Z44" s="3">
        <v>0</v>
      </c>
      <c r="AA44" s="3">
        <v>-3</v>
      </c>
      <c r="AB44" s="12">
        <f>(W44*4+X44*1+Y44*-2+Z44*-3)/W44</f>
        <v>2.5</v>
      </c>
      <c r="AC44" s="3">
        <f>W44*12.0107+X44*1.00784+Y44*15.999+Z44*14.0067</f>
        <v>189.09640000000002</v>
      </c>
      <c r="AD44" s="12" t="s">
        <v>40</v>
      </c>
      <c r="AE44" s="3" t="s">
        <v>78</v>
      </c>
      <c r="AF44" s="3" t="s">
        <v>79</v>
      </c>
      <c r="AG44" s="2" t="s">
        <v>80</v>
      </c>
      <c r="AH44" s="2" t="s">
        <v>81</v>
      </c>
    </row>
    <row r="45" spans="1:34" hidden="1" x14ac:dyDescent="0.2">
      <c r="A45" s="16" t="s">
        <v>74</v>
      </c>
      <c r="B45" s="9" t="s">
        <v>35</v>
      </c>
      <c r="C45" t="s">
        <v>60</v>
      </c>
      <c r="D45" s="13" t="s">
        <v>51</v>
      </c>
      <c r="E45" t="s">
        <v>82</v>
      </c>
      <c r="F45" t="s">
        <v>83</v>
      </c>
      <c r="G45">
        <v>-10</v>
      </c>
      <c r="H45">
        <v>-20</v>
      </c>
      <c r="I45" s="1" t="s">
        <v>40</v>
      </c>
      <c r="J45">
        <v>3.15</v>
      </c>
      <c r="K45">
        <v>-10</v>
      </c>
      <c r="L45">
        <v>-5.8959183673469404</v>
      </c>
      <c r="M45" s="1" t="s">
        <v>40</v>
      </c>
      <c r="N45">
        <v>-2.1387755102040802</v>
      </c>
      <c r="O45">
        <v>6.0693877551020501</v>
      </c>
      <c r="P45"/>
      <c r="Q45">
        <v>0.60693877551020503</v>
      </c>
      <c r="R45">
        <v>1.42148390336446</v>
      </c>
      <c r="S45" s="3" t="s">
        <v>82</v>
      </c>
      <c r="T45" s="3" t="s">
        <v>82</v>
      </c>
      <c r="U45" s="3" t="s">
        <v>35</v>
      </c>
      <c r="V45" s="3" t="s">
        <v>84</v>
      </c>
      <c r="W45" s="3">
        <v>2</v>
      </c>
      <c r="X45" s="3">
        <v>3</v>
      </c>
      <c r="Y45" s="3">
        <v>3</v>
      </c>
      <c r="Z45" s="3">
        <v>0</v>
      </c>
      <c r="AA45" s="3">
        <v>-1</v>
      </c>
      <c r="AB45" s="12">
        <f>(W45*4+X45*1+Y45*-2+Z45*-3)/W45</f>
        <v>2.5</v>
      </c>
      <c r="AC45" s="3">
        <f>W45*12.0107+X45*1.00784+Y45*15.999+Z45*14.0067</f>
        <v>75.041920000000005</v>
      </c>
      <c r="AD45" s="12">
        <v>112</v>
      </c>
      <c r="AE45" s="3" t="s">
        <v>85</v>
      </c>
      <c r="AF45" s="3" t="s">
        <v>86</v>
      </c>
      <c r="AG45" s="2" t="str">
        <f>IF(AD45&gt;37,"Proton symporter", "Diffusion")</f>
        <v>Proton symporter</v>
      </c>
      <c r="AH45" s="2" t="s">
        <v>87</v>
      </c>
    </row>
    <row r="46" spans="1:34" hidden="1" x14ac:dyDescent="0.2">
      <c r="A46" s="16" t="s">
        <v>74</v>
      </c>
      <c r="B46" s="9" t="s">
        <v>35</v>
      </c>
      <c r="C46" t="s">
        <v>48</v>
      </c>
      <c r="D46" s="10" t="s">
        <v>37</v>
      </c>
      <c r="E46" t="s">
        <v>88</v>
      </c>
      <c r="F46" t="s">
        <v>89</v>
      </c>
      <c r="G46">
        <v>-10</v>
      </c>
      <c r="H46">
        <v>-20</v>
      </c>
      <c r="I46" s="1" t="s">
        <v>40</v>
      </c>
      <c r="J46">
        <v>3.15</v>
      </c>
      <c r="K46">
        <v>-10</v>
      </c>
      <c r="L46">
        <v>-5.2870967741935502</v>
      </c>
      <c r="M46" s="1" t="s">
        <v>40</v>
      </c>
      <c r="N46">
        <v>-6.2838709677419304</v>
      </c>
      <c r="O46">
        <v>6.5709677419354797</v>
      </c>
      <c r="P46"/>
      <c r="Q46">
        <v>0.65709677419354795</v>
      </c>
      <c r="R46">
        <v>1.39821576580004</v>
      </c>
      <c r="S46" s="3" t="s">
        <v>88</v>
      </c>
      <c r="T46" s="3" t="s">
        <v>90</v>
      </c>
      <c r="U46" s="3" t="s">
        <v>35</v>
      </c>
      <c r="V46" s="3" t="s">
        <v>91</v>
      </c>
      <c r="W46" s="3">
        <v>4</v>
      </c>
      <c r="X46" s="3">
        <v>4</v>
      </c>
      <c r="Y46" s="3">
        <v>5</v>
      </c>
      <c r="Z46" s="3">
        <v>0</v>
      </c>
      <c r="AA46" s="3">
        <v>-2</v>
      </c>
      <c r="AB46" s="12">
        <f>(W46*4+X46*1+Y46*-2+Z46*-3)/W46</f>
        <v>2.5</v>
      </c>
      <c r="AC46" s="3">
        <f>W46*12.0107+X46*1.00784+Y46*15.999+Z46*14.0067</f>
        <v>132.06916000000001</v>
      </c>
      <c r="AD46" s="12" t="s">
        <v>40</v>
      </c>
      <c r="AE46" s="3" t="s">
        <v>43</v>
      </c>
      <c r="AF46" s="3" t="s">
        <v>44</v>
      </c>
      <c r="AG46" s="2" t="s">
        <v>92</v>
      </c>
      <c r="AH46" s="2" t="s">
        <v>93</v>
      </c>
    </row>
    <row r="47" spans="1:34" hidden="1" x14ac:dyDescent="0.2">
      <c r="A47" s="16" t="s">
        <v>74</v>
      </c>
      <c r="B47" s="9" t="s">
        <v>35</v>
      </c>
      <c r="C47" t="s">
        <v>58</v>
      </c>
      <c r="D47" s="10" t="s">
        <v>37</v>
      </c>
      <c r="E47" t="s">
        <v>82</v>
      </c>
      <c r="F47" t="s">
        <v>83</v>
      </c>
      <c r="G47">
        <v>-10</v>
      </c>
      <c r="H47">
        <v>-20</v>
      </c>
      <c r="I47" s="1" t="s">
        <v>40</v>
      </c>
      <c r="J47">
        <v>3.15</v>
      </c>
      <c r="K47">
        <v>-10</v>
      </c>
      <c r="L47">
        <v>-6.0931372549019596</v>
      </c>
      <c r="M47" s="1" t="s">
        <v>40</v>
      </c>
      <c r="N47">
        <v>-2.2509803921568601</v>
      </c>
      <c r="O47">
        <v>11.125490196078401</v>
      </c>
      <c r="P47"/>
      <c r="Q47">
        <v>1.11254901960784</v>
      </c>
      <c r="R47">
        <v>1.3902586845648801</v>
      </c>
      <c r="S47" s="3" t="s">
        <v>82</v>
      </c>
      <c r="T47" s="3" t="s">
        <v>82</v>
      </c>
      <c r="U47" s="3" t="s">
        <v>35</v>
      </c>
      <c r="V47" s="3" t="s">
        <v>84</v>
      </c>
      <c r="W47" s="3">
        <v>2</v>
      </c>
      <c r="X47" s="3">
        <v>3</v>
      </c>
      <c r="Y47" s="3">
        <v>3</v>
      </c>
      <c r="Z47" s="3">
        <v>0</v>
      </c>
      <c r="AA47" s="3">
        <v>-1</v>
      </c>
      <c r="AB47" s="12">
        <f>(W47*4+X47*1+Y47*-2+Z47*-3)/W47</f>
        <v>2.5</v>
      </c>
      <c r="AC47" s="3">
        <f>W47*12.0107+X47*1.00784+Y47*15.999+Z47*14.0067</f>
        <v>75.041920000000005</v>
      </c>
      <c r="AD47" s="12">
        <v>112</v>
      </c>
      <c r="AE47" s="3" t="s">
        <v>85</v>
      </c>
      <c r="AF47" s="3" t="s">
        <v>86</v>
      </c>
      <c r="AG47" s="2" t="str">
        <f>IF(AD47&gt;37,"Proton symporter", "Diffusion")</f>
        <v>Proton symporter</v>
      </c>
      <c r="AH47" s="2" t="s">
        <v>87</v>
      </c>
    </row>
    <row r="48" spans="1:34" hidden="1" x14ac:dyDescent="0.2">
      <c r="A48" s="16" t="s">
        <v>74</v>
      </c>
      <c r="B48" s="9" t="s">
        <v>35</v>
      </c>
      <c r="C48" t="s">
        <v>57</v>
      </c>
      <c r="D48" s="10" t="s">
        <v>37</v>
      </c>
      <c r="E48" t="s">
        <v>82</v>
      </c>
      <c r="F48" t="s">
        <v>83</v>
      </c>
      <c r="G48">
        <v>-10</v>
      </c>
      <c r="H48">
        <v>-20</v>
      </c>
      <c r="I48" s="1" t="s">
        <v>40</v>
      </c>
      <c r="J48">
        <v>3.15</v>
      </c>
      <c r="K48">
        <v>-10</v>
      </c>
      <c r="L48">
        <v>-6.1712962962963003</v>
      </c>
      <c r="M48" s="1" t="s">
        <v>40</v>
      </c>
      <c r="N48">
        <v>-2.1259259259259302</v>
      </c>
      <c r="O48">
        <v>11.062962962963001</v>
      </c>
      <c r="P48"/>
      <c r="Q48">
        <v>1.1062962962963001</v>
      </c>
      <c r="R48">
        <v>1.38244518355697</v>
      </c>
      <c r="S48" s="3" t="s">
        <v>82</v>
      </c>
      <c r="T48" s="3" t="s">
        <v>82</v>
      </c>
      <c r="U48" s="3" t="s">
        <v>35</v>
      </c>
      <c r="V48" s="3" t="s">
        <v>84</v>
      </c>
      <c r="W48" s="3">
        <v>2</v>
      </c>
      <c r="X48" s="3">
        <v>3</v>
      </c>
      <c r="Y48" s="3">
        <v>3</v>
      </c>
      <c r="Z48" s="3">
        <v>0</v>
      </c>
      <c r="AA48" s="3">
        <v>-1</v>
      </c>
      <c r="AB48" s="12">
        <f>(W48*4+X48*1+Y48*-2+Z48*-3)/W48</f>
        <v>2.5</v>
      </c>
      <c r="AC48" s="3">
        <f>W48*12.0107+X48*1.00784+Y48*15.999+Z48*14.0067</f>
        <v>75.041920000000005</v>
      </c>
      <c r="AD48" s="12">
        <v>112</v>
      </c>
      <c r="AE48" s="3" t="s">
        <v>85</v>
      </c>
      <c r="AF48" s="3" t="s">
        <v>86</v>
      </c>
      <c r="AG48" s="2" t="str">
        <f>IF(AD48&gt;37,"Proton symporter", "Diffusion")</f>
        <v>Proton symporter</v>
      </c>
      <c r="AH48" s="2" t="s">
        <v>87</v>
      </c>
    </row>
    <row r="49" spans="1:34" hidden="1" x14ac:dyDescent="0.2">
      <c r="A49" s="16" t="s">
        <v>74</v>
      </c>
      <c r="B49" s="9" t="s">
        <v>35</v>
      </c>
      <c r="C49" t="s">
        <v>48</v>
      </c>
      <c r="D49" s="10" t="s">
        <v>37</v>
      </c>
      <c r="E49" t="s">
        <v>75</v>
      </c>
      <c r="F49" t="s">
        <v>76</v>
      </c>
      <c r="G49">
        <v>-10</v>
      </c>
      <c r="H49">
        <v>-20</v>
      </c>
      <c r="I49" s="1" t="s">
        <v>40</v>
      </c>
      <c r="J49">
        <v>3.15</v>
      </c>
      <c r="K49">
        <v>-10</v>
      </c>
      <c r="L49">
        <v>-8.2115384615384599</v>
      </c>
      <c r="M49" s="1" t="s">
        <v>40</v>
      </c>
      <c r="N49">
        <v>-6.86153846153847</v>
      </c>
      <c r="O49">
        <v>4.4769230769230797</v>
      </c>
      <c r="P49"/>
      <c r="Q49">
        <v>0.447692307692308</v>
      </c>
      <c r="R49">
        <v>1.3639747704443601</v>
      </c>
      <c r="S49" s="3" t="s">
        <v>75</v>
      </c>
      <c r="T49" s="3" t="s">
        <v>75</v>
      </c>
      <c r="U49" s="3" t="s">
        <v>35</v>
      </c>
      <c r="V49" s="3" t="s">
        <v>77</v>
      </c>
      <c r="W49" s="3">
        <v>6</v>
      </c>
      <c r="X49" s="3">
        <v>5</v>
      </c>
      <c r="Y49" s="3">
        <v>7</v>
      </c>
      <c r="Z49" s="3">
        <v>0</v>
      </c>
      <c r="AA49" s="3">
        <v>-3</v>
      </c>
      <c r="AB49" s="12">
        <f>(W49*4+X49*1+Y49*-2+Z49*-3)/W49</f>
        <v>2.5</v>
      </c>
      <c r="AC49" s="3">
        <f>W49*12.0107+X49*1.00784+Y49*15.999+Z49*14.0067</f>
        <v>189.09640000000002</v>
      </c>
      <c r="AD49" s="12" t="s">
        <v>40</v>
      </c>
      <c r="AE49" s="3" t="s">
        <v>78</v>
      </c>
      <c r="AF49" s="3" t="s">
        <v>79</v>
      </c>
      <c r="AG49" s="2" t="s">
        <v>80</v>
      </c>
      <c r="AH49" s="2" t="s">
        <v>81</v>
      </c>
    </row>
    <row r="50" spans="1:34" hidden="1" x14ac:dyDescent="0.2">
      <c r="A50" s="16" t="s">
        <v>74</v>
      </c>
      <c r="B50" s="9" t="s">
        <v>35</v>
      </c>
      <c r="C50" t="s">
        <v>54</v>
      </c>
      <c r="D50" s="14" t="s">
        <v>55</v>
      </c>
      <c r="E50" t="s">
        <v>88</v>
      </c>
      <c r="F50" t="s">
        <v>89</v>
      </c>
      <c r="G50">
        <v>-10</v>
      </c>
      <c r="H50">
        <v>-20</v>
      </c>
      <c r="I50" s="1" t="s">
        <v>40</v>
      </c>
      <c r="J50">
        <v>3.15</v>
      </c>
      <c r="K50">
        <v>-10</v>
      </c>
      <c r="L50">
        <v>-4.76538461538461</v>
      </c>
      <c r="M50" s="1" t="s">
        <v>40</v>
      </c>
      <c r="N50">
        <v>-13.646153846153799</v>
      </c>
      <c r="O50">
        <v>18.411538461538498</v>
      </c>
      <c r="P50"/>
      <c r="Q50">
        <v>1.8411538461538499</v>
      </c>
      <c r="R50">
        <v>1.3497450151189201</v>
      </c>
      <c r="S50" s="3" t="s">
        <v>88</v>
      </c>
      <c r="T50" s="3" t="s">
        <v>90</v>
      </c>
      <c r="U50" s="3" t="s">
        <v>35</v>
      </c>
      <c r="V50" s="3" t="s">
        <v>91</v>
      </c>
      <c r="W50" s="3">
        <v>4</v>
      </c>
      <c r="X50" s="3">
        <v>4</v>
      </c>
      <c r="Y50" s="3">
        <v>5</v>
      </c>
      <c r="Z50" s="3">
        <v>0</v>
      </c>
      <c r="AA50" s="3">
        <v>-2</v>
      </c>
      <c r="AB50" s="12">
        <f>(W50*4+X50*1+Y50*-2+Z50*-3)/W50</f>
        <v>2.5</v>
      </c>
      <c r="AC50" s="3">
        <f>W50*12.0107+X50*1.00784+Y50*15.999+Z50*14.0067</f>
        <v>132.06916000000001</v>
      </c>
      <c r="AD50" s="12" t="s">
        <v>40</v>
      </c>
      <c r="AE50" s="3" t="s">
        <v>43</v>
      </c>
      <c r="AF50" s="3" t="s">
        <v>44</v>
      </c>
      <c r="AG50" s="2" t="s">
        <v>92</v>
      </c>
      <c r="AH50" s="2" t="s">
        <v>93</v>
      </c>
    </row>
    <row r="51" spans="1:34" hidden="1" x14ac:dyDescent="0.2">
      <c r="A51" s="16" t="s">
        <v>74</v>
      </c>
      <c r="B51" s="9" t="s">
        <v>35</v>
      </c>
      <c r="C51" t="s">
        <v>56</v>
      </c>
      <c r="D51" s="14" t="s">
        <v>55</v>
      </c>
      <c r="E51" t="s">
        <v>75</v>
      </c>
      <c r="F51" t="s">
        <v>76</v>
      </c>
      <c r="G51">
        <v>-10</v>
      </c>
      <c r="H51">
        <v>-20</v>
      </c>
      <c r="I51" s="1" t="s">
        <v>40</v>
      </c>
      <c r="J51">
        <v>3.15</v>
      </c>
      <c r="K51">
        <v>-10</v>
      </c>
      <c r="L51">
        <v>-5.6025210084033601</v>
      </c>
      <c r="M51" s="1" t="s">
        <v>40</v>
      </c>
      <c r="N51">
        <v>-9.1966386554622002</v>
      </c>
      <c r="O51">
        <v>6.5327731092436903</v>
      </c>
      <c r="P51"/>
      <c r="Q51">
        <v>0.65327731092436903</v>
      </c>
      <c r="R51">
        <v>1.34137543319931</v>
      </c>
      <c r="S51" s="3" t="s">
        <v>75</v>
      </c>
      <c r="T51" s="3" t="s">
        <v>75</v>
      </c>
      <c r="U51" s="3" t="s">
        <v>35</v>
      </c>
      <c r="V51" s="3" t="s">
        <v>77</v>
      </c>
      <c r="W51" s="3">
        <v>6</v>
      </c>
      <c r="X51" s="3">
        <v>5</v>
      </c>
      <c r="Y51" s="3">
        <v>7</v>
      </c>
      <c r="Z51" s="3">
        <v>0</v>
      </c>
      <c r="AA51" s="3">
        <v>-3</v>
      </c>
      <c r="AB51" s="12">
        <f>(W51*4+X51*1+Y51*-2+Z51*-3)/W51</f>
        <v>2.5</v>
      </c>
      <c r="AC51" s="3">
        <f>W51*12.0107+X51*1.00784+Y51*15.999+Z51*14.0067</f>
        <v>189.09640000000002</v>
      </c>
      <c r="AD51" s="12" t="s">
        <v>40</v>
      </c>
      <c r="AE51" s="3" t="s">
        <v>78</v>
      </c>
      <c r="AF51" s="3" t="s">
        <v>79</v>
      </c>
      <c r="AG51" s="2" t="s">
        <v>80</v>
      </c>
      <c r="AH51" s="2" t="s">
        <v>81</v>
      </c>
    </row>
    <row r="52" spans="1:34" hidden="1" x14ac:dyDescent="0.2">
      <c r="A52" s="16" t="s">
        <v>74</v>
      </c>
      <c r="B52" s="9" t="s">
        <v>35</v>
      </c>
      <c r="C52" t="s">
        <v>62</v>
      </c>
      <c r="D52" s="15" t="s">
        <v>55</v>
      </c>
      <c r="E52" t="s">
        <v>88</v>
      </c>
      <c r="F52" t="s">
        <v>89</v>
      </c>
      <c r="G52">
        <v>-10</v>
      </c>
      <c r="H52">
        <v>-20</v>
      </c>
      <c r="I52" s="1" t="s">
        <v>40</v>
      </c>
      <c r="J52">
        <v>3.15</v>
      </c>
      <c r="K52">
        <v>-10</v>
      </c>
      <c r="L52">
        <v>-4.3559999999999999</v>
      </c>
      <c r="M52" s="1" t="s">
        <v>40</v>
      </c>
      <c r="N52">
        <v>-10.8586666666667</v>
      </c>
      <c r="O52">
        <v>15.2146666666667</v>
      </c>
      <c r="P52"/>
      <c r="Q52">
        <v>1.5214666666666701</v>
      </c>
      <c r="R52">
        <v>1.3384321896667299</v>
      </c>
      <c r="S52" s="3" t="s">
        <v>88</v>
      </c>
      <c r="T52" s="3" t="s">
        <v>90</v>
      </c>
      <c r="U52" s="3" t="s">
        <v>35</v>
      </c>
      <c r="V52" s="3" t="s">
        <v>91</v>
      </c>
      <c r="W52" s="3">
        <v>4</v>
      </c>
      <c r="X52" s="3">
        <v>4</v>
      </c>
      <c r="Y52" s="3">
        <v>5</v>
      </c>
      <c r="Z52" s="3">
        <v>0</v>
      </c>
      <c r="AA52" s="3">
        <v>-2</v>
      </c>
      <c r="AB52" s="12">
        <f>(W52*4+X52*1+Y52*-2+Z52*-3)/W52</f>
        <v>2.5</v>
      </c>
      <c r="AC52" s="3">
        <f>W52*12.0107+X52*1.00784+Y52*15.999+Z52*14.0067</f>
        <v>132.06916000000001</v>
      </c>
      <c r="AD52" s="12" t="s">
        <v>40</v>
      </c>
      <c r="AE52" s="3" t="s">
        <v>43</v>
      </c>
      <c r="AF52" s="3" t="s">
        <v>44</v>
      </c>
      <c r="AG52" s="2" t="s">
        <v>92</v>
      </c>
      <c r="AH52" s="2" t="s">
        <v>93</v>
      </c>
    </row>
    <row r="53" spans="1:34" hidden="1" x14ac:dyDescent="0.2">
      <c r="A53" s="16" t="s">
        <v>74</v>
      </c>
      <c r="B53" s="9" t="s">
        <v>35</v>
      </c>
      <c r="C53" t="s">
        <v>56</v>
      </c>
      <c r="D53" s="14" t="s">
        <v>55</v>
      </c>
      <c r="E53" t="s">
        <v>82</v>
      </c>
      <c r="F53" t="s">
        <v>83</v>
      </c>
      <c r="G53">
        <v>-10</v>
      </c>
      <c r="H53">
        <v>-20</v>
      </c>
      <c r="I53" s="1" t="s">
        <v>40</v>
      </c>
      <c r="J53">
        <v>3.15</v>
      </c>
      <c r="K53">
        <v>-10</v>
      </c>
      <c r="L53">
        <v>-10.706250000000001</v>
      </c>
      <c r="M53" s="1" t="s">
        <v>40</v>
      </c>
      <c r="N53">
        <v>-2.3916666666666599</v>
      </c>
      <c r="O53">
        <v>16.195833333333301</v>
      </c>
      <c r="P53"/>
      <c r="Q53">
        <v>1.61958333333333</v>
      </c>
      <c r="R53">
        <v>1.31970465481108</v>
      </c>
      <c r="S53" s="3" t="s">
        <v>82</v>
      </c>
      <c r="T53" s="3" t="s">
        <v>82</v>
      </c>
      <c r="U53" s="3" t="s">
        <v>35</v>
      </c>
      <c r="V53" s="3" t="s">
        <v>84</v>
      </c>
      <c r="W53" s="3">
        <v>2</v>
      </c>
      <c r="X53" s="3">
        <v>3</v>
      </c>
      <c r="Y53" s="3">
        <v>3</v>
      </c>
      <c r="Z53" s="3">
        <v>0</v>
      </c>
      <c r="AA53" s="3">
        <v>-1</v>
      </c>
      <c r="AB53" s="12">
        <f>(W53*4+X53*1+Y53*-2+Z53*-3)/W53</f>
        <v>2.5</v>
      </c>
      <c r="AC53" s="3">
        <f>W53*12.0107+X53*1.00784+Y53*15.999+Z53*14.0067</f>
        <v>75.041920000000005</v>
      </c>
      <c r="AD53" s="12">
        <v>112</v>
      </c>
      <c r="AE53" s="3" t="s">
        <v>85</v>
      </c>
      <c r="AF53" s="3" t="s">
        <v>86</v>
      </c>
      <c r="AG53" s="2" t="str">
        <f>IF(AD53&gt;37,"Proton symporter", "Diffusion")</f>
        <v>Proton symporter</v>
      </c>
      <c r="AH53" s="2" t="s">
        <v>87</v>
      </c>
    </row>
    <row r="54" spans="1:34" hidden="1" x14ac:dyDescent="0.2">
      <c r="A54" s="16" t="s">
        <v>74</v>
      </c>
      <c r="B54" s="9" t="s">
        <v>35</v>
      </c>
      <c r="C54" t="s">
        <v>54</v>
      </c>
      <c r="D54" s="14" t="s">
        <v>55</v>
      </c>
      <c r="E54" t="s">
        <v>75</v>
      </c>
      <c r="F54" t="s">
        <v>76</v>
      </c>
      <c r="G54">
        <v>-10</v>
      </c>
      <c r="H54">
        <v>-20</v>
      </c>
      <c r="I54" s="1" t="s">
        <v>40</v>
      </c>
      <c r="J54">
        <v>3.15</v>
      </c>
      <c r="K54">
        <v>-10</v>
      </c>
      <c r="L54">
        <v>-7.5790744466800701</v>
      </c>
      <c r="M54" s="1" t="s">
        <v>40</v>
      </c>
      <c r="N54">
        <v>-9.8945674044265495</v>
      </c>
      <c r="O54">
        <v>11.649094567404401</v>
      </c>
      <c r="P54"/>
      <c r="Q54">
        <v>1.1649094567404401</v>
      </c>
      <c r="R54">
        <v>1.22274436157885</v>
      </c>
      <c r="S54" s="3" t="s">
        <v>75</v>
      </c>
      <c r="T54" s="3" t="s">
        <v>75</v>
      </c>
      <c r="U54" s="3" t="s">
        <v>35</v>
      </c>
      <c r="V54" s="3" t="s">
        <v>77</v>
      </c>
      <c r="W54" s="3">
        <v>6</v>
      </c>
      <c r="X54" s="3">
        <v>5</v>
      </c>
      <c r="Y54" s="3">
        <v>7</v>
      </c>
      <c r="Z54" s="3">
        <v>0</v>
      </c>
      <c r="AA54" s="3">
        <v>-3</v>
      </c>
      <c r="AB54" s="12">
        <f>(W54*4+X54*1+Y54*-2+Z54*-3)/W54</f>
        <v>2.5</v>
      </c>
      <c r="AC54" s="3">
        <f>W54*12.0107+X54*1.00784+Y54*15.999+Z54*14.0067</f>
        <v>189.09640000000002</v>
      </c>
      <c r="AD54" s="12" t="s">
        <v>40</v>
      </c>
      <c r="AE54" s="3" t="s">
        <v>78</v>
      </c>
      <c r="AF54" s="3" t="s">
        <v>79</v>
      </c>
      <c r="AG54" s="2" t="s">
        <v>80</v>
      </c>
      <c r="AH54" s="2" t="s">
        <v>81</v>
      </c>
    </row>
    <row r="55" spans="1:34" hidden="1" x14ac:dyDescent="0.2">
      <c r="A55" s="16" t="s">
        <v>74</v>
      </c>
      <c r="B55" s="9" t="s">
        <v>35</v>
      </c>
      <c r="C55" t="s">
        <v>47</v>
      </c>
      <c r="D55" s="10" t="s">
        <v>37</v>
      </c>
      <c r="E55" t="s">
        <v>88</v>
      </c>
      <c r="F55" t="s">
        <v>89</v>
      </c>
      <c r="G55">
        <v>-10</v>
      </c>
      <c r="H55">
        <v>-20</v>
      </c>
      <c r="I55" s="1" t="s">
        <v>40</v>
      </c>
      <c r="J55">
        <v>3.15</v>
      </c>
      <c r="K55">
        <v>-10</v>
      </c>
      <c r="L55">
        <v>-7.7976470588235296</v>
      </c>
      <c r="M55" s="1" t="s">
        <v>40</v>
      </c>
      <c r="N55">
        <v>-2.9364705882352902</v>
      </c>
      <c r="O55">
        <v>5.7341176470588202</v>
      </c>
      <c r="P55"/>
      <c r="Q55">
        <v>0.57341176470588195</v>
      </c>
      <c r="R55">
        <v>1.2201450398093601</v>
      </c>
      <c r="S55" s="3" t="s">
        <v>88</v>
      </c>
      <c r="T55" s="3" t="s">
        <v>90</v>
      </c>
      <c r="U55" s="3" t="s">
        <v>35</v>
      </c>
      <c r="V55" s="3" t="s">
        <v>91</v>
      </c>
      <c r="W55" s="3">
        <v>4</v>
      </c>
      <c r="X55" s="3">
        <v>4</v>
      </c>
      <c r="Y55" s="3">
        <v>5</v>
      </c>
      <c r="Z55" s="3">
        <v>0</v>
      </c>
      <c r="AA55" s="3">
        <v>-2</v>
      </c>
      <c r="AB55" s="12">
        <f>(W55*4+X55*1+Y55*-2+Z55*-3)/W55</f>
        <v>2.5</v>
      </c>
      <c r="AC55" s="3">
        <f>W55*12.0107+X55*1.00784+Y55*15.999+Z55*14.0067</f>
        <v>132.06916000000001</v>
      </c>
      <c r="AD55" s="12" t="s">
        <v>40</v>
      </c>
      <c r="AE55" s="3" t="s">
        <v>43</v>
      </c>
      <c r="AF55" s="3" t="s">
        <v>44</v>
      </c>
      <c r="AG55" s="2" t="s">
        <v>92</v>
      </c>
      <c r="AH55" s="2" t="s">
        <v>93</v>
      </c>
    </row>
    <row r="56" spans="1:34" hidden="1" x14ac:dyDescent="0.2">
      <c r="A56" s="16" t="s">
        <v>74</v>
      </c>
      <c r="B56" s="9" t="s">
        <v>35</v>
      </c>
      <c r="C56" t="s">
        <v>62</v>
      </c>
      <c r="D56" s="15" t="s">
        <v>55</v>
      </c>
      <c r="E56" t="s">
        <v>75</v>
      </c>
      <c r="F56" t="s">
        <v>76</v>
      </c>
      <c r="G56">
        <v>-10</v>
      </c>
      <c r="H56">
        <v>-20</v>
      </c>
      <c r="I56" s="1" t="s">
        <v>40</v>
      </c>
      <c r="J56">
        <v>3.15</v>
      </c>
      <c r="K56">
        <v>-10</v>
      </c>
      <c r="L56">
        <v>-6.5713114754098303</v>
      </c>
      <c r="M56" s="1" t="s">
        <v>40</v>
      </c>
      <c r="N56">
        <v>-7.9049180327868802</v>
      </c>
      <c r="O56">
        <v>9.6508196721311492</v>
      </c>
      <c r="P56"/>
      <c r="Q56">
        <v>0.96508196721311501</v>
      </c>
      <c r="R56">
        <v>1.2155700106901901</v>
      </c>
      <c r="S56" s="3" t="s">
        <v>75</v>
      </c>
      <c r="T56" s="3" t="s">
        <v>75</v>
      </c>
      <c r="U56" s="3" t="s">
        <v>35</v>
      </c>
      <c r="V56" s="3" t="s">
        <v>77</v>
      </c>
      <c r="W56" s="3">
        <v>6</v>
      </c>
      <c r="X56" s="3">
        <v>5</v>
      </c>
      <c r="Y56" s="3">
        <v>7</v>
      </c>
      <c r="Z56" s="3">
        <v>0</v>
      </c>
      <c r="AA56" s="3">
        <v>-3</v>
      </c>
      <c r="AB56" s="12">
        <f>(W56*4+X56*1+Y56*-2+Z56*-3)/W56</f>
        <v>2.5</v>
      </c>
      <c r="AC56" s="3">
        <f>W56*12.0107+X56*1.00784+Y56*15.999+Z56*14.0067</f>
        <v>189.09640000000002</v>
      </c>
      <c r="AD56" s="12" t="s">
        <v>40</v>
      </c>
      <c r="AE56" s="3" t="s">
        <v>78</v>
      </c>
      <c r="AF56" s="3" t="s">
        <v>79</v>
      </c>
      <c r="AG56" s="2" t="s">
        <v>80</v>
      </c>
      <c r="AH56" s="2" t="s">
        <v>81</v>
      </c>
    </row>
    <row r="57" spans="1:34" hidden="1" x14ac:dyDescent="0.2">
      <c r="A57" s="16" t="s">
        <v>74</v>
      </c>
      <c r="B57" s="9" t="s">
        <v>35</v>
      </c>
      <c r="C57" t="s">
        <v>54</v>
      </c>
      <c r="D57" s="14" t="s">
        <v>55</v>
      </c>
      <c r="E57" t="s">
        <v>82</v>
      </c>
      <c r="F57" t="s">
        <v>83</v>
      </c>
      <c r="G57">
        <v>-10</v>
      </c>
      <c r="H57">
        <v>-20</v>
      </c>
      <c r="I57" s="1" t="s">
        <v>40</v>
      </c>
      <c r="J57">
        <v>3.15</v>
      </c>
      <c r="K57">
        <v>-10</v>
      </c>
      <c r="L57">
        <v>-16.359798994974899</v>
      </c>
      <c r="M57" s="1" t="s">
        <v>40</v>
      </c>
      <c r="N57">
        <v>1.8130653266331</v>
      </c>
      <c r="O57">
        <v>29.093467336683499</v>
      </c>
      <c r="P57"/>
      <c r="Q57">
        <v>2.9093467336683498</v>
      </c>
      <c r="R57">
        <v>1.21188010965058</v>
      </c>
      <c r="S57" s="3" t="s">
        <v>82</v>
      </c>
      <c r="T57" s="3" t="s">
        <v>82</v>
      </c>
      <c r="U57" s="3" t="s">
        <v>35</v>
      </c>
      <c r="V57" s="3" t="s">
        <v>84</v>
      </c>
      <c r="W57" s="3">
        <v>2</v>
      </c>
      <c r="X57" s="3">
        <v>3</v>
      </c>
      <c r="Y57" s="3">
        <v>3</v>
      </c>
      <c r="Z57" s="3">
        <v>0</v>
      </c>
      <c r="AA57" s="3">
        <v>-1</v>
      </c>
      <c r="AB57" s="12">
        <f>(W57*4+X57*1+Y57*-2+Z57*-3)/W57</f>
        <v>2.5</v>
      </c>
      <c r="AC57" s="3">
        <f>W57*12.0107+X57*1.00784+Y57*15.999+Z57*14.0067</f>
        <v>75.041920000000005</v>
      </c>
      <c r="AD57" s="12">
        <v>112</v>
      </c>
      <c r="AE57" s="3" t="s">
        <v>85</v>
      </c>
      <c r="AF57" s="3" t="s">
        <v>86</v>
      </c>
      <c r="AG57" s="2" t="str">
        <f>IF(AD57&gt;37,"Proton symporter", "Diffusion")</f>
        <v>Proton symporter</v>
      </c>
      <c r="AH57" s="2" t="s">
        <v>87</v>
      </c>
    </row>
    <row r="58" spans="1:34" hidden="1" x14ac:dyDescent="0.2">
      <c r="A58" s="16" t="s">
        <v>74</v>
      </c>
      <c r="B58" s="9" t="s">
        <v>35</v>
      </c>
      <c r="C58" t="s">
        <v>46</v>
      </c>
      <c r="D58" s="10" t="s">
        <v>37</v>
      </c>
      <c r="E58" t="s">
        <v>82</v>
      </c>
      <c r="F58" t="s">
        <v>83</v>
      </c>
      <c r="G58">
        <v>-10</v>
      </c>
      <c r="H58">
        <v>-20</v>
      </c>
      <c r="I58" s="1" t="s">
        <v>40</v>
      </c>
      <c r="J58">
        <v>3.15</v>
      </c>
      <c r="K58">
        <v>-10</v>
      </c>
      <c r="L58">
        <v>-5.7560000000000002</v>
      </c>
      <c r="M58" s="1" t="s">
        <v>40</v>
      </c>
      <c r="N58">
        <v>1.008</v>
      </c>
      <c r="O58">
        <v>9.4960000000000004</v>
      </c>
      <c r="P58"/>
      <c r="Q58">
        <v>0.9496</v>
      </c>
      <c r="R58">
        <v>1.2069153631290599</v>
      </c>
      <c r="S58" s="3" t="s">
        <v>82</v>
      </c>
      <c r="T58" s="3" t="s">
        <v>82</v>
      </c>
      <c r="U58" s="3" t="s">
        <v>35</v>
      </c>
      <c r="V58" s="3" t="s">
        <v>84</v>
      </c>
      <c r="W58" s="3">
        <v>2</v>
      </c>
      <c r="X58" s="3">
        <v>3</v>
      </c>
      <c r="Y58" s="3">
        <v>3</v>
      </c>
      <c r="Z58" s="3">
        <v>0</v>
      </c>
      <c r="AA58" s="3">
        <v>-1</v>
      </c>
      <c r="AB58" s="12">
        <f>(W58*4+X58*1+Y58*-2+Z58*-3)/W58</f>
        <v>2.5</v>
      </c>
      <c r="AC58" s="3">
        <f>W58*12.0107+X58*1.00784+Y58*15.999+Z58*14.0067</f>
        <v>75.041920000000005</v>
      </c>
      <c r="AD58" s="12">
        <v>112</v>
      </c>
      <c r="AE58" s="3" t="s">
        <v>85</v>
      </c>
      <c r="AF58" s="3" t="s">
        <v>86</v>
      </c>
      <c r="AG58" s="2" t="str">
        <f>IF(AD58&gt;37,"Proton symporter", "Diffusion")</f>
        <v>Proton symporter</v>
      </c>
      <c r="AH58" s="2" t="s">
        <v>87</v>
      </c>
    </row>
    <row r="59" spans="1:34" hidden="1" x14ac:dyDescent="0.2">
      <c r="A59" s="16" t="s">
        <v>74</v>
      </c>
      <c r="B59" s="9" t="s">
        <v>35</v>
      </c>
      <c r="C59" t="s">
        <v>62</v>
      </c>
      <c r="D59" s="15" t="s">
        <v>55</v>
      </c>
      <c r="E59" t="s">
        <v>82</v>
      </c>
      <c r="F59" t="s">
        <v>83</v>
      </c>
      <c r="G59">
        <v>-10</v>
      </c>
      <c r="H59">
        <v>-20</v>
      </c>
      <c r="I59" s="1" t="s">
        <v>40</v>
      </c>
      <c r="J59">
        <v>3.15</v>
      </c>
      <c r="K59">
        <v>-10</v>
      </c>
      <c r="L59">
        <v>-13.9571428571429</v>
      </c>
      <c r="M59" s="1" t="s">
        <v>40</v>
      </c>
      <c r="N59">
        <v>1.9428571428571499</v>
      </c>
      <c r="O59">
        <v>24.0285714285714</v>
      </c>
      <c r="P59"/>
      <c r="Q59">
        <v>2.4028571428571399</v>
      </c>
      <c r="R59">
        <v>1.20105917195573</v>
      </c>
      <c r="S59" s="3" t="s">
        <v>82</v>
      </c>
      <c r="T59" s="3" t="s">
        <v>82</v>
      </c>
      <c r="U59" s="3" t="s">
        <v>35</v>
      </c>
      <c r="V59" s="3" t="s">
        <v>84</v>
      </c>
      <c r="W59" s="3">
        <v>2</v>
      </c>
      <c r="X59" s="3">
        <v>3</v>
      </c>
      <c r="Y59" s="3">
        <v>3</v>
      </c>
      <c r="Z59" s="3">
        <v>0</v>
      </c>
      <c r="AA59" s="3">
        <v>-1</v>
      </c>
      <c r="AB59" s="12">
        <f>(W59*4+X59*1+Y59*-2+Z59*-3)/W59</f>
        <v>2.5</v>
      </c>
      <c r="AC59" s="3">
        <f>W59*12.0107+X59*1.00784+Y59*15.999+Z59*14.0067</f>
        <v>75.041920000000005</v>
      </c>
      <c r="AD59" s="12">
        <v>112</v>
      </c>
      <c r="AE59" s="3" t="s">
        <v>85</v>
      </c>
      <c r="AF59" s="3" t="s">
        <v>86</v>
      </c>
      <c r="AG59" s="2" t="str">
        <f>IF(AD59&gt;37,"Proton symporter", "Diffusion")</f>
        <v>Proton symporter</v>
      </c>
      <c r="AH59" s="2" t="s">
        <v>87</v>
      </c>
    </row>
    <row r="60" spans="1:34" hidden="1" x14ac:dyDescent="0.2">
      <c r="A60" s="16" t="s">
        <v>74</v>
      </c>
      <c r="B60" s="9" t="s">
        <v>35</v>
      </c>
      <c r="C60" t="s">
        <v>58</v>
      </c>
      <c r="D60" s="10" t="s">
        <v>37</v>
      </c>
      <c r="E60" t="s">
        <v>88</v>
      </c>
      <c r="F60" t="s">
        <v>89</v>
      </c>
      <c r="G60">
        <v>-10</v>
      </c>
      <c r="H60">
        <v>-20</v>
      </c>
      <c r="I60" s="1" t="s">
        <v>40</v>
      </c>
      <c r="J60">
        <v>3.15</v>
      </c>
      <c r="K60">
        <v>-10</v>
      </c>
      <c r="L60">
        <v>-3.6741935483871</v>
      </c>
      <c r="M60" s="1" t="s">
        <v>40</v>
      </c>
      <c r="N60">
        <v>-1.7677419354838699</v>
      </c>
      <c r="O60">
        <v>5.4419354838709699</v>
      </c>
      <c r="P60"/>
      <c r="Q60">
        <v>0.54419354838709699</v>
      </c>
      <c r="R60">
        <v>1.19681583982054</v>
      </c>
      <c r="S60" s="3" t="s">
        <v>88</v>
      </c>
      <c r="T60" s="3" t="s">
        <v>90</v>
      </c>
      <c r="U60" s="3" t="s">
        <v>35</v>
      </c>
      <c r="V60" s="3" t="s">
        <v>91</v>
      </c>
      <c r="W60" s="3">
        <v>4</v>
      </c>
      <c r="X60" s="3">
        <v>4</v>
      </c>
      <c r="Y60" s="3">
        <v>5</v>
      </c>
      <c r="Z60" s="3">
        <v>0</v>
      </c>
      <c r="AA60" s="3">
        <v>-2</v>
      </c>
      <c r="AB60" s="12">
        <f>(W60*4+X60*1+Y60*-2+Z60*-3)/W60</f>
        <v>2.5</v>
      </c>
      <c r="AC60" s="3">
        <f>W60*12.0107+X60*1.00784+Y60*15.999+Z60*14.0067</f>
        <v>132.06916000000001</v>
      </c>
      <c r="AD60" s="12" t="s">
        <v>40</v>
      </c>
      <c r="AE60" s="3" t="s">
        <v>43</v>
      </c>
      <c r="AF60" s="3" t="s">
        <v>44</v>
      </c>
      <c r="AG60" s="2" t="s">
        <v>92</v>
      </c>
      <c r="AH60" s="2" t="s">
        <v>93</v>
      </c>
    </row>
    <row r="61" spans="1:34" hidden="1" x14ac:dyDescent="0.2">
      <c r="A61" s="16" t="s">
        <v>74</v>
      </c>
      <c r="B61" s="9" t="s">
        <v>35</v>
      </c>
      <c r="C61" t="s">
        <v>61</v>
      </c>
      <c r="D61" s="13" t="s">
        <v>51</v>
      </c>
      <c r="E61" t="s">
        <v>82</v>
      </c>
      <c r="F61" t="s">
        <v>83</v>
      </c>
      <c r="G61">
        <v>-10</v>
      </c>
      <c r="H61">
        <v>-20</v>
      </c>
      <c r="I61" s="1" t="s">
        <v>40</v>
      </c>
      <c r="J61">
        <v>3.15</v>
      </c>
      <c r="K61">
        <v>-10</v>
      </c>
      <c r="L61">
        <v>-7.3971428571428604</v>
      </c>
      <c r="M61" s="1" t="s">
        <v>40</v>
      </c>
      <c r="N61">
        <v>-0.13714285714286101</v>
      </c>
      <c r="O61">
        <v>5.0685714285714303</v>
      </c>
      <c r="P61"/>
      <c r="Q61">
        <v>0.50685714285714301</v>
      </c>
      <c r="R61">
        <v>1.1870872301264199</v>
      </c>
      <c r="S61" s="3" t="s">
        <v>82</v>
      </c>
      <c r="T61" s="3" t="s">
        <v>82</v>
      </c>
      <c r="U61" s="3" t="s">
        <v>35</v>
      </c>
      <c r="V61" s="3" t="s">
        <v>84</v>
      </c>
      <c r="W61" s="3">
        <v>2</v>
      </c>
      <c r="X61" s="3">
        <v>3</v>
      </c>
      <c r="Y61" s="3">
        <v>3</v>
      </c>
      <c r="Z61" s="3">
        <v>0</v>
      </c>
      <c r="AA61" s="3">
        <v>-1</v>
      </c>
      <c r="AB61" s="12">
        <f>(W61*4+X61*1+Y61*-2+Z61*-3)/W61</f>
        <v>2.5</v>
      </c>
      <c r="AC61" s="3">
        <f>W61*12.0107+X61*1.00784+Y61*15.999+Z61*14.0067</f>
        <v>75.041920000000005</v>
      </c>
      <c r="AD61" s="12">
        <v>112</v>
      </c>
      <c r="AE61" s="3" t="s">
        <v>85</v>
      </c>
      <c r="AF61" s="3" t="s">
        <v>86</v>
      </c>
      <c r="AG61" s="2" t="str">
        <f>IF(AD61&gt;37,"Proton symporter", "Diffusion")</f>
        <v>Proton symporter</v>
      </c>
      <c r="AH61" s="2" t="s">
        <v>87</v>
      </c>
    </row>
    <row r="62" spans="1:34" hidden="1" x14ac:dyDescent="0.2">
      <c r="A62" s="16" t="s">
        <v>74</v>
      </c>
      <c r="B62" s="9" t="s">
        <v>35</v>
      </c>
      <c r="C62" t="s">
        <v>58</v>
      </c>
      <c r="D62" s="10" t="s">
        <v>37</v>
      </c>
      <c r="E62" t="s">
        <v>75</v>
      </c>
      <c r="F62" t="s">
        <v>76</v>
      </c>
      <c r="G62">
        <v>-10</v>
      </c>
      <c r="H62">
        <v>-20</v>
      </c>
      <c r="I62" s="1" t="s">
        <v>40</v>
      </c>
      <c r="J62">
        <v>3.15</v>
      </c>
      <c r="K62">
        <v>-10</v>
      </c>
      <c r="L62">
        <v>-3.31538461538462</v>
      </c>
      <c r="M62" s="1" t="s">
        <v>40</v>
      </c>
      <c r="N62">
        <v>-2.2461538461538502</v>
      </c>
      <c r="O62">
        <v>3.7076923076923101</v>
      </c>
      <c r="P62"/>
      <c r="Q62">
        <v>0.37076923076923102</v>
      </c>
      <c r="R62">
        <v>1.1675069401390601</v>
      </c>
      <c r="S62" s="3" t="s">
        <v>75</v>
      </c>
      <c r="T62" s="3" t="s">
        <v>75</v>
      </c>
      <c r="U62" s="3" t="s">
        <v>35</v>
      </c>
      <c r="V62" s="3" t="s">
        <v>77</v>
      </c>
      <c r="W62" s="3">
        <v>6</v>
      </c>
      <c r="X62" s="3">
        <v>5</v>
      </c>
      <c r="Y62" s="3">
        <v>7</v>
      </c>
      <c r="Z62" s="3">
        <v>0</v>
      </c>
      <c r="AA62" s="3">
        <v>-3</v>
      </c>
      <c r="AB62" s="12">
        <f>(W62*4+X62*1+Y62*-2+Z62*-3)/W62</f>
        <v>2.5</v>
      </c>
      <c r="AC62" s="3">
        <f>W62*12.0107+X62*1.00784+Y62*15.999+Z62*14.0067</f>
        <v>189.09640000000002</v>
      </c>
      <c r="AD62" s="12" t="s">
        <v>40</v>
      </c>
      <c r="AE62" s="3" t="s">
        <v>78</v>
      </c>
      <c r="AF62" s="3" t="s">
        <v>79</v>
      </c>
      <c r="AG62" s="2" t="s">
        <v>80</v>
      </c>
      <c r="AH62" s="2" t="s">
        <v>81</v>
      </c>
    </row>
    <row r="63" spans="1:34" hidden="1" x14ac:dyDescent="0.2">
      <c r="A63" s="16" t="s">
        <v>74</v>
      </c>
      <c r="B63" s="9" t="s">
        <v>35</v>
      </c>
      <c r="C63" t="s">
        <v>61</v>
      </c>
      <c r="D63" s="13" t="s">
        <v>51</v>
      </c>
      <c r="E63" t="s">
        <v>88</v>
      </c>
      <c r="F63" t="s">
        <v>89</v>
      </c>
      <c r="G63">
        <v>-10</v>
      </c>
      <c r="H63">
        <v>-20</v>
      </c>
      <c r="I63" s="1" t="s">
        <v>40</v>
      </c>
      <c r="J63">
        <v>3.15</v>
      </c>
      <c r="K63">
        <v>-10</v>
      </c>
      <c r="L63">
        <v>-7.05671641791045</v>
      </c>
      <c r="M63" s="1" t="s">
        <v>40</v>
      </c>
      <c r="N63">
        <v>-0.59104477611940198</v>
      </c>
      <c r="O63">
        <v>2.64776119402985</v>
      </c>
      <c r="P63"/>
      <c r="Q63">
        <v>0.26477611940298501</v>
      </c>
      <c r="R63">
        <v>1.09137337146811</v>
      </c>
      <c r="S63" s="3" t="s">
        <v>88</v>
      </c>
      <c r="T63" s="3" t="s">
        <v>90</v>
      </c>
      <c r="U63" s="3" t="s">
        <v>35</v>
      </c>
      <c r="V63" s="3" t="s">
        <v>91</v>
      </c>
      <c r="W63" s="3">
        <v>4</v>
      </c>
      <c r="X63" s="3">
        <v>4</v>
      </c>
      <c r="Y63" s="3">
        <v>5</v>
      </c>
      <c r="Z63" s="3">
        <v>0</v>
      </c>
      <c r="AA63" s="3">
        <v>-2</v>
      </c>
      <c r="AB63" s="12">
        <f>(W63*4+X63*1+Y63*-2+Z63*-3)/W63</f>
        <v>2.5</v>
      </c>
      <c r="AC63" s="3">
        <f>W63*12.0107+X63*1.00784+Y63*15.999+Z63*14.0067</f>
        <v>132.06916000000001</v>
      </c>
      <c r="AD63" s="12" t="s">
        <v>40</v>
      </c>
      <c r="AE63" s="3" t="s">
        <v>43</v>
      </c>
      <c r="AF63" s="3" t="s">
        <v>44</v>
      </c>
      <c r="AG63" s="2" t="s">
        <v>92</v>
      </c>
      <c r="AH63" s="2" t="s">
        <v>93</v>
      </c>
    </row>
    <row r="64" spans="1:34" hidden="1" x14ac:dyDescent="0.2">
      <c r="A64" s="16" t="s">
        <v>74</v>
      </c>
      <c r="B64" s="9" t="s">
        <v>35</v>
      </c>
      <c r="C64" t="s">
        <v>47</v>
      </c>
      <c r="D64" s="10" t="s">
        <v>37</v>
      </c>
      <c r="E64" t="s">
        <v>75</v>
      </c>
      <c r="F64" t="s">
        <v>76</v>
      </c>
      <c r="G64">
        <v>-10</v>
      </c>
      <c r="H64">
        <v>-20</v>
      </c>
      <c r="I64" s="1" t="s">
        <v>40</v>
      </c>
      <c r="J64">
        <v>3.15</v>
      </c>
      <c r="K64">
        <v>-10</v>
      </c>
      <c r="L64">
        <v>-11.658759124087601</v>
      </c>
      <c r="M64" s="1" t="s">
        <v>40</v>
      </c>
      <c r="N64">
        <v>-1.34598540145986</v>
      </c>
      <c r="O64">
        <v>3.5576642335766402</v>
      </c>
      <c r="P64"/>
      <c r="Q64">
        <v>0.35576642335766401</v>
      </c>
      <c r="R64">
        <v>1.08390610536152</v>
      </c>
      <c r="S64" s="3" t="s">
        <v>75</v>
      </c>
      <c r="T64" s="3" t="s">
        <v>75</v>
      </c>
      <c r="U64" s="3" t="s">
        <v>35</v>
      </c>
      <c r="V64" s="3" t="s">
        <v>77</v>
      </c>
      <c r="W64" s="3">
        <v>6</v>
      </c>
      <c r="X64" s="3">
        <v>5</v>
      </c>
      <c r="Y64" s="3">
        <v>7</v>
      </c>
      <c r="Z64" s="3">
        <v>0</v>
      </c>
      <c r="AA64" s="3">
        <v>-3</v>
      </c>
      <c r="AB64" s="12">
        <f>(W64*4+X64*1+Y64*-2+Z64*-3)/W64</f>
        <v>2.5</v>
      </c>
      <c r="AC64" s="3">
        <f>W64*12.0107+X64*1.00784+Y64*15.999+Z64*14.0067</f>
        <v>189.09640000000002</v>
      </c>
      <c r="AD64" s="12" t="s">
        <v>40</v>
      </c>
      <c r="AE64" s="3" t="s">
        <v>78</v>
      </c>
      <c r="AF64" s="3" t="s">
        <v>79</v>
      </c>
      <c r="AG64" s="2" t="s">
        <v>80</v>
      </c>
      <c r="AH64" s="2" t="s">
        <v>81</v>
      </c>
    </row>
    <row r="65" spans="1:34" hidden="1" x14ac:dyDescent="0.2">
      <c r="A65" s="16" t="s">
        <v>74</v>
      </c>
      <c r="B65" s="9" t="s">
        <v>35</v>
      </c>
      <c r="C65" t="s">
        <v>57</v>
      </c>
      <c r="D65" s="10" t="s">
        <v>37</v>
      </c>
      <c r="E65" t="s">
        <v>88</v>
      </c>
      <c r="F65" t="s">
        <v>89</v>
      </c>
      <c r="G65">
        <v>-10</v>
      </c>
      <c r="H65">
        <v>-20</v>
      </c>
      <c r="I65" s="1" t="s">
        <v>40</v>
      </c>
      <c r="J65">
        <v>3.15</v>
      </c>
      <c r="K65">
        <v>-10</v>
      </c>
      <c r="L65">
        <v>-5.4</v>
      </c>
      <c r="M65" s="1" t="s">
        <v>40</v>
      </c>
      <c r="N65">
        <v>0.53333333333333799</v>
      </c>
      <c r="O65">
        <v>4.8666666666666698</v>
      </c>
      <c r="P65"/>
      <c r="Q65">
        <v>0.48666666666666702</v>
      </c>
      <c r="R65">
        <v>1.07030003774507</v>
      </c>
      <c r="S65" s="3" t="s">
        <v>88</v>
      </c>
      <c r="T65" s="3" t="s">
        <v>90</v>
      </c>
      <c r="U65" s="3" t="s">
        <v>35</v>
      </c>
      <c r="V65" s="3" t="s">
        <v>91</v>
      </c>
      <c r="W65" s="3">
        <v>4</v>
      </c>
      <c r="X65" s="3">
        <v>4</v>
      </c>
      <c r="Y65" s="3">
        <v>5</v>
      </c>
      <c r="Z65" s="3">
        <v>0</v>
      </c>
      <c r="AA65" s="3">
        <v>-2</v>
      </c>
      <c r="AB65" s="12">
        <f>(W65*4+X65*1+Y65*-2+Z65*-3)/W65</f>
        <v>2.5</v>
      </c>
      <c r="AC65" s="3">
        <f>W65*12.0107+X65*1.00784+Y65*15.999+Z65*14.0067</f>
        <v>132.06916000000001</v>
      </c>
      <c r="AD65" s="12" t="s">
        <v>40</v>
      </c>
      <c r="AE65" s="3" t="s">
        <v>43</v>
      </c>
      <c r="AF65" s="3" t="s">
        <v>44</v>
      </c>
      <c r="AG65" s="2" t="s">
        <v>92</v>
      </c>
      <c r="AH65" s="2" t="s">
        <v>93</v>
      </c>
    </row>
    <row r="66" spans="1:34" hidden="1" x14ac:dyDescent="0.2">
      <c r="A66" s="16" t="s">
        <v>74</v>
      </c>
      <c r="B66" s="9" t="s">
        <v>35</v>
      </c>
      <c r="C66" t="s">
        <v>46</v>
      </c>
      <c r="D66" s="10" t="s">
        <v>37</v>
      </c>
      <c r="E66" t="s">
        <v>88</v>
      </c>
      <c r="F66" t="s">
        <v>89</v>
      </c>
      <c r="G66">
        <v>-10</v>
      </c>
      <c r="H66">
        <v>-20</v>
      </c>
      <c r="I66" s="1" t="s">
        <v>40</v>
      </c>
      <c r="J66">
        <v>3.15</v>
      </c>
      <c r="K66">
        <v>-10</v>
      </c>
      <c r="L66">
        <v>-5.7560000000000002</v>
      </c>
      <c r="M66" s="1" t="s">
        <v>40</v>
      </c>
      <c r="N66">
        <v>1.008</v>
      </c>
      <c r="O66">
        <v>4.7480000000000002</v>
      </c>
      <c r="P66"/>
      <c r="Q66">
        <v>0.4748</v>
      </c>
      <c r="R66">
        <v>1.0620483737592901</v>
      </c>
      <c r="S66" s="3" t="s">
        <v>88</v>
      </c>
      <c r="T66" s="3" t="s">
        <v>90</v>
      </c>
      <c r="U66" s="3" t="s">
        <v>35</v>
      </c>
      <c r="V66" s="3" t="s">
        <v>91</v>
      </c>
      <c r="W66" s="3">
        <v>4</v>
      </c>
      <c r="X66" s="3">
        <v>4</v>
      </c>
      <c r="Y66" s="3">
        <v>5</v>
      </c>
      <c r="Z66" s="3">
        <v>0</v>
      </c>
      <c r="AA66" s="3">
        <v>-2</v>
      </c>
      <c r="AB66" s="12">
        <f>(W66*4+X66*1+Y66*-2+Z66*-3)/W66</f>
        <v>2.5</v>
      </c>
      <c r="AC66" s="3">
        <f>W66*12.0107+X66*1.00784+Y66*15.999+Z66*14.0067</f>
        <v>132.06916000000001</v>
      </c>
      <c r="AD66" s="12" t="s">
        <v>40</v>
      </c>
      <c r="AE66" s="3" t="s">
        <v>43</v>
      </c>
      <c r="AF66" s="3" t="s">
        <v>44</v>
      </c>
      <c r="AG66" s="2" t="s">
        <v>92</v>
      </c>
      <c r="AH66" s="2" t="s">
        <v>93</v>
      </c>
    </row>
    <row r="67" spans="1:34" hidden="1" x14ac:dyDescent="0.2">
      <c r="A67" s="16" t="s">
        <v>74</v>
      </c>
      <c r="B67" s="9" t="s">
        <v>35</v>
      </c>
      <c r="C67" t="s">
        <v>46</v>
      </c>
      <c r="D67" s="10" t="s">
        <v>37</v>
      </c>
      <c r="E67" t="s">
        <v>75</v>
      </c>
      <c r="F67" t="s">
        <v>76</v>
      </c>
      <c r="G67">
        <v>-10</v>
      </c>
      <c r="H67">
        <v>-20</v>
      </c>
      <c r="I67" s="1" t="s">
        <v>40</v>
      </c>
      <c r="J67">
        <v>3.15</v>
      </c>
      <c r="K67">
        <v>-10</v>
      </c>
      <c r="L67">
        <v>-5.36575342465754</v>
      </c>
      <c r="M67" s="1" t="s">
        <v>40</v>
      </c>
      <c r="N67">
        <v>0.48767123287671499</v>
      </c>
      <c r="O67">
        <v>3.25205479452055</v>
      </c>
      <c r="P67"/>
      <c r="Q67">
        <v>0.32520547945205402</v>
      </c>
      <c r="R67">
        <v>1.04153360681785</v>
      </c>
      <c r="S67" s="3" t="s">
        <v>75</v>
      </c>
      <c r="T67" s="3" t="s">
        <v>75</v>
      </c>
      <c r="U67" s="3" t="s">
        <v>35</v>
      </c>
      <c r="V67" s="3" t="s">
        <v>77</v>
      </c>
      <c r="W67" s="3">
        <v>6</v>
      </c>
      <c r="X67" s="3">
        <v>5</v>
      </c>
      <c r="Y67" s="3">
        <v>7</v>
      </c>
      <c r="Z67" s="3">
        <v>0</v>
      </c>
      <c r="AA67" s="3">
        <v>-3</v>
      </c>
      <c r="AB67" s="12">
        <f>(W67*4+X67*1+Y67*-2+Z67*-3)/W67</f>
        <v>2.5</v>
      </c>
      <c r="AC67" s="3">
        <f>W67*12.0107+X67*1.00784+Y67*15.999+Z67*14.0067</f>
        <v>189.09640000000002</v>
      </c>
      <c r="AD67" s="12" t="s">
        <v>40</v>
      </c>
      <c r="AE67" s="3" t="s">
        <v>78</v>
      </c>
      <c r="AF67" s="3" t="s">
        <v>79</v>
      </c>
      <c r="AG67" s="2" t="s">
        <v>80</v>
      </c>
      <c r="AH67" s="2" t="s">
        <v>81</v>
      </c>
    </row>
    <row r="68" spans="1:34" hidden="1" x14ac:dyDescent="0.2">
      <c r="A68" s="16" t="s">
        <v>74</v>
      </c>
      <c r="B68" s="9" t="s">
        <v>35</v>
      </c>
      <c r="C68" t="s">
        <v>61</v>
      </c>
      <c r="D68" s="13" t="s">
        <v>51</v>
      </c>
      <c r="E68" t="s">
        <v>75</v>
      </c>
      <c r="F68" t="s">
        <v>76</v>
      </c>
      <c r="G68">
        <v>-10</v>
      </c>
      <c r="H68">
        <v>-20</v>
      </c>
      <c r="I68" s="1" t="s">
        <v>40</v>
      </c>
      <c r="J68">
        <v>3.15</v>
      </c>
      <c r="K68">
        <v>-10</v>
      </c>
      <c r="L68">
        <v>-7.0960396039604001</v>
      </c>
      <c r="M68" s="1" t="s">
        <v>40</v>
      </c>
      <c r="N68">
        <v>-0.53861386138613898</v>
      </c>
      <c r="O68">
        <v>1.75643564356436</v>
      </c>
      <c r="P68"/>
      <c r="Q68">
        <v>0.17564356435643599</v>
      </c>
      <c r="R68">
        <v>1.0365938487356701</v>
      </c>
      <c r="S68" s="3" t="s">
        <v>75</v>
      </c>
      <c r="T68" s="3" t="s">
        <v>75</v>
      </c>
      <c r="U68" s="3" t="s">
        <v>35</v>
      </c>
      <c r="V68" s="3" t="s">
        <v>77</v>
      </c>
      <c r="W68" s="3">
        <v>6</v>
      </c>
      <c r="X68" s="3">
        <v>5</v>
      </c>
      <c r="Y68" s="3">
        <v>7</v>
      </c>
      <c r="Z68" s="3">
        <v>0</v>
      </c>
      <c r="AA68" s="3">
        <v>-3</v>
      </c>
      <c r="AB68" s="12">
        <f>(W68*4+X68*1+Y68*-2+Z68*-3)/W68</f>
        <v>2.5</v>
      </c>
      <c r="AC68" s="3">
        <f>W68*12.0107+X68*1.00784+Y68*15.999+Z68*14.0067</f>
        <v>189.09640000000002</v>
      </c>
      <c r="AD68" s="12" t="s">
        <v>40</v>
      </c>
      <c r="AE68" s="3" t="s">
        <v>78</v>
      </c>
      <c r="AF68" s="3" t="s">
        <v>79</v>
      </c>
      <c r="AG68" s="2" t="s">
        <v>80</v>
      </c>
      <c r="AH68" s="2" t="s">
        <v>81</v>
      </c>
    </row>
    <row r="69" spans="1:34" hidden="1" x14ac:dyDescent="0.2">
      <c r="A69" s="16" t="s">
        <v>74</v>
      </c>
      <c r="B69" s="9" t="s">
        <v>35</v>
      </c>
      <c r="C69" t="s">
        <v>57</v>
      </c>
      <c r="D69" s="10" t="s">
        <v>37</v>
      </c>
      <c r="E69" t="s">
        <v>75</v>
      </c>
      <c r="F69" t="s">
        <v>76</v>
      </c>
      <c r="G69">
        <v>-10</v>
      </c>
      <c r="H69">
        <v>-20</v>
      </c>
      <c r="I69" s="1" t="s">
        <v>40</v>
      </c>
      <c r="J69">
        <v>3.15</v>
      </c>
      <c r="K69">
        <v>-10</v>
      </c>
      <c r="L69">
        <v>-6.4848739495798302</v>
      </c>
      <c r="M69" s="1" t="s">
        <v>40</v>
      </c>
      <c r="N69">
        <v>1.97983193277311</v>
      </c>
      <c r="O69">
        <v>3.0033613445378098</v>
      </c>
      <c r="P69"/>
      <c r="Q69">
        <v>0.30033613445378099</v>
      </c>
      <c r="R69">
        <v>0.94572173807909898</v>
      </c>
      <c r="S69" s="3" t="s">
        <v>75</v>
      </c>
      <c r="T69" s="3" t="s">
        <v>75</v>
      </c>
      <c r="U69" s="3" t="s">
        <v>35</v>
      </c>
      <c r="V69" s="3" t="s">
        <v>77</v>
      </c>
      <c r="W69" s="3">
        <v>6</v>
      </c>
      <c r="X69" s="3">
        <v>5</v>
      </c>
      <c r="Y69" s="3">
        <v>7</v>
      </c>
      <c r="Z69" s="3">
        <v>0</v>
      </c>
      <c r="AA69" s="3">
        <v>-3</v>
      </c>
      <c r="AB69" s="12">
        <f>(W69*4+X69*1+Y69*-2+Z69*-3)/W69</f>
        <v>2.5</v>
      </c>
      <c r="AC69" s="3">
        <f>W69*12.0107+X69*1.00784+Y69*15.999+Z69*14.0067</f>
        <v>189.09640000000002</v>
      </c>
      <c r="AD69" s="12" t="s">
        <v>40</v>
      </c>
      <c r="AE69" s="3" t="s">
        <v>78</v>
      </c>
      <c r="AF69" s="3" t="s">
        <v>79</v>
      </c>
      <c r="AG69" s="2" t="s">
        <v>80</v>
      </c>
      <c r="AH69" s="2" t="s">
        <v>81</v>
      </c>
    </row>
    <row r="70" spans="1:34" hidden="1" x14ac:dyDescent="0.2">
      <c r="A70" s="8" t="s">
        <v>350</v>
      </c>
      <c r="B70" s="17" t="s">
        <v>64</v>
      </c>
      <c r="C70" t="s">
        <v>354</v>
      </c>
      <c r="D70" s="13" t="s">
        <v>51</v>
      </c>
      <c r="E70" t="s">
        <v>88</v>
      </c>
      <c r="F70" t="s">
        <v>89</v>
      </c>
      <c r="G70">
        <v>-10</v>
      </c>
      <c r="H70">
        <v>0</v>
      </c>
      <c r="I70">
        <v>0</v>
      </c>
      <c r="J70">
        <v>0.45</v>
      </c>
      <c r="K70">
        <v>-10</v>
      </c>
      <c r="L70">
        <v>0</v>
      </c>
      <c r="M70" s="26">
        <v>9.2799999999998697</v>
      </c>
      <c r="N70">
        <v>0</v>
      </c>
      <c r="O70" s="26">
        <v>1.54666666666663</v>
      </c>
      <c r="P70"/>
      <c r="Q70" s="26">
        <v>0.15466666666666301</v>
      </c>
      <c r="R70" s="26">
        <v>0.67704849891894103</v>
      </c>
      <c r="S70" s="3" t="str">
        <f>VLOOKUP($E70,'[1]Product Naming'!$A$1:$P$58,2)</f>
        <v>Malate_L</v>
      </c>
      <c r="T70" s="3" t="str">
        <f>VLOOKUP($E70,'[1]Product Naming'!$A$1:$P$58,3)</f>
        <v>L-Malate</v>
      </c>
      <c r="U70" s="3" t="str">
        <f>VLOOKUP($E70,'[1]Product Naming'!$A$1:$P$58,4)</f>
        <v>iJO1366</v>
      </c>
      <c r="V70" s="3" t="str">
        <f>VLOOKUP($E70,'[1]Product Naming'!$A$1:$P$58,5)</f>
        <v>C4H4O5</v>
      </c>
      <c r="W70" s="3">
        <f>VLOOKUP($E70,'[1]Product Naming'!$A$1:$P$58,6)</f>
        <v>4</v>
      </c>
      <c r="X70" s="3">
        <f>VLOOKUP($E70,'[1]Product Naming'!$A$1:$P$58,7)</f>
        <v>4</v>
      </c>
      <c r="Y70" s="3">
        <f>VLOOKUP($E70,'[1]Product Naming'!$A$1:$P$58,8)</f>
        <v>5</v>
      </c>
      <c r="Z70" s="3">
        <f>VLOOKUP($E70,'[1]Product Naming'!$A$1:$P$58,9)</f>
        <v>0</v>
      </c>
      <c r="AA70" s="3">
        <f>VLOOKUP($E70,'[1]Product Naming'!$A$1:$P$58,10)</f>
        <v>-2</v>
      </c>
      <c r="AB70" s="3">
        <f>VLOOKUP($E70,'[1]Product Naming'!$A$1:$P$58,11)</f>
        <v>2.5</v>
      </c>
      <c r="AC70" s="3">
        <f>VLOOKUP($E70,'[1]Product Naming'!$A$1:$P$58,12)</f>
        <v>132.06916000000001</v>
      </c>
      <c r="AD70" s="3" t="str">
        <f>VLOOKUP($E70,'[1]Product Naming'!$A$1:$P$58,13)</f>
        <v>NA</v>
      </c>
      <c r="AE70" s="3" t="str">
        <f>VLOOKUP($E70,'[1]Product Naming'!$A$1:$P$58,14)</f>
        <v>Dicarboxylate</v>
      </c>
      <c r="AF70" s="3" t="str">
        <f>VLOOKUP($E70,'[1]Product Naming'!$A$1:$P$58,15)</f>
        <v>Oxaloacetate</v>
      </c>
      <c r="AG70" s="3" t="str">
        <f>VLOOKUP($E70,'[1]Product Naming'!$A$1:$P$58,16)</f>
        <v>Proton symporter</v>
      </c>
      <c r="AH70" s="3" t="str">
        <f>VLOOKUP($E70,'[1]Product Naming'!$A$1:$Q$58,17)</f>
        <v>mal__L_e</v>
      </c>
    </row>
    <row r="71" spans="1:34" hidden="1" x14ac:dyDescent="0.2">
      <c r="A71" s="16" t="s">
        <v>63</v>
      </c>
      <c r="B71" s="17" t="s">
        <v>64</v>
      </c>
      <c r="C71" t="s">
        <v>69</v>
      </c>
      <c r="D71" s="18" t="s">
        <v>66</v>
      </c>
      <c r="E71" t="s">
        <v>88</v>
      </c>
      <c r="F71" t="s">
        <v>89</v>
      </c>
      <c r="G71">
        <v>-10</v>
      </c>
      <c r="H71">
        <v>0</v>
      </c>
      <c r="I71">
        <v>-20</v>
      </c>
      <c r="J71">
        <v>0.45</v>
      </c>
      <c r="K71">
        <v>-10</v>
      </c>
      <c r="L71">
        <v>0</v>
      </c>
      <c r="M71">
        <v>-10.72</v>
      </c>
      <c r="N71">
        <v>0</v>
      </c>
      <c r="O71">
        <v>1.54666666666667</v>
      </c>
      <c r="P71"/>
      <c r="Q71">
        <v>0.15466666666666701</v>
      </c>
      <c r="R71" s="19">
        <v>0.67693119791017797</v>
      </c>
      <c r="S71" s="3" t="s">
        <v>88</v>
      </c>
      <c r="T71" s="3" t="s">
        <v>90</v>
      </c>
      <c r="U71" s="3" t="s">
        <v>35</v>
      </c>
      <c r="V71" s="3" t="s">
        <v>91</v>
      </c>
      <c r="W71" s="3">
        <v>4</v>
      </c>
      <c r="X71" s="3">
        <v>4</v>
      </c>
      <c r="Y71" s="3">
        <v>5</v>
      </c>
      <c r="Z71" s="3">
        <v>0</v>
      </c>
      <c r="AA71" s="3">
        <v>-2</v>
      </c>
      <c r="AB71" s="12">
        <f>(W71*4+X71*1+Y71*-2+Z71*-3)/W71</f>
        <v>2.5</v>
      </c>
      <c r="AC71" s="3">
        <f>W71*12.0107+X71*1.00784+Y71*15.999+Z71*14.0067</f>
        <v>132.06916000000001</v>
      </c>
      <c r="AD71" s="12" t="s">
        <v>40</v>
      </c>
      <c r="AE71" s="3" t="s">
        <v>43</v>
      </c>
      <c r="AF71" s="3" t="s">
        <v>44</v>
      </c>
      <c r="AG71" s="2" t="s">
        <v>92</v>
      </c>
      <c r="AH71" s="2" t="s">
        <v>93</v>
      </c>
    </row>
    <row r="72" spans="1:34" hidden="1" x14ac:dyDescent="0.2">
      <c r="A72" s="16" t="s">
        <v>63</v>
      </c>
      <c r="B72" s="17" t="s">
        <v>64</v>
      </c>
      <c r="C72" t="s">
        <v>68</v>
      </c>
      <c r="D72" s="18" t="s">
        <v>66</v>
      </c>
      <c r="E72" t="s">
        <v>88</v>
      </c>
      <c r="F72" t="s">
        <v>89</v>
      </c>
      <c r="G72">
        <v>-10</v>
      </c>
      <c r="H72">
        <v>0</v>
      </c>
      <c r="I72">
        <v>-10</v>
      </c>
      <c r="J72">
        <v>0.45</v>
      </c>
      <c r="K72">
        <v>-10</v>
      </c>
      <c r="L72">
        <v>0</v>
      </c>
      <c r="M72">
        <v>-10</v>
      </c>
      <c r="N72">
        <v>0</v>
      </c>
      <c r="O72">
        <v>1.5166666666666699</v>
      </c>
      <c r="P72"/>
      <c r="Q72">
        <v>0.151666666666667</v>
      </c>
      <c r="R72">
        <v>0.66701595959596005</v>
      </c>
      <c r="S72" s="3" t="s">
        <v>88</v>
      </c>
      <c r="T72" s="3" t="s">
        <v>90</v>
      </c>
      <c r="U72" s="3" t="s">
        <v>35</v>
      </c>
      <c r="V72" s="3" t="s">
        <v>91</v>
      </c>
      <c r="W72" s="3">
        <v>4</v>
      </c>
      <c r="X72" s="3">
        <v>4</v>
      </c>
      <c r="Y72" s="3">
        <v>5</v>
      </c>
      <c r="Z72" s="3">
        <v>0</v>
      </c>
      <c r="AA72" s="3">
        <v>-2</v>
      </c>
      <c r="AB72" s="12">
        <f>(W72*4+X72*1+Y72*-2+Z72*-3)/W72</f>
        <v>2.5</v>
      </c>
      <c r="AC72" s="3">
        <f>W72*12.0107+X72*1.00784+Y72*15.999+Z72*14.0067</f>
        <v>132.06916000000001</v>
      </c>
      <c r="AD72" s="12" t="s">
        <v>40</v>
      </c>
      <c r="AE72" s="3" t="s">
        <v>43</v>
      </c>
      <c r="AF72" s="3" t="s">
        <v>44</v>
      </c>
      <c r="AG72" s="2" t="s">
        <v>92</v>
      </c>
      <c r="AH72" s="2" t="s">
        <v>93</v>
      </c>
    </row>
    <row r="73" spans="1:34" hidden="1" x14ac:dyDescent="0.2">
      <c r="A73" s="8" t="s">
        <v>350</v>
      </c>
      <c r="B73" s="17" t="s">
        <v>64</v>
      </c>
      <c r="C73" t="s">
        <v>354</v>
      </c>
      <c r="D73" s="13" t="s">
        <v>51</v>
      </c>
      <c r="E73" t="s">
        <v>75</v>
      </c>
      <c r="F73" t="s">
        <v>76</v>
      </c>
      <c r="G73">
        <v>-10</v>
      </c>
      <c r="H73">
        <v>0</v>
      </c>
      <c r="I73">
        <v>0</v>
      </c>
      <c r="J73">
        <v>0.45</v>
      </c>
      <c r="K73">
        <v>-10</v>
      </c>
      <c r="L73">
        <v>0</v>
      </c>
      <c r="M73">
        <v>9.28000000000001</v>
      </c>
      <c r="N73">
        <v>0</v>
      </c>
      <c r="O73" s="26">
        <v>1.0311111111111</v>
      </c>
      <c r="P73"/>
      <c r="Q73" s="26">
        <v>0.10311111111111</v>
      </c>
      <c r="R73" s="26">
        <v>0.646264597382049</v>
      </c>
      <c r="S73" s="3" t="str">
        <f>VLOOKUP($E73,'[1]Product Naming'!$A$1:$P$58,2)</f>
        <v>Citrate</v>
      </c>
      <c r="T73" s="3" t="str">
        <f>VLOOKUP($E73,'[1]Product Naming'!$A$1:$P$58,3)</f>
        <v>Citrate</v>
      </c>
      <c r="U73" s="3" t="str">
        <f>VLOOKUP($E73,'[1]Product Naming'!$A$1:$P$58,4)</f>
        <v>iJO1366</v>
      </c>
      <c r="V73" s="3" t="str">
        <f>VLOOKUP($E73,'[1]Product Naming'!$A$1:$P$58,5)</f>
        <v>C6H5O7</v>
      </c>
      <c r="W73" s="3">
        <f>VLOOKUP($E73,'[1]Product Naming'!$A$1:$P$58,6)</f>
        <v>6</v>
      </c>
      <c r="X73" s="3">
        <f>VLOOKUP($E73,'[1]Product Naming'!$A$1:$P$58,7)</f>
        <v>5</v>
      </c>
      <c r="Y73" s="3">
        <f>VLOOKUP($E73,'[1]Product Naming'!$A$1:$P$58,8)</f>
        <v>7</v>
      </c>
      <c r="Z73" s="3">
        <f>VLOOKUP($E73,'[1]Product Naming'!$A$1:$P$58,9)</f>
        <v>0</v>
      </c>
      <c r="AA73" s="3">
        <f>VLOOKUP($E73,'[1]Product Naming'!$A$1:$P$58,10)</f>
        <v>-3</v>
      </c>
      <c r="AB73" s="3">
        <f>VLOOKUP($E73,'[1]Product Naming'!$A$1:$P$58,11)</f>
        <v>2.5</v>
      </c>
      <c r="AC73" s="3">
        <f>VLOOKUP($E73,'[1]Product Naming'!$A$1:$P$58,12)</f>
        <v>189.09640000000002</v>
      </c>
      <c r="AD73" s="3" t="str">
        <f>VLOOKUP($E73,'[1]Product Naming'!$A$1:$P$58,13)</f>
        <v>NA</v>
      </c>
      <c r="AE73" s="3" t="str">
        <f>VLOOKUP($E73,'[1]Product Naming'!$A$1:$P$58,14)</f>
        <v>Tricarboxylate + Alcohol</v>
      </c>
      <c r="AF73" s="3" t="str">
        <f>VLOOKUP($E73,'[1]Product Naming'!$A$1:$P$58,15)</f>
        <v>Acetyl-CoA</v>
      </c>
      <c r="AG73" s="3" t="str">
        <f>VLOOKUP($E73,'[1]Product Naming'!$A$1:$P$58,16)</f>
        <v>Proton antiport</v>
      </c>
      <c r="AH73" s="3" t="str">
        <f>VLOOKUP($E73,'[1]Product Naming'!$A$1:$Q$58,17)</f>
        <v>cit_c</v>
      </c>
    </row>
    <row r="74" spans="1:34" hidden="1" x14ac:dyDescent="0.2">
      <c r="A74" s="16" t="s">
        <v>63</v>
      </c>
      <c r="B74" s="17" t="s">
        <v>64</v>
      </c>
      <c r="C74" t="s">
        <v>69</v>
      </c>
      <c r="D74" s="18" t="s">
        <v>66</v>
      </c>
      <c r="E74" t="s">
        <v>75</v>
      </c>
      <c r="F74" t="s">
        <v>76</v>
      </c>
      <c r="G74">
        <v>-10</v>
      </c>
      <c r="H74">
        <v>0</v>
      </c>
      <c r="I74">
        <v>-20</v>
      </c>
      <c r="J74">
        <v>0.45</v>
      </c>
      <c r="K74">
        <v>-10</v>
      </c>
      <c r="L74">
        <v>0</v>
      </c>
      <c r="M74">
        <v>-10.72</v>
      </c>
      <c r="N74">
        <v>0</v>
      </c>
      <c r="O74">
        <v>1.03111111111111</v>
      </c>
      <c r="P74"/>
      <c r="Q74">
        <v>0.103111111111111</v>
      </c>
      <c r="R74" s="19">
        <v>0.64615262979135002</v>
      </c>
      <c r="S74" s="3" t="s">
        <v>75</v>
      </c>
      <c r="T74" s="3" t="s">
        <v>75</v>
      </c>
      <c r="U74" s="3" t="s">
        <v>35</v>
      </c>
      <c r="V74" s="3" t="s">
        <v>77</v>
      </c>
      <c r="W74" s="3">
        <v>6</v>
      </c>
      <c r="X74" s="3">
        <v>5</v>
      </c>
      <c r="Y74" s="3">
        <v>7</v>
      </c>
      <c r="Z74" s="3">
        <v>0</v>
      </c>
      <c r="AA74" s="3">
        <v>-3</v>
      </c>
      <c r="AB74" s="12">
        <f>(W74*4+X74*1+Y74*-2+Z74*-3)/W74</f>
        <v>2.5</v>
      </c>
      <c r="AC74" s="3">
        <f>W74*12.0107+X74*1.00784+Y74*15.999+Z74*14.0067</f>
        <v>189.09640000000002</v>
      </c>
      <c r="AD74" s="12" t="s">
        <v>40</v>
      </c>
      <c r="AE74" s="3" t="s">
        <v>78</v>
      </c>
      <c r="AF74" s="3" t="s">
        <v>79</v>
      </c>
      <c r="AG74" s="2" t="s">
        <v>80</v>
      </c>
      <c r="AH74" s="2" t="s">
        <v>81</v>
      </c>
    </row>
    <row r="75" spans="1:34" hidden="1" x14ac:dyDescent="0.2">
      <c r="A75" s="16" t="s">
        <v>63</v>
      </c>
      <c r="B75" s="17" t="s">
        <v>64</v>
      </c>
      <c r="C75" t="s">
        <v>68</v>
      </c>
      <c r="D75" s="18" t="s">
        <v>66</v>
      </c>
      <c r="E75" t="s">
        <v>75</v>
      </c>
      <c r="F75" t="s">
        <v>76</v>
      </c>
      <c r="G75">
        <v>-10</v>
      </c>
      <c r="H75">
        <v>0</v>
      </c>
      <c r="I75">
        <v>-10</v>
      </c>
      <c r="J75">
        <v>0.45</v>
      </c>
      <c r="K75">
        <v>-10</v>
      </c>
      <c r="L75">
        <v>0</v>
      </c>
      <c r="M75">
        <v>-10</v>
      </c>
      <c r="N75">
        <v>0</v>
      </c>
      <c r="O75">
        <v>1.01111111111111</v>
      </c>
      <c r="P75"/>
      <c r="Q75">
        <v>0.101111111111111</v>
      </c>
      <c r="R75">
        <v>0.63668821548821497</v>
      </c>
      <c r="S75" s="3" t="s">
        <v>75</v>
      </c>
      <c r="T75" s="3" t="s">
        <v>75</v>
      </c>
      <c r="U75" s="3" t="s">
        <v>35</v>
      </c>
      <c r="V75" s="3" t="s">
        <v>77</v>
      </c>
      <c r="W75" s="3">
        <v>6</v>
      </c>
      <c r="X75" s="3">
        <v>5</v>
      </c>
      <c r="Y75" s="3">
        <v>7</v>
      </c>
      <c r="Z75" s="3">
        <v>0</v>
      </c>
      <c r="AA75" s="3">
        <v>-3</v>
      </c>
      <c r="AB75" s="12">
        <f>(W75*4+X75*1+Y75*-2+Z75*-3)/W75</f>
        <v>2.5</v>
      </c>
      <c r="AC75" s="3">
        <f>W75*12.0107+X75*1.00784+Y75*15.999+Z75*14.0067</f>
        <v>189.09640000000002</v>
      </c>
      <c r="AD75" s="12" t="s">
        <v>40</v>
      </c>
      <c r="AE75" s="3" t="s">
        <v>78</v>
      </c>
      <c r="AF75" s="3" t="s">
        <v>79</v>
      </c>
      <c r="AG75" s="2" t="s">
        <v>80</v>
      </c>
      <c r="AH75" s="2" t="s">
        <v>81</v>
      </c>
    </row>
    <row r="76" spans="1:34" hidden="1" x14ac:dyDescent="0.2">
      <c r="A76" s="8" t="s">
        <v>350</v>
      </c>
      <c r="B76" s="17" t="s">
        <v>64</v>
      </c>
      <c r="C76" t="s">
        <v>353</v>
      </c>
      <c r="D76" s="13" t="s">
        <v>51</v>
      </c>
      <c r="E76" t="s">
        <v>88</v>
      </c>
      <c r="F76" t="s">
        <v>89</v>
      </c>
      <c r="G76">
        <v>-10</v>
      </c>
      <c r="H76">
        <v>0</v>
      </c>
      <c r="I76">
        <v>0</v>
      </c>
      <c r="J76">
        <v>0.45</v>
      </c>
      <c r="K76">
        <v>-10</v>
      </c>
      <c r="L76">
        <v>0</v>
      </c>
      <c r="M76" s="26">
        <v>8.5098039215686292</v>
      </c>
      <c r="N76">
        <v>0</v>
      </c>
      <c r="O76" s="26">
        <v>1.41830065359476</v>
      </c>
      <c r="P76"/>
      <c r="Q76" s="26">
        <v>0.14183006535947601</v>
      </c>
      <c r="R76" s="26">
        <v>0.61767778827348996</v>
      </c>
      <c r="S76" s="3" t="str">
        <f>VLOOKUP($E76,'[1]Product Naming'!$A$1:$P$58,2)</f>
        <v>Malate_L</v>
      </c>
      <c r="T76" s="3" t="str">
        <f>VLOOKUP($E76,'[1]Product Naming'!$A$1:$P$58,3)</f>
        <v>L-Malate</v>
      </c>
      <c r="U76" s="3" t="str">
        <f>VLOOKUP($E76,'[1]Product Naming'!$A$1:$P$58,4)</f>
        <v>iJO1366</v>
      </c>
      <c r="V76" s="3" t="str">
        <f>VLOOKUP($E76,'[1]Product Naming'!$A$1:$P$58,5)</f>
        <v>C4H4O5</v>
      </c>
      <c r="W76" s="3">
        <f>VLOOKUP($E76,'[1]Product Naming'!$A$1:$P$58,6)</f>
        <v>4</v>
      </c>
      <c r="X76" s="3">
        <f>VLOOKUP($E76,'[1]Product Naming'!$A$1:$P$58,7)</f>
        <v>4</v>
      </c>
      <c r="Y76" s="3">
        <f>VLOOKUP($E76,'[1]Product Naming'!$A$1:$P$58,8)</f>
        <v>5</v>
      </c>
      <c r="Z76" s="3">
        <f>VLOOKUP($E76,'[1]Product Naming'!$A$1:$P$58,9)</f>
        <v>0</v>
      </c>
      <c r="AA76" s="3">
        <f>VLOOKUP($E76,'[1]Product Naming'!$A$1:$P$58,10)</f>
        <v>-2</v>
      </c>
      <c r="AB76" s="3">
        <f>VLOOKUP($E76,'[1]Product Naming'!$A$1:$P$58,11)</f>
        <v>2.5</v>
      </c>
      <c r="AC76" s="3">
        <f>VLOOKUP($E76,'[1]Product Naming'!$A$1:$P$58,12)</f>
        <v>132.06916000000001</v>
      </c>
      <c r="AD76" s="3" t="str">
        <f>VLOOKUP($E76,'[1]Product Naming'!$A$1:$P$58,13)</f>
        <v>NA</v>
      </c>
      <c r="AE76" s="3" t="str">
        <f>VLOOKUP($E76,'[1]Product Naming'!$A$1:$P$58,14)</f>
        <v>Dicarboxylate</v>
      </c>
      <c r="AF76" s="3" t="str">
        <f>VLOOKUP($E76,'[1]Product Naming'!$A$1:$P$58,15)</f>
        <v>Oxaloacetate</v>
      </c>
      <c r="AG76" s="3" t="str">
        <f>VLOOKUP($E76,'[1]Product Naming'!$A$1:$P$58,16)</f>
        <v>Proton symporter</v>
      </c>
      <c r="AH76" s="3" t="str">
        <f>VLOOKUP($E76,'[1]Product Naming'!$A$1:$Q$58,17)</f>
        <v>mal__L_e</v>
      </c>
    </row>
    <row r="77" spans="1:34" hidden="1" x14ac:dyDescent="0.2">
      <c r="A77" s="8" t="s">
        <v>350</v>
      </c>
      <c r="B77" s="17" t="s">
        <v>64</v>
      </c>
      <c r="C77" t="s">
        <v>353</v>
      </c>
      <c r="D77" s="13" t="s">
        <v>51</v>
      </c>
      <c r="E77" t="s">
        <v>75</v>
      </c>
      <c r="F77" t="s">
        <v>76</v>
      </c>
      <c r="G77">
        <v>-10</v>
      </c>
      <c r="H77">
        <v>0</v>
      </c>
      <c r="I77">
        <v>0</v>
      </c>
      <c r="J77">
        <v>0.45</v>
      </c>
      <c r="K77">
        <v>-10</v>
      </c>
      <c r="L77">
        <v>0</v>
      </c>
      <c r="M77">
        <v>8.5657894736842195</v>
      </c>
      <c r="N77">
        <v>0</v>
      </c>
      <c r="O77" s="26">
        <v>0.95175438596491202</v>
      </c>
      <c r="P77"/>
      <c r="Q77">
        <v>9.5175438596491205E-2</v>
      </c>
      <c r="R77" s="26">
        <v>0.59369320918375501</v>
      </c>
      <c r="S77" s="3" t="str">
        <f>VLOOKUP($E77,'[1]Product Naming'!$A$1:$P$58,2)</f>
        <v>Citrate</v>
      </c>
      <c r="T77" s="3" t="str">
        <f>VLOOKUP($E77,'[1]Product Naming'!$A$1:$P$58,3)</f>
        <v>Citrate</v>
      </c>
      <c r="U77" s="3" t="str">
        <f>VLOOKUP($E77,'[1]Product Naming'!$A$1:$P$58,4)</f>
        <v>iJO1366</v>
      </c>
      <c r="V77" s="3" t="str">
        <f>VLOOKUP($E77,'[1]Product Naming'!$A$1:$P$58,5)</f>
        <v>C6H5O7</v>
      </c>
      <c r="W77" s="3">
        <f>VLOOKUP($E77,'[1]Product Naming'!$A$1:$P$58,6)</f>
        <v>6</v>
      </c>
      <c r="X77" s="3">
        <f>VLOOKUP($E77,'[1]Product Naming'!$A$1:$P$58,7)</f>
        <v>5</v>
      </c>
      <c r="Y77" s="3">
        <f>VLOOKUP($E77,'[1]Product Naming'!$A$1:$P$58,8)</f>
        <v>7</v>
      </c>
      <c r="Z77" s="3">
        <f>VLOOKUP($E77,'[1]Product Naming'!$A$1:$P$58,9)</f>
        <v>0</v>
      </c>
      <c r="AA77" s="3">
        <f>VLOOKUP($E77,'[1]Product Naming'!$A$1:$P$58,10)</f>
        <v>-3</v>
      </c>
      <c r="AB77" s="3">
        <f>VLOOKUP($E77,'[1]Product Naming'!$A$1:$P$58,11)</f>
        <v>2.5</v>
      </c>
      <c r="AC77" s="3">
        <f>VLOOKUP($E77,'[1]Product Naming'!$A$1:$P$58,12)</f>
        <v>189.09640000000002</v>
      </c>
      <c r="AD77" s="3" t="str">
        <f>VLOOKUP($E77,'[1]Product Naming'!$A$1:$P$58,13)</f>
        <v>NA</v>
      </c>
      <c r="AE77" s="3" t="str">
        <f>VLOOKUP($E77,'[1]Product Naming'!$A$1:$P$58,14)</f>
        <v>Tricarboxylate + Alcohol</v>
      </c>
      <c r="AF77" s="3" t="str">
        <f>VLOOKUP($E77,'[1]Product Naming'!$A$1:$P$58,15)</f>
        <v>Acetyl-CoA</v>
      </c>
      <c r="AG77" s="3" t="str">
        <f>VLOOKUP($E77,'[1]Product Naming'!$A$1:$P$58,16)</f>
        <v>Proton antiport</v>
      </c>
      <c r="AH77" s="3" t="str">
        <f>VLOOKUP($E77,'[1]Product Naming'!$A$1:$Q$58,17)</f>
        <v>cit_c</v>
      </c>
    </row>
    <row r="78" spans="1:34" hidden="1" x14ac:dyDescent="0.2">
      <c r="A78" s="16" t="s">
        <v>63</v>
      </c>
      <c r="B78" s="17" t="s">
        <v>64</v>
      </c>
      <c r="C78" t="s">
        <v>67</v>
      </c>
      <c r="D78" s="18" t="s">
        <v>66</v>
      </c>
      <c r="E78" t="s">
        <v>88</v>
      </c>
      <c r="F78" t="s">
        <v>89</v>
      </c>
      <c r="G78">
        <v>-10</v>
      </c>
      <c r="H78">
        <v>0</v>
      </c>
      <c r="I78">
        <v>-5</v>
      </c>
      <c r="J78">
        <v>0.45</v>
      </c>
      <c r="K78">
        <v>-10</v>
      </c>
      <c r="L78">
        <v>0</v>
      </c>
      <c r="M78">
        <v>-5</v>
      </c>
      <c r="N78">
        <v>1.24347826086957</v>
      </c>
      <c r="O78">
        <v>1.25652173913044</v>
      </c>
      <c r="P78"/>
      <c r="Q78">
        <v>0.12565217391304401</v>
      </c>
      <c r="R78">
        <v>0.57183931980942704</v>
      </c>
      <c r="S78" s="3" t="s">
        <v>88</v>
      </c>
      <c r="T78" s="3" t="s">
        <v>90</v>
      </c>
      <c r="U78" s="3" t="s">
        <v>35</v>
      </c>
      <c r="V78" s="3" t="s">
        <v>91</v>
      </c>
      <c r="W78" s="3">
        <v>4</v>
      </c>
      <c r="X78" s="3">
        <v>4</v>
      </c>
      <c r="Y78" s="3">
        <v>5</v>
      </c>
      <c r="Z78" s="3">
        <v>0</v>
      </c>
      <c r="AA78" s="3">
        <v>-2</v>
      </c>
      <c r="AB78" s="12">
        <f>(W78*4+X78*1+Y78*-2+Z78*-3)/W78</f>
        <v>2.5</v>
      </c>
      <c r="AC78" s="3">
        <f>W78*12.0107+X78*1.00784+Y78*15.999+Z78*14.0067</f>
        <v>132.06916000000001</v>
      </c>
      <c r="AD78" s="12" t="s">
        <v>40</v>
      </c>
      <c r="AE78" s="3" t="s">
        <v>43</v>
      </c>
      <c r="AF78" s="3" t="s">
        <v>44</v>
      </c>
      <c r="AG78" s="2" t="s">
        <v>92</v>
      </c>
      <c r="AH78" s="2" t="s">
        <v>93</v>
      </c>
    </row>
    <row r="79" spans="1:34" hidden="1" x14ac:dyDescent="0.2">
      <c r="A79" s="16" t="s">
        <v>63</v>
      </c>
      <c r="B79" s="17" t="s">
        <v>64</v>
      </c>
      <c r="C79" t="s">
        <v>67</v>
      </c>
      <c r="D79" s="18" t="s">
        <v>66</v>
      </c>
      <c r="E79" t="s">
        <v>75</v>
      </c>
      <c r="F79" t="s">
        <v>76</v>
      </c>
      <c r="G79">
        <v>-10</v>
      </c>
      <c r="H79">
        <v>0</v>
      </c>
      <c r="I79">
        <v>-5</v>
      </c>
      <c r="J79">
        <v>0.45</v>
      </c>
      <c r="K79">
        <v>-10</v>
      </c>
      <c r="L79">
        <v>0</v>
      </c>
      <c r="M79">
        <v>-5</v>
      </c>
      <c r="N79">
        <v>1.24347826086957</v>
      </c>
      <c r="O79">
        <v>0.83768115942028998</v>
      </c>
      <c r="P79"/>
      <c r="Q79">
        <v>8.3768115942029001E-2</v>
      </c>
      <c r="R79">
        <v>0.54583904753343504</v>
      </c>
      <c r="S79" s="3" t="s">
        <v>75</v>
      </c>
      <c r="T79" s="3" t="s">
        <v>75</v>
      </c>
      <c r="U79" s="3" t="s">
        <v>35</v>
      </c>
      <c r="V79" s="3" t="s">
        <v>77</v>
      </c>
      <c r="W79" s="3">
        <v>6</v>
      </c>
      <c r="X79" s="3">
        <v>5</v>
      </c>
      <c r="Y79" s="3">
        <v>7</v>
      </c>
      <c r="Z79" s="3">
        <v>0</v>
      </c>
      <c r="AA79" s="3">
        <v>-3</v>
      </c>
      <c r="AB79" s="12">
        <f>(W79*4+X79*1+Y79*-2+Z79*-3)/W79</f>
        <v>2.5</v>
      </c>
      <c r="AC79" s="3">
        <f>W79*12.0107+X79*1.00784+Y79*15.999+Z79*14.0067</f>
        <v>189.09640000000002</v>
      </c>
      <c r="AD79" s="12" t="s">
        <v>40</v>
      </c>
      <c r="AE79" s="3" t="s">
        <v>78</v>
      </c>
      <c r="AF79" s="3" t="s">
        <v>79</v>
      </c>
      <c r="AG79" s="2" t="s">
        <v>80</v>
      </c>
      <c r="AH79" s="2" t="s">
        <v>81</v>
      </c>
    </row>
    <row r="80" spans="1:34" hidden="1" x14ac:dyDescent="0.2">
      <c r="A80" s="16" t="s">
        <v>63</v>
      </c>
      <c r="B80" s="17" t="s">
        <v>64</v>
      </c>
      <c r="C80" t="s">
        <v>65</v>
      </c>
      <c r="D80" s="18" t="s">
        <v>66</v>
      </c>
      <c r="E80" t="s">
        <v>88</v>
      </c>
      <c r="F80" t="s">
        <v>89</v>
      </c>
      <c r="G80">
        <v>-10</v>
      </c>
      <c r="H80">
        <v>0</v>
      </c>
      <c r="I80">
        <v>0</v>
      </c>
      <c r="J80">
        <v>0.45</v>
      </c>
      <c r="K80">
        <v>-10</v>
      </c>
      <c r="L80">
        <v>0</v>
      </c>
      <c r="M80">
        <v>0</v>
      </c>
      <c r="N80">
        <v>4.0695652173913004</v>
      </c>
      <c r="O80">
        <v>0.93043478260869605</v>
      </c>
      <c r="P80"/>
      <c r="Q80">
        <v>9.3043478260869603E-2</v>
      </c>
      <c r="R80">
        <v>0.43870667680797198</v>
      </c>
      <c r="S80" s="3" t="s">
        <v>88</v>
      </c>
      <c r="T80" s="3" t="s">
        <v>90</v>
      </c>
      <c r="U80" s="3" t="s">
        <v>35</v>
      </c>
      <c r="V80" s="3" t="s">
        <v>91</v>
      </c>
      <c r="W80" s="3">
        <v>4</v>
      </c>
      <c r="X80" s="3">
        <v>4</v>
      </c>
      <c r="Y80" s="3">
        <v>5</v>
      </c>
      <c r="Z80" s="3">
        <v>0</v>
      </c>
      <c r="AA80" s="3">
        <v>-2</v>
      </c>
      <c r="AB80" s="12">
        <f>(W80*4+X80*1+Y80*-2+Z80*-3)/W80</f>
        <v>2.5</v>
      </c>
      <c r="AC80" s="3">
        <f>W80*12.0107+X80*1.00784+Y80*15.999+Z80*14.0067</f>
        <v>132.06916000000001</v>
      </c>
      <c r="AD80" s="12" t="s">
        <v>40</v>
      </c>
      <c r="AE80" s="3" t="s">
        <v>43</v>
      </c>
      <c r="AF80" s="3" t="s">
        <v>44</v>
      </c>
      <c r="AG80" s="2" t="s">
        <v>92</v>
      </c>
      <c r="AH80" s="2" t="s">
        <v>93</v>
      </c>
    </row>
    <row r="81" spans="1:34" hidden="1" x14ac:dyDescent="0.2">
      <c r="A81" s="16" t="s">
        <v>63</v>
      </c>
      <c r="B81" s="17" t="s">
        <v>64</v>
      </c>
      <c r="C81" t="s">
        <v>73</v>
      </c>
      <c r="D81" s="18" t="s">
        <v>66</v>
      </c>
      <c r="E81" t="s">
        <v>88</v>
      </c>
      <c r="F81" t="s">
        <v>89</v>
      </c>
      <c r="G81">
        <v>-10</v>
      </c>
      <c r="H81">
        <v>0</v>
      </c>
      <c r="I81">
        <v>-20</v>
      </c>
      <c r="J81">
        <v>0.45</v>
      </c>
      <c r="K81">
        <v>-10</v>
      </c>
      <c r="L81">
        <v>0</v>
      </c>
      <c r="M81">
        <v>-10.72</v>
      </c>
      <c r="N81">
        <v>0</v>
      </c>
      <c r="O81">
        <v>1.54666666666667</v>
      </c>
      <c r="P81"/>
      <c r="Q81">
        <v>0.15466666666666701</v>
      </c>
      <c r="R81" s="19">
        <v>0.42383048576103299</v>
      </c>
      <c r="S81" s="3" t="s">
        <v>88</v>
      </c>
      <c r="T81" s="3" t="s">
        <v>90</v>
      </c>
      <c r="U81" s="3" t="s">
        <v>35</v>
      </c>
      <c r="V81" s="3" t="s">
        <v>91</v>
      </c>
      <c r="W81" s="3">
        <v>4</v>
      </c>
      <c r="X81" s="3">
        <v>4</v>
      </c>
      <c r="Y81" s="3">
        <v>5</v>
      </c>
      <c r="Z81" s="3">
        <v>0</v>
      </c>
      <c r="AA81" s="3">
        <v>-2</v>
      </c>
      <c r="AB81" s="12">
        <f>(W81*4+X81*1+Y81*-2+Z81*-3)/W81</f>
        <v>2.5</v>
      </c>
      <c r="AC81" s="3">
        <f>W81*12.0107+X81*1.00784+Y81*15.999+Z81*14.0067</f>
        <v>132.06916000000001</v>
      </c>
      <c r="AD81" s="12" t="s">
        <v>40</v>
      </c>
      <c r="AE81" s="3" t="s">
        <v>43</v>
      </c>
      <c r="AF81" s="3" t="s">
        <v>44</v>
      </c>
      <c r="AG81" s="2" t="s">
        <v>92</v>
      </c>
      <c r="AH81" s="2" t="s">
        <v>93</v>
      </c>
    </row>
    <row r="82" spans="1:34" hidden="1" x14ac:dyDescent="0.2">
      <c r="A82" s="16" t="s">
        <v>63</v>
      </c>
      <c r="B82" s="17" t="s">
        <v>64</v>
      </c>
      <c r="C82" t="s">
        <v>65</v>
      </c>
      <c r="D82" s="18" t="s">
        <v>66</v>
      </c>
      <c r="E82" t="s">
        <v>75</v>
      </c>
      <c r="F82" t="s">
        <v>76</v>
      </c>
      <c r="G82">
        <v>-10</v>
      </c>
      <c r="H82">
        <v>0</v>
      </c>
      <c r="I82">
        <v>0</v>
      </c>
      <c r="J82">
        <v>0.45</v>
      </c>
      <c r="K82">
        <v>-10</v>
      </c>
      <c r="L82">
        <v>0</v>
      </c>
      <c r="M82">
        <v>0</v>
      </c>
      <c r="N82">
        <v>4.0695652173913004</v>
      </c>
      <c r="O82">
        <v>0.62028985507246404</v>
      </c>
      <c r="P82"/>
      <c r="Q82">
        <v>6.2028985507246399E-2</v>
      </c>
      <c r="R82">
        <v>0.41875965209112698</v>
      </c>
      <c r="S82" s="3" t="s">
        <v>75</v>
      </c>
      <c r="T82" s="3" t="s">
        <v>75</v>
      </c>
      <c r="U82" s="3" t="s">
        <v>35</v>
      </c>
      <c r="V82" s="3" t="s">
        <v>77</v>
      </c>
      <c r="W82" s="3">
        <v>6</v>
      </c>
      <c r="X82" s="3">
        <v>5</v>
      </c>
      <c r="Y82" s="3">
        <v>7</v>
      </c>
      <c r="Z82" s="3">
        <v>0</v>
      </c>
      <c r="AA82" s="3">
        <v>-3</v>
      </c>
      <c r="AB82" s="12">
        <f>(W82*4+X82*1+Y82*-2+Z82*-3)/W82</f>
        <v>2.5</v>
      </c>
      <c r="AC82" s="3">
        <f>W82*12.0107+X82*1.00784+Y82*15.999+Z82*14.0067</f>
        <v>189.09640000000002</v>
      </c>
      <c r="AD82" s="12" t="s">
        <v>40</v>
      </c>
      <c r="AE82" s="3" t="s">
        <v>78</v>
      </c>
      <c r="AF82" s="3" t="s">
        <v>79</v>
      </c>
      <c r="AG82" s="2" t="s">
        <v>80</v>
      </c>
      <c r="AH82" s="2" t="s">
        <v>81</v>
      </c>
    </row>
    <row r="83" spans="1:34" hidden="1" x14ac:dyDescent="0.2">
      <c r="A83" s="16" t="s">
        <v>63</v>
      </c>
      <c r="B83" s="17" t="s">
        <v>64</v>
      </c>
      <c r="C83" t="s">
        <v>72</v>
      </c>
      <c r="D83" s="18" t="s">
        <v>66</v>
      </c>
      <c r="E83" t="s">
        <v>88</v>
      </c>
      <c r="F83" t="s">
        <v>89</v>
      </c>
      <c r="G83">
        <v>-10</v>
      </c>
      <c r="H83">
        <v>0</v>
      </c>
      <c r="I83">
        <v>-10</v>
      </c>
      <c r="J83">
        <v>0.45</v>
      </c>
      <c r="K83">
        <v>-10</v>
      </c>
      <c r="L83">
        <v>0</v>
      </c>
      <c r="M83">
        <v>-10</v>
      </c>
      <c r="N83">
        <v>0</v>
      </c>
      <c r="O83">
        <v>1.5166666666666699</v>
      </c>
      <c r="P83"/>
      <c r="Q83">
        <v>0.151666666666667</v>
      </c>
      <c r="R83">
        <v>0.41687109292619901</v>
      </c>
      <c r="S83" s="3" t="s">
        <v>88</v>
      </c>
      <c r="T83" s="3" t="s">
        <v>90</v>
      </c>
      <c r="U83" s="3" t="s">
        <v>35</v>
      </c>
      <c r="V83" s="3" t="s">
        <v>91</v>
      </c>
      <c r="W83" s="3">
        <v>4</v>
      </c>
      <c r="X83" s="3">
        <v>4</v>
      </c>
      <c r="Y83" s="3">
        <v>5</v>
      </c>
      <c r="Z83" s="3">
        <v>0</v>
      </c>
      <c r="AA83" s="3">
        <v>-2</v>
      </c>
      <c r="AB83" s="12">
        <f>(W83*4+X83*1+Y83*-2+Z83*-3)/W83</f>
        <v>2.5</v>
      </c>
      <c r="AC83" s="3">
        <f>W83*12.0107+X83*1.00784+Y83*15.999+Z83*14.0067</f>
        <v>132.06916000000001</v>
      </c>
      <c r="AD83" s="12" t="s">
        <v>40</v>
      </c>
      <c r="AE83" s="3" t="s">
        <v>43</v>
      </c>
      <c r="AF83" s="3" t="s">
        <v>44</v>
      </c>
      <c r="AG83" s="2" t="s">
        <v>92</v>
      </c>
      <c r="AH83" s="2" t="s">
        <v>93</v>
      </c>
    </row>
    <row r="84" spans="1:34" hidden="1" x14ac:dyDescent="0.2">
      <c r="A84" s="8" t="s">
        <v>350</v>
      </c>
      <c r="B84" s="17" t="s">
        <v>64</v>
      </c>
      <c r="C84" t="s">
        <v>352</v>
      </c>
      <c r="D84" s="13" t="s">
        <v>51</v>
      </c>
      <c r="E84" t="s">
        <v>88</v>
      </c>
      <c r="F84" t="s">
        <v>89</v>
      </c>
      <c r="G84">
        <v>-10</v>
      </c>
      <c r="H84">
        <v>0</v>
      </c>
      <c r="I84">
        <v>0</v>
      </c>
      <c r="J84">
        <v>0.45</v>
      </c>
      <c r="K84">
        <v>-10</v>
      </c>
      <c r="L84">
        <v>0</v>
      </c>
      <c r="M84" s="26">
        <v>5.7090909090909001</v>
      </c>
      <c r="N84">
        <v>0</v>
      </c>
      <c r="O84" s="26">
        <v>0.95151515151515098</v>
      </c>
      <c r="P84"/>
      <c r="Q84">
        <v>9.5151515151515098E-2</v>
      </c>
      <c r="R84" s="26">
        <v>0.406815702122305</v>
      </c>
      <c r="S84" s="3" t="str">
        <f>VLOOKUP($E84,'[1]Product Naming'!$A$1:$P$58,2)</f>
        <v>Malate_L</v>
      </c>
      <c r="T84" s="3" t="str">
        <f>VLOOKUP($E84,'[1]Product Naming'!$A$1:$P$58,3)</f>
        <v>L-Malate</v>
      </c>
      <c r="U84" s="3" t="str">
        <f>VLOOKUP($E84,'[1]Product Naming'!$A$1:$P$58,4)</f>
        <v>iJO1366</v>
      </c>
      <c r="V84" s="3" t="str">
        <f>VLOOKUP($E84,'[1]Product Naming'!$A$1:$P$58,5)</f>
        <v>C4H4O5</v>
      </c>
      <c r="W84" s="3">
        <f>VLOOKUP($E84,'[1]Product Naming'!$A$1:$P$58,6)</f>
        <v>4</v>
      </c>
      <c r="X84" s="3">
        <f>VLOOKUP($E84,'[1]Product Naming'!$A$1:$P$58,7)</f>
        <v>4</v>
      </c>
      <c r="Y84" s="3">
        <f>VLOOKUP($E84,'[1]Product Naming'!$A$1:$P$58,8)</f>
        <v>5</v>
      </c>
      <c r="Z84" s="3">
        <f>VLOOKUP($E84,'[1]Product Naming'!$A$1:$P$58,9)</f>
        <v>0</v>
      </c>
      <c r="AA84" s="3">
        <f>VLOOKUP($E84,'[1]Product Naming'!$A$1:$P$58,10)</f>
        <v>-2</v>
      </c>
      <c r="AB84" s="3">
        <f>VLOOKUP($E84,'[1]Product Naming'!$A$1:$P$58,11)</f>
        <v>2.5</v>
      </c>
      <c r="AC84" s="3">
        <f>VLOOKUP($E84,'[1]Product Naming'!$A$1:$P$58,12)</f>
        <v>132.06916000000001</v>
      </c>
      <c r="AD84" s="3" t="str">
        <f>VLOOKUP($E84,'[1]Product Naming'!$A$1:$P$58,13)</f>
        <v>NA</v>
      </c>
      <c r="AE84" s="3" t="str">
        <f>VLOOKUP($E84,'[1]Product Naming'!$A$1:$P$58,14)</f>
        <v>Dicarboxylate</v>
      </c>
      <c r="AF84" s="3" t="str">
        <f>VLOOKUP($E84,'[1]Product Naming'!$A$1:$P$58,15)</f>
        <v>Oxaloacetate</v>
      </c>
      <c r="AG84" s="3" t="str">
        <f>VLOOKUP($E84,'[1]Product Naming'!$A$1:$P$58,16)</f>
        <v>Proton symporter</v>
      </c>
      <c r="AH84" s="3" t="str">
        <f>VLOOKUP($E84,'[1]Product Naming'!$A$1:$Q$58,17)</f>
        <v>mal__L_e</v>
      </c>
    </row>
    <row r="85" spans="1:34" hidden="1" x14ac:dyDescent="0.2">
      <c r="A85" s="16" t="s">
        <v>63</v>
      </c>
      <c r="B85" s="17" t="s">
        <v>64</v>
      </c>
      <c r="C85" t="s">
        <v>73</v>
      </c>
      <c r="D85" s="18" t="s">
        <v>66</v>
      </c>
      <c r="E85" t="s">
        <v>75</v>
      </c>
      <c r="F85" t="s">
        <v>76</v>
      </c>
      <c r="G85">
        <v>-10</v>
      </c>
      <c r="H85">
        <v>0</v>
      </c>
      <c r="I85">
        <v>-20</v>
      </c>
      <c r="J85">
        <v>0.45</v>
      </c>
      <c r="K85">
        <v>-10</v>
      </c>
      <c r="L85">
        <v>0</v>
      </c>
      <c r="M85">
        <v>-10.72</v>
      </c>
      <c r="N85">
        <v>0</v>
      </c>
      <c r="O85">
        <v>1.03111111111111</v>
      </c>
      <c r="P85"/>
      <c r="Q85">
        <v>0.103111111111111</v>
      </c>
      <c r="R85" s="19">
        <v>0.40455984863113797</v>
      </c>
      <c r="S85" s="3" t="s">
        <v>75</v>
      </c>
      <c r="T85" s="3" t="s">
        <v>75</v>
      </c>
      <c r="U85" s="3" t="s">
        <v>35</v>
      </c>
      <c r="V85" s="3" t="s">
        <v>77</v>
      </c>
      <c r="W85" s="3">
        <v>6</v>
      </c>
      <c r="X85" s="3">
        <v>5</v>
      </c>
      <c r="Y85" s="3">
        <v>7</v>
      </c>
      <c r="Z85" s="3">
        <v>0</v>
      </c>
      <c r="AA85" s="3">
        <v>-3</v>
      </c>
      <c r="AB85" s="12">
        <f>(W85*4+X85*1+Y85*-2+Z85*-3)/W85</f>
        <v>2.5</v>
      </c>
      <c r="AC85" s="3">
        <f>W85*12.0107+X85*1.00784+Y85*15.999+Z85*14.0067</f>
        <v>189.09640000000002</v>
      </c>
      <c r="AD85" s="12" t="s">
        <v>40</v>
      </c>
      <c r="AE85" s="3" t="s">
        <v>78</v>
      </c>
      <c r="AF85" s="3" t="s">
        <v>79</v>
      </c>
      <c r="AG85" s="2" t="s">
        <v>80</v>
      </c>
      <c r="AH85" s="2" t="s">
        <v>81</v>
      </c>
    </row>
    <row r="86" spans="1:34" hidden="1" x14ac:dyDescent="0.2">
      <c r="A86" s="8" t="s">
        <v>350</v>
      </c>
      <c r="B86" s="17" t="s">
        <v>64</v>
      </c>
      <c r="C86" t="s">
        <v>352</v>
      </c>
      <c r="D86" s="13" t="s">
        <v>51</v>
      </c>
      <c r="E86" t="s">
        <v>75</v>
      </c>
      <c r="F86" t="s">
        <v>76</v>
      </c>
      <c r="G86">
        <v>-10</v>
      </c>
      <c r="H86">
        <v>0</v>
      </c>
      <c r="I86">
        <v>0</v>
      </c>
      <c r="J86">
        <v>0.45</v>
      </c>
      <c r="K86">
        <v>-10</v>
      </c>
      <c r="L86">
        <v>0</v>
      </c>
      <c r="M86" s="26">
        <v>5.8874999999999904</v>
      </c>
      <c r="N86">
        <v>0</v>
      </c>
      <c r="O86" s="26">
        <v>0.65416666666666601</v>
      </c>
      <c r="P86"/>
      <c r="Q86">
        <v>6.5416666666666595E-2</v>
      </c>
      <c r="R86" s="26">
        <v>0.40092046534651898</v>
      </c>
      <c r="S86" s="3" t="str">
        <f>VLOOKUP($E86,'[1]Product Naming'!$A$1:$P$58,2)</f>
        <v>Citrate</v>
      </c>
      <c r="T86" s="3" t="str">
        <f>VLOOKUP($E86,'[1]Product Naming'!$A$1:$P$58,3)</f>
        <v>Citrate</v>
      </c>
      <c r="U86" s="3" t="str">
        <f>VLOOKUP($E86,'[1]Product Naming'!$A$1:$P$58,4)</f>
        <v>iJO1366</v>
      </c>
      <c r="V86" s="3" t="str">
        <f>VLOOKUP($E86,'[1]Product Naming'!$A$1:$P$58,5)</f>
        <v>C6H5O7</v>
      </c>
      <c r="W86" s="3">
        <f>VLOOKUP($E86,'[1]Product Naming'!$A$1:$P$58,6)</f>
        <v>6</v>
      </c>
      <c r="X86" s="3">
        <f>VLOOKUP($E86,'[1]Product Naming'!$A$1:$P$58,7)</f>
        <v>5</v>
      </c>
      <c r="Y86" s="3">
        <f>VLOOKUP($E86,'[1]Product Naming'!$A$1:$P$58,8)</f>
        <v>7</v>
      </c>
      <c r="Z86" s="3">
        <f>VLOOKUP($E86,'[1]Product Naming'!$A$1:$P$58,9)</f>
        <v>0</v>
      </c>
      <c r="AA86" s="3">
        <f>VLOOKUP($E86,'[1]Product Naming'!$A$1:$P$58,10)</f>
        <v>-3</v>
      </c>
      <c r="AB86" s="3">
        <f>VLOOKUP($E86,'[1]Product Naming'!$A$1:$P$58,11)</f>
        <v>2.5</v>
      </c>
      <c r="AC86" s="3">
        <f>VLOOKUP($E86,'[1]Product Naming'!$A$1:$P$58,12)</f>
        <v>189.09640000000002</v>
      </c>
      <c r="AD86" s="3" t="str">
        <f>VLOOKUP($E86,'[1]Product Naming'!$A$1:$P$58,13)</f>
        <v>NA</v>
      </c>
      <c r="AE86" s="3" t="str">
        <f>VLOOKUP($E86,'[1]Product Naming'!$A$1:$P$58,14)</f>
        <v>Tricarboxylate + Alcohol</v>
      </c>
      <c r="AF86" s="3" t="str">
        <f>VLOOKUP($E86,'[1]Product Naming'!$A$1:$P$58,15)</f>
        <v>Acetyl-CoA</v>
      </c>
      <c r="AG86" s="3" t="str">
        <f>VLOOKUP($E86,'[1]Product Naming'!$A$1:$P$58,16)</f>
        <v>Proton antiport</v>
      </c>
      <c r="AH86" s="3" t="str">
        <f>VLOOKUP($E86,'[1]Product Naming'!$A$1:$Q$58,17)</f>
        <v>cit_c</v>
      </c>
    </row>
    <row r="87" spans="1:34" hidden="1" x14ac:dyDescent="0.2">
      <c r="A87" s="16" t="s">
        <v>63</v>
      </c>
      <c r="B87" s="17" t="s">
        <v>64</v>
      </c>
      <c r="C87" t="s">
        <v>72</v>
      </c>
      <c r="D87" s="18" t="s">
        <v>66</v>
      </c>
      <c r="E87" t="s">
        <v>75</v>
      </c>
      <c r="F87" t="s">
        <v>76</v>
      </c>
      <c r="G87">
        <v>-10</v>
      </c>
      <c r="H87">
        <v>0</v>
      </c>
      <c r="I87">
        <v>-10</v>
      </c>
      <c r="J87">
        <v>0.45</v>
      </c>
      <c r="K87">
        <v>-10</v>
      </c>
      <c r="L87">
        <v>0</v>
      </c>
      <c r="M87">
        <v>-10</v>
      </c>
      <c r="N87">
        <v>0</v>
      </c>
      <c r="O87">
        <v>1.01111111111111</v>
      </c>
      <c r="P87"/>
      <c r="Q87">
        <v>0.101111111111111</v>
      </c>
      <c r="R87">
        <v>0.39791688403464498</v>
      </c>
      <c r="S87" s="3" t="s">
        <v>75</v>
      </c>
      <c r="T87" s="3" t="s">
        <v>75</v>
      </c>
      <c r="U87" s="3" t="s">
        <v>35</v>
      </c>
      <c r="V87" s="3" t="s">
        <v>77</v>
      </c>
      <c r="W87" s="3">
        <v>6</v>
      </c>
      <c r="X87" s="3">
        <v>5</v>
      </c>
      <c r="Y87" s="3">
        <v>7</v>
      </c>
      <c r="Z87" s="3">
        <v>0</v>
      </c>
      <c r="AA87" s="3">
        <v>-3</v>
      </c>
      <c r="AB87" s="12">
        <f>(W87*4+X87*1+Y87*-2+Z87*-3)/W87</f>
        <v>2.5</v>
      </c>
      <c r="AC87" s="3">
        <f>W87*12.0107+X87*1.00784+Y87*15.999+Z87*14.0067</f>
        <v>189.09640000000002</v>
      </c>
      <c r="AD87" s="12" t="s">
        <v>40</v>
      </c>
      <c r="AE87" s="3" t="s">
        <v>78</v>
      </c>
      <c r="AF87" s="3" t="s">
        <v>79</v>
      </c>
      <c r="AG87" s="2" t="s">
        <v>80</v>
      </c>
      <c r="AH87" s="2" t="s">
        <v>81</v>
      </c>
    </row>
    <row r="88" spans="1:34" hidden="1" x14ac:dyDescent="0.2">
      <c r="A88" s="16" t="s">
        <v>63</v>
      </c>
      <c r="B88" s="17" t="s">
        <v>64</v>
      </c>
      <c r="C88" t="s">
        <v>71</v>
      </c>
      <c r="D88" s="18" t="s">
        <v>66</v>
      </c>
      <c r="E88" t="s">
        <v>88</v>
      </c>
      <c r="F88" t="s">
        <v>89</v>
      </c>
      <c r="G88">
        <v>-10</v>
      </c>
      <c r="H88">
        <v>0</v>
      </c>
      <c r="I88">
        <v>-5</v>
      </c>
      <c r="J88">
        <v>0.45</v>
      </c>
      <c r="K88">
        <v>-10</v>
      </c>
      <c r="L88">
        <v>0</v>
      </c>
      <c r="M88">
        <v>-5</v>
      </c>
      <c r="N88">
        <v>1.24347826086956</v>
      </c>
      <c r="O88">
        <v>1.25652173913043</v>
      </c>
      <c r="P88"/>
      <c r="Q88">
        <v>0.12565217391304301</v>
      </c>
      <c r="R88">
        <v>0.35278312444981602</v>
      </c>
      <c r="S88" s="3" t="s">
        <v>88</v>
      </c>
      <c r="T88" s="3" t="s">
        <v>90</v>
      </c>
      <c r="U88" s="3" t="s">
        <v>35</v>
      </c>
      <c r="V88" s="3" t="s">
        <v>91</v>
      </c>
      <c r="W88" s="3">
        <v>4</v>
      </c>
      <c r="X88" s="3">
        <v>4</v>
      </c>
      <c r="Y88" s="3">
        <v>5</v>
      </c>
      <c r="Z88" s="3">
        <v>0</v>
      </c>
      <c r="AA88" s="3">
        <v>-2</v>
      </c>
      <c r="AB88" s="12">
        <f>(W88*4+X88*1+Y88*-2+Z88*-3)/W88</f>
        <v>2.5</v>
      </c>
      <c r="AC88" s="3">
        <f>W88*12.0107+X88*1.00784+Y88*15.999+Z88*14.0067</f>
        <v>132.06916000000001</v>
      </c>
      <c r="AD88" s="12" t="s">
        <v>40</v>
      </c>
      <c r="AE88" s="3" t="s">
        <v>43</v>
      </c>
      <c r="AF88" s="3" t="s">
        <v>44</v>
      </c>
      <c r="AG88" s="2" t="s">
        <v>92</v>
      </c>
      <c r="AH88" s="2" t="s">
        <v>93</v>
      </c>
    </row>
    <row r="89" spans="1:34" hidden="1" x14ac:dyDescent="0.2">
      <c r="A89" s="16" t="s">
        <v>63</v>
      </c>
      <c r="B89" s="17" t="s">
        <v>64</v>
      </c>
      <c r="C89" t="s">
        <v>71</v>
      </c>
      <c r="D89" s="18" t="s">
        <v>66</v>
      </c>
      <c r="E89" t="s">
        <v>75</v>
      </c>
      <c r="F89" t="s">
        <v>76</v>
      </c>
      <c r="G89">
        <v>-10</v>
      </c>
      <c r="H89">
        <v>0</v>
      </c>
      <c r="I89">
        <v>-5</v>
      </c>
      <c r="J89">
        <v>0.45</v>
      </c>
      <c r="K89">
        <v>-10</v>
      </c>
      <c r="L89">
        <v>0</v>
      </c>
      <c r="M89">
        <v>-5</v>
      </c>
      <c r="N89">
        <v>1.24347826086956</v>
      </c>
      <c r="O89">
        <v>0.83768115942028898</v>
      </c>
      <c r="P89"/>
      <c r="Q89">
        <v>8.3768115942028903E-2</v>
      </c>
      <c r="R89">
        <v>0.33674285409357801</v>
      </c>
      <c r="S89" s="3" t="s">
        <v>75</v>
      </c>
      <c r="T89" s="3" t="s">
        <v>75</v>
      </c>
      <c r="U89" s="3" t="s">
        <v>35</v>
      </c>
      <c r="V89" s="3" t="s">
        <v>77</v>
      </c>
      <c r="W89" s="3">
        <v>6</v>
      </c>
      <c r="X89" s="3">
        <v>5</v>
      </c>
      <c r="Y89" s="3">
        <v>7</v>
      </c>
      <c r="Z89" s="3">
        <v>0</v>
      </c>
      <c r="AA89" s="3">
        <v>-3</v>
      </c>
      <c r="AB89" s="12">
        <f>(W89*4+X89*1+Y89*-2+Z89*-3)/W89</f>
        <v>2.5</v>
      </c>
      <c r="AC89" s="3">
        <f>W89*12.0107+X89*1.00784+Y89*15.999+Z89*14.0067</f>
        <v>189.09640000000002</v>
      </c>
      <c r="AD89" s="12" t="s">
        <v>40</v>
      </c>
      <c r="AE89" s="3" t="s">
        <v>78</v>
      </c>
      <c r="AF89" s="3" t="s">
        <v>79</v>
      </c>
      <c r="AG89" s="2" t="s">
        <v>80</v>
      </c>
      <c r="AH89" s="2" t="s">
        <v>81</v>
      </c>
    </row>
    <row r="90" spans="1:34" hidden="1" x14ac:dyDescent="0.2">
      <c r="A90" s="8" t="s">
        <v>350</v>
      </c>
      <c r="B90" s="17" t="s">
        <v>64</v>
      </c>
      <c r="C90" t="s">
        <v>354</v>
      </c>
      <c r="D90" s="13" t="s">
        <v>51</v>
      </c>
      <c r="E90" t="s">
        <v>82</v>
      </c>
      <c r="F90" t="s">
        <v>83</v>
      </c>
      <c r="G90">
        <v>-10</v>
      </c>
      <c r="H90">
        <v>0</v>
      </c>
      <c r="I90">
        <v>0</v>
      </c>
      <c r="J90">
        <v>0.45</v>
      </c>
      <c r="K90">
        <v>-10</v>
      </c>
      <c r="L90">
        <v>0</v>
      </c>
      <c r="M90" s="26">
        <v>9.7684210526315791</v>
      </c>
      <c r="N90">
        <v>0</v>
      </c>
      <c r="O90" s="26">
        <v>1.2210526315789401</v>
      </c>
      <c r="P90"/>
      <c r="Q90" s="26">
        <v>0.122105263157894</v>
      </c>
      <c r="R90" s="26">
        <v>0.30470506412401299</v>
      </c>
      <c r="S90" s="3" t="str">
        <f>VLOOKUP($E90,'[1]Product Naming'!$A$1:$P$58,2)</f>
        <v>Glycolate</v>
      </c>
      <c r="T90" s="3" t="str">
        <f>VLOOKUP($E90,'[1]Product Naming'!$A$1:$P$58,3)</f>
        <v>Glycolate</v>
      </c>
      <c r="U90" s="3" t="str">
        <f>VLOOKUP($E90,'[1]Product Naming'!$A$1:$P$58,4)</f>
        <v>iJO1366</v>
      </c>
      <c r="V90" s="3" t="str">
        <f>VLOOKUP($E90,'[1]Product Naming'!$A$1:$P$58,5)</f>
        <v>C2H3O3</v>
      </c>
      <c r="W90" s="3">
        <f>VLOOKUP($E90,'[1]Product Naming'!$A$1:$P$58,6)</f>
        <v>2</v>
      </c>
      <c r="X90" s="3">
        <f>VLOOKUP($E90,'[1]Product Naming'!$A$1:$P$58,7)</f>
        <v>3</v>
      </c>
      <c r="Y90" s="3">
        <f>VLOOKUP($E90,'[1]Product Naming'!$A$1:$P$58,8)</f>
        <v>3</v>
      </c>
      <c r="Z90" s="3">
        <f>VLOOKUP($E90,'[1]Product Naming'!$A$1:$P$58,9)</f>
        <v>0</v>
      </c>
      <c r="AA90" s="3">
        <f>VLOOKUP($E90,'[1]Product Naming'!$A$1:$P$58,10)</f>
        <v>-1</v>
      </c>
      <c r="AB90" s="3">
        <f>VLOOKUP($E90,'[1]Product Naming'!$A$1:$P$58,11)</f>
        <v>2.5</v>
      </c>
      <c r="AC90" s="3">
        <f>VLOOKUP($E90,'[1]Product Naming'!$A$1:$P$58,12)</f>
        <v>75.041920000000005</v>
      </c>
      <c r="AD90" s="3">
        <f>VLOOKUP($E90,'[1]Product Naming'!$A$1:$P$58,13)</f>
        <v>112</v>
      </c>
      <c r="AE90" s="3" t="str">
        <f>VLOOKUP($E90,'[1]Product Naming'!$A$1:$P$58,14)</f>
        <v>Carboxylate + Alcohol (hydroxy carboxylate)</v>
      </c>
      <c r="AF90" s="3" t="str">
        <f>VLOOKUP($E90,'[1]Product Naming'!$A$1:$P$58,15)</f>
        <v>Glyoxylate (*isocitrate)</v>
      </c>
      <c r="AG90" s="3" t="str">
        <f>VLOOKUP($E90,'[1]Product Naming'!$A$1:$P$58,16)</f>
        <v>Proton symporter</v>
      </c>
      <c r="AH90" s="3" t="str">
        <f>VLOOKUP($E90,'[1]Product Naming'!$A$1:$Q$58,17)</f>
        <v>glyclt_c</v>
      </c>
    </row>
    <row r="91" spans="1:34" hidden="1" x14ac:dyDescent="0.2">
      <c r="A91" s="16" t="s">
        <v>63</v>
      </c>
      <c r="B91" s="17" t="s">
        <v>64</v>
      </c>
      <c r="C91" t="s">
        <v>69</v>
      </c>
      <c r="D91" s="18" t="s">
        <v>66</v>
      </c>
      <c r="E91" t="s">
        <v>82</v>
      </c>
      <c r="F91" t="s">
        <v>83</v>
      </c>
      <c r="G91">
        <v>-10</v>
      </c>
      <c r="H91">
        <v>0</v>
      </c>
      <c r="I91">
        <v>-20</v>
      </c>
      <c r="J91">
        <v>0.45</v>
      </c>
      <c r="K91">
        <v>-10</v>
      </c>
      <c r="L91">
        <v>0</v>
      </c>
      <c r="M91">
        <v>-10.2315789473684</v>
      </c>
      <c r="N91">
        <v>0</v>
      </c>
      <c r="O91">
        <v>1.2210526315789501</v>
      </c>
      <c r="P91"/>
      <c r="Q91">
        <v>0.12210526315789499</v>
      </c>
      <c r="R91" s="19">
        <v>0.30465407899922198</v>
      </c>
      <c r="S91" s="3" t="s">
        <v>82</v>
      </c>
      <c r="T91" s="3" t="s">
        <v>82</v>
      </c>
      <c r="U91" s="3" t="s">
        <v>35</v>
      </c>
      <c r="V91" s="3" t="s">
        <v>84</v>
      </c>
      <c r="W91" s="3">
        <v>2</v>
      </c>
      <c r="X91" s="3">
        <v>3</v>
      </c>
      <c r="Y91" s="3">
        <v>3</v>
      </c>
      <c r="Z91" s="3">
        <v>0</v>
      </c>
      <c r="AA91" s="3">
        <v>-1</v>
      </c>
      <c r="AB91" s="12">
        <f>(W91*4+X91*1+Y91*-2+Z91*-3)/W91</f>
        <v>2.5</v>
      </c>
      <c r="AC91" s="3">
        <f>W91*12.0107+X91*1.00784+Y91*15.999+Z91*14.0067</f>
        <v>75.041920000000005</v>
      </c>
      <c r="AD91" s="12">
        <v>112</v>
      </c>
      <c r="AE91" s="3" t="s">
        <v>85</v>
      </c>
      <c r="AF91" s="3" t="s">
        <v>86</v>
      </c>
      <c r="AG91" s="2" t="str">
        <f>IF(AD91&gt;37,"Proton symporter", "Diffusion")</f>
        <v>Proton symporter</v>
      </c>
      <c r="AH91" s="2" t="s">
        <v>87</v>
      </c>
    </row>
    <row r="92" spans="1:34" hidden="1" x14ac:dyDescent="0.2">
      <c r="A92" s="16" t="s">
        <v>63</v>
      </c>
      <c r="B92" s="17" t="s">
        <v>64</v>
      </c>
      <c r="C92" t="s">
        <v>68</v>
      </c>
      <c r="D92" s="18" t="s">
        <v>66</v>
      </c>
      <c r="E92" t="s">
        <v>82</v>
      </c>
      <c r="F92" t="s">
        <v>83</v>
      </c>
      <c r="G92">
        <v>-10</v>
      </c>
      <c r="H92">
        <v>0</v>
      </c>
      <c r="I92">
        <v>-10</v>
      </c>
      <c r="J92">
        <v>0.45</v>
      </c>
      <c r="K92">
        <v>-10</v>
      </c>
      <c r="L92">
        <v>0</v>
      </c>
      <c r="M92">
        <v>-10</v>
      </c>
      <c r="N92">
        <v>0</v>
      </c>
      <c r="O92">
        <v>1.21333333333333</v>
      </c>
      <c r="P92"/>
      <c r="Q92">
        <v>0.121333333333333</v>
      </c>
      <c r="R92">
        <v>0.30319967676767701</v>
      </c>
      <c r="S92" s="3" t="s">
        <v>82</v>
      </c>
      <c r="T92" s="3" t="s">
        <v>82</v>
      </c>
      <c r="U92" s="3" t="s">
        <v>35</v>
      </c>
      <c r="V92" s="3" t="s">
        <v>84</v>
      </c>
      <c r="W92" s="3">
        <v>2</v>
      </c>
      <c r="X92" s="3">
        <v>3</v>
      </c>
      <c r="Y92" s="3">
        <v>3</v>
      </c>
      <c r="Z92" s="3">
        <v>0</v>
      </c>
      <c r="AA92" s="3">
        <v>-1</v>
      </c>
      <c r="AB92" s="12">
        <f>(W92*4+X92*1+Y92*-2+Z92*-3)/W92</f>
        <v>2.5</v>
      </c>
      <c r="AC92" s="3">
        <f>W92*12.0107+X92*1.00784+Y92*15.999+Z92*14.0067</f>
        <v>75.041920000000005</v>
      </c>
      <c r="AD92" s="12">
        <v>112</v>
      </c>
      <c r="AE92" s="3" t="s">
        <v>85</v>
      </c>
      <c r="AF92" s="3" t="s">
        <v>86</v>
      </c>
      <c r="AG92" s="2" t="str">
        <f>IF(AD92&gt;37,"Proton symporter", "Diffusion")</f>
        <v>Proton symporter</v>
      </c>
      <c r="AH92" s="2" t="s">
        <v>87</v>
      </c>
    </row>
    <row r="93" spans="1:34" hidden="1" x14ac:dyDescent="0.2">
      <c r="A93" s="8" t="s">
        <v>368</v>
      </c>
      <c r="B93" s="17" t="s">
        <v>64</v>
      </c>
      <c r="C93" t="s">
        <v>369</v>
      </c>
      <c r="D93" s="18" t="s">
        <v>66</v>
      </c>
      <c r="E93" t="s">
        <v>88</v>
      </c>
      <c r="F93" t="s">
        <v>89</v>
      </c>
      <c r="G93">
        <v>-10</v>
      </c>
      <c r="H93">
        <v>0</v>
      </c>
      <c r="I93">
        <v>-20</v>
      </c>
      <c r="J93">
        <v>0.45</v>
      </c>
      <c r="K93">
        <v>-10</v>
      </c>
      <c r="L93">
        <v>0</v>
      </c>
      <c r="M93">
        <v>-20</v>
      </c>
      <c r="N93">
        <v>-10</v>
      </c>
      <c r="O93">
        <v>1.1000000000000001</v>
      </c>
      <c r="P93"/>
      <c r="Q93">
        <v>0.11</v>
      </c>
      <c r="R93">
        <v>0.30239389700678498</v>
      </c>
      <c r="S93" s="1" t="str">
        <f>VLOOKUP($E93,'[1]Product Naming'!$A$1:$P$58,2)</f>
        <v>Malate_L</v>
      </c>
      <c r="T93" s="1" t="str">
        <f>VLOOKUP($E93,'[1]Product Naming'!$A$1:$P$58,3)</f>
        <v>L-Malate</v>
      </c>
      <c r="U93" s="1" t="str">
        <f>VLOOKUP($E93,'[1]Product Naming'!$A$1:$P$58,4)</f>
        <v>iJO1366</v>
      </c>
      <c r="V93" s="1" t="str">
        <f>VLOOKUP($E93,'[1]Product Naming'!$A$1:$P$58,5)</f>
        <v>C4H4O5</v>
      </c>
      <c r="W93" s="1">
        <f>VLOOKUP($E93,'[1]Product Naming'!$A$1:$P$58,6)</f>
        <v>4</v>
      </c>
      <c r="X93" s="1">
        <f>VLOOKUP($E93,'[1]Product Naming'!$A$1:$P$58,7)</f>
        <v>4</v>
      </c>
      <c r="Y93" s="1">
        <f>VLOOKUP($E93,'[1]Product Naming'!$A$1:$P$58,8)</f>
        <v>5</v>
      </c>
      <c r="Z93" s="1">
        <f>VLOOKUP($E93,'[1]Product Naming'!$A$1:$P$58,9)</f>
        <v>0</v>
      </c>
      <c r="AA93" s="1">
        <f>VLOOKUP($E93,'[1]Product Naming'!$A$1:$P$58,10)</f>
        <v>-2</v>
      </c>
      <c r="AB93" s="27">
        <f>VLOOKUP($E93,'[1]Product Naming'!$A$1:$P$58,11)</f>
        <v>2.5</v>
      </c>
      <c r="AC93" s="3">
        <f>VLOOKUP($E93,'[1]Product Naming'!$A$1:$P$58,12)</f>
        <v>132.06916000000001</v>
      </c>
      <c r="AD93" s="1" t="str">
        <f>VLOOKUP($E93,'[1]Product Naming'!$A$1:$P$58,13)</f>
        <v>NA</v>
      </c>
      <c r="AE93" s="1" t="str">
        <f>VLOOKUP($E93,'[1]Product Naming'!$A$1:$P$58,14)</f>
        <v>Dicarboxylate</v>
      </c>
      <c r="AF93" s="1" t="str">
        <f>VLOOKUP($E93,'[1]Product Naming'!$A$1:$P$58,15)</f>
        <v>Oxaloacetate</v>
      </c>
      <c r="AG93" s="28" t="str">
        <f>VLOOKUP($E93,'[1]Product Naming'!$A$1:$P$58,16)</f>
        <v>Proton symporter</v>
      </c>
      <c r="AH93" s="3" t="str">
        <f>VLOOKUP($E93,'[1]Product Naming'!$A$1:$Q$58,17)</f>
        <v>mal__L_e</v>
      </c>
    </row>
    <row r="94" spans="1:34" hidden="1" x14ac:dyDescent="0.2">
      <c r="A94" s="8" t="s">
        <v>368</v>
      </c>
      <c r="B94" s="17" t="s">
        <v>64</v>
      </c>
      <c r="C94" t="s">
        <v>369</v>
      </c>
      <c r="D94" s="18" t="s">
        <v>66</v>
      </c>
      <c r="E94" t="s">
        <v>75</v>
      </c>
      <c r="F94" t="s">
        <v>76</v>
      </c>
      <c r="G94">
        <v>-10</v>
      </c>
      <c r="H94">
        <v>0</v>
      </c>
      <c r="I94">
        <v>-20</v>
      </c>
      <c r="J94">
        <v>0.45</v>
      </c>
      <c r="K94">
        <v>-10</v>
      </c>
      <c r="L94">
        <v>0</v>
      </c>
      <c r="M94">
        <v>-20</v>
      </c>
      <c r="N94">
        <v>-10</v>
      </c>
      <c r="O94">
        <v>0.73333333333332895</v>
      </c>
      <c r="P94"/>
      <c r="Q94">
        <v>7.3333333333332903E-2</v>
      </c>
      <c r="R94">
        <v>0.288644713653329</v>
      </c>
      <c r="S94" s="1" t="str">
        <f>VLOOKUP($E94,'[1]Product Naming'!$A$1:$P$58,2)</f>
        <v>Citrate</v>
      </c>
      <c r="T94" s="1" t="str">
        <f>VLOOKUP($E94,'[1]Product Naming'!$A$1:$P$58,3)</f>
        <v>Citrate</v>
      </c>
      <c r="U94" s="1" t="str">
        <f>VLOOKUP($E94,'[1]Product Naming'!$A$1:$P$58,4)</f>
        <v>iJO1366</v>
      </c>
      <c r="V94" s="1" t="str">
        <f>VLOOKUP($E94,'[1]Product Naming'!$A$1:$P$58,5)</f>
        <v>C6H5O7</v>
      </c>
      <c r="W94" s="1">
        <f>VLOOKUP($E94,'[1]Product Naming'!$A$1:$P$58,6)</f>
        <v>6</v>
      </c>
      <c r="X94" s="1">
        <f>VLOOKUP($E94,'[1]Product Naming'!$A$1:$P$58,7)</f>
        <v>5</v>
      </c>
      <c r="Y94" s="1">
        <f>VLOOKUP($E94,'[1]Product Naming'!$A$1:$P$58,8)</f>
        <v>7</v>
      </c>
      <c r="Z94" s="1">
        <f>VLOOKUP($E94,'[1]Product Naming'!$A$1:$P$58,9)</f>
        <v>0</v>
      </c>
      <c r="AA94" s="1">
        <f>VLOOKUP($E94,'[1]Product Naming'!$A$1:$P$58,10)</f>
        <v>-3</v>
      </c>
      <c r="AB94" s="27">
        <f>VLOOKUP($E94,'[1]Product Naming'!$A$1:$P$58,11)</f>
        <v>2.5</v>
      </c>
      <c r="AC94" s="3">
        <f>VLOOKUP($E94,'[1]Product Naming'!$A$1:$P$58,12)</f>
        <v>189.09640000000002</v>
      </c>
      <c r="AD94" s="1" t="str">
        <f>VLOOKUP($E94,'[1]Product Naming'!$A$1:$P$58,13)</f>
        <v>NA</v>
      </c>
      <c r="AE94" s="1" t="str">
        <f>VLOOKUP($E94,'[1]Product Naming'!$A$1:$P$58,14)</f>
        <v>Tricarboxylate + Alcohol</v>
      </c>
      <c r="AF94" s="1" t="str">
        <f>VLOOKUP($E94,'[1]Product Naming'!$A$1:$P$58,15)</f>
        <v>Acetyl-CoA</v>
      </c>
      <c r="AG94" s="28" t="str">
        <f>VLOOKUP($E94,'[1]Product Naming'!$A$1:$P$58,16)</f>
        <v>Proton antiport</v>
      </c>
      <c r="AH94" s="3" t="str">
        <f>VLOOKUP($E94,'[1]Product Naming'!$A$1:$Q$58,17)</f>
        <v>cit_c</v>
      </c>
    </row>
    <row r="95" spans="1:34" hidden="1" x14ac:dyDescent="0.2">
      <c r="A95" s="8" t="s">
        <v>350</v>
      </c>
      <c r="B95" s="17" t="s">
        <v>64</v>
      </c>
      <c r="C95" t="s">
        <v>353</v>
      </c>
      <c r="D95" s="13" t="s">
        <v>51</v>
      </c>
      <c r="E95" t="s">
        <v>82</v>
      </c>
      <c r="F95" t="s">
        <v>83</v>
      </c>
      <c r="G95">
        <v>-10</v>
      </c>
      <c r="H95">
        <v>0</v>
      </c>
      <c r="I95">
        <v>0</v>
      </c>
      <c r="J95">
        <v>0.45</v>
      </c>
      <c r="K95">
        <v>-10</v>
      </c>
      <c r="L95">
        <v>0</v>
      </c>
      <c r="M95" s="26">
        <v>8.9948186528497391</v>
      </c>
      <c r="N95">
        <v>0</v>
      </c>
      <c r="O95" s="26">
        <v>1.1243523316062101</v>
      </c>
      <c r="P95"/>
      <c r="Q95" s="26">
        <v>0.112435233160621</v>
      </c>
      <c r="R95" s="26">
        <v>0.27912657924086898</v>
      </c>
      <c r="S95" s="3" t="str">
        <f>VLOOKUP($E95,'[1]Product Naming'!$A$1:$P$58,2)</f>
        <v>Glycolate</v>
      </c>
      <c r="T95" s="3" t="str">
        <f>VLOOKUP($E95,'[1]Product Naming'!$A$1:$P$58,3)</f>
        <v>Glycolate</v>
      </c>
      <c r="U95" s="3" t="str">
        <f>VLOOKUP($E95,'[1]Product Naming'!$A$1:$P$58,4)</f>
        <v>iJO1366</v>
      </c>
      <c r="V95" s="3" t="str">
        <f>VLOOKUP($E95,'[1]Product Naming'!$A$1:$P$58,5)</f>
        <v>C2H3O3</v>
      </c>
      <c r="W95" s="3">
        <f>VLOOKUP($E95,'[1]Product Naming'!$A$1:$P$58,6)</f>
        <v>2</v>
      </c>
      <c r="X95" s="3">
        <f>VLOOKUP($E95,'[1]Product Naming'!$A$1:$P$58,7)</f>
        <v>3</v>
      </c>
      <c r="Y95" s="3">
        <f>VLOOKUP($E95,'[1]Product Naming'!$A$1:$P$58,8)</f>
        <v>3</v>
      </c>
      <c r="Z95" s="3">
        <f>VLOOKUP($E95,'[1]Product Naming'!$A$1:$P$58,9)</f>
        <v>0</v>
      </c>
      <c r="AA95" s="3">
        <f>VLOOKUP($E95,'[1]Product Naming'!$A$1:$P$58,10)</f>
        <v>-1</v>
      </c>
      <c r="AB95" s="3">
        <f>VLOOKUP($E95,'[1]Product Naming'!$A$1:$P$58,11)</f>
        <v>2.5</v>
      </c>
      <c r="AC95" s="3">
        <f>VLOOKUP($E95,'[1]Product Naming'!$A$1:$P$58,12)</f>
        <v>75.041920000000005</v>
      </c>
      <c r="AD95" s="3">
        <f>VLOOKUP($E95,'[1]Product Naming'!$A$1:$P$58,13)</f>
        <v>112</v>
      </c>
      <c r="AE95" s="3" t="str">
        <f>VLOOKUP($E95,'[1]Product Naming'!$A$1:$P$58,14)</f>
        <v>Carboxylate + Alcohol (hydroxy carboxylate)</v>
      </c>
      <c r="AF95" s="3" t="str">
        <f>VLOOKUP($E95,'[1]Product Naming'!$A$1:$P$58,15)</f>
        <v>Glyoxylate (*isocitrate)</v>
      </c>
      <c r="AG95" s="3" t="str">
        <f>VLOOKUP($E95,'[1]Product Naming'!$A$1:$P$58,16)</f>
        <v>Proton symporter</v>
      </c>
      <c r="AH95" s="3" t="str">
        <f>VLOOKUP($E95,'[1]Product Naming'!$A$1:$Q$58,17)</f>
        <v>glyclt_c</v>
      </c>
    </row>
    <row r="96" spans="1:34" hidden="1" x14ac:dyDescent="0.2">
      <c r="A96" s="16" t="s">
        <v>63</v>
      </c>
      <c r="B96" s="17" t="s">
        <v>64</v>
      </c>
      <c r="C96" t="s">
        <v>70</v>
      </c>
      <c r="D96" s="18" t="s">
        <v>66</v>
      </c>
      <c r="E96" t="s">
        <v>88</v>
      </c>
      <c r="F96" t="s">
        <v>89</v>
      </c>
      <c r="G96">
        <v>-10</v>
      </c>
      <c r="H96">
        <v>0</v>
      </c>
      <c r="I96">
        <v>0</v>
      </c>
      <c r="J96">
        <v>0.45</v>
      </c>
      <c r="K96">
        <v>-10</v>
      </c>
      <c r="L96">
        <v>0</v>
      </c>
      <c r="M96">
        <v>0</v>
      </c>
      <c r="N96">
        <v>4.0695652173913004</v>
      </c>
      <c r="O96">
        <v>0.93043478260869605</v>
      </c>
      <c r="P96"/>
      <c r="Q96">
        <v>9.3043478260869603E-2</v>
      </c>
      <c r="R96">
        <v>0.266962433247113</v>
      </c>
      <c r="S96" s="3" t="s">
        <v>88</v>
      </c>
      <c r="T96" s="3" t="s">
        <v>90</v>
      </c>
      <c r="U96" s="3" t="s">
        <v>35</v>
      </c>
      <c r="V96" s="3" t="s">
        <v>91</v>
      </c>
      <c r="W96" s="3">
        <v>4</v>
      </c>
      <c r="X96" s="3">
        <v>4</v>
      </c>
      <c r="Y96" s="3">
        <v>5</v>
      </c>
      <c r="Z96" s="3">
        <v>0</v>
      </c>
      <c r="AA96" s="3">
        <v>-2</v>
      </c>
      <c r="AB96" s="12">
        <f>(W96*4+X96*1+Y96*-2+Z96*-3)/W96</f>
        <v>2.5</v>
      </c>
      <c r="AC96" s="3">
        <f>W96*12.0107+X96*1.00784+Y96*15.999+Z96*14.0067</f>
        <v>132.06916000000001</v>
      </c>
      <c r="AD96" s="12" t="s">
        <v>40</v>
      </c>
      <c r="AE96" s="3" t="s">
        <v>43</v>
      </c>
      <c r="AF96" s="3" t="s">
        <v>44</v>
      </c>
      <c r="AG96" s="2" t="s">
        <v>92</v>
      </c>
      <c r="AH96" s="2" t="s">
        <v>93</v>
      </c>
    </row>
    <row r="97" spans="1:34" hidden="1" x14ac:dyDescent="0.2">
      <c r="A97" s="16" t="s">
        <v>74</v>
      </c>
      <c r="B97" s="9" t="s">
        <v>35</v>
      </c>
      <c r="C97" t="s">
        <v>50</v>
      </c>
      <c r="D97" s="13" t="s">
        <v>51</v>
      </c>
      <c r="E97" t="s">
        <v>82</v>
      </c>
      <c r="F97" t="s">
        <v>83</v>
      </c>
      <c r="G97">
        <v>-10</v>
      </c>
      <c r="H97">
        <v>-20</v>
      </c>
      <c r="I97" s="1" t="s">
        <v>40</v>
      </c>
      <c r="J97">
        <v>3.15</v>
      </c>
      <c r="K97">
        <v>-10</v>
      </c>
      <c r="L97">
        <v>-2.5482758620689601</v>
      </c>
      <c r="M97" s="1" t="s">
        <v>40</v>
      </c>
      <c r="N97">
        <v>6.7310344827586199</v>
      </c>
      <c r="O97">
        <v>1.63448275862069</v>
      </c>
      <c r="P97"/>
      <c r="Q97">
        <v>0.163448275862069</v>
      </c>
      <c r="R97">
        <v>0.26646923808547901</v>
      </c>
      <c r="S97" s="3" t="s">
        <v>82</v>
      </c>
      <c r="T97" s="3" t="s">
        <v>82</v>
      </c>
      <c r="U97" s="3" t="s">
        <v>35</v>
      </c>
      <c r="V97" s="3" t="s">
        <v>84</v>
      </c>
      <c r="W97" s="3">
        <v>2</v>
      </c>
      <c r="X97" s="3">
        <v>3</v>
      </c>
      <c r="Y97" s="3">
        <v>3</v>
      </c>
      <c r="Z97" s="3">
        <v>0</v>
      </c>
      <c r="AA97" s="3">
        <v>-1</v>
      </c>
      <c r="AB97" s="12">
        <f>(W97*4+X97*1+Y97*-2+Z97*-3)/W97</f>
        <v>2.5</v>
      </c>
      <c r="AC97" s="3">
        <f>W97*12.0107+X97*1.00784+Y97*15.999+Z97*14.0067</f>
        <v>75.041920000000005</v>
      </c>
      <c r="AD97" s="12">
        <v>112</v>
      </c>
      <c r="AE97" s="3" t="s">
        <v>85</v>
      </c>
      <c r="AF97" s="3" t="s">
        <v>86</v>
      </c>
      <c r="AG97" s="2" t="str">
        <f>IF(AD97&gt;37,"Proton symporter", "Diffusion")</f>
        <v>Proton symporter</v>
      </c>
      <c r="AH97" s="2" t="s">
        <v>87</v>
      </c>
    </row>
    <row r="98" spans="1:34" hidden="1" x14ac:dyDescent="0.2">
      <c r="A98" s="16" t="s">
        <v>63</v>
      </c>
      <c r="B98" s="17" t="s">
        <v>64</v>
      </c>
      <c r="C98" t="s">
        <v>67</v>
      </c>
      <c r="D98" s="18" t="s">
        <v>66</v>
      </c>
      <c r="E98" t="s">
        <v>82</v>
      </c>
      <c r="F98" t="s">
        <v>83</v>
      </c>
      <c r="G98">
        <v>-10</v>
      </c>
      <c r="H98">
        <v>0</v>
      </c>
      <c r="I98">
        <v>-5</v>
      </c>
      <c r="J98">
        <v>0.45</v>
      </c>
      <c r="K98">
        <v>-10</v>
      </c>
      <c r="L98">
        <v>0</v>
      </c>
      <c r="M98">
        <v>-5</v>
      </c>
      <c r="N98">
        <v>1.50344827586207</v>
      </c>
      <c r="O98">
        <v>0.99655172413793103</v>
      </c>
      <c r="P98"/>
      <c r="Q98">
        <v>9.9655172413793097E-2</v>
      </c>
      <c r="R98">
        <v>0.25769522659758998</v>
      </c>
      <c r="S98" s="3" t="s">
        <v>82</v>
      </c>
      <c r="T98" s="3" t="s">
        <v>82</v>
      </c>
      <c r="U98" s="3" t="s">
        <v>35</v>
      </c>
      <c r="V98" s="3" t="s">
        <v>84</v>
      </c>
      <c r="W98" s="3">
        <v>2</v>
      </c>
      <c r="X98" s="3">
        <v>3</v>
      </c>
      <c r="Y98" s="3">
        <v>3</v>
      </c>
      <c r="Z98" s="3">
        <v>0</v>
      </c>
      <c r="AA98" s="3">
        <v>-1</v>
      </c>
      <c r="AB98" s="12">
        <f>(W98*4+X98*1+Y98*-2+Z98*-3)/W98</f>
        <v>2.5</v>
      </c>
      <c r="AC98" s="3">
        <f>W98*12.0107+X98*1.00784+Y98*15.999+Z98*14.0067</f>
        <v>75.041920000000005</v>
      </c>
      <c r="AD98" s="12">
        <v>112</v>
      </c>
      <c r="AE98" s="3" t="s">
        <v>85</v>
      </c>
      <c r="AF98" s="3" t="s">
        <v>86</v>
      </c>
      <c r="AG98" s="2" t="str">
        <f>IF(AD98&gt;37,"Proton symporter", "Diffusion")</f>
        <v>Proton symporter</v>
      </c>
      <c r="AH98" s="2" t="s">
        <v>87</v>
      </c>
    </row>
    <row r="99" spans="1:34" hidden="1" x14ac:dyDescent="0.2">
      <c r="A99" s="16" t="s">
        <v>63</v>
      </c>
      <c r="B99" s="17" t="s">
        <v>64</v>
      </c>
      <c r="C99" t="s">
        <v>70</v>
      </c>
      <c r="D99" s="18" t="s">
        <v>66</v>
      </c>
      <c r="E99" t="s">
        <v>75</v>
      </c>
      <c r="F99" t="s">
        <v>76</v>
      </c>
      <c r="G99">
        <v>-10</v>
      </c>
      <c r="H99">
        <v>0</v>
      </c>
      <c r="I99">
        <v>0</v>
      </c>
      <c r="J99">
        <v>0.45</v>
      </c>
      <c r="K99">
        <v>-10</v>
      </c>
      <c r="L99">
        <v>0</v>
      </c>
      <c r="M99">
        <v>0</v>
      </c>
      <c r="N99">
        <v>4.0695652173913004</v>
      </c>
      <c r="O99">
        <v>0.62028985507246404</v>
      </c>
      <c r="P99"/>
      <c r="Q99">
        <v>6.2028985507246399E-2</v>
      </c>
      <c r="R99">
        <v>0.254824240381678</v>
      </c>
      <c r="S99" s="3" t="s">
        <v>75</v>
      </c>
      <c r="T99" s="3" t="s">
        <v>75</v>
      </c>
      <c r="U99" s="3" t="s">
        <v>35</v>
      </c>
      <c r="V99" s="3" t="s">
        <v>77</v>
      </c>
      <c r="W99" s="3">
        <v>6</v>
      </c>
      <c r="X99" s="3">
        <v>5</v>
      </c>
      <c r="Y99" s="3">
        <v>7</v>
      </c>
      <c r="Z99" s="3">
        <v>0</v>
      </c>
      <c r="AA99" s="3">
        <v>-3</v>
      </c>
      <c r="AB99" s="12">
        <f>(W99*4+X99*1+Y99*-2+Z99*-3)/W99</f>
        <v>2.5</v>
      </c>
      <c r="AC99" s="3">
        <f>W99*12.0107+X99*1.00784+Y99*15.999+Z99*14.0067</f>
        <v>189.09640000000002</v>
      </c>
      <c r="AD99" s="12" t="s">
        <v>40</v>
      </c>
      <c r="AE99" s="3" t="s">
        <v>78</v>
      </c>
      <c r="AF99" s="3" t="s">
        <v>79</v>
      </c>
      <c r="AG99" s="2" t="s">
        <v>80</v>
      </c>
      <c r="AH99" s="2" t="s">
        <v>81</v>
      </c>
    </row>
    <row r="100" spans="1:34" hidden="1" x14ac:dyDescent="0.2">
      <c r="A100" s="16" t="s">
        <v>74</v>
      </c>
      <c r="B100" s="9" t="s">
        <v>35</v>
      </c>
      <c r="C100" t="s">
        <v>50</v>
      </c>
      <c r="D100" s="13" t="s">
        <v>51</v>
      </c>
      <c r="E100" t="s">
        <v>88</v>
      </c>
      <c r="F100" t="s">
        <v>89</v>
      </c>
      <c r="G100">
        <v>-10</v>
      </c>
      <c r="H100">
        <v>-20</v>
      </c>
      <c r="I100" s="1" t="s">
        <v>40</v>
      </c>
      <c r="J100">
        <v>3.15</v>
      </c>
      <c r="K100">
        <v>-10</v>
      </c>
      <c r="L100">
        <v>-2.63</v>
      </c>
      <c r="M100" s="1" t="s">
        <v>40</v>
      </c>
      <c r="N100">
        <v>6.84</v>
      </c>
      <c r="O100">
        <v>0.79</v>
      </c>
      <c r="P100"/>
      <c r="Q100">
        <v>7.9000000000000001E-2</v>
      </c>
      <c r="R100">
        <v>0.22666857065887999</v>
      </c>
      <c r="S100" s="3" t="s">
        <v>88</v>
      </c>
      <c r="T100" s="3" t="s">
        <v>90</v>
      </c>
      <c r="U100" s="3" t="s">
        <v>35</v>
      </c>
      <c r="V100" s="3" t="s">
        <v>91</v>
      </c>
      <c r="W100" s="3">
        <v>4</v>
      </c>
      <c r="X100" s="3">
        <v>4</v>
      </c>
      <c r="Y100" s="3">
        <v>5</v>
      </c>
      <c r="Z100" s="3">
        <v>0</v>
      </c>
      <c r="AA100" s="3">
        <v>-2</v>
      </c>
      <c r="AB100" s="12">
        <f>(W100*4+X100*1+Y100*-2+Z100*-3)/W100</f>
        <v>2.5</v>
      </c>
      <c r="AC100" s="3">
        <f>W100*12.0107+X100*1.00784+Y100*15.999+Z100*14.0067</f>
        <v>132.06916000000001</v>
      </c>
      <c r="AD100" s="12" t="s">
        <v>40</v>
      </c>
      <c r="AE100" s="3" t="s">
        <v>43</v>
      </c>
      <c r="AF100" s="3" t="s">
        <v>44</v>
      </c>
      <c r="AG100" s="2" t="s">
        <v>92</v>
      </c>
      <c r="AH100" s="2" t="s">
        <v>93</v>
      </c>
    </row>
    <row r="101" spans="1:34" hidden="1" x14ac:dyDescent="0.2">
      <c r="A101" s="16" t="s">
        <v>74</v>
      </c>
      <c r="B101" s="9" t="s">
        <v>35</v>
      </c>
      <c r="C101" t="s">
        <v>50</v>
      </c>
      <c r="D101" s="13" t="s">
        <v>51</v>
      </c>
      <c r="E101" t="s">
        <v>75</v>
      </c>
      <c r="F101" t="s">
        <v>76</v>
      </c>
      <c r="G101">
        <v>-10</v>
      </c>
      <c r="H101">
        <v>-20</v>
      </c>
      <c r="I101" s="1" t="s">
        <v>40</v>
      </c>
      <c r="J101">
        <v>3.15</v>
      </c>
      <c r="K101">
        <v>-10</v>
      </c>
      <c r="L101">
        <v>-2.5482758620689601</v>
      </c>
      <c r="M101" s="1" t="s">
        <v>40</v>
      </c>
      <c r="N101">
        <v>6.7310344827586199</v>
      </c>
      <c r="O101">
        <v>0.54482758620689697</v>
      </c>
      <c r="P101"/>
      <c r="Q101">
        <v>5.44827586206897E-2</v>
      </c>
      <c r="R101">
        <v>0.22382322499525101</v>
      </c>
      <c r="S101" s="3" t="s">
        <v>75</v>
      </c>
      <c r="T101" s="3" t="s">
        <v>75</v>
      </c>
      <c r="U101" s="3" t="s">
        <v>35</v>
      </c>
      <c r="V101" s="3" t="s">
        <v>77</v>
      </c>
      <c r="W101" s="3">
        <v>6</v>
      </c>
      <c r="X101" s="3">
        <v>5</v>
      </c>
      <c r="Y101" s="3">
        <v>7</v>
      </c>
      <c r="Z101" s="3">
        <v>0</v>
      </c>
      <c r="AA101" s="3">
        <v>-3</v>
      </c>
      <c r="AB101" s="12">
        <f>(W101*4+X101*1+Y101*-2+Z101*-3)/W101</f>
        <v>2.5</v>
      </c>
      <c r="AC101" s="3">
        <f>W101*12.0107+X101*1.00784+Y101*15.999+Z101*14.0067</f>
        <v>189.09640000000002</v>
      </c>
      <c r="AD101" s="12" t="s">
        <v>40</v>
      </c>
      <c r="AE101" s="3" t="s">
        <v>78</v>
      </c>
      <c r="AF101" s="3" t="s">
        <v>79</v>
      </c>
      <c r="AG101" s="2" t="s">
        <v>80</v>
      </c>
      <c r="AH101" s="2" t="s">
        <v>81</v>
      </c>
    </row>
    <row r="102" spans="1:34" hidden="1" x14ac:dyDescent="0.2">
      <c r="A102" s="16" t="s">
        <v>63</v>
      </c>
      <c r="B102" s="17" t="s">
        <v>64</v>
      </c>
      <c r="C102" t="s">
        <v>65</v>
      </c>
      <c r="D102" s="18" t="s">
        <v>66</v>
      </c>
      <c r="E102" t="s">
        <v>82</v>
      </c>
      <c r="F102" t="s">
        <v>83</v>
      </c>
      <c r="G102">
        <v>-10</v>
      </c>
      <c r="H102">
        <v>0</v>
      </c>
      <c r="I102">
        <v>0</v>
      </c>
      <c r="J102">
        <v>0.45</v>
      </c>
      <c r="K102">
        <v>-10</v>
      </c>
      <c r="L102">
        <v>0</v>
      </c>
      <c r="M102">
        <v>0</v>
      </c>
      <c r="N102">
        <v>4.2620689655172397</v>
      </c>
      <c r="O102">
        <v>0.73793103448275899</v>
      </c>
      <c r="P102"/>
      <c r="Q102">
        <v>7.3793103448275901E-2</v>
      </c>
      <c r="R102">
        <v>0.19769997020768501</v>
      </c>
      <c r="S102" s="3" t="s">
        <v>82</v>
      </c>
      <c r="T102" s="3" t="s">
        <v>82</v>
      </c>
      <c r="U102" s="3" t="s">
        <v>35</v>
      </c>
      <c r="V102" s="3" t="s">
        <v>84</v>
      </c>
      <c r="W102" s="3">
        <v>2</v>
      </c>
      <c r="X102" s="3">
        <v>3</v>
      </c>
      <c r="Y102" s="3">
        <v>3</v>
      </c>
      <c r="Z102" s="3">
        <v>0</v>
      </c>
      <c r="AA102" s="3">
        <v>-1</v>
      </c>
      <c r="AB102" s="12">
        <f>(W102*4+X102*1+Y102*-2+Z102*-3)/W102</f>
        <v>2.5</v>
      </c>
      <c r="AC102" s="3">
        <f>W102*12.0107+X102*1.00784+Y102*15.999+Z102*14.0067</f>
        <v>75.041920000000005</v>
      </c>
      <c r="AD102" s="12">
        <v>112</v>
      </c>
      <c r="AE102" s="3" t="s">
        <v>85</v>
      </c>
      <c r="AF102" s="3" t="s">
        <v>86</v>
      </c>
      <c r="AG102" s="2" t="str">
        <f>IF(AD102&gt;37,"Proton symporter", "Diffusion")</f>
        <v>Proton symporter</v>
      </c>
      <c r="AH102" s="2" t="s">
        <v>87</v>
      </c>
    </row>
    <row r="103" spans="1:34" hidden="1" x14ac:dyDescent="0.2">
      <c r="A103" s="8" t="s">
        <v>350</v>
      </c>
      <c r="B103" s="17" t="s">
        <v>64</v>
      </c>
      <c r="C103" t="s">
        <v>351</v>
      </c>
      <c r="D103" s="13" t="s">
        <v>51</v>
      </c>
      <c r="E103" t="s">
        <v>75</v>
      </c>
      <c r="F103" t="s">
        <v>76</v>
      </c>
      <c r="G103">
        <v>-10</v>
      </c>
      <c r="H103">
        <v>0</v>
      </c>
      <c r="I103">
        <v>0</v>
      </c>
      <c r="J103">
        <v>0.45</v>
      </c>
      <c r="K103">
        <v>-10</v>
      </c>
      <c r="L103">
        <v>0</v>
      </c>
      <c r="M103" s="26">
        <v>2.8941176470588199</v>
      </c>
      <c r="N103">
        <v>0</v>
      </c>
      <c r="O103">
        <v>0.32156862745098103</v>
      </c>
      <c r="P103"/>
      <c r="Q103">
        <v>3.2156862745098103E-2</v>
      </c>
      <c r="R103" s="26">
        <v>0.193299738166131</v>
      </c>
      <c r="S103" s="3" t="str">
        <f>VLOOKUP($E103,'[1]Product Naming'!$A$1:$P$58,2)</f>
        <v>Citrate</v>
      </c>
      <c r="T103" s="3" t="str">
        <f>VLOOKUP($E103,'[1]Product Naming'!$A$1:$P$58,3)</f>
        <v>Citrate</v>
      </c>
      <c r="U103" s="3" t="str">
        <f>VLOOKUP($E103,'[1]Product Naming'!$A$1:$P$58,4)</f>
        <v>iJO1366</v>
      </c>
      <c r="V103" s="3" t="str">
        <f>VLOOKUP($E103,'[1]Product Naming'!$A$1:$P$58,5)</f>
        <v>C6H5O7</v>
      </c>
      <c r="W103" s="3">
        <f>VLOOKUP($E103,'[1]Product Naming'!$A$1:$P$58,6)</f>
        <v>6</v>
      </c>
      <c r="X103" s="3">
        <f>VLOOKUP($E103,'[1]Product Naming'!$A$1:$P$58,7)</f>
        <v>5</v>
      </c>
      <c r="Y103" s="3">
        <f>VLOOKUP($E103,'[1]Product Naming'!$A$1:$P$58,8)</f>
        <v>7</v>
      </c>
      <c r="Z103" s="3">
        <f>VLOOKUP($E103,'[1]Product Naming'!$A$1:$P$58,9)</f>
        <v>0</v>
      </c>
      <c r="AA103" s="3">
        <f>VLOOKUP($E103,'[1]Product Naming'!$A$1:$P$58,10)</f>
        <v>-3</v>
      </c>
      <c r="AB103" s="3">
        <f>VLOOKUP($E103,'[1]Product Naming'!$A$1:$P$58,11)</f>
        <v>2.5</v>
      </c>
      <c r="AC103" s="3">
        <f>VLOOKUP($E103,'[1]Product Naming'!$A$1:$P$58,12)</f>
        <v>189.09640000000002</v>
      </c>
      <c r="AD103" s="3" t="str">
        <f>VLOOKUP($E103,'[1]Product Naming'!$A$1:$P$58,13)</f>
        <v>NA</v>
      </c>
      <c r="AE103" s="3" t="str">
        <f>VLOOKUP($E103,'[1]Product Naming'!$A$1:$P$58,14)</f>
        <v>Tricarboxylate + Alcohol</v>
      </c>
      <c r="AF103" s="3" t="str">
        <f>VLOOKUP($E103,'[1]Product Naming'!$A$1:$P$58,15)</f>
        <v>Acetyl-CoA</v>
      </c>
      <c r="AG103" s="3" t="str">
        <f>VLOOKUP($E103,'[1]Product Naming'!$A$1:$P$58,16)</f>
        <v>Proton antiport</v>
      </c>
      <c r="AH103" s="3" t="str">
        <f>VLOOKUP($E103,'[1]Product Naming'!$A$1:$Q$58,17)</f>
        <v>cit_c</v>
      </c>
    </row>
    <row r="104" spans="1:34" hidden="1" x14ac:dyDescent="0.2">
      <c r="A104" s="8" t="s">
        <v>350</v>
      </c>
      <c r="B104" s="17" t="s">
        <v>64</v>
      </c>
      <c r="C104" t="s">
        <v>351</v>
      </c>
      <c r="D104" s="13" t="s">
        <v>51</v>
      </c>
      <c r="E104" t="s">
        <v>88</v>
      </c>
      <c r="F104" t="s">
        <v>89</v>
      </c>
      <c r="G104">
        <v>-10</v>
      </c>
      <c r="H104">
        <v>0</v>
      </c>
      <c r="I104">
        <v>0</v>
      </c>
      <c r="J104">
        <v>0.45</v>
      </c>
      <c r="K104">
        <v>-10</v>
      </c>
      <c r="L104">
        <v>0</v>
      </c>
      <c r="M104" s="26">
        <v>2.7333333333333201</v>
      </c>
      <c r="N104">
        <v>0</v>
      </c>
      <c r="O104" s="26">
        <v>0.45555555555555399</v>
      </c>
      <c r="P104"/>
      <c r="Q104">
        <v>4.5555555555555398E-2</v>
      </c>
      <c r="R104" s="26">
        <v>0.19106002332026201</v>
      </c>
      <c r="S104" s="3" t="str">
        <f>VLOOKUP($E104,'[1]Product Naming'!$A$1:$P$58,2)</f>
        <v>Malate_L</v>
      </c>
      <c r="T104" s="3" t="str">
        <f>VLOOKUP($E104,'[1]Product Naming'!$A$1:$P$58,3)</f>
        <v>L-Malate</v>
      </c>
      <c r="U104" s="3" t="str">
        <f>VLOOKUP($E104,'[1]Product Naming'!$A$1:$P$58,4)</f>
        <v>iJO1366</v>
      </c>
      <c r="V104" s="3" t="str">
        <f>VLOOKUP($E104,'[1]Product Naming'!$A$1:$P$58,5)</f>
        <v>C4H4O5</v>
      </c>
      <c r="W104" s="3">
        <f>VLOOKUP($E104,'[1]Product Naming'!$A$1:$P$58,6)</f>
        <v>4</v>
      </c>
      <c r="X104" s="3">
        <f>VLOOKUP($E104,'[1]Product Naming'!$A$1:$P$58,7)</f>
        <v>4</v>
      </c>
      <c r="Y104" s="3">
        <f>VLOOKUP($E104,'[1]Product Naming'!$A$1:$P$58,8)</f>
        <v>5</v>
      </c>
      <c r="Z104" s="3">
        <f>VLOOKUP($E104,'[1]Product Naming'!$A$1:$P$58,9)</f>
        <v>0</v>
      </c>
      <c r="AA104" s="3">
        <f>VLOOKUP($E104,'[1]Product Naming'!$A$1:$P$58,10)</f>
        <v>-2</v>
      </c>
      <c r="AB104" s="3">
        <f>VLOOKUP($E104,'[1]Product Naming'!$A$1:$P$58,11)</f>
        <v>2.5</v>
      </c>
      <c r="AC104" s="3">
        <f>VLOOKUP($E104,'[1]Product Naming'!$A$1:$P$58,12)</f>
        <v>132.06916000000001</v>
      </c>
      <c r="AD104" s="3" t="str">
        <f>VLOOKUP($E104,'[1]Product Naming'!$A$1:$P$58,13)</f>
        <v>NA</v>
      </c>
      <c r="AE104" s="3" t="str">
        <f>VLOOKUP($E104,'[1]Product Naming'!$A$1:$P$58,14)</f>
        <v>Dicarboxylate</v>
      </c>
      <c r="AF104" s="3" t="str">
        <f>VLOOKUP($E104,'[1]Product Naming'!$A$1:$P$58,15)</f>
        <v>Oxaloacetate</v>
      </c>
      <c r="AG104" s="3" t="str">
        <f>VLOOKUP($E104,'[1]Product Naming'!$A$1:$P$58,16)</f>
        <v>Proton symporter</v>
      </c>
      <c r="AH104" s="3" t="str">
        <f>VLOOKUP($E104,'[1]Product Naming'!$A$1:$Q$58,17)</f>
        <v>mal__L_e</v>
      </c>
    </row>
    <row r="105" spans="1:34" hidden="1" x14ac:dyDescent="0.2">
      <c r="A105" s="16" t="s">
        <v>63</v>
      </c>
      <c r="B105" s="17" t="s">
        <v>64</v>
      </c>
      <c r="C105" t="s">
        <v>73</v>
      </c>
      <c r="D105" s="18" t="s">
        <v>66</v>
      </c>
      <c r="E105" t="s">
        <v>82</v>
      </c>
      <c r="F105" t="s">
        <v>83</v>
      </c>
      <c r="G105">
        <v>-10</v>
      </c>
      <c r="H105">
        <v>0</v>
      </c>
      <c r="I105">
        <v>-20</v>
      </c>
      <c r="J105">
        <v>0.45</v>
      </c>
      <c r="K105">
        <v>-10</v>
      </c>
      <c r="L105">
        <v>0</v>
      </c>
      <c r="M105">
        <v>-10.2315789473684</v>
      </c>
      <c r="N105">
        <v>0</v>
      </c>
      <c r="O105">
        <v>1.2210526315789501</v>
      </c>
      <c r="P105"/>
      <c r="Q105">
        <v>0.12210526315789499</v>
      </c>
      <c r="R105" s="19">
        <v>0.190511996645361</v>
      </c>
      <c r="S105" s="3" t="s">
        <v>82</v>
      </c>
      <c r="T105" s="3" t="s">
        <v>82</v>
      </c>
      <c r="U105" s="3" t="s">
        <v>35</v>
      </c>
      <c r="V105" s="3" t="s">
        <v>84</v>
      </c>
      <c r="W105" s="3">
        <v>2</v>
      </c>
      <c r="X105" s="3">
        <v>3</v>
      </c>
      <c r="Y105" s="3">
        <v>3</v>
      </c>
      <c r="Z105" s="3">
        <v>0</v>
      </c>
      <c r="AA105" s="3">
        <v>-1</v>
      </c>
      <c r="AB105" s="12">
        <f>(W105*4+X105*1+Y105*-2+Z105*-3)/W105</f>
        <v>2.5</v>
      </c>
      <c r="AC105" s="3">
        <f>W105*12.0107+X105*1.00784+Y105*15.999+Z105*14.0067</f>
        <v>75.041920000000005</v>
      </c>
      <c r="AD105" s="12">
        <v>112</v>
      </c>
      <c r="AE105" s="3" t="s">
        <v>85</v>
      </c>
      <c r="AF105" s="3" t="s">
        <v>86</v>
      </c>
      <c r="AG105" s="2" t="str">
        <f>IF(AD105&gt;37,"Proton symporter", "Diffusion")</f>
        <v>Proton symporter</v>
      </c>
      <c r="AH105" s="2" t="s">
        <v>87</v>
      </c>
    </row>
    <row r="106" spans="1:34" hidden="1" x14ac:dyDescent="0.2">
      <c r="A106" s="16" t="s">
        <v>63</v>
      </c>
      <c r="B106" s="17" t="s">
        <v>64</v>
      </c>
      <c r="C106" t="s">
        <v>72</v>
      </c>
      <c r="D106" s="18" t="s">
        <v>66</v>
      </c>
      <c r="E106" t="s">
        <v>82</v>
      </c>
      <c r="F106" t="s">
        <v>83</v>
      </c>
      <c r="G106">
        <v>-10</v>
      </c>
      <c r="H106">
        <v>0</v>
      </c>
      <c r="I106">
        <v>-10</v>
      </c>
      <c r="J106">
        <v>0.45</v>
      </c>
      <c r="K106">
        <v>-10</v>
      </c>
      <c r="L106">
        <v>0</v>
      </c>
      <c r="M106">
        <v>-10</v>
      </c>
      <c r="N106">
        <v>0</v>
      </c>
      <c r="O106">
        <v>1.21333333333333</v>
      </c>
      <c r="P106"/>
      <c r="Q106">
        <v>0.121333333333333</v>
      </c>
      <c r="R106">
        <v>0.18949348784034301</v>
      </c>
      <c r="S106" s="3" t="s">
        <v>82</v>
      </c>
      <c r="T106" s="3" t="s">
        <v>82</v>
      </c>
      <c r="U106" s="3" t="s">
        <v>35</v>
      </c>
      <c r="V106" s="3" t="s">
        <v>84</v>
      </c>
      <c r="W106" s="3">
        <v>2</v>
      </c>
      <c r="X106" s="3">
        <v>3</v>
      </c>
      <c r="Y106" s="3">
        <v>3</v>
      </c>
      <c r="Z106" s="3">
        <v>0</v>
      </c>
      <c r="AA106" s="3">
        <v>-1</v>
      </c>
      <c r="AB106" s="12">
        <f>(W106*4+X106*1+Y106*-2+Z106*-3)/W106</f>
        <v>2.5</v>
      </c>
      <c r="AC106" s="3">
        <f>W106*12.0107+X106*1.00784+Y106*15.999+Z106*14.0067</f>
        <v>75.041920000000005</v>
      </c>
      <c r="AD106" s="12">
        <v>112</v>
      </c>
      <c r="AE106" s="3" t="s">
        <v>85</v>
      </c>
      <c r="AF106" s="3" t="s">
        <v>86</v>
      </c>
      <c r="AG106" s="2" t="str">
        <f>IF(AD106&gt;37,"Proton symporter", "Diffusion")</f>
        <v>Proton symporter</v>
      </c>
      <c r="AH106" s="2" t="s">
        <v>87</v>
      </c>
    </row>
    <row r="107" spans="1:34" hidden="1" x14ac:dyDescent="0.2">
      <c r="A107" s="8" t="s">
        <v>350</v>
      </c>
      <c r="B107" s="17" t="s">
        <v>64</v>
      </c>
      <c r="C107" t="s">
        <v>352</v>
      </c>
      <c r="D107" s="13" t="s">
        <v>51</v>
      </c>
      <c r="E107" t="s">
        <v>82</v>
      </c>
      <c r="F107" t="s">
        <v>83</v>
      </c>
      <c r="G107">
        <v>-10</v>
      </c>
      <c r="H107">
        <v>0</v>
      </c>
      <c r="I107">
        <v>0</v>
      </c>
      <c r="J107">
        <v>0.45</v>
      </c>
      <c r="K107">
        <v>-10</v>
      </c>
      <c r="L107">
        <v>0</v>
      </c>
      <c r="M107" s="26">
        <v>6.1268292682926901</v>
      </c>
      <c r="N107">
        <v>0</v>
      </c>
      <c r="O107">
        <v>0.76585365853658605</v>
      </c>
      <c r="P107"/>
      <c r="Q107">
        <v>7.6585365853658605E-2</v>
      </c>
      <c r="R107" s="26">
        <v>0.186558890850098</v>
      </c>
      <c r="S107" s="3" t="str">
        <f>VLOOKUP($E107,'[1]Product Naming'!$A$1:$P$58,2)</f>
        <v>Glycolate</v>
      </c>
      <c r="T107" s="3" t="str">
        <f>VLOOKUP($E107,'[1]Product Naming'!$A$1:$P$58,3)</f>
        <v>Glycolate</v>
      </c>
      <c r="U107" s="3" t="str">
        <f>VLOOKUP($E107,'[1]Product Naming'!$A$1:$P$58,4)</f>
        <v>iJO1366</v>
      </c>
      <c r="V107" s="3" t="str">
        <f>VLOOKUP($E107,'[1]Product Naming'!$A$1:$P$58,5)</f>
        <v>C2H3O3</v>
      </c>
      <c r="W107" s="3">
        <f>VLOOKUP($E107,'[1]Product Naming'!$A$1:$P$58,6)</f>
        <v>2</v>
      </c>
      <c r="X107" s="3">
        <f>VLOOKUP($E107,'[1]Product Naming'!$A$1:$P$58,7)</f>
        <v>3</v>
      </c>
      <c r="Y107" s="3">
        <f>VLOOKUP($E107,'[1]Product Naming'!$A$1:$P$58,8)</f>
        <v>3</v>
      </c>
      <c r="Z107" s="3">
        <f>VLOOKUP($E107,'[1]Product Naming'!$A$1:$P$58,9)</f>
        <v>0</v>
      </c>
      <c r="AA107" s="3">
        <f>VLOOKUP($E107,'[1]Product Naming'!$A$1:$P$58,10)</f>
        <v>-1</v>
      </c>
      <c r="AB107" s="3">
        <f>VLOOKUP($E107,'[1]Product Naming'!$A$1:$P$58,11)</f>
        <v>2.5</v>
      </c>
      <c r="AC107" s="3">
        <f>VLOOKUP($E107,'[1]Product Naming'!$A$1:$P$58,12)</f>
        <v>75.041920000000005</v>
      </c>
      <c r="AD107" s="3">
        <f>VLOOKUP($E107,'[1]Product Naming'!$A$1:$P$58,13)</f>
        <v>112</v>
      </c>
      <c r="AE107" s="3" t="str">
        <f>VLOOKUP($E107,'[1]Product Naming'!$A$1:$P$58,14)</f>
        <v>Carboxylate + Alcohol (hydroxy carboxylate)</v>
      </c>
      <c r="AF107" s="3" t="str">
        <f>VLOOKUP($E107,'[1]Product Naming'!$A$1:$P$58,15)</f>
        <v>Glyoxylate (*isocitrate)</v>
      </c>
      <c r="AG107" s="3" t="str">
        <f>VLOOKUP($E107,'[1]Product Naming'!$A$1:$P$58,16)</f>
        <v>Proton symporter</v>
      </c>
      <c r="AH107" s="3" t="str">
        <f>VLOOKUP($E107,'[1]Product Naming'!$A$1:$Q$58,17)</f>
        <v>glyclt_c</v>
      </c>
    </row>
    <row r="108" spans="1:34" hidden="1" x14ac:dyDescent="0.2">
      <c r="A108" s="16" t="s">
        <v>74</v>
      </c>
      <c r="B108" s="9" t="s">
        <v>35</v>
      </c>
      <c r="C108" t="s">
        <v>52</v>
      </c>
      <c r="D108" s="13" t="s">
        <v>51</v>
      </c>
      <c r="E108" t="s">
        <v>82</v>
      </c>
      <c r="F108" t="s">
        <v>83</v>
      </c>
      <c r="G108">
        <v>-10</v>
      </c>
      <c r="H108">
        <v>-20</v>
      </c>
      <c r="I108" s="1" t="s">
        <v>40</v>
      </c>
      <c r="J108">
        <v>3.15</v>
      </c>
      <c r="K108">
        <v>-10</v>
      </c>
      <c r="L108">
        <v>-3.3840909090909101</v>
      </c>
      <c r="M108" s="1" t="s">
        <v>40</v>
      </c>
      <c r="N108">
        <v>7.8454545454545501</v>
      </c>
      <c r="O108">
        <v>1.07727272727273</v>
      </c>
      <c r="P108"/>
      <c r="Q108">
        <v>0.107727272727273</v>
      </c>
      <c r="R108">
        <v>0.17562745237451999</v>
      </c>
      <c r="S108" s="3" t="s">
        <v>82</v>
      </c>
      <c r="T108" s="3" t="s">
        <v>82</v>
      </c>
      <c r="U108" s="3" t="s">
        <v>35</v>
      </c>
      <c r="V108" s="3" t="s">
        <v>84</v>
      </c>
      <c r="W108" s="3">
        <v>2</v>
      </c>
      <c r="X108" s="3">
        <v>3</v>
      </c>
      <c r="Y108" s="3">
        <v>3</v>
      </c>
      <c r="Z108" s="3">
        <v>0</v>
      </c>
      <c r="AA108" s="3">
        <v>-1</v>
      </c>
      <c r="AB108" s="12">
        <f>(W108*4+X108*1+Y108*-2+Z108*-3)/W108</f>
        <v>2.5</v>
      </c>
      <c r="AC108" s="3">
        <f>W108*12.0107+X108*1.00784+Y108*15.999+Z108*14.0067</f>
        <v>75.041920000000005</v>
      </c>
      <c r="AD108" s="12">
        <v>112</v>
      </c>
      <c r="AE108" s="3" t="s">
        <v>85</v>
      </c>
      <c r="AF108" s="3" t="s">
        <v>86</v>
      </c>
      <c r="AG108" s="2" t="str">
        <f>IF(AD108&gt;37,"Proton symporter", "Diffusion")</f>
        <v>Proton symporter</v>
      </c>
      <c r="AH108" s="2" t="s">
        <v>87</v>
      </c>
    </row>
    <row r="109" spans="1:34" hidden="1" x14ac:dyDescent="0.2">
      <c r="A109" s="16" t="s">
        <v>74</v>
      </c>
      <c r="B109" s="9" t="s">
        <v>35</v>
      </c>
      <c r="C109" t="s">
        <v>52</v>
      </c>
      <c r="D109" s="13" t="s">
        <v>51</v>
      </c>
      <c r="E109" t="s">
        <v>88</v>
      </c>
      <c r="F109" t="s">
        <v>89</v>
      </c>
      <c r="G109">
        <v>-10</v>
      </c>
      <c r="H109">
        <v>-20</v>
      </c>
      <c r="I109" s="1" t="s">
        <v>40</v>
      </c>
      <c r="J109">
        <v>3.15</v>
      </c>
      <c r="K109">
        <v>-10</v>
      </c>
      <c r="L109">
        <v>-3.2867469879518101</v>
      </c>
      <c r="M109" s="1" t="s">
        <v>40</v>
      </c>
      <c r="N109">
        <v>7.7156626506024102</v>
      </c>
      <c r="O109">
        <v>0.57108433734939901</v>
      </c>
      <c r="P109"/>
      <c r="Q109">
        <v>5.7108433734939901E-2</v>
      </c>
      <c r="R109">
        <v>0.16385679806666101</v>
      </c>
      <c r="S109" s="3" t="s">
        <v>88</v>
      </c>
      <c r="T109" s="3" t="s">
        <v>90</v>
      </c>
      <c r="U109" s="3" t="s">
        <v>35</v>
      </c>
      <c r="V109" s="3" t="s">
        <v>91</v>
      </c>
      <c r="W109" s="3">
        <v>4</v>
      </c>
      <c r="X109" s="3">
        <v>4</v>
      </c>
      <c r="Y109" s="3">
        <v>5</v>
      </c>
      <c r="Z109" s="3">
        <v>0</v>
      </c>
      <c r="AA109" s="3">
        <v>-2</v>
      </c>
      <c r="AB109" s="12">
        <f>(W109*4+X109*1+Y109*-2+Z109*-3)/W109</f>
        <v>2.5</v>
      </c>
      <c r="AC109" s="3">
        <f>W109*12.0107+X109*1.00784+Y109*15.999+Z109*14.0067</f>
        <v>132.06916000000001</v>
      </c>
      <c r="AD109" s="12" t="s">
        <v>40</v>
      </c>
      <c r="AE109" s="3" t="s">
        <v>43</v>
      </c>
      <c r="AF109" s="3" t="s">
        <v>44</v>
      </c>
      <c r="AG109" s="2" t="s">
        <v>92</v>
      </c>
      <c r="AH109" s="2" t="s">
        <v>93</v>
      </c>
    </row>
    <row r="110" spans="1:34" hidden="1" x14ac:dyDescent="0.2">
      <c r="A110" s="16" t="s">
        <v>74</v>
      </c>
      <c r="B110" s="9" t="s">
        <v>35</v>
      </c>
      <c r="C110" t="s">
        <v>52</v>
      </c>
      <c r="D110" s="13" t="s">
        <v>51</v>
      </c>
      <c r="E110" t="s">
        <v>75</v>
      </c>
      <c r="F110" t="s">
        <v>76</v>
      </c>
      <c r="G110">
        <v>-10</v>
      </c>
      <c r="H110">
        <v>-20</v>
      </c>
      <c r="I110" s="1" t="s">
        <v>40</v>
      </c>
      <c r="J110">
        <v>3.15</v>
      </c>
      <c r="K110">
        <v>-10</v>
      </c>
      <c r="L110">
        <v>-3.2225000000000001</v>
      </c>
      <c r="M110" s="1" t="s">
        <v>40</v>
      </c>
      <c r="N110">
        <v>7.63</v>
      </c>
      <c r="O110">
        <v>0.39500000000000002</v>
      </c>
      <c r="P110"/>
      <c r="Q110">
        <v>3.9500000000000098E-2</v>
      </c>
      <c r="R110">
        <v>0.16227183812155699</v>
      </c>
      <c r="S110" s="3" t="s">
        <v>75</v>
      </c>
      <c r="T110" s="3" t="s">
        <v>75</v>
      </c>
      <c r="U110" s="3" t="s">
        <v>35</v>
      </c>
      <c r="V110" s="3" t="s">
        <v>77</v>
      </c>
      <c r="W110" s="3">
        <v>6</v>
      </c>
      <c r="X110" s="3">
        <v>5</v>
      </c>
      <c r="Y110" s="3">
        <v>7</v>
      </c>
      <c r="Z110" s="3">
        <v>0</v>
      </c>
      <c r="AA110" s="3">
        <v>-3</v>
      </c>
      <c r="AB110" s="12">
        <f>(W110*4+X110*1+Y110*-2+Z110*-3)/W110</f>
        <v>2.5</v>
      </c>
      <c r="AC110" s="3">
        <f>W110*12.0107+X110*1.00784+Y110*15.999+Z110*14.0067</f>
        <v>189.09640000000002</v>
      </c>
      <c r="AD110" s="12" t="s">
        <v>40</v>
      </c>
      <c r="AE110" s="3" t="s">
        <v>78</v>
      </c>
      <c r="AF110" s="3" t="s">
        <v>79</v>
      </c>
      <c r="AG110" s="2" t="s">
        <v>80</v>
      </c>
      <c r="AH110" s="2" t="s">
        <v>81</v>
      </c>
    </row>
    <row r="111" spans="1:34" hidden="1" x14ac:dyDescent="0.2">
      <c r="A111" s="16" t="s">
        <v>63</v>
      </c>
      <c r="B111" s="17" t="s">
        <v>64</v>
      </c>
      <c r="C111" t="s">
        <v>71</v>
      </c>
      <c r="D111" s="18" t="s">
        <v>66</v>
      </c>
      <c r="E111" t="s">
        <v>82</v>
      </c>
      <c r="F111" t="s">
        <v>83</v>
      </c>
      <c r="G111">
        <v>-10</v>
      </c>
      <c r="H111">
        <v>0</v>
      </c>
      <c r="I111">
        <v>-5</v>
      </c>
      <c r="J111">
        <v>0.45</v>
      </c>
      <c r="K111">
        <v>-10</v>
      </c>
      <c r="L111">
        <v>0</v>
      </c>
      <c r="M111">
        <v>-5</v>
      </c>
      <c r="N111">
        <v>1.50344827586207</v>
      </c>
      <c r="O111">
        <v>0.99655172413793103</v>
      </c>
      <c r="P111"/>
      <c r="Q111">
        <v>9.9655172413793097E-2</v>
      </c>
      <c r="R111">
        <v>0.15897914684355499</v>
      </c>
      <c r="S111" s="3" t="s">
        <v>82</v>
      </c>
      <c r="T111" s="3" t="s">
        <v>82</v>
      </c>
      <c r="U111" s="3" t="s">
        <v>35</v>
      </c>
      <c r="V111" s="3" t="s">
        <v>84</v>
      </c>
      <c r="W111" s="3">
        <v>2</v>
      </c>
      <c r="X111" s="3">
        <v>3</v>
      </c>
      <c r="Y111" s="3">
        <v>3</v>
      </c>
      <c r="Z111" s="3">
        <v>0</v>
      </c>
      <c r="AA111" s="3">
        <v>-1</v>
      </c>
      <c r="AB111" s="12">
        <f>(W111*4+X111*1+Y111*-2+Z111*-3)/W111</f>
        <v>2.5</v>
      </c>
      <c r="AC111" s="3">
        <f>W111*12.0107+X111*1.00784+Y111*15.999+Z111*14.0067</f>
        <v>75.041920000000005</v>
      </c>
      <c r="AD111" s="12">
        <v>112</v>
      </c>
      <c r="AE111" s="3" t="s">
        <v>85</v>
      </c>
      <c r="AF111" s="3" t="s">
        <v>86</v>
      </c>
      <c r="AG111" s="2" t="str">
        <f>IF(AD111&gt;37,"Proton symporter", "Diffusion")</f>
        <v>Proton symporter</v>
      </c>
      <c r="AH111" s="2" t="s">
        <v>87</v>
      </c>
    </row>
    <row r="112" spans="1:34" hidden="1" x14ac:dyDescent="0.2">
      <c r="A112" s="8" t="s">
        <v>368</v>
      </c>
      <c r="B112" s="17" t="s">
        <v>64</v>
      </c>
      <c r="C112" t="s">
        <v>369</v>
      </c>
      <c r="D112" s="18" t="s">
        <v>66</v>
      </c>
      <c r="E112" t="s">
        <v>82</v>
      </c>
      <c r="F112" t="s">
        <v>83</v>
      </c>
      <c r="G112">
        <v>-10</v>
      </c>
      <c r="H112">
        <v>0</v>
      </c>
      <c r="I112">
        <v>-20</v>
      </c>
      <c r="J112">
        <v>0.45</v>
      </c>
      <c r="K112">
        <v>-10</v>
      </c>
      <c r="L112">
        <v>0</v>
      </c>
      <c r="M112">
        <v>-20</v>
      </c>
      <c r="N112">
        <v>-10</v>
      </c>
      <c r="O112">
        <v>0.87999999999999901</v>
      </c>
      <c r="P112"/>
      <c r="Q112">
        <v>8.7999999999999995E-2</v>
      </c>
      <c r="R112">
        <v>0.13745657882685899</v>
      </c>
      <c r="S112" s="1" t="str">
        <f>VLOOKUP($E112,'[1]Product Naming'!$A$1:$P$58,2)</f>
        <v>Glycolate</v>
      </c>
      <c r="T112" s="1" t="str">
        <f>VLOOKUP($E112,'[1]Product Naming'!$A$1:$P$58,3)</f>
        <v>Glycolate</v>
      </c>
      <c r="U112" s="1" t="str">
        <f>VLOOKUP($E112,'[1]Product Naming'!$A$1:$P$58,4)</f>
        <v>iJO1366</v>
      </c>
      <c r="V112" s="1" t="str">
        <f>VLOOKUP($E112,'[1]Product Naming'!$A$1:$P$58,5)</f>
        <v>C2H3O3</v>
      </c>
      <c r="W112" s="1">
        <f>VLOOKUP($E112,'[1]Product Naming'!$A$1:$P$58,6)</f>
        <v>2</v>
      </c>
      <c r="X112" s="1">
        <f>VLOOKUP($E112,'[1]Product Naming'!$A$1:$P$58,7)</f>
        <v>3</v>
      </c>
      <c r="Y112" s="1">
        <f>VLOOKUP($E112,'[1]Product Naming'!$A$1:$P$58,8)</f>
        <v>3</v>
      </c>
      <c r="Z112" s="1">
        <f>VLOOKUP($E112,'[1]Product Naming'!$A$1:$P$58,9)</f>
        <v>0</v>
      </c>
      <c r="AA112" s="1">
        <f>VLOOKUP($E112,'[1]Product Naming'!$A$1:$P$58,10)</f>
        <v>-1</v>
      </c>
      <c r="AB112" s="27">
        <f>VLOOKUP($E112,'[1]Product Naming'!$A$1:$P$58,11)</f>
        <v>2.5</v>
      </c>
      <c r="AC112" s="3">
        <f>VLOOKUP($E112,'[1]Product Naming'!$A$1:$P$58,12)</f>
        <v>75.041920000000005</v>
      </c>
      <c r="AD112" s="1">
        <f>VLOOKUP($E112,'[1]Product Naming'!$A$1:$P$58,13)</f>
        <v>112</v>
      </c>
      <c r="AE112" s="1" t="str">
        <f>VLOOKUP($E112,'[1]Product Naming'!$A$1:$P$58,14)</f>
        <v>Carboxylate + Alcohol (hydroxy carboxylate)</v>
      </c>
      <c r="AF112" s="1" t="str">
        <f>VLOOKUP($E112,'[1]Product Naming'!$A$1:$P$58,15)</f>
        <v>Glyoxylate (*isocitrate)</v>
      </c>
      <c r="AG112" s="28" t="str">
        <f>VLOOKUP($E112,'[1]Product Naming'!$A$1:$P$58,16)</f>
        <v>Proton symporter</v>
      </c>
      <c r="AH112" s="3" t="str">
        <f>VLOOKUP($E112,'[1]Product Naming'!$A$1:$Q$58,17)</f>
        <v>glyclt_c</v>
      </c>
    </row>
    <row r="113" spans="1:34" hidden="1" x14ac:dyDescent="0.2">
      <c r="A113" s="16" t="s">
        <v>63</v>
      </c>
      <c r="B113" s="17" t="s">
        <v>64</v>
      </c>
      <c r="C113" t="s">
        <v>70</v>
      </c>
      <c r="D113" s="18" t="s">
        <v>66</v>
      </c>
      <c r="E113" t="s">
        <v>82</v>
      </c>
      <c r="F113" t="s">
        <v>83</v>
      </c>
      <c r="G113">
        <v>-10</v>
      </c>
      <c r="H113">
        <v>0</v>
      </c>
      <c r="I113">
        <v>0</v>
      </c>
      <c r="J113">
        <v>0.45</v>
      </c>
      <c r="K113">
        <v>-10</v>
      </c>
      <c r="L113">
        <v>0</v>
      </c>
      <c r="M113">
        <v>0</v>
      </c>
      <c r="N113">
        <v>4.2620689655172397</v>
      </c>
      <c r="O113">
        <v>0.73793103448275899</v>
      </c>
      <c r="P113"/>
      <c r="Q113">
        <v>7.3793103448275901E-2</v>
      </c>
      <c r="R113">
        <v>0.120304677110321</v>
      </c>
      <c r="S113" s="3" t="s">
        <v>82</v>
      </c>
      <c r="T113" s="3" t="s">
        <v>82</v>
      </c>
      <c r="U113" s="3" t="s">
        <v>35</v>
      </c>
      <c r="V113" s="3" t="s">
        <v>84</v>
      </c>
      <c r="W113" s="3">
        <v>2</v>
      </c>
      <c r="X113" s="3">
        <v>3</v>
      </c>
      <c r="Y113" s="3">
        <v>3</v>
      </c>
      <c r="Z113" s="3">
        <v>0</v>
      </c>
      <c r="AA113" s="3">
        <v>-1</v>
      </c>
      <c r="AB113" s="12">
        <f>(W113*4+X113*1+Y113*-2+Z113*-3)/W113</f>
        <v>2.5</v>
      </c>
      <c r="AC113" s="3">
        <f>W113*12.0107+X113*1.00784+Y113*15.999+Z113*14.0067</f>
        <v>75.041920000000005</v>
      </c>
      <c r="AD113" s="12">
        <v>112</v>
      </c>
      <c r="AE113" s="3" t="s">
        <v>85</v>
      </c>
      <c r="AF113" s="3" t="s">
        <v>86</v>
      </c>
      <c r="AG113" s="2" t="str">
        <f>IF(AD113&gt;37,"Proton symporter", "Diffusion")</f>
        <v>Proton symporter</v>
      </c>
      <c r="AH113" s="2" t="s">
        <v>87</v>
      </c>
    </row>
    <row r="114" spans="1:34" hidden="1" x14ac:dyDescent="0.2">
      <c r="A114" s="8" t="s">
        <v>350</v>
      </c>
      <c r="B114" s="17" t="s">
        <v>64</v>
      </c>
      <c r="C114" t="s">
        <v>351</v>
      </c>
      <c r="D114" s="13" t="s">
        <v>51</v>
      </c>
      <c r="E114" t="s">
        <v>82</v>
      </c>
      <c r="F114" t="s">
        <v>83</v>
      </c>
      <c r="G114">
        <v>-10</v>
      </c>
      <c r="H114">
        <v>0</v>
      </c>
      <c r="I114">
        <v>0</v>
      </c>
      <c r="J114">
        <v>0.45</v>
      </c>
      <c r="K114">
        <v>-10</v>
      </c>
      <c r="L114">
        <v>0</v>
      </c>
      <c r="M114" s="26">
        <v>2.9818181818181699</v>
      </c>
      <c r="N114">
        <v>0</v>
      </c>
      <c r="O114">
        <v>0.37272727272727302</v>
      </c>
      <c r="P114"/>
      <c r="Q114" s="26">
        <v>3.7272727272727298E-2</v>
      </c>
      <c r="R114">
        <v>8.8963856553210693E-2</v>
      </c>
      <c r="S114" s="3" t="str">
        <f>VLOOKUP($E114,'[1]Product Naming'!$A$1:$P$58,2)</f>
        <v>Glycolate</v>
      </c>
      <c r="T114" s="3" t="str">
        <f>VLOOKUP($E114,'[1]Product Naming'!$A$1:$P$58,3)</f>
        <v>Glycolate</v>
      </c>
      <c r="U114" s="3" t="str">
        <f>VLOOKUP($E114,'[1]Product Naming'!$A$1:$P$58,4)</f>
        <v>iJO1366</v>
      </c>
      <c r="V114" s="3" t="str">
        <f>VLOOKUP($E114,'[1]Product Naming'!$A$1:$P$58,5)</f>
        <v>C2H3O3</v>
      </c>
      <c r="W114" s="3">
        <f>VLOOKUP($E114,'[1]Product Naming'!$A$1:$P$58,6)</f>
        <v>2</v>
      </c>
      <c r="X114" s="3">
        <f>VLOOKUP($E114,'[1]Product Naming'!$A$1:$P$58,7)</f>
        <v>3</v>
      </c>
      <c r="Y114" s="3">
        <f>VLOOKUP($E114,'[1]Product Naming'!$A$1:$P$58,8)</f>
        <v>3</v>
      </c>
      <c r="Z114" s="3">
        <f>VLOOKUP($E114,'[1]Product Naming'!$A$1:$P$58,9)</f>
        <v>0</v>
      </c>
      <c r="AA114" s="3">
        <f>VLOOKUP($E114,'[1]Product Naming'!$A$1:$P$58,10)</f>
        <v>-1</v>
      </c>
      <c r="AB114" s="3">
        <f>VLOOKUP($E114,'[1]Product Naming'!$A$1:$P$58,11)</f>
        <v>2.5</v>
      </c>
      <c r="AC114" s="3">
        <f>VLOOKUP($E114,'[1]Product Naming'!$A$1:$P$58,12)</f>
        <v>75.041920000000005</v>
      </c>
      <c r="AD114" s="3">
        <f>VLOOKUP($E114,'[1]Product Naming'!$A$1:$P$58,13)</f>
        <v>112</v>
      </c>
      <c r="AE114" s="3" t="str">
        <f>VLOOKUP($E114,'[1]Product Naming'!$A$1:$P$58,14)</f>
        <v>Carboxylate + Alcohol (hydroxy carboxylate)</v>
      </c>
      <c r="AF114" s="3" t="str">
        <f>VLOOKUP($E114,'[1]Product Naming'!$A$1:$P$58,15)</f>
        <v>Glyoxylate (*isocitrate)</v>
      </c>
      <c r="AG114" s="3" t="str">
        <f>VLOOKUP($E114,'[1]Product Naming'!$A$1:$P$58,16)</f>
        <v>Proton symporter</v>
      </c>
      <c r="AH114" s="3" t="str">
        <f>VLOOKUP($E114,'[1]Product Naming'!$A$1:$Q$58,17)</f>
        <v>glyclt_c</v>
      </c>
    </row>
    <row r="115" spans="1:34" hidden="1" x14ac:dyDescent="0.2">
      <c r="A115" s="16" t="s">
        <v>74</v>
      </c>
      <c r="B115" s="9" t="s">
        <v>35</v>
      </c>
      <c r="C115" t="s">
        <v>53</v>
      </c>
      <c r="D115" s="13" t="s">
        <v>51</v>
      </c>
      <c r="E115" t="s">
        <v>82</v>
      </c>
      <c r="F115" t="s">
        <v>83</v>
      </c>
      <c r="G115">
        <v>-10</v>
      </c>
      <c r="H115">
        <v>-20</v>
      </c>
      <c r="I115" s="1" t="s">
        <v>40</v>
      </c>
      <c r="J115">
        <v>3.15</v>
      </c>
      <c r="K115">
        <v>-10</v>
      </c>
      <c r="L115">
        <v>-4.2715163934426297</v>
      </c>
      <c r="M115" s="1" t="s">
        <v>40</v>
      </c>
      <c r="N115">
        <v>9.0286885245901694</v>
      </c>
      <c r="O115">
        <v>0.48565573770491899</v>
      </c>
      <c r="P115"/>
      <c r="Q115">
        <v>4.85655737704919E-2</v>
      </c>
      <c r="R115">
        <v>7.9176310496709701E-2</v>
      </c>
      <c r="S115" s="3" t="s">
        <v>82</v>
      </c>
      <c r="T115" s="3" t="s">
        <v>82</v>
      </c>
      <c r="U115" s="3" t="s">
        <v>35</v>
      </c>
      <c r="V115" s="3" t="s">
        <v>84</v>
      </c>
      <c r="W115" s="3">
        <v>2</v>
      </c>
      <c r="X115" s="3">
        <v>3</v>
      </c>
      <c r="Y115" s="3">
        <v>3</v>
      </c>
      <c r="Z115" s="3">
        <v>0</v>
      </c>
      <c r="AA115" s="3">
        <v>-1</v>
      </c>
      <c r="AB115" s="12">
        <f>(W115*4+X115*1+Y115*-2+Z115*-3)/W115</f>
        <v>2.5</v>
      </c>
      <c r="AC115" s="3">
        <f>W115*12.0107+X115*1.00784+Y115*15.999+Z115*14.0067</f>
        <v>75.041920000000005</v>
      </c>
      <c r="AD115" s="12">
        <v>112</v>
      </c>
      <c r="AE115" s="3" t="s">
        <v>85</v>
      </c>
      <c r="AF115" s="3" t="s">
        <v>86</v>
      </c>
      <c r="AG115" s="2" t="str">
        <f>IF(AD115&gt;37,"Proton symporter", "Diffusion")</f>
        <v>Proton symporter</v>
      </c>
      <c r="AH115" s="2" t="s">
        <v>87</v>
      </c>
    </row>
    <row r="116" spans="1:34" hidden="1" x14ac:dyDescent="0.2">
      <c r="A116" s="16" t="s">
        <v>74</v>
      </c>
      <c r="B116" s="9" t="s">
        <v>35</v>
      </c>
      <c r="C116" t="s">
        <v>53</v>
      </c>
      <c r="D116" s="13" t="s">
        <v>51</v>
      </c>
      <c r="E116" t="s">
        <v>88</v>
      </c>
      <c r="F116" t="s">
        <v>89</v>
      </c>
      <c r="G116">
        <v>-10</v>
      </c>
      <c r="H116">
        <v>-20</v>
      </c>
      <c r="I116" s="1" t="s">
        <v>40</v>
      </c>
      <c r="J116">
        <v>3.15</v>
      </c>
      <c r="K116">
        <v>-10</v>
      </c>
      <c r="L116">
        <v>-4.1722933643771798</v>
      </c>
      <c r="M116" s="1" t="s">
        <v>40</v>
      </c>
      <c r="N116">
        <v>8.8963911525029093</v>
      </c>
      <c r="O116">
        <v>0.27590221187427</v>
      </c>
      <c r="P116"/>
      <c r="Q116">
        <v>2.7590221187426999E-2</v>
      </c>
      <c r="R116">
        <v>7.9162481021727099E-2</v>
      </c>
      <c r="S116" s="3" t="s">
        <v>88</v>
      </c>
      <c r="T116" s="3" t="s">
        <v>90</v>
      </c>
      <c r="U116" s="3" t="s">
        <v>35</v>
      </c>
      <c r="V116" s="3" t="s">
        <v>91</v>
      </c>
      <c r="W116" s="3">
        <v>4</v>
      </c>
      <c r="X116" s="3">
        <v>4</v>
      </c>
      <c r="Y116" s="3">
        <v>5</v>
      </c>
      <c r="Z116" s="3">
        <v>0</v>
      </c>
      <c r="AA116" s="3">
        <v>-2</v>
      </c>
      <c r="AB116" s="12">
        <f>(W116*4+X116*1+Y116*-2+Z116*-3)/W116</f>
        <v>2.5</v>
      </c>
      <c r="AC116" s="3">
        <f>W116*12.0107+X116*1.00784+Y116*15.999+Z116*14.0067</f>
        <v>132.06916000000001</v>
      </c>
      <c r="AD116" s="12" t="s">
        <v>40</v>
      </c>
      <c r="AE116" s="3" t="s">
        <v>43</v>
      </c>
      <c r="AF116" s="3" t="s">
        <v>44</v>
      </c>
      <c r="AG116" s="2" t="s">
        <v>92</v>
      </c>
      <c r="AH116" s="2" t="s">
        <v>93</v>
      </c>
    </row>
    <row r="117" spans="1:34" hidden="1" x14ac:dyDescent="0.2">
      <c r="A117" s="16" t="s">
        <v>74</v>
      </c>
      <c r="B117" s="9" t="s">
        <v>35</v>
      </c>
      <c r="C117" t="s">
        <v>53</v>
      </c>
      <c r="D117" s="13" t="s">
        <v>51</v>
      </c>
      <c r="E117" t="s">
        <v>75</v>
      </c>
      <c r="F117" t="s">
        <v>76</v>
      </c>
      <c r="G117">
        <v>-10</v>
      </c>
      <c r="H117">
        <v>-20</v>
      </c>
      <c r="I117" s="1" t="s">
        <v>40</v>
      </c>
      <c r="J117">
        <v>3.15</v>
      </c>
      <c r="K117">
        <v>-10</v>
      </c>
      <c r="L117">
        <v>-4.1399193548387103</v>
      </c>
      <c r="M117" s="1" t="s">
        <v>40</v>
      </c>
      <c r="N117">
        <v>8.8532258064516096</v>
      </c>
      <c r="O117">
        <v>0.19112903225806399</v>
      </c>
      <c r="P117"/>
      <c r="Q117">
        <v>1.9112903225806398E-2</v>
      </c>
      <c r="R117">
        <v>7.8518631349140097E-2</v>
      </c>
      <c r="S117" s="3" t="s">
        <v>75</v>
      </c>
      <c r="T117" s="3" t="s">
        <v>75</v>
      </c>
      <c r="U117" s="3" t="s">
        <v>35</v>
      </c>
      <c r="V117" s="3" t="s">
        <v>77</v>
      </c>
      <c r="W117" s="3">
        <v>6</v>
      </c>
      <c r="X117" s="3">
        <v>5</v>
      </c>
      <c r="Y117" s="3">
        <v>7</v>
      </c>
      <c r="Z117" s="3">
        <v>0</v>
      </c>
      <c r="AA117" s="3">
        <v>-3</v>
      </c>
      <c r="AB117" s="12">
        <f>(W117*4+X117*1+Y117*-2+Z117*-3)/W117</f>
        <v>2.5</v>
      </c>
      <c r="AC117" s="3">
        <f>W117*12.0107+X117*1.00784+Y117*15.999+Z117*14.0067</f>
        <v>189.09640000000002</v>
      </c>
      <c r="AD117" s="12" t="s">
        <v>40</v>
      </c>
      <c r="AE117" s="3" t="s">
        <v>78</v>
      </c>
      <c r="AF117" s="3" t="s">
        <v>79</v>
      </c>
      <c r="AG117" s="2" t="s">
        <v>80</v>
      </c>
      <c r="AH117" s="2" t="s">
        <v>81</v>
      </c>
    </row>
    <row r="118" spans="1:34" hidden="1" x14ac:dyDescent="0.2">
      <c r="A118" s="8" t="s">
        <v>34</v>
      </c>
      <c r="B118" s="9" t="s">
        <v>35</v>
      </c>
      <c r="C118" s="1" t="s">
        <v>49</v>
      </c>
      <c r="D118" s="10" t="s">
        <v>37</v>
      </c>
      <c r="E118" s="1" t="s">
        <v>94</v>
      </c>
      <c r="F118" s="1" t="s">
        <v>95</v>
      </c>
      <c r="G118" s="1">
        <v>-10</v>
      </c>
      <c r="H118" s="1">
        <v>-20</v>
      </c>
      <c r="I118" s="1" t="s">
        <v>40</v>
      </c>
      <c r="J118" s="1">
        <v>3.15</v>
      </c>
      <c r="K118" s="1">
        <v>-10</v>
      </c>
      <c r="L118" s="1">
        <v>-11.5702247191011</v>
      </c>
      <c r="M118" s="1" t="s">
        <v>40</v>
      </c>
      <c r="N118" s="1">
        <v>-5.8016853932584302</v>
      </c>
      <c r="O118" s="1">
        <v>3.68595505617977</v>
      </c>
      <c r="Q118" s="1">
        <v>0.36859550561797699</v>
      </c>
      <c r="R118" s="1">
        <v>1.45689792682938</v>
      </c>
      <c r="S118" s="11" t="s">
        <v>94</v>
      </c>
      <c r="T118" s="2" t="s">
        <v>96</v>
      </c>
      <c r="U118" s="3" t="s">
        <v>41</v>
      </c>
      <c r="V118" s="2" t="s">
        <v>97</v>
      </c>
      <c r="W118" s="2">
        <v>7</v>
      </c>
      <c r="X118" s="2">
        <v>2</v>
      </c>
      <c r="Y118" s="2">
        <v>6</v>
      </c>
      <c r="Z118" s="2">
        <v>0</v>
      </c>
      <c r="AA118" s="2">
        <v>0</v>
      </c>
      <c r="AB118" s="12">
        <f>(W118*4+X118*1+Y118*-2+Z118*-3)/W118</f>
        <v>2.5714285714285716</v>
      </c>
      <c r="AC118" s="3">
        <f>W118*12.0107+X118*1.00784+Y118*15.999+Z118*14.0067</f>
        <v>182.08458000000002</v>
      </c>
      <c r="AD118" s="12">
        <v>355.5</v>
      </c>
      <c r="AE118" s="2" t="s">
        <v>43</v>
      </c>
      <c r="AF118" s="2" t="s">
        <v>98</v>
      </c>
      <c r="AG118" s="2" t="str">
        <f>IF(AD118&gt;37,"Proton symporter", "Diffusion")</f>
        <v>Proton symporter</v>
      </c>
      <c r="AH118" s="3" t="s">
        <v>99</v>
      </c>
    </row>
    <row r="119" spans="1:34" hidden="1" x14ac:dyDescent="0.2">
      <c r="A119" s="8" t="s">
        <v>34</v>
      </c>
      <c r="B119" s="9" t="s">
        <v>35</v>
      </c>
      <c r="C119" s="1" t="s">
        <v>36</v>
      </c>
      <c r="D119" s="10" t="s">
        <v>37</v>
      </c>
      <c r="E119" s="1" t="s">
        <v>94</v>
      </c>
      <c r="F119" s="1" t="s">
        <v>95</v>
      </c>
      <c r="G119" s="1">
        <v>-10</v>
      </c>
      <c r="H119" s="1">
        <v>-20</v>
      </c>
      <c r="I119" s="1" t="s">
        <v>40</v>
      </c>
      <c r="J119" s="1">
        <v>3.15</v>
      </c>
      <c r="K119" s="1">
        <v>-10</v>
      </c>
      <c r="L119" s="1">
        <v>-9.5196629213483206</v>
      </c>
      <c r="M119" s="1" t="s">
        <v>40</v>
      </c>
      <c r="N119" s="1">
        <v>-1.67247191011236</v>
      </c>
      <c r="O119" s="1">
        <v>3.0960674157303401</v>
      </c>
      <c r="Q119" s="1">
        <v>0.30960674157303403</v>
      </c>
      <c r="R119" s="1">
        <v>1.2797357813738699</v>
      </c>
      <c r="S119" s="11" t="s">
        <v>94</v>
      </c>
      <c r="T119" s="2" t="s">
        <v>96</v>
      </c>
      <c r="U119" s="3" t="s">
        <v>41</v>
      </c>
      <c r="V119" s="2" t="s">
        <v>97</v>
      </c>
      <c r="W119" s="2">
        <v>7</v>
      </c>
      <c r="X119" s="2">
        <v>2</v>
      </c>
      <c r="Y119" s="2">
        <v>6</v>
      </c>
      <c r="Z119" s="2">
        <v>0</v>
      </c>
      <c r="AA119" s="2">
        <v>0</v>
      </c>
      <c r="AB119" s="12">
        <f>(W119*4+X119*1+Y119*-2+Z119*-3)/W119</f>
        <v>2.5714285714285716</v>
      </c>
      <c r="AC119" s="3">
        <f>W119*12.0107+X119*1.00784+Y119*15.999+Z119*14.0067</f>
        <v>182.08458000000002</v>
      </c>
      <c r="AD119" s="12">
        <v>355.5</v>
      </c>
      <c r="AE119" s="2" t="s">
        <v>43</v>
      </c>
      <c r="AF119" s="2" t="s">
        <v>98</v>
      </c>
      <c r="AG119" s="2" t="str">
        <f>IF(AD119&gt;37,"Proton symporter", "Diffusion")</f>
        <v>Proton symporter</v>
      </c>
      <c r="AH119" s="3" t="s">
        <v>99</v>
      </c>
    </row>
    <row r="120" spans="1:34" hidden="1" x14ac:dyDescent="0.2">
      <c r="A120" s="8" t="s">
        <v>34</v>
      </c>
      <c r="B120" s="9" t="s">
        <v>35</v>
      </c>
      <c r="C120" s="1" t="s">
        <v>59</v>
      </c>
      <c r="D120" s="13" t="s">
        <v>51</v>
      </c>
      <c r="E120" s="1" t="s">
        <v>94</v>
      </c>
      <c r="F120" s="1" t="s">
        <v>95</v>
      </c>
      <c r="G120" s="1">
        <v>-10</v>
      </c>
      <c r="H120" s="1">
        <v>-20</v>
      </c>
      <c r="I120" s="1" t="s">
        <v>40</v>
      </c>
      <c r="J120" s="1">
        <v>3.15</v>
      </c>
      <c r="K120" s="1">
        <v>-10</v>
      </c>
      <c r="L120" s="1">
        <v>-5.8299445471349403</v>
      </c>
      <c r="M120" s="1" t="s">
        <v>40</v>
      </c>
      <c r="N120" s="1">
        <v>-2.83807763401109</v>
      </c>
      <c r="O120" s="1">
        <v>1.83401109057302</v>
      </c>
      <c r="Q120" s="1">
        <v>0.183401109057301</v>
      </c>
      <c r="R120" s="1">
        <v>1.04224123403636</v>
      </c>
      <c r="S120" s="11" t="s">
        <v>94</v>
      </c>
      <c r="T120" s="2" t="s">
        <v>96</v>
      </c>
      <c r="U120" s="3" t="s">
        <v>41</v>
      </c>
      <c r="V120" s="2" t="s">
        <v>97</v>
      </c>
      <c r="W120" s="2">
        <v>7</v>
      </c>
      <c r="X120" s="2">
        <v>2</v>
      </c>
      <c r="Y120" s="2">
        <v>6</v>
      </c>
      <c r="Z120" s="2">
        <v>0</v>
      </c>
      <c r="AA120" s="2">
        <v>0</v>
      </c>
      <c r="AB120" s="12">
        <f>(W120*4+X120*1+Y120*-2+Z120*-3)/W120</f>
        <v>2.5714285714285716</v>
      </c>
      <c r="AC120" s="3">
        <f>W120*12.0107+X120*1.00784+Y120*15.999+Z120*14.0067</f>
        <v>182.08458000000002</v>
      </c>
      <c r="AD120" s="12">
        <v>355.5</v>
      </c>
      <c r="AE120" s="2" t="s">
        <v>43</v>
      </c>
      <c r="AF120" s="2" t="s">
        <v>98</v>
      </c>
      <c r="AG120" s="2" t="str">
        <f>IF(AD120&gt;37,"Proton symporter", "Diffusion")</f>
        <v>Proton symporter</v>
      </c>
      <c r="AH120" s="3" t="s">
        <v>99</v>
      </c>
    </row>
    <row r="121" spans="1:34" hidden="1" x14ac:dyDescent="0.2">
      <c r="A121" s="8" t="s">
        <v>34</v>
      </c>
      <c r="B121" s="9" t="s">
        <v>35</v>
      </c>
      <c r="C121" s="1" t="s">
        <v>60</v>
      </c>
      <c r="D121" s="13" t="s">
        <v>51</v>
      </c>
      <c r="E121" s="1" t="s">
        <v>94</v>
      </c>
      <c r="F121" s="1" t="s">
        <v>95</v>
      </c>
      <c r="G121" s="1">
        <v>-10</v>
      </c>
      <c r="H121" s="1">
        <v>-20</v>
      </c>
      <c r="I121" s="1" t="s">
        <v>40</v>
      </c>
      <c r="J121" s="1">
        <v>3.15</v>
      </c>
      <c r="K121" s="1">
        <v>-10</v>
      </c>
      <c r="L121" s="1">
        <v>-5.8299445471349403</v>
      </c>
      <c r="M121" s="1" t="s">
        <v>40</v>
      </c>
      <c r="N121" s="1">
        <v>-2.83807763401109</v>
      </c>
      <c r="O121" s="1">
        <v>1.83401109057301</v>
      </c>
      <c r="Q121" s="1">
        <v>0.183401109057301</v>
      </c>
      <c r="R121" s="1">
        <v>1.04224123403636</v>
      </c>
      <c r="S121" s="11" t="s">
        <v>94</v>
      </c>
      <c r="T121" s="2" t="s">
        <v>96</v>
      </c>
      <c r="U121" s="3" t="s">
        <v>41</v>
      </c>
      <c r="V121" s="2" t="s">
        <v>97</v>
      </c>
      <c r="W121" s="2">
        <v>7</v>
      </c>
      <c r="X121" s="2">
        <v>2</v>
      </c>
      <c r="Y121" s="2">
        <v>6</v>
      </c>
      <c r="Z121" s="2">
        <v>0</v>
      </c>
      <c r="AA121" s="2">
        <v>0</v>
      </c>
      <c r="AB121" s="12">
        <f>(W121*4+X121*1+Y121*-2+Z121*-3)/W121</f>
        <v>2.5714285714285716</v>
      </c>
      <c r="AC121" s="3">
        <f>W121*12.0107+X121*1.00784+Y121*15.999+Z121*14.0067</f>
        <v>182.08458000000002</v>
      </c>
      <c r="AD121" s="12">
        <v>355.5</v>
      </c>
      <c r="AE121" s="2" t="s">
        <v>43</v>
      </c>
      <c r="AF121" s="2" t="s">
        <v>98</v>
      </c>
      <c r="AG121" s="2" t="str">
        <f>IF(AD121&gt;37,"Proton symporter", "Diffusion")</f>
        <v>Proton symporter</v>
      </c>
      <c r="AH121" s="3" t="s">
        <v>99</v>
      </c>
    </row>
    <row r="122" spans="1:34" hidden="1" x14ac:dyDescent="0.2">
      <c r="A122" s="8" t="s">
        <v>34</v>
      </c>
      <c r="B122" s="9" t="s">
        <v>35</v>
      </c>
      <c r="C122" s="1" t="s">
        <v>56</v>
      </c>
      <c r="D122" s="14" t="s">
        <v>55</v>
      </c>
      <c r="E122" s="1" t="s">
        <v>94</v>
      </c>
      <c r="F122" s="1" t="s">
        <v>95</v>
      </c>
      <c r="G122" s="1">
        <v>-10</v>
      </c>
      <c r="H122" s="1">
        <v>-20</v>
      </c>
      <c r="I122" s="1" t="s">
        <v>40</v>
      </c>
      <c r="J122" s="1">
        <v>3.15</v>
      </c>
      <c r="K122" s="1">
        <v>-10</v>
      </c>
      <c r="L122" s="1">
        <v>-10.4622030237581</v>
      </c>
      <c r="M122" s="1" t="s">
        <v>40</v>
      </c>
      <c r="N122" s="1">
        <v>-4.3529157667386604</v>
      </c>
      <c r="O122" s="1">
        <v>4.9075593952483798</v>
      </c>
      <c r="Q122" s="1">
        <v>0.49075593952483798</v>
      </c>
      <c r="R122" s="1">
        <v>0.97030494696479597</v>
      </c>
      <c r="S122" s="11" t="s">
        <v>94</v>
      </c>
      <c r="T122" s="2" t="s">
        <v>96</v>
      </c>
      <c r="U122" s="3" t="s">
        <v>41</v>
      </c>
      <c r="V122" s="2" t="s">
        <v>97</v>
      </c>
      <c r="W122" s="2">
        <v>7</v>
      </c>
      <c r="X122" s="2">
        <v>2</v>
      </c>
      <c r="Y122" s="2">
        <v>6</v>
      </c>
      <c r="Z122" s="2">
        <v>0</v>
      </c>
      <c r="AA122" s="2">
        <v>0</v>
      </c>
      <c r="AB122" s="12">
        <f>(W122*4+X122*1+Y122*-2+Z122*-3)/W122</f>
        <v>2.5714285714285716</v>
      </c>
      <c r="AC122" s="3">
        <f>W122*12.0107+X122*1.00784+Y122*15.999+Z122*14.0067</f>
        <v>182.08458000000002</v>
      </c>
      <c r="AD122" s="12">
        <v>355.5</v>
      </c>
      <c r="AE122" s="2" t="s">
        <v>43</v>
      </c>
      <c r="AF122" s="2" t="s">
        <v>98</v>
      </c>
      <c r="AG122" s="2" t="str">
        <f>IF(AD122&gt;37,"Proton symporter", "Diffusion")</f>
        <v>Proton symporter</v>
      </c>
      <c r="AH122" s="3" t="s">
        <v>99</v>
      </c>
    </row>
    <row r="123" spans="1:34" hidden="1" x14ac:dyDescent="0.2">
      <c r="A123" s="8" t="s">
        <v>34</v>
      </c>
      <c r="B123" s="9" t="s">
        <v>35</v>
      </c>
      <c r="C123" s="1" t="s">
        <v>48</v>
      </c>
      <c r="D123" s="10" t="s">
        <v>37</v>
      </c>
      <c r="E123" s="1" t="s">
        <v>94</v>
      </c>
      <c r="F123" s="1" t="s">
        <v>95</v>
      </c>
      <c r="G123" s="1">
        <v>-10</v>
      </c>
      <c r="H123" s="1">
        <v>-20</v>
      </c>
      <c r="I123" s="1" t="s">
        <v>40</v>
      </c>
      <c r="J123" s="1">
        <v>3.15</v>
      </c>
      <c r="K123" s="1">
        <v>-10</v>
      </c>
      <c r="L123" s="1">
        <v>-9.5196629213483206</v>
      </c>
      <c r="M123" s="1" t="s">
        <v>40</v>
      </c>
      <c r="N123" s="1">
        <v>-1.67247191011236</v>
      </c>
      <c r="O123" s="1">
        <v>3.0960674157303401</v>
      </c>
      <c r="Q123" s="1">
        <v>0.30960674157303403</v>
      </c>
      <c r="R123" s="1">
        <v>0.908295204885324</v>
      </c>
      <c r="S123" s="11" t="s">
        <v>94</v>
      </c>
      <c r="T123" s="2" t="s">
        <v>96</v>
      </c>
      <c r="U123" s="3" t="s">
        <v>41</v>
      </c>
      <c r="V123" s="2" t="s">
        <v>97</v>
      </c>
      <c r="W123" s="2">
        <v>7</v>
      </c>
      <c r="X123" s="2">
        <v>2</v>
      </c>
      <c r="Y123" s="2">
        <v>6</v>
      </c>
      <c r="Z123" s="2">
        <v>0</v>
      </c>
      <c r="AA123" s="2">
        <v>0</v>
      </c>
      <c r="AB123" s="12">
        <f>(W123*4+X123*1+Y123*-2+Z123*-3)/W123</f>
        <v>2.5714285714285716</v>
      </c>
      <c r="AC123" s="3">
        <f>W123*12.0107+X123*1.00784+Y123*15.999+Z123*14.0067</f>
        <v>182.08458000000002</v>
      </c>
      <c r="AD123" s="12">
        <v>355.5</v>
      </c>
      <c r="AE123" s="2" t="s">
        <v>43</v>
      </c>
      <c r="AF123" s="2" t="s">
        <v>98</v>
      </c>
      <c r="AG123" s="2" t="str">
        <f>IF(AD123&gt;37,"Proton symporter", "Diffusion")</f>
        <v>Proton symporter</v>
      </c>
      <c r="AH123" s="3" t="s">
        <v>99</v>
      </c>
    </row>
    <row r="124" spans="1:34" hidden="1" x14ac:dyDescent="0.2">
      <c r="A124" s="8" t="s">
        <v>34</v>
      </c>
      <c r="B124" s="9" t="s">
        <v>35</v>
      </c>
      <c r="C124" s="1" t="s">
        <v>54</v>
      </c>
      <c r="D124" s="14" t="s">
        <v>55</v>
      </c>
      <c r="E124" s="1" t="s">
        <v>94</v>
      </c>
      <c r="F124" s="1" t="s">
        <v>95</v>
      </c>
      <c r="G124" s="1">
        <v>-10</v>
      </c>
      <c r="H124" s="1">
        <v>-20</v>
      </c>
      <c r="I124" s="1" t="s">
        <v>40</v>
      </c>
      <c r="J124" s="1">
        <v>3.15</v>
      </c>
      <c r="K124" s="1">
        <v>-10</v>
      </c>
      <c r="L124" s="1">
        <v>-15.375809935205201</v>
      </c>
      <c r="M124" s="1" t="s">
        <v>40</v>
      </c>
      <c r="N124" s="1">
        <v>-2.4738660907127201</v>
      </c>
      <c r="O124" s="1">
        <v>8.9248380129589702</v>
      </c>
      <c r="Q124" s="1">
        <v>0.89248380129589699</v>
      </c>
      <c r="R124" s="1">
        <v>0.90205651638584206</v>
      </c>
      <c r="S124" s="11" t="s">
        <v>94</v>
      </c>
      <c r="T124" s="2" t="s">
        <v>96</v>
      </c>
      <c r="U124" s="3" t="s">
        <v>41</v>
      </c>
      <c r="V124" s="2" t="s">
        <v>97</v>
      </c>
      <c r="W124" s="2">
        <v>7</v>
      </c>
      <c r="X124" s="2">
        <v>2</v>
      </c>
      <c r="Y124" s="2">
        <v>6</v>
      </c>
      <c r="Z124" s="2">
        <v>0</v>
      </c>
      <c r="AA124" s="2">
        <v>0</v>
      </c>
      <c r="AB124" s="12">
        <f>(W124*4+X124*1+Y124*-2+Z124*-3)/W124</f>
        <v>2.5714285714285716</v>
      </c>
      <c r="AC124" s="3">
        <f>W124*12.0107+X124*1.00784+Y124*15.999+Z124*14.0067</f>
        <v>182.08458000000002</v>
      </c>
      <c r="AD124" s="12">
        <v>355.5</v>
      </c>
      <c r="AE124" s="2" t="s">
        <v>43</v>
      </c>
      <c r="AF124" s="2" t="s">
        <v>98</v>
      </c>
      <c r="AG124" s="2" t="str">
        <f>IF(AD124&gt;37,"Proton symporter", "Diffusion")</f>
        <v>Proton symporter</v>
      </c>
      <c r="AH124" s="3" t="s">
        <v>99</v>
      </c>
    </row>
    <row r="125" spans="1:34" hidden="1" x14ac:dyDescent="0.2">
      <c r="A125" s="8" t="s">
        <v>34</v>
      </c>
      <c r="B125" s="9" t="s">
        <v>35</v>
      </c>
      <c r="C125" s="1" t="s">
        <v>62</v>
      </c>
      <c r="D125" s="15" t="s">
        <v>55</v>
      </c>
      <c r="E125" s="1" t="s">
        <v>94</v>
      </c>
      <c r="F125" s="1" t="s">
        <v>95</v>
      </c>
      <c r="G125" s="1">
        <v>-10</v>
      </c>
      <c r="H125" s="1">
        <v>-20</v>
      </c>
      <c r="I125" s="1" t="s">
        <v>40</v>
      </c>
      <c r="J125" s="1">
        <v>3.15</v>
      </c>
      <c r="K125" s="1">
        <v>-10</v>
      </c>
      <c r="L125" s="1">
        <v>-12.9352051835853</v>
      </c>
      <c r="M125" s="1" t="s">
        <v>40</v>
      </c>
      <c r="N125" s="1">
        <v>-1.8907127429805399</v>
      </c>
      <c r="O125" s="1">
        <v>7.41295896328295</v>
      </c>
      <c r="Q125" s="1">
        <v>0.74129589632829496</v>
      </c>
      <c r="R125" s="1">
        <v>0.89907781215387395</v>
      </c>
      <c r="S125" s="11" t="s">
        <v>94</v>
      </c>
      <c r="T125" s="2" t="s">
        <v>96</v>
      </c>
      <c r="U125" s="3" t="s">
        <v>41</v>
      </c>
      <c r="V125" s="2" t="s">
        <v>97</v>
      </c>
      <c r="W125" s="2">
        <v>7</v>
      </c>
      <c r="X125" s="2">
        <v>2</v>
      </c>
      <c r="Y125" s="2">
        <v>6</v>
      </c>
      <c r="Z125" s="2">
        <v>0</v>
      </c>
      <c r="AA125" s="2">
        <v>0</v>
      </c>
      <c r="AB125" s="12">
        <f>(W125*4+X125*1+Y125*-2+Z125*-3)/W125</f>
        <v>2.5714285714285716</v>
      </c>
      <c r="AC125" s="3">
        <f>W125*12.0107+X125*1.00784+Y125*15.999+Z125*14.0067</f>
        <v>182.08458000000002</v>
      </c>
      <c r="AD125" s="12">
        <v>355.5</v>
      </c>
      <c r="AE125" s="2" t="s">
        <v>43</v>
      </c>
      <c r="AF125" s="2" t="s">
        <v>98</v>
      </c>
      <c r="AG125" s="2" t="str">
        <f>IF(AD125&gt;37,"Proton symporter", "Diffusion")</f>
        <v>Proton symporter</v>
      </c>
      <c r="AH125" s="3" t="s">
        <v>99</v>
      </c>
    </row>
    <row r="126" spans="1:34" hidden="1" x14ac:dyDescent="0.2">
      <c r="A126" s="8" t="s">
        <v>34</v>
      </c>
      <c r="B126" s="9" t="s">
        <v>35</v>
      </c>
      <c r="C126" s="1" t="s">
        <v>47</v>
      </c>
      <c r="D126" s="10" t="s">
        <v>37</v>
      </c>
      <c r="E126" s="1" t="s">
        <v>94</v>
      </c>
      <c r="F126" s="1" t="s">
        <v>95</v>
      </c>
      <c r="G126" s="1">
        <v>-10</v>
      </c>
      <c r="H126" s="1">
        <v>-20</v>
      </c>
      <c r="I126" s="1" t="s">
        <v>40</v>
      </c>
      <c r="J126" s="1">
        <v>3.15</v>
      </c>
      <c r="K126" s="1">
        <v>-10</v>
      </c>
      <c r="L126" s="1">
        <v>-11.585321100917399</v>
      </c>
      <c r="M126" s="1" t="s">
        <v>40</v>
      </c>
      <c r="N126" s="1">
        <v>1.2194495412844</v>
      </c>
      <c r="O126" s="1">
        <v>2.6829357798165199</v>
      </c>
      <c r="Q126" s="1">
        <v>0.26829357798165199</v>
      </c>
      <c r="R126" s="1">
        <v>0.78709452237420396</v>
      </c>
      <c r="S126" s="11" t="s">
        <v>94</v>
      </c>
      <c r="T126" s="2" t="s">
        <v>96</v>
      </c>
      <c r="U126" s="3" t="s">
        <v>41</v>
      </c>
      <c r="V126" s="2" t="s">
        <v>97</v>
      </c>
      <c r="W126" s="2">
        <v>7</v>
      </c>
      <c r="X126" s="2">
        <v>2</v>
      </c>
      <c r="Y126" s="2">
        <v>6</v>
      </c>
      <c r="Z126" s="2">
        <v>0</v>
      </c>
      <c r="AA126" s="2">
        <v>0</v>
      </c>
      <c r="AB126" s="12">
        <f>(W126*4+X126*1+Y126*-2+Z126*-3)/W126</f>
        <v>2.5714285714285716</v>
      </c>
      <c r="AC126" s="3">
        <f>W126*12.0107+X126*1.00784+Y126*15.999+Z126*14.0067</f>
        <v>182.08458000000002</v>
      </c>
      <c r="AD126" s="12">
        <v>355.5</v>
      </c>
      <c r="AE126" s="2" t="s">
        <v>43</v>
      </c>
      <c r="AF126" s="2" t="s">
        <v>98</v>
      </c>
      <c r="AG126" s="2" t="str">
        <f>IF(AD126&gt;37,"Proton symporter", "Diffusion")</f>
        <v>Proton symporter</v>
      </c>
      <c r="AH126" s="3" t="s">
        <v>99</v>
      </c>
    </row>
    <row r="127" spans="1:34" hidden="1" x14ac:dyDescent="0.2">
      <c r="A127" s="8" t="s">
        <v>34</v>
      </c>
      <c r="B127" s="9" t="s">
        <v>35</v>
      </c>
      <c r="C127" s="1" t="s">
        <v>58</v>
      </c>
      <c r="D127" s="10" t="s">
        <v>37</v>
      </c>
      <c r="E127" s="1" t="s">
        <v>94</v>
      </c>
      <c r="F127" s="1" t="s">
        <v>95</v>
      </c>
      <c r="G127" s="1">
        <v>-10</v>
      </c>
      <c r="H127" s="1">
        <v>-20</v>
      </c>
      <c r="I127" s="1" t="s">
        <v>40</v>
      </c>
      <c r="J127" s="1">
        <v>3.15</v>
      </c>
      <c r="K127" s="1">
        <v>-10</v>
      </c>
      <c r="L127" s="1">
        <v>-7.54191616766468</v>
      </c>
      <c r="M127" s="1" t="s">
        <v>40</v>
      </c>
      <c r="N127" s="1">
        <v>2.5586826347305398</v>
      </c>
      <c r="O127" s="1">
        <v>2.4916167664670699</v>
      </c>
      <c r="Q127" s="1">
        <v>0.24916167664670699</v>
      </c>
      <c r="R127" s="1">
        <v>0.75548689875959896</v>
      </c>
      <c r="S127" s="11" t="s">
        <v>94</v>
      </c>
      <c r="T127" s="2" t="s">
        <v>96</v>
      </c>
      <c r="U127" s="3" t="s">
        <v>41</v>
      </c>
      <c r="V127" s="2" t="s">
        <v>97</v>
      </c>
      <c r="W127" s="2">
        <v>7</v>
      </c>
      <c r="X127" s="2">
        <v>2</v>
      </c>
      <c r="Y127" s="2">
        <v>6</v>
      </c>
      <c r="Z127" s="2">
        <v>0</v>
      </c>
      <c r="AA127" s="2">
        <v>0</v>
      </c>
      <c r="AB127" s="12">
        <f>(W127*4+X127*1+Y127*-2+Z127*-3)/W127</f>
        <v>2.5714285714285716</v>
      </c>
      <c r="AC127" s="3">
        <f>W127*12.0107+X127*1.00784+Y127*15.999+Z127*14.0067</f>
        <v>182.08458000000002</v>
      </c>
      <c r="AD127" s="12">
        <v>355.5</v>
      </c>
      <c r="AE127" s="2" t="s">
        <v>43</v>
      </c>
      <c r="AF127" s="2" t="s">
        <v>98</v>
      </c>
      <c r="AG127" s="2" t="str">
        <f>IF(AD127&gt;37,"Proton symporter", "Diffusion")</f>
        <v>Proton symporter</v>
      </c>
      <c r="AH127" s="3" t="s">
        <v>99</v>
      </c>
    </row>
    <row r="128" spans="1:34" hidden="1" x14ac:dyDescent="0.2">
      <c r="A128" s="8" t="s">
        <v>34</v>
      </c>
      <c r="B128" s="9" t="s">
        <v>35</v>
      </c>
      <c r="C128" s="1" t="s">
        <v>61</v>
      </c>
      <c r="D128" s="13" t="s">
        <v>51</v>
      </c>
      <c r="E128" s="1" t="s">
        <v>94</v>
      </c>
      <c r="F128" s="1" t="s">
        <v>95</v>
      </c>
      <c r="G128" s="1">
        <v>-10</v>
      </c>
      <c r="H128" s="1">
        <v>-20</v>
      </c>
      <c r="I128" s="1" t="s">
        <v>40</v>
      </c>
      <c r="J128" s="1">
        <v>3.15</v>
      </c>
      <c r="K128" s="1">
        <v>-10</v>
      </c>
      <c r="L128" s="1">
        <v>-8.6491646778043005</v>
      </c>
      <c r="M128" s="1" t="s">
        <v>40</v>
      </c>
      <c r="N128" s="1">
        <v>1.10883054892602</v>
      </c>
      <c r="O128" s="1">
        <v>1.2701670644391401</v>
      </c>
      <c r="Q128" s="1">
        <v>0.127016706443914</v>
      </c>
      <c r="R128" s="1">
        <v>0.72181705742017899</v>
      </c>
      <c r="S128" s="11" t="s">
        <v>94</v>
      </c>
      <c r="T128" s="2" t="s">
        <v>96</v>
      </c>
      <c r="U128" s="3" t="s">
        <v>41</v>
      </c>
      <c r="V128" s="2" t="s">
        <v>97</v>
      </c>
      <c r="W128" s="2">
        <v>7</v>
      </c>
      <c r="X128" s="2">
        <v>2</v>
      </c>
      <c r="Y128" s="2">
        <v>6</v>
      </c>
      <c r="Z128" s="2">
        <v>0</v>
      </c>
      <c r="AA128" s="2">
        <v>0</v>
      </c>
      <c r="AB128" s="12">
        <f>(W128*4+X128*1+Y128*-2+Z128*-3)/W128</f>
        <v>2.5714285714285716</v>
      </c>
      <c r="AC128" s="3">
        <f>W128*12.0107+X128*1.00784+Y128*15.999+Z128*14.0067</f>
        <v>182.08458000000002</v>
      </c>
      <c r="AD128" s="12">
        <v>355.5</v>
      </c>
      <c r="AE128" s="2" t="s">
        <v>43</v>
      </c>
      <c r="AF128" s="2" t="s">
        <v>98</v>
      </c>
      <c r="AG128" s="2" t="str">
        <f>IF(AD128&gt;37,"Proton symporter", "Diffusion")</f>
        <v>Proton symporter</v>
      </c>
      <c r="AH128" s="3" t="s">
        <v>99</v>
      </c>
    </row>
    <row r="129" spans="1:34" hidden="1" x14ac:dyDescent="0.2">
      <c r="A129" s="8" t="s">
        <v>34</v>
      </c>
      <c r="B129" s="9" t="s">
        <v>35</v>
      </c>
      <c r="C129" s="1" t="s">
        <v>57</v>
      </c>
      <c r="D129" s="10" t="s">
        <v>37</v>
      </c>
      <c r="E129" s="1" t="s">
        <v>94</v>
      </c>
      <c r="F129" s="1" t="s">
        <v>95</v>
      </c>
      <c r="G129" s="1">
        <v>-10</v>
      </c>
      <c r="H129" s="1">
        <v>-20</v>
      </c>
      <c r="I129" s="1" t="s">
        <v>40</v>
      </c>
      <c r="J129" s="1">
        <v>3.15</v>
      </c>
      <c r="K129" s="1">
        <v>-10</v>
      </c>
      <c r="L129" s="1">
        <v>-8.5203426124197108</v>
      </c>
      <c r="M129" s="1" t="s">
        <v>40</v>
      </c>
      <c r="N129" s="1">
        <v>3.92847965738759</v>
      </c>
      <c r="O129" s="1">
        <v>2.29593147751606</v>
      </c>
      <c r="Q129" s="1">
        <v>0.229593147751606</v>
      </c>
      <c r="R129" s="1">
        <v>0.69615286550371602</v>
      </c>
      <c r="S129" s="11" t="s">
        <v>94</v>
      </c>
      <c r="T129" s="2" t="s">
        <v>96</v>
      </c>
      <c r="U129" s="3" t="s">
        <v>41</v>
      </c>
      <c r="V129" s="2" t="s">
        <v>97</v>
      </c>
      <c r="W129" s="2">
        <v>7</v>
      </c>
      <c r="X129" s="2">
        <v>2</v>
      </c>
      <c r="Y129" s="2">
        <v>6</v>
      </c>
      <c r="Z129" s="2">
        <v>0</v>
      </c>
      <c r="AA129" s="2">
        <v>0</v>
      </c>
      <c r="AB129" s="12">
        <f>(W129*4+X129*1+Y129*-2+Z129*-3)/W129</f>
        <v>2.5714285714285716</v>
      </c>
      <c r="AC129" s="3">
        <f>W129*12.0107+X129*1.00784+Y129*15.999+Z129*14.0067</f>
        <v>182.08458000000002</v>
      </c>
      <c r="AD129" s="12">
        <v>355.5</v>
      </c>
      <c r="AE129" s="2" t="s">
        <v>43</v>
      </c>
      <c r="AF129" s="2" t="s">
        <v>98</v>
      </c>
      <c r="AG129" s="2" t="str">
        <f>IF(AD129&gt;37,"Proton symporter", "Diffusion")</f>
        <v>Proton symporter</v>
      </c>
      <c r="AH129" s="3" t="s">
        <v>99</v>
      </c>
    </row>
    <row r="130" spans="1:34" hidden="1" x14ac:dyDescent="0.2">
      <c r="A130" s="8" t="s">
        <v>34</v>
      </c>
      <c r="B130" s="9" t="s">
        <v>35</v>
      </c>
      <c r="C130" s="1" t="s">
        <v>46</v>
      </c>
      <c r="D130" s="10" t="s">
        <v>37</v>
      </c>
      <c r="E130" s="1" t="s">
        <v>94</v>
      </c>
      <c r="F130" s="1" t="s">
        <v>95</v>
      </c>
      <c r="G130" s="1">
        <v>-10</v>
      </c>
      <c r="H130" s="1">
        <v>-20</v>
      </c>
      <c r="I130" s="1" t="s">
        <v>40</v>
      </c>
      <c r="J130" s="1">
        <v>3.15</v>
      </c>
      <c r="K130" s="1">
        <v>-10</v>
      </c>
      <c r="L130" s="1">
        <v>-9.3383233532934096</v>
      </c>
      <c r="M130" s="1" t="s">
        <v>40</v>
      </c>
      <c r="N130" s="1">
        <v>5.0736526946107796</v>
      </c>
      <c r="O130" s="1">
        <v>2.1323353293413199</v>
      </c>
      <c r="Q130" s="1">
        <v>0.213233532934132</v>
      </c>
      <c r="R130" s="1">
        <v>0.65759854502838899</v>
      </c>
      <c r="S130" s="11" t="s">
        <v>94</v>
      </c>
      <c r="T130" s="2" t="s">
        <v>96</v>
      </c>
      <c r="U130" s="3" t="s">
        <v>41</v>
      </c>
      <c r="V130" s="2" t="s">
        <v>97</v>
      </c>
      <c r="W130" s="2">
        <v>7</v>
      </c>
      <c r="X130" s="2">
        <v>2</v>
      </c>
      <c r="Y130" s="2">
        <v>6</v>
      </c>
      <c r="Z130" s="2">
        <v>0</v>
      </c>
      <c r="AA130" s="2">
        <v>0</v>
      </c>
      <c r="AB130" s="12">
        <f>(W130*4+X130*1+Y130*-2+Z130*-3)/W130</f>
        <v>2.5714285714285716</v>
      </c>
      <c r="AC130" s="3">
        <f>W130*12.0107+X130*1.00784+Y130*15.999+Z130*14.0067</f>
        <v>182.08458000000002</v>
      </c>
      <c r="AD130" s="12">
        <v>355.5</v>
      </c>
      <c r="AE130" s="2" t="s">
        <v>43</v>
      </c>
      <c r="AF130" s="2" t="s">
        <v>98</v>
      </c>
      <c r="AG130" s="2" t="str">
        <f>IF(AD130&gt;37,"Proton symporter", "Diffusion")</f>
        <v>Proton symporter</v>
      </c>
      <c r="AH130" s="3" t="s">
        <v>99</v>
      </c>
    </row>
    <row r="131" spans="1:34" hidden="1" x14ac:dyDescent="0.2">
      <c r="A131" s="8" t="s">
        <v>34</v>
      </c>
      <c r="B131" s="9" t="s">
        <v>35</v>
      </c>
      <c r="C131" s="1" t="s">
        <v>50</v>
      </c>
      <c r="D131" s="13" t="s">
        <v>51</v>
      </c>
      <c r="E131" s="1" t="s">
        <v>94</v>
      </c>
      <c r="F131" s="1" t="s">
        <v>95</v>
      </c>
      <c r="G131" s="1">
        <v>-10</v>
      </c>
      <c r="H131" s="1">
        <v>-20</v>
      </c>
      <c r="I131" s="1" t="s">
        <v>40</v>
      </c>
      <c r="J131" s="1">
        <v>3.15</v>
      </c>
      <c r="K131" s="1">
        <v>-10</v>
      </c>
      <c r="L131" s="1">
        <v>-3.0249999999999999</v>
      </c>
      <c r="M131" s="1" t="s">
        <v>40</v>
      </c>
      <c r="N131" s="1">
        <v>7.2350000000000003</v>
      </c>
      <c r="O131" s="1">
        <v>0.39500000000000002</v>
      </c>
      <c r="Q131" s="1">
        <v>3.95E-2</v>
      </c>
      <c r="R131" s="1">
        <v>0.15625469067730299</v>
      </c>
      <c r="S131" s="11" t="s">
        <v>94</v>
      </c>
      <c r="T131" s="2" t="s">
        <v>96</v>
      </c>
      <c r="U131" s="3" t="s">
        <v>41</v>
      </c>
      <c r="V131" s="2" t="s">
        <v>97</v>
      </c>
      <c r="W131" s="2">
        <v>7</v>
      </c>
      <c r="X131" s="2">
        <v>2</v>
      </c>
      <c r="Y131" s="2">
        <v>6</v>
      </c>
      <c r="Z131" s="2">
        <v>0</v>
      </c>
      <c r="AA131" s="2">
        <v>0</v>
      </c>
      <c r="AB131" s="12">
        <f>(W131*4+X131*1+Y131*-2+Z131*-3)/W131</f>
        <v>2.5714285714285716</v>
      </c>
      <c r="AC131" s="3">
        <f>W131*12.0107+X131*1.00784+Y131*15.999+Z131*14.0067</f>
        <v>182.08458000000002</v>
      </c>
      <c r="AD131" s="12">
        <v>355.5</v>
      </c>
      <c r="AE131" s="2" t="s">
        <v>43</v>
      </c>
      <c r="AF131" s="2" t="s">
        <v>98</v>
      </c>
      <c r="AG131" s="2" t="str">
        <f>IF(AD131&gt;37,"Proton symporter", "Diffusion")</f>
        <v>Proton symporter</v>
      </c>
      <c r="AH131" s="3" t="s">
        <v>99</v>
      </c>
    </row>
    <row r="132" spans="1:34" hidden="1" x14ac:dyDescent="0.2">
      <c r="A132" s="8" t="s">
        <v>34</v>
      </c>
      <c r="B132" s="9" t="s">
        <v>35</v>
      </c>
      <c r="C132" s="1" t="s">
        <v>52</v>
      </c>
      <c r="D132" s="13" t="s">
        <v>51</v>
      </c>
      <c r="E132" s="1" t="s">
        <v>94</v>
      </c>
      <c r="F132" s="1" t="s">
        <v>95</v>
      </c>
      <c r="G132" s="1">
        <v>-10</v>
      </c>
      <c r="H132" s="1">
        <v>-20</v>
      </c>
      <c r="I132" s="1" t="s">
        <v>40</v>
      </c>
      <c r="J132" s="1">
        <v>3.15</v>
      </c>
      <c r="K132" s="1">
        <v>-10</v>
      </c>
      <c r="L132" s="1">
        <v>-3.5808383233533001</v>
      </c>
      <c r="M132" s="1" t="s">
        <v>40</v>
      </c>
      <c r="N132" s="1">
        <v>8.0131736526946096</v>
      </c>
      <c r="O132" s="1">
        <v>0.28383233532934199</v>
      </c>
      <c r="Q132" s="1">
        <v>2.8383233532934201E-2</v>
      </c>
      <c r="R132" s="1">
        <v>0.112278819648362</v>
      </c>
      <c r="S132" s="11" t="s">
        <v>94</v>
      </c>
      <c r="T132" s="2" t="s">
        <v>96</v>
      </c>
      <c r="U132" s="3" t="s">
        <v>41</v>
      </c>
      <c r="V132" s="2" t="s">
        <v>97</v>
      </c>
      <c r="W132" s="2">
        <v>7</v>
      </c>
      <c r="X132" s="2">
        <v>2</v>
      </c>
      <c r="Y132" s="2">
        <v>6</v>
      </c>
      <c r="Z132" s="2">
        <v>0</v>
      </c>
      <c r="AA132" s="2">
        <v>0</v>
      </c>
      <c r="AB132" s="12">
        <f>(W132*4+X132*1+Y132*-2+Z132*-3)/W132</f>
        <v>2.5714285714285716</v>
      </c>
      <c r="AC132" s="3">
        <f>W132*12.0107+X132*1.00784+Y132*15.999+Z132*14.0067</f>
        <v>182.08458000000002</v>
      </c>
      <c r="AD132" s="12">
        <v>355.5</v>
      </c>
      <c r="AE132" s="2" t="s">
        <v>43</v>
      </c>
      <c r="AF132" s="2" t="s">
        <v>98</v>
      </c>
      <c r="AG132" s="2" t="str">
        <f>IF(AD132&gt;37,"Proton symporter", "Diffusion")</f>
        <v>Proton symporter</v>
      </c>
      <c r="AH132" s="3" t="s">
        <v>99</v>
      </c>
    </row>
    <row r="133" spans="1:34" hidden="1" x14ac:dyDescent="0.2">
      <c r="A133" s="8" t="s">
        <v>34</v>
      </c>
      <c r="B133" s="9" t="s">
        <v>35</v>
      </c>
      <c r="C133" s="1" t="s">
        <v>53</v>
      </c>
      <c r="D133" s="13" t="s">
        <v>51</v>
      </c>
      <c r="E133" s="1" t="s">
        <v>94</v>
      </c>
      <c r="F133" s="1" t="s">
        <v>95</v>
      </c>
      <c r="G133" s="1">
        <v>-10</v>
      </c>
      <c r="H133" s="1">
        <v>-20</v>
      </c>
      <c r="I133" s="1" t="s">
        <v>40</v>
      </c>
      <c r="J133" s="1">
        <v>3.15</v>
      </c>
      <c r="K133" s="1">
        <v>-10</v>
      </c>
      <c r="L133" s="1">
        <v>-4.30903790087463</v>
      </c>
      <c r="M133" s="1" t="s">
        <v>40</v>
      </c>
      <c r="N133" s="1">
        <v>9.0326530612244902</v>
      </c>
      <c r="O133" s="1">
        <v>0.13819241982507299</v>
      </c>
      <c r="Q133" s="1">
        <v>1.3819241982507301E-2</v>
      </c>
      <c r="R133" s="1">
        <v>5.4666364085353802E-2</v>
      </c>
      <c r="S133" s="11" t="s">
        <v>94</v>
      </c>
      <c r="T133" s="2" t="s">
        <v>96</v>
      </c>
      <c r="U133" s="3" t="s">
        <v>41</v>
      </c>
      <c r="V133" s="2" t="s">
        <v>97</v>
      </c>
      <c r="W133" s="2">
        <v>7</v>
      </c>
      <c r="X133" s="2">
        <v>2</v>
      </c>
      <c r="Y133" s="2">
        <v>6</v>
      </c>
      <c r="Z133" s="2">
        <v>0</v>
      </c>
      <c r="AA133" s="2">
        <v>0</v>
      </c>
      <c r="AB133" s="12">
        <f>(W133*4+X133*1+Y133*-2+Z133*-3)/W133</f>
        <v>2.5714285714285716</v>
      </c>
      <c r="AC133" s="3">
        <f>W133*12.0107+X133*1.00784+Y133*15.999+Z133*14.0067</f>
        <v>182.08458000000002</v>
      </c>
      <c r="AD133" s="12">
        <v>355.5</v>
      </c>
      <c r="AE133" s="2" t="s">
        <v>43</v>
      </c>
      <c r="AF133" s="2" t="s">
        <v>98</v>
      </c>
      <c r="AG133" s="2" t="str">
        <f>IF(AD133&gt;37,"Proton symporter", "Diffusion")</f>
        <v>Proton symporter</v>
      </c>
      <c r="AH133" s="3" t="s">
        <v>99</v>
      </c>
    </row>
    <row r="134" spans="1:34" hidden="1" x14ac:dyDescent="0.2">
      <c r="A134" s="16" t="s">
        <v>74</v>
      </c>
      <c r="B134" s="9" t="s">
        <v>35</v>
      </c>
      <c r="C134" t="s">
        <v>49</v>
      </c>
      <c r="D134" s="10" t="s">
        <v>37</v>
      </c>
      <c r="E134" t="s">
        <v>100</v>
      </c>
      <c r="F134" t="s">
        <v>101</v>
      </c>
      <c r="G134">
        <v>-10</v>
      </c>
      <c r="H134">
        <v>-20</v>
      </c>
      <c r="I134" s="1" t="s">
        <v>40</v>
      </c>
      <c r="J134">
        <v>3.15</v>
      </c>
      <c r="K134">
        <v>-10</v>
      </c>
      <c r="L134">
        <v>-4.68333333333333</v>
      </c>
      <c r="M134" s="1" t="s">
        <v>40</v>
      </c>
      <c r="N134">
        <v>-8.93333333333333</v>
      </c>
      <c r="O134">
        <v>7.2333333333333396</v>
      </c>
      <c r="P134"/>
      <c r="Q134">
        <v>0.72333333333333405</v>
      </c>
      <c r="R134">
        <v>1.8224892838267901</v>
      </c>
      <c r="S134" s="3" t="s">
        <v>100</v>
      </c>
      <c r="T134" s="3" t="s">
        <v>100</v>
      </c>
      <c r="U134" s="3" t="s">
        <v>35</v>
      </c>
      <c r="V134" s="3" t="s">
        <v>102</v>
      </c>
      <c r="W134" s="3">
        <v>4</v>
      </c>
      <c r="X134" s="3">
        <v>4</v>
      </c>
      <c r="Y134" s="3">
        <v>4</v>
      </c>
      <c r="Z134" s="3">
        <v>0</v>
      </c>
      <c r="AA134" s="3">
        <v>-2</v>
      </c>
      <c r="AB134" s="12">
        <f>(W134*4+X134*1+Y134*-2+Z134*-3)/W134</f>
        <v>3</v>
      </c>
      <c r="AC134" s="3">
        <f>W134*12.0107+X134*1.00784+Y134*15.999+Z134*14.0067</f>
        <v>116.07016</v>
      </c>
      <c r="AD134" s="12">
        <v>235</v>
      </c>
      <c r="AE134" s="3" t="s">
        <v>43</v>
      </c>
      <c r="AF134" s="3" t="s">
        <v>44</v>
      </c>
      <c r="AG134" s="2" t="str">
        <f>IF(AD134&gt;37,"Proton symporter", "Diffusion")</f>
        <v>Proton symporter</v>
      </c>
      <c r="AH134" s="2" t="s">
        <v>103</v>
      </c>
    </row>
    <row r="135" spans="1:34" hidden="1" x14ac:dyDescent="0.2">
      <c r="A135" s="16" t="s">
        <v>74</v>
      </c>
      <c r="B135" s="9" t="s">
        <v>35</v>
      </c>
      <c r="C135" t="s">
        <v>36</v>
      </c>
      <c r="D135" s="10" t="s">
        <v>37</v>
      </c>
      <c r="E135" t="s">
        <v>100</v>
      </c>
      <c r="F135" t="s">
        <v>101</v>
      </c>
      <c r="G135">
        <v>-10</v>
      </c>
      <c r="H135">
        <v>-20</v>
      </c>
      <c r="I135" s="1" t="s">
        <v>40</v>
      </c>
      <c r="J135">
        <v>3.15</v>
      </c>
      <c r="K135">
        <v>-10</v>
      </c>
      <c r="L135">
        <v>-6.4818181818181797</v>
      </c>
      <c r="M135" s="1" t="s">
        <v>40</v>
      </c>
      <c r="N135">
        <v>-4.6909090909090896</v>
      </c>
      <c r="O135">
        <v>6.1727272727272702</v>
      </c>
      <c r="P135"/>
      <c r="Q135">
        <v>0.61727272727272697</v>
      </c>
      <c r="R135">
        <v>1.6264263724805099</v>
      </c>
      <c r="S135" s="3" t="s">
        <v>100</v>
      </c>
      <c r="T135" s="3" t="s">
        <v>100</v>
      </c>
      <c r="U135" s="3" t="s">
        <v>35</v>
      </c>
      <c r="V135" s="3" t="s">
        <v>102</v>
      </c>
      <c r="W135" s="3">
        <v>4</v>
      </c>
      <c r="X135" s="3">
        <v>4</v>
      </c>
      <c r="Y135" s="3">
        <v>4</v>
      </c>
      <c r="Z135" s="3">
        <v>0</v>
      </c>
      <c r="AA135" s="3">
        <v>-2</v>
      </c>
      <c r="AB135" s="12">
        <f>(W135*4+X135*1+Y135*-2+Z135*-3)/W135</f>
        <v>3</v>
      </c>
      <c r="AC135" s="3">
        <f>W135*12.0107+X135*1.00784+Y135*15.999+Z135*14.0067</f>
        <v>116.07016</v>
      </c>
      <c r="AD135" s="12">
        <v>235</v>
      </c>
      <c r="AE135" s="3" t="s">
        <v>43</v>
      </c>
      <c r="AF135" s="3" t="s">
        <v>44</v>
      </c>
      <c r="AG135" s="2" t="str">
        <f>IF(AD135&gt;37,"Proton symporter", "Diffusion")</f>
        <v>Proton symporter</v>
      </c>
      <c r="AH135" s="2" t="s">
        <v>103</v>
      </c>
    </row>
    <row r="136" spans="1:34" hidden="1" x14ac:dyDescent="0.2">
      <c r="A136" s="16" t="s">
        <v>74</v>
      </c>
      <c r="B136" s="9" t="s">
        <v>35</v>
      </c>
      <c r="C136" t="s">
        <v>59</v>
      </c>
      <c r="D136" s="13" t="s">
        <v>51</v>
      </c>
      <c r="E136" t="s">
        <v>100</v>
      </c>
      <c r="F136" t="s">
        <v>101</v>
      </c>
      <c r="G136">
        <v>-10</v>
      </c>
      <c r="H136">
        <v>-20</v>
      </c>
      <c r="I136" s="1" t="s">
        <v>40</v>
      </c>
      <c r="J136">
        <v>3.15</v>
      </c>
      <c r="K136">
        <v>-10</v>
      </c>
      <c r="L136">
        <v>-1.9936329588015</v>
      </c>
      <c r="M136" s="1" t="s">
        <v>40</v>
      </c>
      <c r="N136">
        <v>-4.8644194756554304</v>
      </c>
      <c r="O136">
        <v>3.71610486891386</v>
      </c>
      <c r="P136"/>
      <c r="Q136">
        <v>0.37161048689138598</v>
      </c>
      <c r="R136">
        <v>1.3461754595872</v>
      </c>
      <c r="S136" s="3" t="s">
        <v>100</v>
      </c>
      <c r="T136" s="3" t="s">
        <v>100</v>
      </c>
      <c r="U136" s="3" t="s">
        <v>35</v>
      </c>
      <c r="V136" s="3" t="s">
        <v>102</v>
      </c>
      <c r="W136" s="3">
        <v>4</v>
      </c>
      <c r="X136" s="3">
        <v>4</v>
      </c>
      <c r="Y136" s="3">
        <v>4</v>
      </c>
      <c r="Z136" s="3">
        <v>0</v>
      </c>
      <c r="AA136" s="3">
        <v>-2</v>
      </c>
      <c r="AB136" s="12">
        <f>(W136*4+X136*1+Y136*-2+Z136*-3)/W136</f>
        <v>3</v>
      </c>
      <c r="AC136" s="3">
        <f>W136*12.0107+X136*1.00784+Y136*15.999+Z136*14.0067</f>
        <v>116.07016</v>
      </c>
      <c r="AD136" s="12">
        <v>235</v>
      </c>
      <c r="AE136" s="3" t="s">
        <v>43</v>
      </c>
      <c r="AF136" s="3" t="s">
        <v>44</v>
      </c>
      <c r="AG136" s="2" t="str">
        <f>IF(AD136&gt;37,"Proton symporter", "Diffusion")</f>
        <v>Proton symporter</v>
      </c>
      <c r="AH136" s="2" t="s">
        <v>103</v>
      </c>
    </row>
    <row r="137" spans="1:34" hidden="1" x14ac:dyDescent="0.2">
      <c r="A137" s="16" t="s">
        <v>74</v>
      </c>
      <c r="B137" s="9" t="s">
        <v>35</v>
      </c>
      <c r="C137" t="s">
        <v>60</v>
      </c>
      <c r="D137" s="13" t="s">
        <v>51</v>
      </c>
      <c r="E137" t="s">
        <v>100</v>
      </c>
      <c r="F137" t="s">
        <v>101</v>
      </c>
      <c r="G137">
        <v>-10</v>
      </c>
      <c r="H137">
        <v>-20</v>
      </c>
      <c r="I137" s="1" t="s">
        <v>40</v>
      </c>
      <c r="J137">
        <v>3.15</v>
      </c>
      <c r="K137">
        <v>-10</v>
      </c>
      <c r="L137">
        <v>-1.9936329588015</v>
      </c>
      <c r="M137" s="1" t="s">
        <v>40</v>
      </c>
      <c r="N137">
        <v>-4.8644194756554304</v>
      </c>
      <c r="O137">
        <v>3.71610486891386</v>
      </c>
      <c r="P137"/>
      <c r="Q137">
        <v>0.37161048689138598</v>
      </c>
      <c r="R137">
        <v>1.3461754595872</v>
      </c>
      <c r="S137" s="3" t="s">
        <v>100</v>
      </c>
      <c r="T137" s="3" t="s">
        <v>100</v>
      </c>
      <c r="U137" s="3" t="s">
        <v>35</v>
      </c>
      <c r="V137" s="3" t="s">
        <v>102</v>
      </c>
      <c r="W137" s="3">
        <v>4</v>
      </c>
      <c r="X137" s="3">
        <v>4</v>
      </c>
      <c r="Y137" s="3">
        <v>4</v>
      </c>
      <c r="Z137" s="3">
        <v>0</v>
      </c>
      <c r="AA137" s="3">
        <v>-2</v>
      </c>
      <c r="AB137" s="12">
        <f>(W137*4+X137*1+Y137*-2+Z137*-3)/W137</f>
        <v>3</v>
      </c>
      <c r="AC137" s="3">
        <f>W137*12.0107+X137*1.00784+Y137*15.999+Z137*14.0067</f>
        <v>116.07016</v>
      </c>
      <c r="AD137" s="12">
        <v>235</v>
      </c>
      <c r="AE137" s="3" t="s">
        <v>43</v>
      </c>
      <c r="AF137" s="3" t="s">
        <v>44</v>
      </c>
      <c r="AG137" s="2" t="str">
        <f>IF(AD137&gt;37,"Proton symporter", "Diffusion")</f>
        <v>Proton symporter</v>
      </c>
      <c r="AH137" s="2" t="s">
        <v>103</v>
      </c>
    </row>
    <row r="138" spans="1:34" hidden="1" x14ac:dyDescent="0.2">
      <c r="A138" s="16" t="s">
        <v>74</v>
      </c>
      <c r="B138" s="9" t="s">
        <v>35</v>
      </c>
      <c r="C138" t="s">
        <v>56</v>
      </c>
      <c r="D138" s="14" t="s">
        <v>55</v>
      </c>
      <c r="E138" t="s">
        <v>100</v>
      </c>
      <c r="F138" t="s">
        <v>101</v>
      </c>
      <c r="G138">
        <v>-10</v>
      </c>
      <c r="H138">
        <v>-20</v>
      </c>
      <c r="I138" s="1" t="s">
        <v>40</v>
      </c>
      <c r="J138">
        <v>3.15</v>
      </c>
      <c r="K138">
        <v>-10</v>
      </c>
      <c r="L138">
        <v>-0.81666666666668097</v>
      </c>
      <c r="M138" s="1" t="s">
        <v>40</v>
      </c>
      <c r="N138">
        <v>-9.06666666666667</v>
      </c>
      <c r="O138">
        <v>9.7666666666666302</v>
      </c>
      <c r="P138"/>
      <c r="Q138">
        <v>0.97666666666666302</v>
      </c>
      <c r="R138">
        <v>1.23093879987459</v>
      </c>
      <c r="S138" s="3" t="s">
        <v>100</v>
      </c>
      <c r="T138" s="3" t="s">
        <v>100</v>
      </c>
      <c r="U138" s="3" t="s">
        <v>35</v>
      </c>
      <c r="V138" s="3" t="s">
        <v>102</v>
      </c>
      <c r="W138" s="3">
        <v>4</v>
      </c>
      <c r="X138" s="3">
        <v>4</v>
      </c>
      <c r="Y138" s="3">
        <v>4</v>
      </c>
      <c r="Z138" s="3">
        <v>0</v>
      </c>
      <c r="AA138" s="3">
        <v>-2</v>
      </c>
      <c r="AB138" s="12">
        <f>(W138*4+X138*1+Y138*-2+Z138*-3)/W138</f>
        <v>3</v>
      </c>
      <c r="AC138" s="3">
        <f>W138*12.0107+X138*1.00784+Y138*15.999+Z138*14.0067</f>
        <v>116.07016</v>
      </c>
      <c r="AD138" s="12">
        <v>235</v>
      </c>
      <c r="AE138" s="3" t="s">
        <v>43</v>
      </c>
      <c r="AF138" s="3" t="s">
        <v>44</v>
      </c>
      <c r="AG138" s="2" t="str">
        <f>IF(AD138&gt;37,"Proton symporter", "Diffusion")</f>
        <v>Proton symporter</v>
      </c>
      <c r="AH138" s="2" t="s">
        <v>103</v>
      </c>
    </row>
    <row r="139" spans="1:34" hidden="1" x14ac:dyDescent="0.2">
      <c r="A139" s="16" t="s">
        <v>74</v>
      </c>
      <c r="B139" s="9" t="s">
        <v>35</v>
      </c>
      <c r="C139" t="s">
        <v>48</v>
      </c>
      <c r="D139" s="10" t="s">
        <v>37</v>
      </c>
      <c r="E139" t="s">
        <v>100</v>
      </c>
      <c r="F139" t="s">
        <v>101</v>
      </c>
      <c r="G139">
        <v>-10</v>
      </c>
      <c r="H139">
        <v>-20</v>
      </c>
      <c r="I139" s="1" t="s">
        <v>40</v>
      </c>
      <c r="J139">
        <v>3.15</v>
      </c>
      <c r="K139">
        <v>-10</v>
      </c>
      <c r="L139">
        <v>-6.4818181818181797</v>
      </c>
      <c r="M139" s="1" t="s">
        <v>40</v>
      </c>
      <c r="N139">
        <v>-4.6909090909090896</v>
      </c>
      <c r="O139">
        <v>6.1727272727272702</v>
      </c>
      <c r="P139"/>
      <c r="Q139">
        <v>0.61727272727272697</v>
      </c>
      <c r="R139">
        <v>1.1543595926005299</v>
      </c>
      <c r="S139" s="3" t="s">
        <v>100</v>
      </c>
      <c r="T139" s="3" t="s">
        <v>100</v>
      </c>
      <c r="U139" s="3" t="s">
        <v>35</v>
      </c>
      <c r="V139" s="3" t="s">
        <v>102</v>
      </c>
      <c r="W139" s="3">
        <v>4</v>
      </c>
      <c r="X139" s="3">
        <v>4</v>
      </c>
      <c r="Y139" s="3">
        <v>4</v>
      </c>
      <c r="Z139" s="3">
        <v>0</v>
      </c>
      <c r="AA139" s="3">
        <v>-2</v>
      </c>
      <c r="AB139" s="12">
        <f>(W139*4+X139*1+Y139*-2+Z139*-3)/W139</f>
        <v>3</v>
      </c>
      <c r="AC139" s="3">
        <f>W139*12.0107+X139*1.00784+Y139*15.999+Z139*14.0067</f>
        <v>116.07016</v>
      </c>
      <c r="AD139" s="12">
        <v>235</v>
      </c>
      <c r="AE139" s="3" t="s">
        <v>43</v>
      </c>
      <c r="AF139" s="3" t="s">
        <v>44</v>
      </c>
      <c r="AG139" s="2" t="str">
        <f>IF(AD139&gt;37,"Proton symporter", "Diffusion")</f>
        <v>Proton symporter</v>
      </c>
      <c r="AH139" s="2" t="s">
        <v>103</v>
      </c>
    </row>
    <row r="140" spans="1:34" hidden="1" x14ac:dyDescent="0.2">
      <c r="A140" s="16" t="s">
        <v>74</v>
      </c>
      <c r="B140" s="9" t="s">
        <v>35</v>
      </c>
      <c r="C140" t="s">
        <v>54</v>
      </c>
      <c r="D140" s="14" t="s">
        <v>55</v>
      </c>
      <c r="E140" t="s">
        <v>100</v>
      </c>
      <c r="F140" t="s">
        <v>101</v>
      </c>
      <c r="G140">
        <v>-10</v>
      </c>
      <c r="H140">
        <v>-20</v>
      </c>
      <c r="I140" s="1" t="s">
        <v>40</v>
      </c>
      <c r="J140">
        <v>3.15</v>
      </c>
      <c r="K140">
        <v>-10</v>
      </c>
      <c r="L140">
        <v>-0.16250000000000001</v>
      </c>
      <c r="M140" s="1" t="s">
        <v>40</v>
      </c>
      <c r="N140">
        <v>-8.3857142857142808</v>
      </c>
      <c r="O140">
        <v>17.0964285714286</v>
      </c>
      <c r="P140"/>
      <c r="Q140">
        <v>1.7096428571428599</v>
      </c>
      <c r="R140">
        <v>1.1015043493839101</v>
      </c>
      <c r="S140" s="3" t="s">
        <v>100</v>
      </c>
      <c r="T140" s="3" t="s">
        <v>100</v>
      </c>
      <c r="U140" s="3" t="s">
        <v>35</v>
      </c>
      <c r="V140" s="3" t="s">
        <v>102</v>
      </c>
      <c r="W140" s="3">
        <v>4</v>
      </c>
      <c r="X140" s="3">
        <v>4</v>
      </c>
      <c r="Y140" s="3">
        <v>4</v>
      </c>
      <c r="Z140" s="3">
        <v>0</v>
      </c>
      <c r="AA140" s="3">
        <v>-2</v>
      </c>
      <c r="AB140" s="12">
        <f>(W140*4+X140*1+Y140*-2+Z140*-3)/W140</f>
        <v>3</v>
      </c>
      <c r="AC140" s="3">
        <f>W140*12.0107+X140*1.00784+Y140*15.999+Z140*14.0067</f>
        <v>116.07016</v>
      </c>
      <c r="AD140" s="12">
        <v>235</v>
      </c>
      <c r="AE140" s="3" t="s">
        <v>43</v>
      </c>
      <c r="AF140" s="3" t="s">
        <v>44</v>
      </c>
      <c r="AG140" s="2" t="str">
        <f>IF(AD140&gt;37,"Proton symporter", "Diffusion")</f>
        <v>Proton symporter</v>
      </c>
      <c r="AH140" s="2" t="s">
        <v>103</v>
      </c>
    </row>
    <row r="141" spans="1:34" hidden="1" x14ac:dyDescent="0.2">
      <c r="A141" s="16" t="s">
        <v>74</v>
      </c>
      <c r="B141" s="9" t="s">
        <v>35</v>
      </c>
      <c r="C141" t="s">
        <v>62</v>
      </c>
      <c r="D141" s="15" t="s">
        <v>55</v>
      </c>
      <c r="E141" t="s">
        <v>100</v>
      </c>
      <c r="F141" t="s">
        <v>101</v>
      </c>
      <c r="G141">
        <v>-10</v>
      </c>
      <c r="H141">
        <v>-20</v>
      </c>
      <c r="I141" s="1" t="s">
        <v>40</v>
      </c>
      <c r="J141">
        <v>3.15</v>
      </c>
      <c r="K141">
        <v>-10</v>
      </c>
      <c r="L141">
        <v>-0.69320987654320698</v>
      </c>
      <c r="M141" s="1" t="s">
        <v>40</v>
      </c>
      <c r="N141">
        <v>-6.3506172839506201</v>
      </c>
      <c r="O141">
        <v>14.087654320987699</v>
      </c>
      <c r="P141"/>
      <c r="Q141">
        <v>1.4087654320987699</v>
      </c>
      <c r="R141">
        <v>1.0891602551533499</v>
      </c>
      <c r="S141" s="3" t="s">
        <v>100</v>
      </c>
      <c r="T141" s="3" t="s">
        <v>100</v>
      </c>
      <c r="U141" s="3" t="s">
        <v>35</v>
      </c>
      <c r="V141" s="3" t="s">
        <v>102</v>
      </c>
      <c r="W141" s="3">
        <v>4</v>
      </c>
      <c r="X141" s="3">
        <v>4</v>
      </c>
      <c r="Y141" s="3">
        <v>4</v>
      </c>
      <c r="Z141" s="3">
        <v>0</v>
      </c>
      <c r="AA141" s="3">
        <v>-2</v>
      </c>
      <c r="AB141" s="12">
        <f>(W141*4+X141*1+Y141*-2+Z141*-3)/W141</f>
        <v>3</v>
      </c>
      <c r="AC141" s="3">
        <f>W141*12.0107+X141*1.00784+Y141*15.999+Z141*14.0067</f>
        <v>116.07016</v>
      </c>
      <c r="AD141" s="12">
        <v>235</v>
      </c>
      <c r="AE141" s="3" t="s">
        <v>43</v>
      </c>
      <c r="AF141" s="3" t="s">
        <v>44</v>
      </c>
      <c r="AG141" s="2" t="str">
        <f>IF(AD141&gt;37,"Proton symporter", "Diffusion")</f>
        <v>Proton symporter</v>
      </c>
      <c r="AH141" s="2" t="s">
        <v>103</v>
      </c>
    </row>
    <row r="142" spans="1:34" hidden="1" x14ac:dyDescent="0.2">
      <c r="A142" s="16" t="s">
        <v>74</v>
      </c>
      <c r="B142" s="9" t="s">
        <v>35</v>
      </c>
      <c r="C142" t="s">
        <v>47</v>
      </c>
      <c r="D142" s="10" t="s">
        <v>37</v>
      </c>
      <c r="E142" t="s">
        <v>100</v>
      </c>
      <c r="F142" t="s">
        <v>101</v>
      </c>
      <c r="G142">
        <v>-10</v>
      </c>
      <c r="H142">
        <v>-20</v>
      </c>
      <c r="I142" s="1" t="s">
        <v>40</v>
      </c>
      <c r="J142">
        <v>3.15</v>
      </c>
      <c r="K142">
        <v>-10</v>
      </c>
      <c r="L142">
        <v>-8.5707865168539392</v>
      </c>
      <c r="M142" s="1" t="s">
        <v>40</v>
      </c>
      <c r="N142">
        <v>-1.9056179775280899</v>
      </c>
      <c r="O142">
        <v>5.4764044943819998</v>
      </c>
      <c r="P142"/>
      <c r="Q142">
        <v>0.54764044943820001</v>
      </c>
      <c r="R142">
        <v>1.0241405106267401</v>
      </c>
      <c r="S142" s="3" t="s">
        <v>100</v>
      </c>
      <c r="T142" s="3" t="s">
        <v>100</v>
      </c>
      <c r="U142" s="3" t="s">
        <v>35</v>
      </c>
      <c r="V142" s="3" t="s">
        <v>102</v>
      </c>
      <c r="W142" s="3">
        <v>4</v>
      </c>
      <c r="X142" s="3">
        <v>4</v>
      </c>
      <c r="Y142" s="3">
        <v>4</v>
      </c>
      <c r="Z142" s="3">
        <v>0</v>
      </c>
      <c r="AA142" s="3">
        <v>-2</v>
      </c>
      <c r="AB142" s="12">
        <f>(W142*4+X142*1+Y142*-2+Z142*-3)/W142</f>
        <v>3</v>
      </c>
      <c r="AC142" s="3">
        <f>W142*12.0107+X142*1.00784+Y142*15.999+Z142*14.0067</f>
        <v>116.07016</v>
      </c>
      <c r="AD142" s="12">
        <v>235</v>
      </c>
      <c r="AE142" s="3" t="s">
        <v>43</v>
      </c>
      <c r="AF142" s="3" t="s">
        <v>44</v>
      </c>
      <c r="AG142" s="2" t="str">
        <f>IF(AD142&gt;37,"Proton symporter", "Diffusion")</f>
        <v>Proton symporter</v>
      </c>
      <c r="AH142" s="2" t="s">
        <v>103</v>
      </c>
    </row>
    <row r="143" spans="1:34" hidden="1" x14ac:dyDescent="0.2">
      <c r="A143" s="16" t="s">
        <v>74</v>
      </c>
      <c r="B143" s="9" t="s">
        <v>35</v>
      </c>
      <c r="C143" t="s">
        <v>58</v>
      </c>
      <c r="D143" s="10" t="s">
        <v>37</v>
      </c>
      <c r="E143" t="s">
        <v>100</v>
      </c>
      <c r="F143" t="s">
        <v>101</v>
      </c>
      <c r="G143">
        <v>-10</v>
      </c>
      <c r="H143">
        <v>-20</v>
      </c>
      <c r="I143" s="1" t="s">
        <v>40</v>
      </c>
      <c r="J143">
        <v>3.15</v>
      </c>
      <c r="K143">
        <v>-10</v>
      </c>
      <c r="L143">
        <v>-2.1075757575757601</v>
      </c>
      <c r="M143" s="1" t="s">
        <v>40</v>
      </c>
      <c r="N143">
        <v>-0.44848484848484799</v>
      </c>
      <c r="O143">
        <v>5.1121212121212096</v>
      </c>
      <c r="P143"/>
      <c r="Q143">
        <v>0.51121212121212101</v>
      </c>
      <c r="R143">
        <v>0.98808487149520896</v>
      </c>
      <c r="S143" s="3" t="s">
        <v>100</v>
      </c>
      <c r="T143" s="3" t="s">
        <v>100</v>
      </c>
      <c r="U143" s="3" t="s">
        <v>35</v>
      </c>
      <c r="V143" s="3" t="s">
        <v>102</v>
      </c>
      <c r="W143" s="3">
        <v>4</v>
      </c>
      <c r="X143" s="3">
        <v>4</v>
      </c>
      <c r="Y143" s="3">
        <v>4</v>
      </c>
      <c r="Z143" s="3">
        <v>0</v>
      </c>
      <c r="AA143" s="3">
        <v>-2</v>
      </c>
      <c r="AB143" s="12">
        <f>(W143*4+X143*1+Y143*-2+Z143*-3)/W143</f>
        <v>3</v>
      </c>
      <c r="AC143" s="3">
        <f>W143*12.0107+X143*1.00784+Y143*15.999+Z143*14.0067</f>
        <v>116.07016</v>
      </c>
      <c r="AD143" s="12">
        <v>235</v>
      </c>
      <c r="AE143" s="3" t="s">
        <v>43</v>
      </c>
      <c r="AF143" s="3" t="s">
        <v>44</v>
      </c>
      <c r="AG143" s="2" t="str">
        <f>IF(AD143&gt;37,"Proton symporter", "Diffusion")</f>
        <v>Proton symporter</v>
      </c>
      <c r="AH143" s="2" t="s">
        <v>103</v>
      </c>
    </row>
    <row r="144" spans="1:34" hidden="1" x14ac:dyDescent="0.2">
      <c r="A144" s="16" t="s">
        <v>74</v>
      </c>
      <c r="B144" s="9" t="s">
        <v>35</v>
      </c>
      <c r="C144" t="s">
        <v>61</v>
      </c>
      <c r="D144" s="13" t="s">
        <v>51</v>
      </c>
      <c r="E144" t="s">
        <v>100</v>
      </c>
      <c r="F144" t="s">
        <v>101</v>
      </c>
      <c r="G144">
        <v>-10</v>
      </c>
      <c r="H144">
        <v>-20</v>
      </c>
      <c r="I144" s="1" t="s">
        <v>40</v>
      </c>
      <c r="J144">
        <v>3.15</v>
      </c>
      <c r="K144">
        <v>-10</v>
      </c>
      <c r="L144">
        <v>-6.2549295774647904</v>
      </c>
      <c r="M144" s="1" t="s">
        <v>40</v>
      </c>
      <c r="N144">
        <v>5.6338028168996298E-3</v>
      </c>
      <c r="O144">
        <v>2.49859154929577</v>
      </c>
      <c r="P144"/>
      <c r="Q144">
        <v>0.249859154929577</v>
      </c>
      <c r="R144">
        <v>0.90512586319369104</v>
      </c>
      <c r="S144" s="3" t="s">
        <v>100</v>
      </c>
      <c r="T144" s="3" t="s">
        <v>100</v>
      </c>
      <c r="U144" s="3" t="s">
        <v>35</v>
      </c>
      <c r="V144" s="3" t="s">
        <v>102</v>
      </c>
      <c r="W144" s="3">
        <v>4</v>
      </c>
      <c r="X144" s="3">
        <v>4</v>
      </c>
      <c r="Y144" s="3">
        <v>4</v>
      </c>
      <c r="Z144" s="3">
        <v>0</v>
      </c>
      <c r="AA144" s="3">
        <v>-2</v>
      </c>
      <c r="AB144" s="12">
        <f>(W144*4+X144*1+Y144*-2+Z144*-3)/W144</f>
        <v>3</v>
      </c>
      <c r="AC144" s="3">
        <f>W144*12.0107+X144*1.00784+Y144*15.999+Z144*14.0067</f>
        <v>116.07016</v>
      </c>
      <c r="AD144" s="12">
        <v>235</v>
      </c>
      <c r="AE144" s="3" t="s">
        <v>43</v>
      </c>
      <c r="AF144" s="3" t="s">
        <v>44</v>
      </c>
      <c r="AG144" s="2" t="str">
        <f>IF(AD144&gt;37,"Proton symporter", "Diffusion")</f>
        <v>Proton symporter</v>
      </c>
      <c r="AH144" s="2" t="s">
        <v>103</v>
      </c>
    </row>
    <row r="145" spans="1:34" hidden="1" x14ac:dyDescent="0.2">
      <c r="A145" s="16" t="s">
        <v>74</v>
      </c>
      <c r="B145" s="9" t="s">
        <v>35</v>
      </c>
      <c r="C145" t="s">
        <v>57</v>
      </c>
      <c r="D145" s="10" t="s">
        <v>37</v>
      </c>
      <c r="E145" t="s">
        <v>100</v>
      </c>
      <c r="F145" t="s">
        <v>101</v>
      </c>
      <c r="G145">
        <v>-10</v>
      </c>
      <c r="H145">
        <v>-20</v>
      </c>
      <c r="I145" s="1" t="s">
        <v>40</v>
      </c>
      <c r="J145">
        <v>3.15</v>
      </c>
      <c r="K145">
        <v>-10</v>
      </c>
      <c r="L145">
        <v>-4.0836065573770499</v>
      </c>
      <c r="M145" s="1" t="s">
        <v>40</v>
      </c>
      <c r="N145">
        <v>1.80983606557377</v>
      </c>
      <c r="O145">
        <v>4.5475409836065603</v>
      </c>
      <c r="P145"/>
      <c r="Q145">
        <v>0.454754098360656</v>
      </c>
      <c r="R145">
        <v>0.87896124954001598</v>
      </c>
      <c r="S145" s="3" t="s">
        <v>100</v>
      </c>
      <c r="T145" s="3" t="s">
        <v>100</v>
      </c>
      <c r="U145" s="3" t="s">
        <v>35</v>
      </c>
      <c r="V145" s="3" t="s">
        <v>102</v>
      </c>
      <c r="W145" s="3">
        <v>4</v>
      </c>
      <c r="X145" s="3">
        <v>4</v>
      </c>
      <c r="Y145" s="3">
        <v>4</v>
      </c>
      <c r="Z145" s="3">
        <v>0</v>
      </c>
      <c r="AA145" s="3">
        <v>-2</v>
      </c>
      <c r="AB145" s="12">
        <f>(W145*4+X145*1+Y145*-2+Z145*-3)/W145</f>
        <v>3</v>
      </c>
      <c r="AC145" s="3">
        <f>W145*12.0107+X145*1.00784+Y145*15.999+Z145*14.0067</f>
        <v>116.07016</v>
      </c>
      <c r="AD145" s="12">
        <v>235</v>
      </c>
      <c r="AE145" s="3" t="s">
        <v>43</v>
      </c>
      <c r="AF145" s="3" t="s">
        <v>44</v>
      </c>
      <c r="AG145" s="2" t="str">
        <f>IF(AD145&gt;37,"Proton symporter", "Diffusion")</f>
        <v>Proton symporter</v>
      </c>
      <c r="AH145" s="2" t="s">
        <v>103</v>
      </c>
    </row>
    <row r="146" spans="1:34" hidden="1" x14ac:dyDescent="0.2">
      <c r="A146" s="16" t="s">
        <v>74</v>
      </c>
      <c r="B146" s="9" t="s">
        <v>35</v>
      </c>
      <c r="C146" t="s">
        <v>46</v>
      </c>
      <c r="D146" s="10" t="s">
        <v>37</v>
      </c>
      <c r="E146" t="s">
        <v>100</v>
      </c>
      <c r="F146" t="s">
        <v>101</v>
      </c>
      <c r="G146">
        <v>-10</v>
      </c>
      <c r="H146">
        <v>-20</v>
      </c>
      <c r="I146" s="1" t="s">
        <v>40</v>
      </c>
      <c r="J146">
        <v>3.15</v>
      </c>
      <c r="K146">
        <v>-10</v>
      </c>
      <c r="L146">
        <v>-4.6129629629629703</v>
      </c>
      <c r="M146" s="1" t="s">
        <v>40</v>
      </c>
      <c r="N146">
        <v>2.4148148148148199</v>
      </c>
      <c r="O146">
        <v>4.3962962962962902</v>
      </c>
      <c r="P146"/>
      <c r="Q146">
        <v>0.43962962962962898</v>
      </c>
      <c r="R146">
        <v>0.86425064092107495</v>
      </c>
      <c r="S146" s="3" t="s">
        <v>100</v>
      </c>
      <c r="T146" s="3" t="s">
        <v>100</v>
      </c>
      <c r="U146" s="3" t="s">
        <v>35</v>
      </c>
      <c r="V146" s="3" t="s">
        <v>102</v>
      </c>
      <c r="W146" s="3">
        <v>4</v>
      </c>
      <c r="X146" s="3">
        <v>4</v>
      </c>
      <c r="Y146" s="3">
        <v>4</v>
      </c>
      <c r="Z146" s="3">
        <v>0</v>
      </c>
      <c r="AA146" s="3">
        <v>-2</v>
      </c>
      <c r="AB146" s="12">
        <f>(W146*4+X146*1+Y146*-2+Z146*-3)/W146</f>
        <v>3</v>
      </c>
      <c r="AC146" s="3">
        <f>W146*12.0107+X146*1.00784+Y146*15.999+Z146*14.0067</f>
        <v>116.07016</v>
      </c>
      <c r="AD146" s="12">
        <v>235</v>
      </c>
      <c r="AE146" s="3" t="s">
        <v>43</v>
      </c>
      <c r="AF146" s="3" t="s">
        <v>44</v>
      </c>
      <c r="AG146" s="2" t="str">
        <f>IF(AD146&gt;37,"Proton symporter", "Diffusion")</f>
        <v>Proton symporter</v>
      </c>
      <c r="AH146" s="2" t="s">
        <v>103</v>
      </c>
    </row>
    <row r="147" spans="1:34" hidden="1" x14ac:dyDescent="0.2">
      <c r="A147" s="8" t="s">
        <v>350</v>
      </c>
      <c r="B147" s="17" t="s">
        <v>64</v>
      </c>
      <c r="C147" t="s">
        <v>354</v>
      </c>
      <c r="D147" s="13" t="s">
        <v>51</v>
      </c>
      <c r="E147" t="s">
        <v>100</v>
      </c>
      <c r="F147" t="s">
        <v>101</v>
      </c>
      <c r="G147">
        <v>-10</v>
      </c>
      <c r="H147">
        <v>0</v>
      </c>
      <c r="I147">
        <v>0</v>
      </c>
      <c r="J147">
        <v>0.45</v>
      </c>
      <c r="K147">
        <v>-10</v>
      </c>
      <c r="L147">
        <v>0</v>
      </c>
      <c r="M147" s="26">
        <v>8.9230769230769198</v>
      </c>
      <c r="N147">
        <v>0</v>
      </c>
      <c r="O147" s="26">
        <v>1.7846153846153801</v>
      </c>
      <c r="P147"/>
      <c r="Q147" s="26">
        <v>0.17846153846153801</v>
      </c>
      <c r="R147" s="26">
        <v>0.68493963573734395</v>
      </c>
      <c r="S147" s="3" t="str">
        <f>VLOOKUP($E147,'[1]Product Naming'!$A$1:$P$58,2)</f>
        <v>Succinate</v>
      </c>
      <c r="T147" s="3" t="str">
        <f>VLOOKUP($E147,'[1]Product Naming'!$A$1:$P$58,3)</f>
        <v>Succinate</v>
      </c>
      <c r="U147" s="3" t="str">
        <f>VLOOKUP($E147,'[1]Product Naming'!$A$1:$P$58,4)</f>
        <v>iJO1366</v>
      </c>
      <c r="V147" s="3" t="str">
        <f>VLOOKUP($E147,'[1]Product Naming'!$A$1:$P$58,5)</f>
        <v>C4H4O4</v>
      </c>
      <c r="W147" s="3">
        <f>VLOOKUP($E147,'[1]Product Naming'!$A$1:$P$58,6)</f>
        <v>4</v>
      </c>
      <c r="X147" s="3">
        <f>VLOOKUP($E147,'[1]Product Naming'!$A$1:$P$58,7)</f>
        <v>4</v>
      </c>
      <c r="Y147" s="3">
        <f>VLOOKUP($E147,'[1]Product Naming'!$A$1:$P$58,8)</f>
        <v>4</v>
      </c>
      <c r="Z147" s="3">
        <f>VLOOKUP($E147,'[1]Product Naming'!$A$1:$P$58,9)</f>
        <v>0</v>
      </c>
      <c r="AA147" s="3">
        <f>VLOOKUP($E147,'[1]Product Naming'!$A$1:$P$58,10)</f>
        <v>-2</v>
      </c>
      <c r="AB147" s="3">
        <f>VLOOKUP($E147,'[1]Product Naming'!$A$1:$P$58,11)</f>
        <v>3</v>
      </c>
      <c r="AC147" s="3">
        <f>VLOOKUP($E147,'[1]Product Naming'!$A$1:$P$58,12)</f>
        <v>116.07016</v>
      </c>
      <c r="AD147" s="3">
        <f>VLOOKUP($E147,'[1]Product Naming'!$A$1:$P$58,13)</f>
        <v>235</v>
      </c>
      <c r="AE147" s="3" t="str">
        <f>VLOOKUP($E147,'[1]Product Naming'!$A$1:$P$58,14)</f>
        <v>Dicarboxylate</v>
      </c>
      <c r="AF147" s="3" t="str">
        <f>VLOOKUP($E147,'[1]Product Naming'!$A$1:$P$58,15)</f>
        <v>Oxaloacetate</v>
      </c>
      <c r="AG147" s="3" t="str">
        <f>VLOOKUP($E147,'[1]Product Naming'!$A$1:$P$58,16)</f>
        <v>Proton symporter</v>
      </c>
      <c r="AH147" s="3" t="str">
        <f>VLOOKUP($E147,'[1]Product Naming'!$A$1:$Q$58,17)</f>
        <v>succ_c</v>
      </c>
    </row>
    <row r="148" spans="1:34" hidden="1" x14ac:dyDescent="0.2">
      <c r="A148" s="16" t="s">
        <v>63</v>
      </c>
      <c r="B148" s="17" t="s">
        <v>64</v>
      </c>
      <c r="C148" t="s">
        <v>69</v>
      </c>
      <c r="D148" s="18" t="s">
        <v>66</v>
      </c>
      <c r="E148" t="s">
        <v>100</v>
      </c>
      <c r="F148" t="s">
        <v>101</v>
      </c>
      <c r="G148">
        <v>-10</v>
      </c>
      <c r="H148">
        <v>0</v>
      </c>
      <c r="I148">
        <v>-20</v>
      </c>
      <c r="J148">
        <v>0.45</v>
      </c>
      <c r="K148">
        <v>-10</v>
      </c>
      <c r="L148">
        <v>0</v>
      </c>
      <c r="M148">
        <v>-11.0769230769231</v>
      </c>
      <c r="N148">
        <v>0</v>
      </c>
      <c r="O148">
        <v>1.7846153846153801</v>
      </c>
      <c r="P148"/>
      <c r="Q148">
        <v>0.17846153846153801</v>
      </c>
      <c r="R148" s="19">
        <v>0.68481801748648197</v>
      </c>
      <c r="S148" s="3" t="s">
        <v>100</v>
      </c>
      <c r="T148" s="3" t="s">
        <v>100</v>
      </c>
      <c r="U148" s="3" t="s">
        <v>35</v>
      </c>
      <c r="V148" s="3" t="s">
        <v>102</v>
      </c>
      <c r="W148" s="3">
        <v>4</v>
      </c>
      <c r="X148" s="3">
        <v>4</v>
      </c>
      <c r="Y148" s="3">
        <v>4</v>
      </c>
      <c r="Z148" s="3">
        <v>0</v>
      </c>
      <c r="AA148" s="3">
        <v>-2</v>
      </c>
      <c r="AB148" s="12">
        <f>(W148*4+X148*1+Y148*-2+Z148*-3)/W148</f>
        <v>3</v>
      </c>
      <c r="AC148" s="3">
        <f>W148*12.0107+X148*1.00784+Y148*15.999+Z148*14.0067</f>
        <v>116.07016</v>
      </c>
      <c r="AD148" s="12">
        <v>235</v>
      </c>
      <c r="AE148" s="3" t="s">
        <v>43</v>
      </c>
      <c r="AF148" s="3" t="s">
        <v>44</v>
      </c>
      <c r="AG148" s="2" t="str">
        <f>IF(AD148&gt;37,"Proton symporter", "Diffusion")</f>
        <v>Proton symporter</v>
      </c>
      <c r="AH148" s="2" t="s">
        <v>103</v>
      </c>
    </row>
    <row r="149" spans="1:34" hidden="1" x14ac:dyDescent="0.2">
      <c r="A149" s="16" t="s">
        <v>63</v>
      </c>
      <c r="B149" s="17" t="s">
        <v>64</v>
      </c>
      <c r="C149" t="s">
        <v>68</v>
      </c>
      <c r="D149" s="18" t="s">
        <v>66</v>
      </c>
      <c r="E149" t="s">
        <v>100</v>
      </c>
      <c r="F149" t="s">
        <v>101</v>
      </c>
      <c r="G149">
        <v>-10</v>
      </c>
      <c r="H149">
        <v>0</v>
      </c>
      <c r="I149">
        <v>-10</v>
      </c>
      <c r="J149">
        <v>0.45</v>
      </c>
      <c r="K149">
        <v>-10</v>
      </c>
      <c r="L149">
        <v>0</v>
      </c>
      <c r="M149">
        <v>-10</v>
      </c>
      <c r="N149">
        <v>0</v>
      </c>
      <c r="O149">
        <v>1.7333333333333301</v>
      </c>
      <c r="P149"/>
      <c r="Q149">
        <v>0.17333333333333301</v>
      </c>
      <c r="R149">
        <v>0.66995763347763304</v>
      </c>
      <c r="S149" s="3" t="s">
        <v>100</v>
      </c>
      <c r="T149" s="3" t="s">
        <v>100</v>
      </c>
      <c r="U149" s="3" t="s">
        <v>35</v>
      </c>
      <c r="V149" s="3" t="s">
        <v>102</v>
      </c>
      <c r="W149" s="3">
        <v>4</v>
      </c>
      <c r="X149" s="3">
        <v>4</v>
      </c>
      <c r="Y149" s="3">
        <v>4</v>
      </c>
      <c r="Z149" s="3">
        <v>0</v>
      </c>
      <c r="AA149" s="3">
        <v>-2</v>
      </c>
      <c r="AB149" s="12">
        <f>(W149*4+X149*1+Y149*-2+Z149*-3)/W149</f>
        <v>3</v>
      </c>
      <c r="AC149" s="3">
        <f>W149*12.0107+X149*1.00784+Y149*15.999+Z149*14.0067</f>
        <v>116.07016</v>
      </c>
      <c r="AD149" s="12">
        <v>235</v>
      </c>
      <c r="AE149" s="3" t="s">
        <v>43</v>
      </c>
      <c r="AF149" s="3" t="s">
        <v>44</v>
      </c>
      <c r="AG149" s="2" t="str">
        <f>IF(AD149&gt;37,"Proton symporter", "Diffusion")</f>
        <v>Proton symporter</v>
      </c>
      <c r="AH149" s="2" t="s">
        <v>103</v>
      </c>
    </row>
    <row r="150" spans="1:34" hidden="1" x14ac:dyDescent="0.2">
      <c r="A150" s="8" t="s">
        <v>350</v>
      </c>
      <c r="B150" s="17" t="s">
        <v>64</v>
      </c>
      <c r="C150" t="s">
        <v>353</v>
      </c>
      <c r="D150" s="13" t="s">
        <v>51</v>
      </c>
      <c r="E150" t="s">
        <v>100</v>
      </c>
      <c r="F150" t="s">
        <v>101</v>
      </c>
      <c r="G150">
        <v>-10</v>
      </c>
      <c r="H150">
        <v>0</v>
      </c>
      <c r="I150">
        <v>0</v>
      </c>
      <c r="J150">
        <v>0.45</v>
      </c>
      <c r="K150">
        <v>-10</v>
      </c>
      <c r="L150">
        <v>0</v>
      </c>
      <c r="M150">
        <v>8.1578947368421009</v>
      </c>
      <c r="N150">
        <v>0</v>
      </c>
      <c r="O150" s="26">
        <v>1.6315789473684099</v>
      </c>
      <c r="P150"/>
      <c r="Q150" s="26">
        <v>0.163157894736841</v>
      </c>
      <c r="R150" s="26">
        <v>0.62302592544892699</v>
      </c>
      <c r="S150" s="3" t="str">
        <f>VLOOKUP($E150,'[1]Product Naming'!$A$1:$P$58,2)</f>
        <v>Succinate</v>
      </c>
      <c r="T150" s="3" t="str">
        <f>VLOOKUP($E150,'[1]Product Naming'!$A$1:$P$58,3)</f>
        <v>Succinate</v>
      </c>
      <c r="U150" s="3" t="str">
        <f>VLOOKUP($E150,'[1]Product Naming'!$A$1:$P$58,4)</f>
        <v>iJO1366</v>
      </c>
      <c r="V150" s="3" t="str">
        <f>VLOOKUP($E150,'[1]Product Naming'!$A$1:$P$58,5)</f>
        <v>C4H4O4</v>
      </c>
      <c r="W150" s="3">
        <f>VLOOKUP($E150,'[1]Product Naming'!$A$1:$P$58,6)</f>
        <v>4</v>
      </c>
      <c r="X150" s="3">
        <f>VLOOKUP($E150,'[1]Product Naming'!$A$1:$P$58,7)</f>
        <v>4</v>
      </c>
      <c r="Y150" s="3">
        <f>VLOOKUP($E150,'[1]Product Naming'!$A$1:$P$58,8)</f>
        <v>4</v>
      </c>
      <c r="Z150" s="3">
        <f>VLOOKUP($E150,'[1]Product Naming'!$A$1:$P$58,9)</f>
        <v>0</v>
      </c>
      <c r="AA150" s="3">
        <f>VLOOKUP($E150,'[1]Product Naming'!$A$1:$P$58,10)</f>
        <v>-2</v>
      </c>
      <c r="AB150" s="3">
        <f>VLOOKUP($E150,'[1]Product Naming'!$A$1:$P$58,11)</f>
        <v>3</v>
      </c>
      <c r="AC150" s="3">
        <f>VLOOKUP($E150,'[1]Product Naming'!$A$1:$P$58,12)</f>
        <v>116.07016</v>
      </c>
      <c r="AD150" s="3">
        <f>VLOOKUP($E150,'[1]Product Naming'!$A$1:$P$58,13)</f>
        <v>235</v>
      </c>
      <c r="AE150" s="3" t="str">
        <f>VLOOKUP($E150,'[1]Product Naming'!$A$1:$P$58,14)</f>
        <v>Dicarboxylate</v>
      </c>
      <c r="AF150" s="3" t="str">
        <f>VLOOKUP($E150,'[1]Product Naming'!$A$1:$P$58,15)</f>
        <v>Oxaloacetate</v>
      </c>
      <c r="AG150" s="3" t="str">
        <f>VLOOKUP($E150,'[1]Product Naming'!$A$1:$P$58,16)</f>
        <v>Proton symporter</v>
      </c>
      <c r="AH150" s="3" t="str">
        <f>VLOOKUP($E150,'[1]Product Naming'!$A$1:$Q$58,17)</f>
        <v>succ_c</v>
      </c>
    </row>
    <row r="151" spans="1:34" hidden="1" x14ac:dyDescent="0.2">
      <c r="A151" s="16" t="s">
        <v>63</v>
      </c>
      <c r="B151" s="17" t="s">
        <v>64</v>
      </c>
      <c r="C151" t="s">
        <v>67</v>
      </c>
      <c r="D151" s="18" t="s">
        <v>66</v>
      </c>
      <c r="E151" t="s">
        <v>100</v>
      </c>
      <c r="F151" t="s">
        <v>101</v>
      </c>
      <c r="G151">
        <v>-10</v>
      </c>
      <c r="H151">
        <v>0</v>
      </c>
      <c r="I151">
        <v>-5</v>
      </c>
      <c r="J151">
        <v>0.45</v>
      </c>
      <c r="K151">
        <v>-10</v>
      </c>
      <c r="L151">
        <v>0</v>
      </c>
      <c r="M151">
        <v>-5</v>
      </c>
      <c r="N151">
        <v>1.79512195121951</v>
      </c>
      <c r="O151">
        <v>1.40975609756098</v>
      </c>
      <c r="P151"/>
      <c r="Q151">
        <v>0.14097560975609799</v>
      </c>
      <c r="R151">
        <v>0.56385463750819398</v>
      </c>
      <c r="S151" s="3" t="s">
        <v>100</v>
      </c>
      <c r="T151" s="3" t="s">
        <v>100</v>
      </c>
      <c r="U151" s="3" t="s">
        <v>35</v>
      </c>
      <c r="V151" s="3" t="s">
        <v>102</v>
      </c>
      <c r="W151" s="3">
        <v>4</v>
      </c>
      <c r="X151" s="3">
        <v>4</v>
      </c>
      <c r="Y151" s="3">
        <v>4</v>
      </c>
      <c r="Z151" s="3">
        <v>0</v>
      </c>
      <c r="AA151" s="3">
        <v>-2</v>
      </c>
      <c r="AB151" s="12">
        <f>(W151*4+X151*1+Y151*-2+Z151*-3)/W151</f>
        <v>3</v>
      </c>
      <c r="AC151" s="3">
        <f>W151*12.0107+X151*1.00784+Y151*15.999+Z151*14.0067</f>
        <v>116.07016</v>
      </c>
      <c r="AD151" s="12">
        <v>235</v>
      </c>
      <c r="AE151" s="3" t="s">
        <v>43</v>
      </c>
      <c r="AF151" s="3" t="s">
        <v>44</v>
      </c>
      <c r="AG151" s="2" t="str">
        <f>IF(AD151&gt;37,"Proton symporter", "Diffusion")</f>
        <v>Proton symporter</v>
      </c>
      <c r="AH151" s="2" t="s">
        <v>103</v>
      </c>
    </row>
    <row r="152" spans="1:34" hidden="1" x14ac:dyDescent="0.2">
      <c r="A152" s="16" t="s">
        <v>63</v>
      </c>
      <c r="B152" s="17" t="s">
        <v>64</v>
      </c>
      <c r="C152" t="s">
        <v>65</v>
      </c>
      <c r="D152" s="18" t="s">
        <v>66</v>
      </c>
      <c r="E152" t="s">
        <v>100</v>
      </c>
      <c r="F152" t="s">
        <v>101</v>
      </c>
      <c r="G152">
        <v>-10</v>
      </c>
      <c r="H152">
        <v>0</v>
      </c>
      <c r="I152">
        <v>0</v>
      </c>
      <c r="J152">
        <v>0.45</v>
      </c>
      <c r="K152">
        <v>-10</v>
      </c>
      <c r="L152">
        <v>0</v>
      </c>
      <c r="M152">
        <v>0</v>
      </c>
      <c r="N152">
        <v>4.4780487804878097</v>
      </c>
      <c r="O152">
        <v>1.0439024390243901</v>
      </c>
      <c r="P152"/>
      <c r="Q152">
        <v>0.10439024390243901</v>
      </c>
      <c r="R152">
        <v>0.43258094652606599</v>
      </c>
      <c r="S152" s="3" t="s">
        <v>100</v>
      </c>
      <c r="T152" s="3" t="s">
        <v>100</v>
      </c>
      <c r="U152" s="3" t="s">
        <v>35</v>
      </c>
      <c r="V152" s="3" t="s">
        <v>102</v>
      </c>
      <c r="W152" s="3">
        <v>4</v>
      </c>
      <c r="X152" s="3">
        <v>4</v>
      </c>
      <c r="Y152" s="3">
        <v>4</v>
      </c>
      <c r="Z152" s="3">
        <v>0</v>
      </c>
      <c r="AA152" s="3">
        <v>-2</v>
      </c>
      <c r="AB152" s="12">
        <f>(W152*4+X152*1+Y152*-2+Z152*-3)/W152</f>
        <v>3</v>
      </c>
      <c r="AC152" s="3">
        <f>W152*12.0107+X152*1.00784+Y152*15.999+Z152*14.0067</f>
        <v>116.07016</v>
      </c>
      <c r="AD152" s="12">
        <v>235</v>
      </c>
      <c r="AE152" s="3" t="s">
        <v>43</v>
      </c>
      <c r="AF152" s="3" t="s">
        <v>44</v>
      </c>
      <c r="AG152" s="2" t="str">
        <f>IF(AD152&gt;37,"Proton symporter", "Diffusion")</f>
        <v>Proton symporter</v>
      </c>
      <c r="AH152" s="2" t="s">
        <v>103</v>
      </c>
    </row>
    <row r="153" spans="1:34" hidden="1" x14ac:dyDescent="0.2">
      <c r="A153" s="16" t="s">
        <v>63</v>
      </c>
      <c r="B153" s="17" t="s">
        <v>64</v>
      </c>
      <c r="C153" t="s">
        <v>73</v>
      </c>
      <c r="D153" s="18" t="s">
        <v>66</v>
      </c>
      <c r="E153" t="s">
        <v>100</v>
      </c>
      <c r="F153" t="s">
        <v>101</v>
      </c>
      <c r="G153">
        <v>-10</v>
      </c>
      <c r="H153">
        <v>0</v>
      </c>
      <c r="I153">
        <v>-20</v>
      </c>
      <c r="J153">
        <v>0.45</v>
      </c>
      <c r="K153">
        <v>-10</v>
      </c>
      <c r="L153">
        <v>0</v>
      </c>
      <c r="M153">
        <v>-11.0769230769231</v>
      </c>
      <c r="N153">
        <v>0</v>
      </c>
      <c r="O153">
        <v>1.7846153846153801</v>
      </c>
      <c r="P153"/>
      <c r="Q153">
        <v>0.17846153846153801</v>
      </c>
      <c r="R153" s="19">
        <v>0.42915093628780498</v>
      </c>
      <c r="S153" s="3" t="s">
        <v>100</v>
      </c>
      <c r="T153" s="3" t="s">
        <v>100</v>
      </c>
      <c r="U153" s="3" t="s">
        <v>35</v>
      </c>
      <c r="V153" s="3" t="s">
        <v>102</v>
      </c>
      <c r="W153" s="3">
        <v>4</v>
      </c>
      <c r="X153" s="3">
        <v>4</v>
      </c>
      <c r="Y153" s="3">
        <v>4</v>
      </c>
      <c r="Z153" s="3">
        <v>0</v>
      </c>
      <c r="AA153" s="3">
        <v>-2</v>
      </c>
      <c r="AB153" s="12">
        <f>(W153*4+X153*1+Y153*-2+Z153*-3)/W153</f>
        <v>3</v>
      </c>
      <c r="AC153" s="3">
        <f>W153*12.0107+X153*1.00784+Y153*15.999+Z153*14.0067</f>
        <v>116.07016</v>
      </c>
      <c r="AD153" s="12">
        <v>235</v>
      </c>
      <c r="AE153" s="3" t="s">
        <v>43</v>
      </c>
      <c r="AF153" s="3" t="s">
        <v>44</v>
      </c>
      <c r="AG153" s="2" t="str">
        <f>IF(AD153&gt;37,"Proton symporter", "Diffusion")</f>
        <v>Proton symporter</v>
      </c>
      <c r="AH153" s="2" t="s">
        <v>103</v>
      </c>
    </row>
    <row r="154" spans="1:34" hidden="1" x14ac:dyDescent="0.2">
      <c r="A154" s="16" t="s">
        <v>63</v>
      </c>
      <c r="B154" s="17" t="s">
        <v>64</v>
      </c>
      <c r="C154" t="s">
        <v>72</v>
      </c>
      <c r="D154" s="18" t="s">
        <v>66</v>
      </c>
      <c r="E154" t="s">
        <v>100</v>
      </c>
      <c r="F154" t="s">
        <v>101</v>
      </c>
      <c r="G154">
        <v>-10</v>
      </c>
      <c r="H154">
        <v>0</v>
      </c>
      <c r="I154">
        <v>-10</v>
      </c>
      <c r="J154">
        <v>0.45</v>
      </c>
      <c r="K154">
        <v>-10</v>
      </c>
      <c r="L154">
        <v>0</v>
      </c>
      <c r="M154">
        <v>-10</v>
      </c>
      <c r="N154">
        <v>0</v>
      </c>
      <c r="O154">
        <v>1.7333333333333301</v>
      </c>
      <c r="P154"/>
      <c r="Q154">
        <v>0.17333333333333301</v>
      </c>
      <c r="R154">
        <v>0.41870957788063401</v>
      </c>
      <c r="S154" s="3" t="s">
        <v>100</v>
      </c>
      <c r="T154" s="3" t="s">
        <v>100</v>
      </c>
      <c r="U154" s="3" t="s">
        <v>35</v>
      </c>
      <c r="V154" s="3" t="s">
        <v>102</v>
      </c>
      <c r="W154" s="3">
        <v>4</v>
      </c>
      <c r="X154" s="3">
        <v>4</v>
      </c>
      <c r="Y154" s="3">
        <v>4</v>
      </c>
      <c r="Z154" s="3">
        <v>0</v>
      </c>
      <c r="AA154" s="3">
        <v>-2</v>
      </c>
      <c r="AB154" s="12">
        <f>(W154*4+X154*1+Y154*-2+Z154*-3)/W154</f>
        <v>3</v>
      </c>
      <c r="AC154" s="3">
        <f>W154*12.0107+X154*1.00784+Y154*15.999+Z154*14.0067</f>
        <v>116.07016</v>
      </c>
      <c r="AD154" s="12">
        <v>235</v>
      </c>
      <c r="AE154" s="3" t="s">
        <v>43</v>
      </c>
      <c r="AF154" s="3" t="s">
        <v>44</v>
      </c>
      <c r="AG154" s="2" t="str">
        <f>IF(AD154&gt;37,"Proton symporter", "Diffusion")</f>
        <v>Proton symporter</v>
      </c>
      <c r="AH154" s="2" t="s">
        <v>103</v>
      </c>
    </row>
    <row r="155" spans="1:34" hidden="1" x14ac:dyDescent="0.2">
      <c r="A155" s="8" t="s">
        <v>350</v>
      </c>
      <c r="B155" s="17" t="s">
        <v>64</v>
      </c>
      <c r="C155" t="s">
        <v>352</v>
      </c>
      <c r="D155" s="13" t="s">
        <v>51</v>
      </c>
      <c r="E155" t="s">
        <v>100</v>
      </c>
      <c r="F155" t="s">
        <v>101</v>
      </c>
      <c r="G155">
        <v>-10</v>
      </c>
      <c r="H155">
        <v>0</v>
      </c>
      <c r="I155">
        <v>0</v>
      </c>
      <c r="J155">
        <v>0.45</v>
      </c>
      <c r="K155">
        <v>-10</v>
      </c>
      <c r="L155">
        <v>0</v>
      </c>
      <c r="M155" s="26">
        <v>5.4137931034482696</v>
      </c>
      <c r="N155">
        <v>0</v>
      </c>
      <c r="O155" s="26">
        <v>1.08275862068965</v>
      </c>
      <c r="P155"/>
      <c r="Q155" s="26">
        <v>0.108275862068965</v>
      </c>
      <c r="R155" s="26">
        <v>0.40606601286891503</v>
      </c>
      <c r="S155" s="3" t="str">
        <f>VLOOKUP($E155,'[1]Product Naming'!$A$1:$P$58,2)</f>
        <v>Succinate</v>
      </c>
      <c r="T155" s="3" t="str">
        <f>VLOOKUP($E155,'[1]Product Naming'!$A$1:$P$58,3)</f>
        <v>Succinate</v>
      </c>
      <c r="U155" s="3" t="str">
        <f>VLOOKUP($E155,'[1]Product Naming'!$A$1:$P$58,4)</f>
        <v>iJO1366</v>
      </c>
      <c r="V155" s="3" t="str">
        <f>VLOOKUP($E155,'[1]Product Naming'!$A$1:$P$58,5)</f>
        <v>C4H4O4</v>
      </c>
      <c r="W155" s="3">
        <f>VLOOKUP($E155,'[1]Product Naming'!$A$1:$P$58,6)</f>
        <v>4</v>
      </c>
      <c r="X155" s="3">
        <f>VLOOKUP($E155,'[1]Product Naming'!$A$1:$P$58,7)</f>
        <v>4</v>
      </c>
      <c r="Y155" s="3">
        <f>VLOOKUP($E155,'[1]Product Naming'!$A$1:$P$58,8)</f>
        <v>4</v>
      </c>
      <c r="Z155" s="3">
        <f>VLOOKUP($E155,'[1]Product Naming'!$A$1:$P$58,9)</f>
        <v>0</v>
      </c>
      <c r="AA155" s="3">
        <f>VLOOKUP($E155,'[1]Product Naming'!$A$1:$P$58,10)</f>
        <v>-2</v>
      </c>
      <c r="AB155" s="3">
        <f>VLOOKUP($E155,'[1]Product Naming'!$A$1:$P$58,11)</f>
        <v>3</v>
      </c>
      <c r="AC155" s="3">
        <f>VLOOKUP($E155,'[1]Product Naming'!$A$1:$P$58,12)</f>
        <v>116.07016</v>
      </c>
      <c r="AD155" s="3">
        <f>VLOOKUP($E155,'[1]Product Naming'!$A$1:$P$58,13)</f>
        <v>235</v>
      </c>
      <c r="AE155" s="3" t="str">
        <f>VLOOKUP($E155,'[1]Product Naming'!$A$1:$P$58,14)</f>
        <v>Dicarboxylate</v>
      </c>
      <c r="AF155" s="3" t="str">
        <f>VLOOKUP($E155,'[1]Product Naming'!$A$1:$P$58,15)</f>
        <v>Oxaloacetate</v>
      </c>
      <c r="AG155" s="3" t="str">
        <f>VLOOKUP($E155,'[1]Product Naming'!$A$1:$P$58,16)</f>
        <v>Proton symporter</v>
      </c>
      <c r="AH155" s="3" t="str">
        <f>VLOOKUP($E155,'[1]Product Naming'!$A$1:$Q$58,17)</f>
        <v>succ_c</v>
      </c>
    </row>
    <row r="156" spans="1:34" hidden="1" x14ac:dyDescent="0.2">
      <c r="A156" s="16" t="s">
        <v>63</v>
      </c>
      <c r="B156" s="17" t="s">
        <v>64</v>
      </c>
      <c r="C156" t="s">
        <v>71</v>
      </c>
      <c r="D156" s="18" t="s">
        <v>66</v>
      </c>
      <c r="E156" t="s">
        <v>100</v>
      </c>
      <c r="F156" t="s">
        <v>101</v>
      </c>
      <c r="G156">
        <v>-10</v>
      </c>
      <c r="H156">
        <v>0</v>
      </c>
      <c r="I156">
        <v>-5</v>
      </c>
      <c r="J156">
        <v>0.45</v>
      </c>
      <c r="K156">
        <v>-10</v>
      </c>
      <c r="L156">
        <v>0</v>
      </c>
      <c r="M156">
        <v>-5</v>
      </c>
      <c r="N156">
        <v>1.79512195121951</v>
      </c>
      <c r="O156">
        <v>1.40975609756097</v>
      </c>
      <c r="P156"/>
      <c r="Q156">
        <v>0.14097560975609699</v>
      </c>
      <c r="R156">
        <v>0.34785715823450403</v>
      </c>
      <c r="S156" s="3" t="s">
        <v>100</v>
      </c>
      <c r="T156" s="3" t="s">
        <v>100</v>
      </c>
      <c r="U156" s="3" t="s">
        <v>35</v>
      </c>
      <c r="V156" s="3" t="s">
        <v>102</v>
      </c>
      <c r="W156" s="3">
        <v>4</v>
      </c>
      <c r="X156" s="3">
        <v>4</v>
      </c>
      <c r="Y156" s="3">
        <v>4</v>
      </c>
      <c r="Z156" s="3">
        <v>0</v>
      </c>
      <c r="AA156" s="3">
        <v>-2</v>
      </c>
      <c r="AB156" s="12">
        <f>(W156*4+X156*1+Y156*-2+Z156*-3)/W156</f>
        <v>3</v>
      </c>
      <c r="AC156" s="3">
        <f>W156*12.0107+X156*1.00784+Y156*15.999+Z156*14.0067</f>
        <v>116.07016</v>
      </c>
      <c r="AD156" s="12">
        <v>235</v>
      </c>
      <c r="AE156" s="3" t="s">
        <v>43</v>
      </c>
      <c r="AF156" s="3" t="s">
        <v>44</v>
      </c>
      <c r="AG156" s="2" t="str">
        <f>IF(AD156&gt;37,"Proton symporter", "Diffusion")</f>
        <v>Proton symporter</v>
      </c>
      <c r="AH156" s="2" t="s">
        <v>103</v>
      </c>
    </row>
    <row r="157" spans="1:34" hidden="1" x14ac:dyDescent="0.2">
      <c r="A157" s="8" t="s">
        <v>368</v>
      </c>
      <c r="B157" s="17" t="s">
        <v>64</v>
      </c>
      <c r="C157" t="s">
        <v>369</v>
      </c>
      <c r="D157" s="18" t="s">
        <v>66</v>
      </c>
      <c r="E157" t="s">
        <v>100</v>
      </c>
      <c r="F157" t="s">
        <v>101</v>
      </c>
      <c r="G157">
        <v>-10</v>
      </c>
      <c r="H157">
        <v>0</v>
      </c>
      <c r="I157">
        <v>-20</v>
      </c>
      <c r="J157">
        <v>0.45</v>
      </c>
      <c r="K157">
        <v>-10</v>
      </c>
      <c r="L157">
        <v>0</v>
      </c>
      <c r="M157">
        <v>-20</v>
      </c>
      <c r="N157">
        <v>-10</v>
      </c>
      <c r="O157">
        <v>1.25714285714285</v>
      </c>
      <c r="P157"/>
      <c r="Q157">
        <v>0.125714285714285</v>
      </c>
      <c r="R157">
        <v>0.30372751461518699</v>
      </c>
      <c r="S157" s="1" t="str">
        <f>VLOOKUP($E157,'[1]Product Naming'!$A$1:$P$58,2)</f>
        <v>Succinate</v>
      </c>
      <c r="T157" s="1" t="str">
        <f>VLOOKUP($E157,'[1]Product Naming'!$A$1:$P$58,3)</f>
        <v>Succinate</v>
      </c>
      <c r="U157" s="1" t="str">
        <f>VLOOKUP($E157,'[1]Product Naming'!$A$1:$P$58,4)</f>
        <v>iJO1366</v>
      </c>
      <c r="V157" s="1" t="str">
        <f>VLOOKUP($E157,'[1]Product Naming'!$A$1:$P$58,5)</f>
        <v>C4H4O4</v>
      </c>
      <c r="W157" s="1">
        <f>VLOOKUP($E157,'[1]Product Naming'!$A$1:$P$58,6)</f>
        <v>4</v>
      </c>
      <c r="X157" s="1">
        <f>VLOOKUP($E157,'[1]Product Naming'!$A$1:$P$58,7)</f>
        <v>4</v>
      </c>
      <c r="Y157" s="1">
        <f>VLOOKUP($E157,'[1]Product Naming'!$A$1:$P$58,8)</f>
        <v>4</v>
      </c>
      <c r="Z157" s="1">
        <f>VLOOKUP($E157,'[1]Product Naming'!$A$1:$P$58,9)</f>
        <v>0</v>
      </c>
      <c r="AA157" s="1">
        <f>VLOOKUP($E157,'[1]Product Naming'!$A$1:$P$58,10)</f>
        <v>-2</v>
      </c>
      <c r="AB157" s="27">
        <f>VLOOKUP($E157,'[1]Product Naming'!$A$1:$P$58,11)</f>
        <v>3</v>
      </c>
      <c r="AC157" s="3">
        <f>VLOOKUP($E157,'[1]Product Naming'!$A$1:$P$58,12)</f>
        <v>116.07016</v>
      </c>
      <c r="AD157" s="1">
        <f>VLOOKUP($E157,'[1]Product Naming'!$A$1:$P$58,13)</f>
        <v>235</v>
      </c>
      <c r="AE157" s="1" t="str">
        <f>VLOOKUP($E157,'[1]Product Naming'!$A$1:$P$58,14)</f>
        <v>Dicarboxylate</v>
      </c>
      <c r="AF157" s="1" t="str">
        <f>VLOOKUP($E157,'[1]Product Naming'!$A$1:$P$58,15)</f>
        <v>Oxaloacetate</v>
      </c>
      <c r="AG157" s="28" t="str">
        <f>VLOOKUP($E157,'[1]Product Naming'!$A$1:$P$58,16)</f>
        <v>Proton symporter</v>
      </c>
      <c r="AH157" s="3" t="str">
        <f>VLOOKUP($E157,'[1]Product Naming'!$A$1:$Q$58,17)</f>
        <v>succ_c</v>
      </c>
    </row>
    <row r="158" spans="1:34" hidden="1" x14ac:dyDescent="0.2">
      <c r="A158" s="16" t="s">
        <v>63</v>
      </c>
      <c r="B158" s="17" t="s">
        <v>64</v>
      </c>
      <c r="C158" t="s">
        <v>70</v>
      </c>
      <c r="D158" s="18" t="s">
        <v>66</v>
      </c>
      <c r="E158" t="s">
        <v>100</v>
      </c>
      <c r="F158" t="s">
        <v>101</v>
      </c>
      <c r="G158">
        <v>-10</v>
      </c>
      <c r="H158">
        <v>0</v>
      </c>
      <c r="I158">
        <v>0</v>
      </c>
      <c r="J158">
        <v>0.45</v>
      </c>
      <c r="K158">
        <v>-10</v>
      </c>
      <c r="L158">
        <v>0</v>
      </c>
      <c r="M158">
        <v>0</v>
      </c>
      <c r="N158">
        <v>4.4780487804878</v>
      </c>
      <c r="O158">
        <v>1.0439024390243901</v>
      </c>
      <c r="P158"/>
      <c r="Q158">
        <v>0.10439024390243901</v>
      </c>
      <c r="R158">
        <v>0.26323479483191498</v>
      </c>
      <c r="S158" s="3" t="s">
        <v>100</v>
      </c>
      <c r="T158" s="3" t="s">
        <v>100</v>
      </c>
      <c r="U158" s="3" t="s">
        <v>35</v>
      </c>
      <c r="V158" s="3" t="s">
        <v>102</v>
      </c>
      <c r="W158" s="3">
        <v>4</v>
      </c>
      <c r="X158" s="3">
        <v>4</v>
      </c>
      <c r="Y158" s="3">
        <v>4</v>
      </c>
      <c r="Z158" s="3">
        <v>0</v>
      </c>
      <c r="AA158" s="3">
        <v>-2</v>
      </c>
      <c r="AB158" s="12">
        <f>(W158*4+X158*1+Y158*-2+Z158*-3)/W158</f>
        <v>3</v>
      </c>
      <c r="AC158" s="3">
        <f>W158*12.0107+X158*1.00784+Y158*15.999+Z158*14.0067</f>
        <v>116.07016</v>
      </c>
      <c r="AD158" s="12">
        <v>235</v>
      </c>
      <c r="AE158" s="3" t="s">
        <v>43</v>
      </c>
      <c r="AF158" s="3" t="s">
        <v>44</v>
      </c>
      <c r="AG158" s="2" t="str">
        <f>IF(AD158&gt;37,"Proton symporter", "Diffusion")</f>
        <v>Proton symporter</v>
      </c>
      <c r="AH158" s="2" t="s">
        <v>103</v>
      </c>
    </row>
    <row r="159" spans="1:34" hidden="1" x14ac:dyDescent="0.2">
      <c r="A159" s="8" t="s">
        <v>350</v>
      </c>
      <c r="B159" s="17" t="s">
        <v>64</v>
      </c>
      <c r="C159" t="s">
        <v>351</v>
      </c>
      <c r="D159" s="13" t="s">
        <v>51</v>
      </c>
      <c r="E159" t="s">
        <v>100</v>
      </c>
      <c r="F159" t="s">
        <v>101</v>
      </c>
      <c r="G159">
        <v>-10</v>
      </c>
      <c r="H159">
        <v>0</v>
      </c>
      <c r="I159">
        <v>0</v>
      </c>
      <c r="J159">
        <v>0.45</v>
      </c>
      <c r="K159">
        <v>-10</v>
      </c>
      <c r="L159">
        <v>0</v>
      </c>
      <c r="M159" s="26">
        <v>2.5624999999999898</v>
      </c>
      <c r="N159">
        <v>0</v>
      </c>
      <c r="O159" s="26">
        <v>0.51249999999999996</v>
      </c>
      <c r="P159"/>
      <c r="Q159">
        <v>5.1249999999999997E-2</v>
      </c>
      <c r="R159" s="26">
        <v>0.18869778261070899</v>
      </c>
      <c r="S159" s="3" t="str">
        <f>VLOOKUP($E159,'[1]Product Naming'!$A$1:$P$58,2)</f>
        <v>Succinate</v>
      </c>
      <c r="T159" s="3" t="str">
        <f>VLOOKUP($E159,'[1]Product Naming'!$A$1:$P$58,3)</f>
        <v>Succinate</v>
      </c>
      <c r="U159" s="3" t="str">
        <f>VLOOKUP($E159,'[1]Product Naming'!$A$1:$P$58,4)</f>
        <v>iJO1366</v>
      </c>
      <c r="V159" s="3" t="str">
        <f>VLOOKUP($E159,'[1]Product Naming'!$A$1:$P$58,5)</f>
        <v>C4H4O4</v>
      </c>
      <c r="W159" s="3">
        <f>VLOOKUP($E159,'[1]Product Naming'!$A$1:$P$58,6)</f>
        <v>4</v>
      </c>
      <c r="X159" s="3">
        <f>VLOOKUP($E159,'[1]Product Naming'!$A$1:$P$58,7)</f>
        <v>4</v>
      </c>
      <c r="Y159" s="3">
        <f>VLOOKUP($E159,'[1]Product Naming'!$A$1:$P$58,8)</f>
        <v>4</v>
      </c>
      <c r="Z159" s="3">
        <f>VLOOKUP($E159,'[1]Product Naming'!$A$1:$P$58,9)</f>
        <v>0</v>
      </c>
      <c r="AA159" s="3">
        <f>VLOOKUP($E159,'[1]Product Naming'!$A$1:$P$58,10)</f>
        <v>-2</v>
      </c>
      <c r="AB159" s="3">
        <f>VLOOKUP($E159,'[1]Product Naming'!$A$1:$P$58,11)</f>
        <v>3</v>
      </c>
      <c r="AC159" s="3">
        <f>VLOOKUP($E159,'[1]Product Naming'!$A$1:$P$58,12)</f>
        <v>116.07016</v>
      </c>
      <c r="AD159" s="3">
        <f>VLOOKUP($E159,'[1]Product Naming'!$A$1:$P$58,13)</f>
        <v>235</v>
      </c>
      <c r="AE159" s="3" t="str">
        <f>VLOOKUP($E159,'[1]Product Naming'!$A$1:$P$58,14)</f>
        <v>Dicarboxylate</v>
      </c>
      <c r="AF159" s="3" t="str">
        <f>VLOOKUP($E159,'[1]Product Naming'!$A$1:$P$58,15)</f>
        <v>Oxaloacetate</v>
      </c>
      <c r="AG159" s="3" t="str">
        <f>VLOOKUP($E159,'[1]Product Naming'!$A$1:$P$58,16)</f>
        <v>Proton symporter</v>
      </c>
      <c r="AH159" s="3" t="str">
        <f>VLOOKUP($E159,'[1]Product Naming'!$A$1:$Q$58,17)</f>
        <v>succ_c</v>
      </c>
    </row>
    <row r="160" spans="1:34" hidden="1" x14ac:dyDescent="0.2">
      <c r="A160" s="16" t="s">
        <v>74</v>
      </c>
      <c r="B160" s="9" t="s">
        <v>35</v>
      </c>
      <c r="C160" t="s">
        <v>50</v>
      </c>
      <c r="D160" s="13" t="s">
        <v>51</v>
      </c>
      <c r="E160" t="s">
        <v>100</v>
      </c>
      <c r="F160" t="s">
        <v>101</v>
      </c>
      <c r="G160">
        <v>-10</v>
      </c>
      <c r="H160">
        <v>-20</v>
      </c>
      <c r="I160" s="1" t="s">
        <v>40</v>
      </c>
      <c r="J160">
        <v>3.15</v>
      </c>
      <c r="K160">
        <v>-10</v>
      </c>
      <c r="L160">
        <v>-2.4078124999999999</v>
      </c>
      <c r="M160" s="1" t="s">
        <v>40</v>
      </c>
      <c r="N160">
        <v>7.0374999999999996</v>
      </c>
      <c r="O160">
        <v>0.74062499999999298</v>
      </c>
      <c r="P160"/>
      <c r="Q160">
        <v>7.4062499999999296E-2</v>
      </c>
      <c r="R160">
        <v>0.18675909034620999</v>
      </c>
      <c r="S160" s="3" t="s">
        <v>100</v>
      </c>
      <c r="T160" s="3" t="s">
        <v>100</v>
      </c>
      <c r="U160" s="3" t="s">
        <v>35</v>
      </c>
      <c r="V160" s="3" t="s">
        <v>102</v>
      </c>
      <c r="W160" s="3">
        <v>4</v>
      </c>
      <c r="X160" s="3">
        <v>4</v>
      </c>
      <c r="Y160" s="3">
        <v>4</v>
      </c>
      <c r="Z160" s="3">
        <v>0</v>
      </c>
      <c r="AA160" s="3">
        <v>-2</v>
      </c>
      <c r="AB160" s="12">
        <f>(W160*4+X160*1+Y160*-2+Z160*-3)/W160</f>
        <v>3</v>
      </c>
      <c r="AC160" s="3">
        <f>W160*12.0107+X160*1.00784+Y160*15.999+Z160*14.0067</f>
        <v>116.07016</v>
      </c>
      <c r="AD160" s="12">
        <v>235</v>
      </c>
      <c r="AE160" s="3" t="s">
        <v>43</v>
      </c>
      <c r="AF160" s="3" t="s">
        <v>44</v>
      </c>
      <c r="AG160" s="2" t="str">
        <f>IF(AD160&gt;37,"Proton symporter", "Diffusion")</f>
        <v>Proton symporter</v>
      </c>
      <c r="AH160" s="2" t="s">
        <v>103</v>
      </c>
    </row>
    <row r="161" spans="1:34" hidden="1" x14ac:dyDescent="0.2">
      <c r="A161" s="16" t="s">
        <v>74</v>
      </c>
      <c r="B161" s="9" t="s">
        <v>35</v>
      </c>
      <c r="C161" t="s">
        <v>52</v>
      </c>
      <c r="D161" s="13" t="s">
        <v>51</v>
      </c>
      <c r="E161" t="s">
        <v>100</v>
      </c>
      <c r="F161" t="s">
        <v>101</v>
      </c>
      <c r="G161">
        <v>-10</v>
      </c>
      <c r="H161">
        <v>-20</v>
      </c>
      <c r="I161" s="1" t="s">
        <v>40</v>
      </c>
      <c r="J161">
        <v>3.15</v>
      </c>
      <c r="K161">
        <v>-10</v>
      </c>
      <c r="L161">
        <v>-3.0931034482758601</v>
      </c>
      <c r="M161" s="1" t="s">
        <v>40</v>
      </c>
      <c r="N161">
        <v>7.8206896551724103</v>
      </c>
      <c r="O161">
        <v>0.54482758620689598</v>
      </c>
      <c r="P161"/>
      <c r="Q161">
        <v>5.4482758620689603E-2</v>
      </c>
      <c r="R161">
        <v>0.13738599749606401</v>
      </c>
      <c r="S161" s="3" t="s">
        <v>100</v>
      </c>
      <c r="T161" s="3" t="s">
        <v>100</v>
      </c>
      <c r="U161" s="3" t="s">
        <v>35</v>
      </c>
      <c r="V161" s="3" t="s">
        <v>102</v>
      </c>
      <c r="W161" s="3">
        <v>4</v>
      </c>
      <c r="X161" s="3">
        <v>4</v>
      </c>
      <c r="Y161" s="3">
        <v>4</v>
      </c>
      <c r="Z161" s="3">
        <v>0</v>
      </c>
      <c r="AA161" s="3">
        <v>-2</v>
      </c>
      <c r="AB161" s="12">
        <f>(W161*4+X161*1+Y161*-2+Z161*-3)/W161</f>
        <v>3</v>
      </c>
      <c r="AC161" s="3">
        <f>W161*12.0107+X161*1.00784+Y161*15.999+Z161*14.0067</f>
        <v>116.07016</v>
      </c>
      <c r="AD161" s="12">
        <v>235</v>
      </c>
      <c r="AE161" s="3" t="s">
        <v>43</v>
      </c>
      <c r="AF161" s="3" t="s">
        <v>44</v>
      </c>
      <c r="AG161" s="2" t="str">
        <f>IF(AD161&gt;37,"Proton symporter", "Diffusion")</f>
        <v>Proton symporter</v>
      </c>
      <c r="AH161" s="2" t="s">
        <v>103</v>
      </c>
    </row>
    <row r="162" spans="1:34" hidden="1" x14ac:dyDescent="0.2">
      <c r="A162" s="16" t="s">
        <v>74</v>
      </c>
      <c r="B162" s="9" t="s">
        <v>35</v>
      </c>
      <c r="C162" t="s">
        <v>53</v>
      </c>
      <c r="D162" s="13" t="s">
        <v>51</v>
      </c>
      <c r="E162" t="s">
        <v>100</v>
      </c>
      <c r="F162" t="s">
        <v>101</v>
      </c>
      <c r="G162">
        <v>-10</v>
      </c>
      <c r="H162">
        <v>-20</v>
      </c>
      <c r="I162" s="1" t="s">
        <v>40</v>
      </c>
      <c r="J162">
        <v>3.15</v>
      </c>
      <c r="K162">
        <v>-10</v>
      </c>
      <c r="L162">
        <v>-4.0563139931740597</v>
      </c>
      <c r="M162" s="1" t="s">
        <v>40</v>
      </c>
      <c r="N162">
        <v>8.92150170648463</v>
      </c>
      <c r="O162">
        <v>0.26962457337884099</v>
      </c>
      <c r="P162"/>
      <c r="Q162">
        <v>2.6962457337884101E-2</v>
      </c>
      <c r="R162">
        <v>6.7989657463922798E-2</v>
      </c>
      <c r="S162" s="3" t="s">
        <v>100</v>
      </c>
      <c r="T162" s="3" t="s">
        <v>100</v>
      </c>
      <c r="U162" s="3" t="s">
        <v>35</v>
      </c>
      <c r="V162" s="3" t="s">
        <v>102</v>
      </c>
      <c r="W162" s="3">
        <v>4</v>
      </c>
      <c r="X162" s="3">
        <v>4</v>
      </c>
      <c r="Y162" s="3">
        <v>4</v>
      </c>
      <c r="Z162" s="3">
        <v>0</v>
      </c>
      <c r="AA162" s="3">
        <v>-2</v>
      </c>
      <c r="AB162" s="12">
        <f>(W162*4+X162*1+Y162*-2+Z162*-3)/W162</f>
        <v>3</v>
      </c>
      <c r="AC162" s="3">
        <f>W162*12.0107+X162*1.00784+Y162*15.999+Z162*14.0067</f>
        <v>116.07016</v>
      </c>
      <c r="AD162" s="12">
        <v>235</v>
      </c>
      <c r="AE162" s="3" t="s">
        <v>43</v>
      </c>
      <c r="AF162" s="3" t="s">
        <v>44</v>
      </c>
      <c r="AG162" s="2" t="str">
        <f>IF(AD162&gt;37,"Proton symporter", "Diffusion")</f>
        <v>Proton symporter</v>
      </c>
      <c r="AH162" s="2" t="s">
        <v>103</v>
      </c>
    </row>
    <row r="163" spans="1:34" hidden="1" x14ac:dyDescent="0.2">
      <c r="A163" s="8" t="s">
        <v>34</v>
      </c>
      <c r="B163" s="9" t="s">
        <v>35</v>
      </c>
      <c r="C163" s="1" t="s">
        <v>49</v>
      </c>
      <c r="D163" s="10" t="s">
        <v>37</v>
      </c>
      <c r="E163" s="1" t="s">
        <v>104</v>
      </c>
      <c r="F163" s="1" t="s">
        <v>105</v>
      </c>
      <c r="G163" s="1">
        <v>-10</v>
      </c>
      <c r="H163" s="1">
        <v>-20</v>
      </c>
      <c r="I163" s="1" t="s">
        <v>40</v>
      </c>
      <c r="J163" s="1">
        <v>3.15</v>
      </c>
      <c r="K163" s="1">
        <v>-10</v>
      </c>
      <c r="L163" s="1">
        <v>-6.2440298507462701</v>
      </c>
      <c r="M163" s="1" t="s">
        <v>40</v>
      </c>
      <c r="N163" s="1">
        <v>-6.3955223880596801</v>
      </c>
      <c r="O163" s="1">
        <v>5.2791044776119502</v>
      </c>
      <c r="Q163" s="1">
        <v>0.527910447761195</v>
      </c>
      <c r="R163" s="1">
        <v>1.4677443363954901</v>
      </c>
      <c r="S163" s="20" t="s">
        <v>104</v>
      </c>
      <c r="T163" s="3" t="s">
        <v>104</v>
      </c>
      <c r="U163" s="3" t="s">
        <v>106</v>
      </c>
      <c r="V163" s="3" t="s">
        <v>107</v>
      </c>
      <c r="W163" s="3">
        <v>5</v>
      </c>
      <c r="X163" s="3">
        <v>4</v>
      </c>
      <c r="Y163" s="3">
        <v>4</v>
      </c>
      <c r="Z163" s="3">
        <v>0</v>
      </c>
      <c r="AA163" s="3">
        <v>-2</v>
      </c>
      <c r="AB163" s="12">
        <f>(W163*4+X163*1+Y163*-2+Z163*-3)/W163</f>
        <v>3.2</v>
      </c>
      <c r="AC163" s="3">
        <f>W163*12.0107+X163*1.00784+Y163*15.999+Z163*14.0067</f>
        <v>128.08086</v>
      </c>
      <c r="AD163" s="12">
        <v>381</v>
      </c>
      <c r="AE163" s="3" t="s">
        <v>43</v>
      </c>
      <c r="AF163" s="3" t="s">
        <v>108</v>
      </c>
      <c r="AG163" s="2" t="str">
        <f>IF(AD163&gt;37,"Proton symporter", "Diffusion")</f>
        <v>Proton symporter</v>
      </c>
      <c r="AH163" s="3" t="s">
        <v>109</v>
      </c>
    </row>
    <row r="164" spans="1:34" hidden="1" x14ac:dyDescent="0.2">
      <c r="A164" s="8" t="s">
        <v>34</v>
      </c>
      <c r="B164" s="9" t="s">
        <v>35</v>
      </c>
      <c r="C164" s="1" t="s">
        <v>36</v>
      </c>
      <c r="D164" s="10" t="s">
        <v>37</v>
      </c>
      <c r="E164" s="1" t="s">
        <v>104</v>
      </c>
      <c r="F164" s="1" t="s">
        <v>105</v>
      </c>
      <c r="G164" s="1">
        <v>-10</v>
      </c>
      <c r="H164" s="1">
        <v>-20</v>
      </c>
      <c r="I164" s="1" t="s">
        <v>40</v>
      </c>
      <c r="J164" s="1">
        <v>3.15</v>
      </c>
      <c r="K164" s="1">
        <v>-10</v>
      </c>
      <c r="L164" s="1">
        <v>-4.1670454545454501</v>
      </c>
      <c r="M164" s="1" t="s">
        <v>40</v>
      </c>
      <c r="N164" s="1">
        <v>-3.1477272727272601</v>
      </c>
      <c r="O164" s="1">
        <v>4.6295454545454504</v>
      </c>
      <c r="Q164" s="1">
        <v>0.46295454545454501</v>
      </c>
      <c r="R164" s="1">
        <v>1.3460442062411899</v>
      </c>
      <c r="S164" s="20" t="s">
        <v>104</v>
      </c>
      <c r="T164" s="3" t="s">
        <v>104</v>
      </c>
      <c r="U164" s="3" t="s">
        <v>106</v>
      </c>
      <c r="V164" s="3" t="s">
        <v>107</v>
      </c>
      <c r="W164" s="3">
        <v>5</v>
      </c>
      <c r="X164" s="3">
        <v>4</v>
      </c>
      <c r="Y164" s="3">
        <v>4</v>
      </c>
      <c r="Z164" s="3">
        <v>0</v>
      </c>
      <c r="AA164" s="3">
        <v>-2</v>
      </c>
      <c r="AB164" s="12">
        <f>(W164*4+X164*1+Y164*-2+Z164*-3)/W164</f>
        <v>3.2</v>
      </c>
      <c r="AC164" s="3">
        <f>W164*12.0107+X164*1.00784+Y164*15.999+Z164*14.0067</f>
        <v>128.08086</v>
      </c>
      <c r="AD164" s="12">
        <v>381</v>
      </c>
      <c r="AE164" s="3" t="s">
        <v>43</v>
      </c>
      <c r="AF164" s="3" t="s">
        <v>108</v>
      </c>
      <c r="AG164" s="2" t="str">
        <f>IF(AD164&gt;37,"Proton symporter", "Diffusion")</f>
        <v>Proton symporter</v>
      </c>
      <c r="AH164" s="3" t="s">
        <v>109</v>
      </c>
    </row>
    <row r="165" spans="1:34" hidden="1" x14ac:dyDescent="0.2">
      <c r="A165" s="8" t="s">
        <v>34</v>
      </c>
      <c r="B165" s="9" t="s">
        <v>35</v>
      </c>
      <c r="C165" s="1" t="s">
        <v>60</v>
      </c>
      <c r="D165" s="13" t="s">
        <v>51</v>
      </c>
      <c r="E165" s="1" t="s">
        <v>104</v>
      </c>
      <c r="F165" s="1" t="s">
        <v>105</v>
      </c>
      <c r="G165" s="1">
        <v>-10</v>
      </c>
      <c r="H165" s="1">
        <v>-20</v>
      </c>
      <c r="I165" s="1" t="s">
        <v>40</v>
      </c>
      <c r="J165" s="1">
        <v>3.15</v>
      </c>
      <c r="K165" s="1">
        <v>-10</v>
      </c>
      <c r="L165" s="1">
        <v>-3.8932835820895502</v>
      </c>
      <c r="M165" s="1" t="s">
        <v>40</v>
      </c>
      <c r="N165" s="1">
        <v>-2.3407960199005</v>
      </c>
      <c r="O165" s="1">
        <v>2.4681592039800999</v>
      </c>
      <c r="Q165" s="1">
        <v>0.24681592039801001</v>
      </c>
      <c r="R165" s="1">
        <v>0.98662139599216403</v>
      </c>
      <c r="S165" s="20" t="s">
        <v>104</v>
      </c>
      <c r="T165" s="3" t="s">
        <v>104</v>
      </c>
      <c r="U165" s="3" t="s">
        <v>106</v>
      </c>
      <c r="V165" s="3" t="s">
        <v>107</v>
      </c>
      <c r="W165" s="3">
        <v>5</v>
      </c>
      <c r="X165" s="3">
        <v>4</v>
      </c>
      <c r="Y165" s="3">
        <v>4</v>
      </c>
      <c r="Z165" s="3">
        <v>0</v>
      </c>
      <c r="AA165" s="3">
        <v>-2</v>
      </c>
      <c r="AB165" s="12">
        <f>(W165*4+X165*1+Y165*-2+Z165*-3)/W165</f>
        <v>3.2</v>
      </c>
      <c r="AC165" s="3">
        <f>W165*12.0107+X165*1.00784+Y165*15.999+Z165*14.0067</f>
        <v>128.08086</v>
      </c>
      <c r="AD165" s="12">
        <v>381</v>
      </c>
      <c r="AE165" s="3" t="s">
        <v>43</v>
      </c>
      <c r="AF165" s="3" t="s">
        <v>108</v>
      </c>
      <c r="AG165" s="2" t="str">
        <f>IF(AD165&gt;37,"Proton symporter", "Diffusion")</f>
        <v>Proton symporter</v>
      </c>
      <c r="AH165" s="3" t="s">
        <v>109</v>
      </c>
    </row>
    <row r="166" spans="1:34" hidden="1" x14ac:dyDescent="0.2">
      <c r="A166" s="8" t="s">
        <v>34</v>
      </c>
      <c r="B166" s="9" t="s">
        <v>35</v>
      </c>
      <c r="C166" s="1" t="s">
        <v>59</v>
      </c>
      <c r="D166" s="13" t="s">
        <v>51</v>
      </c>
      <c r="E166" s="1" t="s">
        <v>104</v>
      </c>
      <c r="F166" s="1" t="s">
        <v>105</v>
      </c>
      <c r="G166" s="1">
        <v>-10</v>
      </c>
      <c r="H166" s="1">
        <v>-20</v>
      </c>
      <c r="I166" s="1" t="s">
        <v>40</v>
      </c>
      <c r="J166" s="1">
        <v>3.15</v>
      </c>
      <c r="K166" s="1">
        <v>-10</v>
      </c>
      <c r="L166" s="1">
        <v>-3.8932835820895502</v>
      </c>
      <c r="M166" s="1" t="s">
        <v>40</v>
      </c>
      <c r="N166" s="1">
        <v>-2.3407960199005</v>
      </c>
      <c r="O166" s="1">
        <v>2.4681592039800999</v>
      </c>
      <c r="Q166" s="1">
        <v>0.24681592039801001</v>
      </c>
      <c r="R166" s="1">
        <v>0.98662139599216303</v>
      </c>
      <c r="S166" s="20" t="s">
        <v>104</v>
      </c>
      <c r="T166" s="3" t="s">
        <v>104</v>
      </c>
      <c r="U166" s="3" t="s">
        <v>106</v>
      </c>
      <c r="V166" s="3" t="s">
        <v>107</v>
      </c>
      <c r="W166" s="3">
        <v>5</v>
      </c>
      <c r="X166" s="3">
        <v>4</v>
      </c>
      <c r="Y166" s="3">
        <v>4</v>
      </c>
      <c r="Z166" s="3">
        <v>0</v>
      </c>
      <c r="AA166" s="3">
        <v>-2</v>
      </c>
      <c r="AB166" s="12">
        <f>(W166*4+X166*1+Y166*-2+Z166*-3)/W166</f>
        <v>3.2</v>
      </c>
      <c r="AC166" s="3">
        <f>W166*12.0107+X166*1.00784+Y166*15.999+Z166*14.0067</f>
        <v>128.08086</v>
      </c>
      <c r="AD166" s="12">
        <v>381</v>
      </c>
      <c r="AE166" s="3" t="s">
        <v>43</v>
      </c>
      <c r="AF166" s="3" t="s">
        <v>108</v>
      </c>
      <c r="AG166" s="2" t="str">
        <f>IF(AD166&gt;37,"Proton symporter", "Diffusion")</f>
        <v>Proton symporter</v>
      </c>
      <c r="AH166" s="3" t="s">
        <v>109</v>
      </c>
    </row>
    <row r="167" spans="1:34" hidden="1" x14ac:dyDescent="0.2">
      <c r="A167" s="8" t="s">
        <v>34</v>
      </c>
      <c r="B167" s="9" t="s">
        <v>35</v>
      </c>
      <c r="C167" s="1" t="s">
        <v>48</v>
      </c>
      <c r="D167" s="10" t="s">
        <v>37</v>
      </c>
      <c r="E167" s="1" t="s">
        <v>104</v>
      </c>
      <c r="F167" s="1" t="s">
        <v>105</v>
      </c>
      <c r="G167" s="1">
        <v>-10</v>
      </c>
      <c r="H167" s="1">
        <v>-20</v>
      </c>
      <c r="I167" s="1" t="s">
        <v>40</v>
      </c>
      <c r="J167" s="1">
        <v>3.15</v>
      </c>
      <c r="K167" s="1">
        <v>-10</v>
      </c>
      <c r="L167" s="1">
        <v>-6.4818181818181904</v>
      </c>
      <c r="M167" s="1" t="s">
        <v>40</v>
      </c>
      <c r="N167" s="1">
        <v>-3.1477272727272698</v>
      </c>
      <c r="O167" s="1">
        <v>4.6295454545454602</v>
      </c>
      <c r="Q167" s="1">
        <v>0.46295454545454601</v>
      </c>
      <c r="R167" s="1">
        <v>0.95535775109765197</v>
      </c>
      <c r="S167" s="20" t="s">
        <v>104</v>
      </c>
      <c r="T167" s="3" t="s">
        <v>104</v>
      </c>
      <c r="U167" s="3" t="s">
        <v>106</v>
      </c>
      <c r="V167" s="3" t="s">
        <v>107</v>
      </c>
      <c r="W167" s="3">
        <v>5</v>
      </c>
      <c r="X167" s="3">
        <v>4</v>
      </c>
      <c r="Y167" s="3">
        <v>4</v>
      </c>
      <c r="Z167" s="3">
        <v>0</v>
      </c>
      <c r="AA167" s="3">
        <v>-2</v>
      </c>
      <c r="AB167" s="12">
        <f>(W167*4+X167*1+Y167*-2+Z167*-3)/W167</f>
        <v>3.2</v>
      </c>
      <c r="AC167" s="3">
        <f>W167*12.0107+X167*1.00784+Y167*15.999+Z167*14.0067</f>
        <v>128.08086</v>
      </c>
      <c r="AD167" s="12">
        <v>381</v>
      </c>
      <c r="AE167" s="3" t="s">
        <v>43</v>
      </c>
      <c r="AF167" s="3" t="s">
        <v>108</v>
      </c>
      <c r="AG167" s="2" t="str">
        <f>IF(AD167&gt;37,"Proton symporter", "Diffusion")</f>
        <v>Proton symporter</v>
      </c>
      <c r="AH167" s="3" t="s">
        <v>109</v>
      </c>
    </row>
    <row r="168" spans="1:34" hidden="1" x14ac:dyDescent="0.2">
      <c r="A168" s="8" t="s">
        <v>34</v>
      </c>
      <c r="B168" s="9" t="s">
        <v>35</v>
      </c>
      <c r="C168" s="1" t="s">
        <v>56</v>
      </c>
      <c r="D168" s="14" t="s">
        <v>55</v>
      </c>
      <c r="E168" s="1" t="s">
        <v>104</v>
      </c>
      <c r="F168" s="1" t="s">
        <v>105</v>
      </c>
      <c r="G168" s="1">
        <v>-10</v>
      </c>
      <c r="H168" s="1">
        <v>-20</v>
      </c>
      <c r="I168" s="1" t="s">
        <v>40</v>
      </c>
      <c r="J168" s="1">
        <v>3.15</v>
      </c>
      <c r="K168" s="1">
        <v>-10</v>
      </c>
      <c r="L168" s="1">
        <v>-4.8634328358208796</v>
      </c>
      <c r="M168" s="1" t="s">
        <v>40</v>
      </c>
      <c r="N168" s="1">
        <v>-3.48507462686567</v>
      </c>
      <c r="O168" s="1">
        <v>6.6970149253731304</v>
      </c>
      <c r="Q168" s="1">
        <v>0.66970149253731304</v>
      </c>
      <c r="R168" s="1">
        <v>0.93139738483497203</v>
      </c>
      <c r="S168" s="20" t="s">
        <v>104</v>
      </c>
      <c r="T168" s="3" t="s">
        <v>104</v>
      </c>
      <c r="U168" s="3" t="s">
        <v>106</v>
      </c>
      <c r="V168" s="3" t="s">
        <v>107</v>
      </c>
      <c r="W168" s="3">
        <v>5</v>
      </c>
      <c r="X168" s="3">
        <v>4</v>
      </c>
      <c r="Y168" s="3">
        <v>4</v>
      </c>
      <c r="Z168" s="3">
        <v>0</v>
      </c>
      <c r="AA168" s="3">
        <v>-2</v>
      </c>
      <c r="AB168" s="12">
        <f>(W168*4+X168*1+Y168*-2+Z168*-3)/W168</f>
        <v>3.2</v>
      </c>
      <c r="AC168" s="3">
        <f>W168*12.0107+X168*1.00784+Y168*15.999+Z168*14.0067</f>
        <v>128.08086</v>
      </c>
      <c r="AD168" s="12">
        <v>381</v>
      </c>
      <c r="AE168" s="3" t="s">
        <v>43</v>
      </c>
      <c r="AF168" s="3" t="s">
        <v>108</v>
      </c>
      <c r="AG168" s="2" t="str">
        <f>IF(AD168&gt;37,"Proton symporter", "Diffusion")</f>
        <v>Proton symporter</v>
      </c>
      <c r="AH168" s="3" t="s">
        <v>109</v>
      </c>
    </row>
    <row r="169" spans="1:34" hidden="1" x14ac:dyDescent="0.2">
      <c r="A169" s="8" t="s">
        <v>34</v>
      </c>
      <c r="B169" s="9" t="s">
        <v>35</v>
      </c>
      <c r="C169" s="1" t="s">
        <v>54</v>
      </c>
      <c r="D169" s="14" t="s">
        <v>55</v>
      </c>
      <c r="E169" s="1" t="s">
        <v>104</v>
      </c>
      <c r="F169" s="1" t="s">
        <v>105</v>
      </c>
      <c r="G169" s="1">
        <v>-10</v>
      </c>
      <c r="H169" s="1">
        <v>-20</v>
      </c>
      <c r="I169" s="1" t="s">
        <v>40</v>
      </c>
      <c r="J169" s="1">
        <v>3.15</v>
      </c>
      <c r="K169" s="1">
        <v>-10</v>
      </c>
      <c r="L169" s="1">
        <v>-6.2820618556701104</v>
      </c>
      <c r="M169" s="1" t="s">
        <v>40</v>
      </c>
      <c r="N169" s="1">
        <v>0.31340206185568997</v>
      </c>
      <c r="O169" s="1">
        <v>11.937319587628901</v>
      </c>
      <c r="Q169" s="1">
        <v>1.1937319587628901</v>
      </c>
      <c r="R169" s="1">
        <v>0.84869431509740001</v>
      </c>
      <c r="S169" s="20" t="s">
        <v>104</v>
      </c>
      <c r="T169" s="3" t="s">
        <v>104</v>
      </c>
      <c r="U169" s="3" t="s">
        <v>106</v>
      </c>
      <c r="V169" s="3" t="s">
        <v>107</v>
      </c>
      <c r="W169" s="3">
        <v>5</v>
      </c>
      <c r="X169" s="3">
        <v>4</v>
      </c>
      <c r="Y169" s="3">
        <v>4</v>
      </c>
      <c r="Z169" s="3">
        <v>0</v>
      </c>
      <c r="AA169" s="3">
        <v>-2</v>
      </c>
      <c r="AB169" s="12">
        <f>(W169*4+X169*1+Y169*-2+Z169*-3)/W169</f>
        <v>3.2</v>
      </c>
      <c r="AC169" s="3">
        <f>W169*12.0107+X169*1.00784+Y169*15.999+Z169*14.0067</f>
        <v>128.08086</v>
      </c>
      <c r="AD169" s="12">
        <v>381</v>
      </c>
      <c r="AE169" s="3" t="s">
        <v>43</v>
      </c>
      <c r="AF169" s="3" t="s">
        <v>108</v>
      </c>
      <c r="AG169" s="2" t="str">
        <f>IF(AD169&gt;37,"Proton symporter", "Diffusion")</f>
        <v>Proton symporter</v>
      </c>
      <c r="AH169" s="3" t="s">
        <v>109</v>
      </c>
    </row>
    <row r="170" spans="1:34" hidden="1" x14ac:dyDescent="0.2">
      <c r="A170" s="8" t="s">
        <v>34</v>
      </c>
      <c r="B170" s="9" t="s">
        <v>35</v>
      </c>
      <c r="C170" s="1" t="s">
        <v>62</v>
      </c>
      <c r="D170" s="15" t="s">
        <v>55</v>
      </c>
      <c r="E170" s="1" t="s">
        <v>104</v>
      </c>
      <c r="F170" s="1" t="s">
        <v>105</v>
      </c>
      <c r="G170" s="1">
        <v>-10</v>
      </c>
      <c r="H170" s="1">
        <v>-20</v>
      </c>
      <c r="I170" s="1" t="s">
        <v>40</v>
      </c>
      <c r="J170" s="1">
        <v>3.15</v>
      </c>
      <c r="K170" s="1">
        <v>-10</v>
      </c>
      <c r="L170" s="1">
        <v>-5.47647058823528</v>
      </c>
      <c r="M170" s="1" t="s">
        <v>40</v>
      </c>
      <c r="N170" s="1">
        <v>0.52941176470589002</v>
      </c>
      <c r="O170" s="1">
        <v>9.8941176470588399</v>
      </c>
      <c r="Q170" s="1">
        <v>0.98941176470588399</v>
      </c>
      <c r="R170" s="1">
        <v>0.84409984491871903</v>
      </c>
      <c r="S170" s="20" t="s">
        <v>104</v>
      </c>
      <c r="T170" s="3" t="s">
        <v>104</v>
      </c>
      <c r="U170" s="3" t="s">
        <v>106</v>
      </c>
      <c r="V170" s="3" t="s">
        <v>107</v>
      </c>
      <c r="W170" s="3">
        <v>5</v>
      </c>
      <c r="X170" s="3">
        <v>4</v>
      </c>
      <c r="Y170" s="3">
        <v>4</v>
      </c>
      <c r="Z170" s="3">
        <v>0</v>
      </c>
      <c r="AA170" s="3">
        <v>-2</v>
      </c>
      <c r="AB170" s="12">
        <f>(W170*4+X170*1+Y170*-2+Z170*-3)/W170</f>
        <v>3.2</v>
      </c>
      <c r="AC170" s="3">
        <f>W170*12.0107+X170*1.00784+Y170*15.999+Z170*14.0067</f>
        <v>128.08086</v>
      </c>
      <c r="AD170" s="12">
        <v>381</v>
      </c>
      <c r="AE170" s="3" t="s">
        <v>43</v>
      </c>
      <c r="AF170" s="3" t="s">
        <v>108</v>
      </c>
      <c r="AG170" s="2" t="str">
        <f>IF(AD170&gt;37,"Proton symporter", "Diffusion")</f>
        <v>Proton symporter</v>
      </c>
      <c r="AH170" s="3" t="s">
        <v>109</v>
      </c>
    </row>
    <row r="171" spans="1:34" hidden="1" x14ac:dyDescent="0.2">
      <c r="A171" s="8" t="s">
        <v>34</v>
      </c>
      <c r="B171" s="9" t="s">
        <v>35</v>
      </c>
      <c r="C171" s="1" t="s">
        <v>58</v>
      </c>
      <c r="D171" s="10" t="s">
        <v>37</v>
      </c>
      <c r="E171" s="1" t="s">
        <v>104</v>
      </c>
      <c r="F171" s="1" t="s">
        <v>105</v>
      </c>
      <c r="G171" s="1">
        <v>-10</v>
      </c>
      <c r="H171" s="1">
        <v>-20</v>
      </c>
      <c r="I171" s="1" t="s">
        <v>40</v>
      </c>
      <c r="J171" s="1">
        <v>3.15</v>
      </c>
      <c r="K171" s="1">
        <v>-10</v>
      </c>
      <c r="L171" s="1">
        <v>-2.74659090909091</v>
      </c>
      <c r="M171" s="1" t="s">
        <v>40</v>
      </c>
      <c r="N171" s="1">
        <v>0.82954545454545403</v>
      </c>
      <c r="O171" s="1">
        <v>3.8340909090909099</v>
      </c>
      <c r="Q171" s="1">
        <v>0.38340909090909098</v>
      </c>
      <c r="R171" s="1">
        <v>0.81774738718867901</v>
      </c>
      <c r="S171" s="20" t="s">
        <v>104</v>
      </c>
      <c r="T171" s="3" t="s">
        <v>104</v>
      </c>
      <c r="U171" s="3" t="s">
        <v>106</v>
      </c>
      <c r="V171" s="3" t="s">
        <v>107</v>
      </c>
      <c r="W171" s="3">
        <v>5</v>
      </c>
      <c r="X171" s="3">
        <v>4</v>
      </c>
      <c r="Y171" s="3">
        <v>4</v>
      </c>
      <c r="Z171" s="3">
        <v>0</v>
      </c>
      <c r="AA171" s="3">
        <v>-2</v>
      </c>
      <c r="AB171" s="12">
        <f>(W171*4+X171*1+Y171*-2+Z171*-3)/W171</f>
        <v>3.2</v>
      </c>
      <c r="AC171" s="3">
        <f>W171*12.0107+X171*1.00784+Y171*15.999+Z171*14.0067</f>
        <v>128.08086</v>
      </c>
      <c r="AD171" s="12">
        <v>381</v>
      </c>
      <c r="AE171" s="3" t="s">
        <v>43</v>
      </c>
      <c r="AF171" s="3" t="s">
        <v>108</v>
      </c>
      <c r="AG171" s="2" t="str">
        <f>IF(AD171&gt;37,"Proton symporter", "Diffusion")</f>
        <v>Proton symporter</v>
      </c>
      <c r="AH171" s="3" t="s">
        <v>109</v>
      </c>
    </row>
    <row r="172" spans="1:34" hidden="1" x14ac:dyDescent="0.2">
      <c r="A172" s="8" t="s">
        <v>34</v>
      </c>
      <c r="B172" s="9" t="s">
        <v>35</v>
      </c>
      <c r="C172" s="1" t="s">
        <v>47</v>
      </c>
      <c r="D172" s="10" t="s">
        <v>37</v>
      </c>
      <c r="E172" s="1" t="s">
        <v>104</v>
      </c>
      <c r="F172" s="1" t="s">
        <v>105</v>
      </c>
      <c r="G172" s="1">
        <v>-10</v>
      </c>
      <c r="H172" s="1">
        <v>-20</v>
      </c>
      <c r="I172" s="1" t="s">
        <v>40</v>
      </c>
      <c r="J172" s="1">
        <v>3.15</v>
      </c>
      <c r="K172" s="1">
        <v>-10</v>
      </c>
      <c r="L172" s="1">
        <v>-8.6320895522387993</v>
      </c>
      <c r="M172" s="1" t="s">
        <v>40</v>
      </c>
      <c r="N172" s="1">
        <v>1.8134328358209</v>
      </c>
      <c r="O172" s="1">
        <v>3.6373134328358199</v>
      </c>
      <c r="Q172" s="1">
        <v>0.36373134328358198</v>
      </c>
      <c r="R172" s="1">
        <v>0.75059973281383197</v>
      </c>
      <c r="S172" s="20" t="s">
        <v>104</v>
      </c>
      <c r="T172" s="3" t="s">
        <v>104</v>
      </c>
      <c r="U172" s="3" t="s">
        <v>106</v>
      </c>
      <c r="V172" s="3" t="s">
        <v>107</v>
      </c>
      <c r="W172" s="3">
        <v>5</v>
      </c>
      <c r="X172" s="3">
        <v>4</v>
      </c>
      <c r="Y172" s="3">
        <v>4</v>
      </c>
      <c r="Z172" s="3">
        <v>0</v>
      </c>
      <c r="AA172" s="3">
        <v>-2</v>
      </c>
      <c r="AB172" s="12">
        <f>(W172*4+X172*1+Y172*-2+Z172*-3)/W172</f>
        <v>3.2</v>
      </c>
      <c r="AC172" s="3">
        <f>W172*12.0107+X172*1.00784+Y172*15.999+Z172*14.0067</f>
        <v>128.08086</v>
      </c>
      <c r="AD172" s="12">
        <v>381</v>
      </c>
      <c r="AE172" s="3" t="s">
        <v>43</v>
      </c>
      <c r="AF172" s="3" t="s">
        <v>108</v>
      </c>
      <c r="AG172" s="2" t="str">
        <f>IF(AD172&gt;37,"Proton symporter", "Diffusion")</f>
        <v>Proton symporter</v>
      </c>
      <c r="AH172" s="3" t="s">
        <v>109</v>
      </c>
    </row>
    <row r="173" spans="1:34" hidden="1" x14ac:dyDescent="0.2">
      <c r="A173" s="8" t="s">
        <v>34</v>
      </c>
      <c r="B173" s="9" t="s">
        <v>35</v>
      </c>
      <c r="C173" s="1" t="s">
        <v>46</v>
      </c>
      <c r="D173" s="10" t="s">
        <v>37</v>
      </c>
      <c r="E173" s="1" t="s">
        <v>104</v>
      </c>
      <c r="F173" s="1" t="s">
        <v>105</v>
      </c>
      <c r="G173" s="1">
        <v>-10</v>
      </c>
      <c r="H173" s="1">
        <v>-20</v>
      </c>
      <c r="I173" s="1" t="s">
        <v>40</v>
      </c>
      <c r="J173" s="1">
        <v>3.15</v>
      </c>
      <c r="K173" s="1">
        <v>-10</v>
      </c>
      <c r="L173" s="1">
        <v>-4.7920454545454501</v>
      </c>
      <c r="M173" s="1" t="s">
        <v>40</v>
      </c>
      <c r="N173" s="1">
        <v>3.1022727272727302</v>
      </c>
      <c r="O173" s="1">
        <v>3.37954545454545</v>
      </c>
      <c r="Q173" s="1">
        <v>0.33795454545454501</v>
      </c>
      <c r="R173" s="1">
        <v>0.733119378627061</v>
      </c>
      <c r="S173" s="20" t="s">
        <v>104</v>
      </c>
      <c r="T173" s="3" t="s">
        <v>104</v>
      </c>
      <c r="U173" s="3" t="s">
        <v>106</v>
      </c>
      <c r="V173" s="3" t="s">
        <v>107</v>
      </c>
      <c r="W173" s="3">
        <v>5</v>
      </c>
      <c r="X173" s="3">
        <v>4</v>
      </c>
      <c r="Y173" s="3">
        <v>4</v>
      </c>
      <c r="Z173" s="3">
        <v>0</v>
      </c>
      <c r="AA173" s="3">
        <v>-2</v>
      </c>
      <c r="AB173" s="12">
        <f>(W173*4+X173*1+Y173*-2+Z173*-3)/W173</f>
        <v>3.2</v>
      </c>
      <c r="AC173" s="3">
        <f>W173*12.0107+X173*1.00784+Y173*15.999+Z173*14.0067</f>
        <v>128.08086</v>
      </c>
      <c r="AD173" s="12">
        <v>381</v>
      </c>
      <c r="AE173" s="3" t="s">
        <v>43</v>
      </c>
      <c r="AF173" s="3" t="s">
        <v>108</v>
      </c>
      <c r="AG173" s="2" t="str">
        <f>IF(AD173&gt;37,"Proton symporter", "Diffusion")</f>
        <v>Proton symporter</v>
      </c>
      <c r="AH173" s="3" t="s">
        <v>109</v>
      </c>
    </row>
    <row r="174" spans="1:34" hidden="1" x14ac:dyDescent="0.2">
      <c r="A174" s="8" t="s">
        <v>34</v>
      </c>
      <c r="B174" s="9" t="s">
        <v>35</v>
      </c>
      <c r="C174" s="1" t="s">
        <v>61</v>
      </c>
      <c r="D174" s="13" t="s">
        <v>51</v>
      </c>
      <c r="E174" s="1" t="s">
        <v>104</v>
      </c>
      <c r="F174" s="1" t="s">
        <v>105</v>
      </c>
      <c r="G174" s="1">
        <v>-10</v>
      </c>
      <c r="H174" s="1">
        <v>-20</v>
      </c>
      <c r="I174" s="1" t="s">
        <v>40</v>
      </c>
      <c r="J174" s="1">
        <v>3.15</v>
      </c>
      <c r="K174" s="1">
        <v>-10</v>
      </c>
      <c r="L174" s="1">
        <v>-6.8540816326530702</v>
      </c>
      <c r="M174" s="1" t="s">
        <v>40</v>
      </c>
      <c r="N174" s="1">
        <v>0.94897959183673097</v>
      </c>
      <c r="O174" s="1">
        <v>1.8102040816326499</v>
      </c>
      <c r="Q174" s="1">
        <v>0.18102040816326501</v>
      </c>
      <c r="R174" s="1">
        <v>0.72361056578970695</v>
      </c>
      <c r="S174" s="20" t="s">
        <v>104</v>
      </c>
      <c r="T174" s="3" t="s">
        <v>104</v>
      </c>
      <c r="U174" s="3" t="s">
        <v>106</v>
      </c>
      <c r="V174" s="3" t="s">
        <v>107</v>
      </c>
      <c r="W174" s="3">
        <v>5</v>
      </c>
      <c r="X174" s="3">
        <v>4</v>
      </c>
      <c r="Y174" s="3">
        <v>4</v>
      </c>
      <c r="Z174" s="3">
        <v>0</v>
      </c>
      <c r="AA174" s="3">
        <v>-2</v>
      </c>
      <c r="AB174" s="12">
        <f>(W174*4+X174*1+Y174*-2+Z174*-3)/W174</f>
        <v>3.2</v>
      </c>
      <c r="AC174" s="3">
        <f>W174*12.0107+X174*1.00784+Y174*15.999+Z174*14.0067</f>
        <v>128.08086</v>
      </c>
      <c r="AD174" s="12">
        <v>381</v>
      </c>
      <c r="AE174" s="3" t="s">
        <v>43</v>
      </c>
      <c r="AF174" s="3" t="s">
        <v>108</v>
      </c>
      <c r="AG174" s="2" t="str">
        <f>IF(AD174&gt;37,"Proton symporter", "Diffusion")</f>
        <v>Proton symporter</v>
      </c>
      <c r="AH174" s="3" t="s">
        <v>109</v>
      </c>
    </row>
    <row r="175" spans="1:34" hidden="1" x14ac:dyDescent="0.2">
      <c r="A175" s="8" t="s">
        <v>34</v>
      </c>
      <c r="B175" s="9" t="s">
        <v>35</v>
      </c>
      <c r="C175" s="1" t="s">
        <v>57</v>
      </c>
      <c r="D175" s="10" t="s">
        <v>37</v>
      </c>
      <c r="E175" s="1" t="s">
        <v>104</v>
      </c>
      <c r="F175" s="1" t="s">
        <v>105</v>
      </c>
      <c r="G175" s="1">
        <v>-10</v>
      </c>
      <c r="H175" s="1">
        <v>-20</v>
      </c>
      <c r="I175" s="1" t="s">
        <v>40</v>
      </c>
      <c r="J175" s="1">
        <v>3.15</v>
      </c>
      <c r="K175" s="1">
        <v>-10</v>
      </c>
      <c r="L175" s="1">
        <v>-6.1353448275862101</v>
      </c>
      <c r="M175" s="1" t="s">
        <v>40</v>
      </c>
      <c r="N175" s="1">
        <v>4.5948275862069101</v>
      </c>
      <c r="O175" s="1">
        <v>3.08103448275862</v>
      </c>
      <c r="Q175" s="1">
        <v>0.308103448275862</v>
      </c>
      <c r="R175" s="1">
        <v>0.65713306174878305</v>
      </c>
      <c r="S175" s="20" t="s">
        <v>104</v>
      </c>
      <c r="T175" s="3" t="s">
        <v>104</v>
      </c>
      <c r="U175" s="3" t="s">
        <v>106</v>
      </c>
      <c r="V175" s="3" t="s">
        <v>107</v>
      </c>
      <c r="W175" s="3">
        <v>5</v>
      </c>
      <c r="X175" s="3">
        <v>4</v>
      </c>
      <c r="Y175" s="3">
        <v>4</v>
      </c>
      <c r="Z175" s="3">
        <v>0</v>
      </c>
      <c r="AA175" s="3">
        <v>-2</v>
      </c>
      <c r="AB175" s="12">
        <f>(W175*4+X175*1+Y175*-2+Z175*-3)/W175</f>
        <v>3.2</v>
      </c>
      <c r="AC175" s="3">
        <f>W175*12.0107+X175*1.00784+Y175*15.999+Z175*14.0067</f>
        <v>128.08086</v>
      </c>
      <c r="AD175" s="12">
        <v>381</v>
      </c>
      <c r="AE175" s="3" t="s">
        <v>43</v>
      </c>
      <c r="AF175" s="3" t="s">
        <v>108</v>
      </c>
      <c r="AG175" s="2" t="str">
        <f>IF(AD175&gt;37,"Proton symporter", "Diffusion")</f>
        <v>Proton symporter</v>
      </c>
      <c r="AH175" s="3" t="s">
        <v>109</v>
      </c>
    </row>
    <row r="176" spans="1:34" hidden="1" x14ac:dyDescent="0.2">
      <c r="A176" s="8" t="s">
        <v>350</v>
      </c>
      <c r="B176" s="17" t="s">
        <v>64</v>
      </c>
      <c r="C176" t="s">
        <v>354</v>
      </c>
      <c r="D176" s="13" t="s">
        <v>51</v>
      </c>
      <c r="E176" t="s">
        <v>104</v>
      </c>
      <c r="F176" t="s">
        <v>105</v>
      </c>
      <c r="G176">
        <v>-10</v>
      </c>
      <c r="H176">
        <v>0</v>
      </c>
      <c r="I176">
        <v>0</v>
      </c>
      <c r="J176">
        <v>0.45</v>
      </c>
      <c r="K176">
        <v>-10</v>
      </c>
      <c r="L176">
        <v>0</v>
      </c>
      <c r="M176">
        <v>7.9542857142857102</v>
      </c>
      <c r="N176">
        <v>0</v>
      </c>
      <c r="O176" s="26">
        <v>1.3257142857142801</v>
      </c>
      <c r="P176"/>
      <c r="Q176" s="26">
        <v>0.13257142857142801</v>
      </c>
      <c r="R176" s="26">
        <v>0.55786040152794303</v>
      </c>
      <c r="S176" s="3" t="str">
        <f>VLOOKUP($E176,'[1]Product Naming'!$A$1:$P$58,2)</f>
        <v>Itaconate</v>
      </c>
      <c r="T176" s="3" t="str">
        <f>VLOOKUP($E176,'[1]Product Naming'!$A$1:$P$58,3)</f>
        <v>Itaconate</v>
      </c>
      <c r="U176" s="3" t="str">
        <f>VLOOKUP($E176,'[1]Product Naming'!$A$1:$P$58,4)</f>
        <v>E</v>
      </c>
      <c r="V176" s="3" t="str">
        <f>VLOOKUP($E176,'[1]Product Naming'!$A$1:$P$58,5)</f>
        <v>C5H4O4</v>
      </c>
      <c r="W176" s="3">
        <f>VLOOKUP($E176,'[1]Product Naming'!$A$1:$P$58,6)</f>
        <v>5</v>
      </c>
      <c r="X176" s="3">
        <f>VLOOKUP($E176,'[1]Product Naming'!$A$1:$P$58,7)</f>
        <v>4</v>
      </c>
      <c r="Y176" s="3">
        <f>VLOOKUP($E176,'[1]Product Naming'!$A$1:$P$58,8)</f>
        <v>4</v>
      </c>
      <c r="Z176" s="3">
        <f>VLOOKUP($E176,'[1]Product Naming'!$A$1:$P$58,9)</f>
        <v>0</v>
      </c>
      <c r="AA176" s="3">
        <f>VLOOKUP($E176,'[1]Product Naming'!$A$1:$P$58,10)</f>
        <v>-2</v>
      </c>
      <c r="AB176" s="3">
        <f>VLOOKUP($E176,'[1]Product Naming'!$A$1:$P$58,11)</f>
        <v>3.2</v>
      </c>
      <c r="AC176" s="3">
        <f>VLOOKUP($E176,'[1]Product Naming'!$A$1:$P$58,12)</f>
        <v>128.08086</v>
      </c>
      <c r="AD176" s="3">
        <f>VLOOKUP($E176,'[1]Product Naming'!$A$1:$P$58,13)</f>
        <v>381</v>
      </c>
      <c r="AE176" s="3" t="str">
        <f>VLOOKUP($E176,'[1]Product Naming'!$A$1:$P$58,14)</f>
        <v>Dicarboxylate</v>
      </c>
      <c r="AF176" s="3" t="str">
        <f>VLOOKUP($E176,'[1]Product Naming'!$A$1:$P$58,15)</f>
        <v>Acetyl-CoA + Oxaloacetate</v>
      </c>
      <c r="AG176" s="3" t="str">
        <f>VLOOKUP($E176,'[1]Product Naming'!$A$1:$P$58,16)</f>
        <v>Proton symporter</v>
      </c>
      <c r="AH176" s="3" t="str">
        <f>VLOOKUP($E176,'[1]Product Naming'!$A$1:$Q$58,17)</f>
        <v>itacon_c</v>
      </c>
    </row>
    <row r="177" spans="1:34" hidden="1" x14ac:dyDescent="0.2">
      <c r="A177" s="16" t="s">
        <v>63</v>
      </c>
      <c r="B177" s="17" t="s">
        <v>64</v>
      </c>
      <c r="C177" t="s">
        <v>69</v>
      </c>
      <c r="D177" s="18" t="s">
        <v>66</v>
      </c>
      <c r="E177" t="s">
        <v>104</v>
      </c>
      <c r="F177" t="s">
        <v>105</v>
      </c>
      <c r="G177">
        <v>-10</v>
      </c>
      <c r="H177">
        <v>0</v>
      </c>
      <c r="I177">
        <v>-20</v>
      </c>
      <c r="J177">
        <v>0.45</v>
      </c>
      <c r="K177">
        <v>-10</v>
      </c>
      <c r="L177">
        <v>0</v>
      </c>
      <c r="M177">
        <v>-12.0457142857143</v>
      </c>
      <c r="N177">
        <v>0</v>
      </c>
      <c r="O177">
        <v>1.3257142857142901</v>
      </c>
      <c r="P177"/>
      <c r="Q177">
        <v>0.13257142857142901</v>
      </c>
      <c r="R177" s="19">
        <v>0.55775488318680799</v>
      </c>
      <c r="S177" s="20" t="s">
        <v>104</v>
      </c>
      <c r="T177" s="3" t="s">
        <v>104</v>
      </c>
      <c r="U177" s="3" t="s">
        <v>106</v>
      </c>
      <c r="V177" s="3" t="s">
        <v>107</v>
      </c>
      <c r="W177" s="3">
        <v>5</v>
      </c>
      <c r="X177" s="3">
        <v>4</v>
      </c>
      <c r="Y177" s="3">
        <v>4</v>
      </c>
      <c r="Z177" s="3">
        <v>0</v>
      </c>
      <c r="AA177" s="3">
        <v>-2</v>
      </c>
      <c r="AB177" s="12">
        <f>(W177*4+X177*1+Y177*-2+Z177*-3)/W177</f>
        <v>3.2</v>
      </c>
      <c r="AC177" s="3">
        <f>W177*12.0107+X177*1.00784+Y177*15.999+Z177*14.0067</f>
        <v>128.08086</v>
      </c>
      <c r="AD177" s="12">
        <v>381</v>
      </c>
      <c r="AE177" s="3" t="s">
        <v>43</v>
      </c>
      <c r="AF177" s="3" t="s">
        <v>108</v>
      </c>
      <c r="AG177" s="2" t="str">
        <f>IF(AD177&gt;37,"Proton symporter", "Diffusion")</f>
        <v>Proton symporter</v>
      </c>
      <c r="AH177" s="3" t="s">
        <v>109</v>
      </c>
    </row>
    <row r="178" spans="1:34" hidden="1" x14ac:dyDescent="0.2">
      <c r="A178" s="16" t="s">
        <v>63</v>
      </c>
      <c r="B178" s="17" t="s">
        <v>64</v>
      </c>
      <c r="C178" t="s">
        <v>68</v>
      </c>
      <c r="D178" s="18" t="s">
        <v>66</v>
      </c>
      <c r="E178" t="s">
        <v>104</v>
      </c>
      <c r="F178" t="s">
        <v>105</v>
      </c>
      <c r="G178">
        <v>-10</v>
      </c>
      <c r="H178">
        <v>0</v>
      </c>
      <c r="I178">
        <v>-10</v>
      </c>
      <c r="J178">
        <v>0.45</v>
      </c>
      <c r="K178">
        <v>-10</v>
      </c>
      <c r="L178">
        <v>0</v>
      </c>
      <c r="M178">
        <v>-10</v>
      </c>
      <c r="N178">
        <v>0</v>
      </c>
      <c r="O178">
        <v>1.2551724137931</v>
      </c>
      <c r="P178"/>
      <c r="Q178">
        <v>0.12551724137931</v>
      </c>
      <c r="R178">
        <v>0.53534319749216297</v>
      </c>
      <c r="S178" s="20" t="s">
        <v>104</v>
      </c>
      <c r="T178" s="3" t="s">
        <v>104</v>
      </c>
      <c r="U178" s="3" t="s">
        <v>106</v>
      </c>
      <c r="V178" s="3" t="s">
        <v>107</v>
      </c>
      <c r="W178" s="3">
        <v>5</v>
      </c>
      <c r="X178" s="3">
        <v>4</v>
      </c>
      <c r="Y178" s="3">
        <v>4</v>
      </c>
      <c r="Z178" s="3">
        <v>0</v>
      </c>
      <c r="AA178" s="3">
        <v>-2</v>
      </c>
      <c r="AB178" s="12">
        <f>(W178*4+X178*1+Y178*-2+Z178*-3)/W178</f>
        <v>3.2</v>
      </c>
      <c r="AC178" s="3">
        <f>W178*12.0107+X178*1.00784+Y178*15.999+Z178*14.0067</f>
        <v>128.08086</v>
      </c>
      <c r="AD178" s="12">
        <v>381</v>
      </c>
      <c r="AE178" s="3" t="s">
        <v>43</v>
      </c>
      <c r="AF178" s="3" t="s">
        <v>108</v>
      </c>
      <c r="AG178" s="2" t="str">
        <f>IF(AD178&gt;37,"Proton symporter", "Diffusion")</f>
        <v>Proton symporter</v>
      </c>
      <c r="AH178" s="3" t="s">
        <v>109</v>
      </c>
    </row>
    <row r="179" spans="1:34" hidden="1" x14ac:dyDescent="0.2">
      <c r="A179" s="8" t="s">
        <v>350</v>
      </c>
      <c r="B179" s="17" t="s">
        <v>64</v>
      </c>
      <c r="C179" t="s">
        <v>353</v>
      </c>
      <c r="D179" s="13" t="s">
        <v>51</v>
      </c>
      <c r="E179" t="s">
        <v>104</v>
      </c>
      <c r="F179" t="s">
        <v>105</v>
      </c>
      <c r="G179">
        <v>-10</v>
      </c>
      <c r="H179">
        <v>0</v>
      </c>
      <c r="I179">
        <v>0</v>
      </c>
      <c r="J179">
        <v>0.45</v>
      </c>
      <c r="K179">
        <v>-10</v>
      </c>
      <c r="L179">
        <v>0</v>
      </c>
      <c r="M179" s="26">
        <v>7.3767705382436102</v>
      </c>
      <c r="N179">
        <v>0</v>
      </c>
      <c r="O179" s="26">
        <v>1.2294617563739301</v>
      </c>
      <c r="P179"/>
      <c r="Q179" s="26">
        <v>0.122946175637393</v>
      </c>
      <c r="R179" s="26">
        <v>0.515385935429855</v>
      </c>
      <c r="S179" s="3" t="str">
        <f>VLOOKUP($E179,'[1]Product Naming'!$A$1:$P$58,2)</f>
        <v>Itaconate</v>
      </c>
      <c r="T179" s="3" t="str">
        <f>VLOOKUP($E179,'[1]Product Naming'!$A$1:$P$58,3)</f>
        <v>Itaconate</v>
      </c>
      <c r="U179" s="3" t="str">
        <f>VLOOKUP($E179,'[1]Product Naming'!$A$1:$P$58,4)</f>
        <v>E</v>
      </c>
      <c r="V179" s="3" t="str">
        <f>VLOOKUP($E179,'[1]Product Naming'!$A$1:$P$58,5)</f>
        <v>C5H4O4</v>
      </c>
      <c r="W179" s="3">
        <f>VLOOKUP($E179,'[1]Product Naming'!$A$1:$P$58,6)</f>
        <v>5</v>
      </c>
      <c r="X179" s="3">
        <f>VLOOKUP($E179,'[1]Product Naming'!$A$1:$P$58,7)</f>
        <v>4</v>
      </c>
      <c r="Y179" s="3">
        <f>VLOOKUP($E179,'[1]Product Naming'!$A$1:$P$58,8)</f>
        <v>4</v>
      </c>
      <c r="Z179" s="3">
        <f>VLOOKUP($E179,'[1]Product Naming'!$A$1:$P$58,9)</f>
        <v>0</v>
      </c>
      <c r="AA179" s="3">
        <f>VLOOKUP($E179,'[1]Product Naming'!$A$1:$P$58,10)</f>
        <v>-2</v>
      </c>
      <c r="AB179" s="3">
        <f>VLOOKUP($E179,'[1]Product Naming'!$A$1:$P$58,11)</f>
        <v>3.2</v>
      </c>
      <c r="AC179" s="3">
        <f>VLOOKUP($E179,'[1]Product Naming'!$A$1:$P$58,12)</f>
        <v>128.08086</v>
      </c>
      <c r="AD179" s="3">
        <f>VLOOKUP($E179,'[1]Product Naming'!$A$1:$P$58,13)</f>
        <v>381</v>
      </c>
      <c r="AE179" s="3" t="str">
        <f>VLOOKUP($E179,'[1]Product Naming'!$A$1:$P$58,14)</f>
        <v>Dicarboxylate</v>
      </c>
      <c r="AF179" s="3" t="str">
        <f>VLOOKUP($E179,'[1]Product Naming'!$A$1:$P$58,15)</f>
        <v>Acetyl-CoA + Oxaloacetate</v>
      </c>
      <c r="AG179" s="3" t="str">
        <f>VLOOKUP($E179,'[1]Product Naming'!$A$1:$P$58,16)</f>
        <v>Proton symporter</v>
      </c>
      <c r="AH179" s="3" t="str">
        <f>VLOOKUP($E179,'[1]Product Naming'!$A$1:$Q$58,17)</f>
        <v>itacon_c</v>
      </c>
    </row>
    <row r="180" spans="1:34" hidden="1" x14ac:dyDescent="0.2">
      <c r="A180" s="16" t="s">
        <v>63</v>
      </c>
      <c r="B180" s="17" t="s">
        <v>64</v>
      </c>
      <c r="C180" t="s">
        <v>67</v>
      </c>
      <c r="D180" s="18" t="s">
        <v>66</v>
      </c>
      <c r="E180" t="s">
        <v>104</v>
      </c>
      <c r="F180" t="s">
        <v>105</v>
      </c>
      <c r="G180">
        <v>-10</v>
      </c>
      <c r="H180">
        <v>0</v>
      </c>
      <c r="I180">
        <v>-5</v>
      </c>
      <c r="J180">
        <v>0.45</v>
      </c>
      <c r="K180">
        <v>-10</v>
      </c>
      <c r="L180">
        <v>0</v>
      </c>
      <c r="M180">
        <v>-5</v>
      </c>
      <c r="N180">
        <v>1.99298245614035</v>
      </c>
      <c r="O180">
        <v>1.0140350877193001</v>
      </c>
      <c r="P180"/>
      <c r="Q180">
        <v>0.10140350877193</v>
      </c>
      <c r="R180">
        <v>0.44754819471145102</v>
      </c>
      <c r="S180" s="20" t="s">
        <v>104</v>
      </c>
      <c r="T180" s="3" t="s">
        <v>104</v>
      </c>
      <c r="U180" s="3" t="s">
        <v>106</v>
      </c>
      <c r="V180" s="3" t="s">
        <v>107</v>
      </c>
      <c r="W180" s="3">
        <v>5</v>
      </c>
      <c r="X180" s="3">
        <v>4</v>
      </c>
      <c r="Y180" s="3">
        <v>4</v>
      </c>
      <c r="Z180" s="3">
        <v>0</v>
      </c>
      <c r="AA180" s="3">
        <v>-2</v>
      </c>
      <c r="AB180" s="12">
        <f>(W180*4+X180*1+Y180*-2+Z180*-3)/W180</f>
        <v>3.2</v>
      </c>
      <c r="AC180" s="3">
        <f>W180*12.0107+X180*1.00784+Y180*15.999+Z180*14.0067</f>
        <v>128.08086</v>
      </c>
      <c r="AD180" s="12">
        <v>381</v>
      </c>
      <c r="AE180" s="3" t="s">
        <v>43</v>
      </c>
      <c r="AF180" s="3" t="s">
        <v>108</v>
      </c>
      <c r="AG180" s="2" t="str">
        <f>IF(AD180&gt;37,"Proton symporter", "Diffusion")</f>
        <v>Proton symporter</v>
      </c>
      <c r="AH180" s="3" t="s">
        <v>109</v>
      </c>
    </row>
    <row r="181" spans="1:34" hidden="1" x14ac:dyDescent="0.2">
      <c r="A181" s="8" t="s">
        <v>350</v>
      </c>
      <c r="B181" s="17" t="s">
        <v>64</v>
      </c>
      <c r="C181" t="s">
        <v>352</v>
      </c>
      <c r="D181" s="13" t="s">
        <v>51</v>
      </c>
      <c r="E181" t="s">
        <v>104</v>
      </c>
      <c r="F181" t="s">
        <v>105</v>
      </c>
      <c r="G181">
        <v>-10</v>
      </c>
      <c r="H181">
        <v>0</v>
      </c>
      <c r="I181">
        <v>0</v>
      </c>
      <c r="J181">
        <v>0.45</v>
      </c>
      <c r="K181">
        <v>-10</v>
      </c>
      <c r="L181">
        <v>0</v>
      </c>
      <c r="M181" s="26">
        <v>5.1616438356164398</v>
      </c>
      <c r="N181">
        <v>0</v>
      </c>
      <c r="O181" s="26">
        <v>0.86027397260273997</v>
      </c>
      <c r="P181"/>
      <c r="Q181">
        <v>8.6027397260274002E-2</v>
      </c>
      <c r="R181" s="26">
        <v>0.35542887251608402</v>
      </c>
      <c r="S181" s="3" t="str">
        <f>VLOOKUP($E181,'[1]Product Naming'!$A$1:$P$58,2)</f>
        <v>Itaconate</v>
      </c>
      <c r="T181" s="3" t="str">
        <f>VLOOKUP($E181,'[1]Product Naming'!$A$1:$P$58,3)</f>
        <v>Itaconate</v>
      </c>
      <c r="U181" s="3" t="str">
        <f>VLOOKUP($E181,'[1]Product Naming'!$A$1:$P$58,4)</f>
        <v>E</v>
      </c>
      <c r="V181" s="3" t="str">
        <f>VLOOKUP($E181,'[1]Product Naming'!$A$1:$P$58,5)</f>
        <v>C5H4O4</v>
      </c>
      <c r="W181" s="3">
        <f>VLOOKUP($E181,'[1]Product Naming'!$A$1:$P$58,6)</f>
        <v>5</v>
      </c>
      <c r="X181" s="3">
        <f>VLOOKUP($E181,'[1]Product Naming'!$A$1:$P$58,7)</f>
        <v>4</v>
      </c>
      <c r="Y181" s="3">
        <f>VLOOKUP($E181,'[1]Product Naming'!$A$1:$P$58,8)</f>
        <v>4</v>
      </c>
      <c r="Z181" s="3">
        <f>VLOOKUP($E181,'[1]Product Naming'!$A$1:$P$58,9)</f>
        <v>0</v>
      </c>
      <c r="AA181" s="3">
        <f>VLOOKUP($E181,'[1]Product Naming'!$A$1:$P$58,10)</f>
        <v>-2</v>
      </c>
      <c r="AB181" s="3">
        <f>VLOOKUP($E181,'[1]Product Naming'!$A$1:$P$58,11)</f>
        <v>3.2</v>
      </c>
      <c r="AC181" s="3">
        <f>VLOOKUP($E181,'[1]Product Naming'!$A$1:$P$58,12)</f>
        <v>128.08086</v>
      </c>
      <c r="AD181" s="3">
        <f>VLOOKUP($E181,'[1]Product Naming'!$A$1:$P$58,13)</f>
        <v>381</v>
      </c>
      <c r="AE181" s="3" t="str">
        <f>VLOOKUP($E181,'[1]Product Naming'!$A$1:$P$58,14)</f>
        <v>Dicarboxylate</v>
      </c>
      <c r="AF181" s="3" t="str">
        <f>VLOOKUP($E181,'[1]Product Naming'!$A$1:$P$58,15)</f>
        <v>Acetyl-CoA + Oxaloacetate</v>
      </c>
      <c r="AG181" s="3" t="str">
        <f>VLOOKUP($E181,'[1]Product Naming'!$A$1:$P$58,16)</f>
        <v>Proton symporter</v>
      </c>
      <c r="AH181" s="3" t="str">
        <f>VLOOKUP($E181,'[1]Product Naming'!$A$1:$Q$58,17)</f>
        <v>itacon_c</v>
      </c>
    </row>
    <row r="182" spans="1:34" hidden="1" x14ac:dyDescent="0.2">
      <c r="A182" s="16" t="s">
        <v>63</v>
      </c>
      <c r="B182" s="17" t="s">
        <v>64</v>
      </c>
      <c r="C182" t="s">
        <v>73</v>
      </c>
      <c r="D182" s="18" t="s">
        <v>66</v>
      </c>
      <c r="E182" t="s">
        <v>104</v>
      </c>
      <c r="F182" t="s">
        <v>105</v>
      </c>
      <c r="G182">
        <v>-10</v>
      </c>
      <c r="H182">
        <v>0</v>
      </c>
      <c r="I182">
        <v>-20</v>
      </c>
      <c r="J182">
        <v>0.45</v>
      </c>
      <c r="K182">
        <v>-10</v>
      </c>
      <c r="L182">
        <v>0</v>
      </c>
      <c r="M182">
        <v>-12.0457142857143</v>
      </c>
      <c r="N182">
        <v>0</v>
      </c>
      <c r="O182">
        <v>1.3257142857142801</v>
      </c>
      <c r="P182"/>
      <c r="Q182">
        <v>0.13257142857142801</v>
      </c>
      <c r="R182" s="19">
        <v>0.350365856367582</v>
      </c>
      <c r="S182" s="20" t="s">
        <v>104</v>
      </c>
      <c r="T182" s="3" t="s">
        <v>104</v>
      </c>
      <c r="U182" s="3" t="s">
        <v>106</v>
      </c>
      <c r="V182" s="3" t="s">
        <v>107</v>
      </c>
      <c r="W182" s="3">
        <v>5</v>
      </c>
      <c r="X182" s="3">
        <v>4</v>
      </c>
      <c r="Y182" s="3">
        <v>4</v>
      </c>
      <c r="Z182" s="3">
        <v>0</v>
      </c>
      <c r="AA182" s="3">
        <v>-2</v>
      </c>
      <c r="AB182" s="12">
        <f>(W182*4+X182*1+Y182*-2+Z182*-3)/W182</f>
        <v>3.2</v>
      </c>
      <c r="AC182" s="3">
        <f>W182*12.0107+X182*1.00784+Y182*15.999+Z182*14.0067</f>
        <v>128.08086</v>
      </c>
      <c r="AD182" s="12">
        <v>381</v>
      </c>
      <c r="AE182" s="3" t="s">
        <v>43</v>
      </c>
      <c r="AF182" s="3" t="s">
        <v>108</v>
      </c>
      <c r="AG182" s="2" t="str">
        <f>IF(AD182&gt;37,"Proton symporter", "Diffusion")</f>
        <v>Proton symporter</v>
      </c>
      <c r="AH182" s="3" t="s">
        <v>109</v>
      </c>
    </row>
    <row r="183" spans="1:34" hidden="1" x14ac:dyDescent="0.2">
      <c r="A183" s="16" t="s">
        <v>63</v>
      </c>
      <c r="B183" s="17" t="s">
        <v>64</v>
      </c>
      <c r="C183" t="s">
        <v>65</v>
      </c>
      <c r="D183" s="18" t="s">
        <v>66</v>
      </c>
      <c r="E183" t="s">
        <v>104</v>
      </c>
      <c r="F183" t="s">
        <v>105</v>
      </c>
      <c r="G183">
        <v>-10</v>
      </c>
      <c r="H183">
        <v>0</v>
      </c>
      <c r="I183">
        <v>0</v>
      </c>
      <c r="J183">
        <v>0.45</v>
      </c>
      <c r="K183">
        <v>-10</v>
      </c>
      <c r="L183">
        <v>0</v>
      </c>
      <c r="M183">
        <v>0</v>
      </c>
      <c r="N183">
        <v>4.6245614035087703</v>
      </c>
      <c r="O183">
        <v>0.75087719298245603</v>
      </c>
      <c r="P183"/>
      <c r="Q183">
        <v>7.5087719298245606E-2</v>
      </c>
      <c r="R183">
        <v>0.34335236212630799</v>
      </c>
      <c r="S183" s="20" t="s">
        <v>104</v>
      </c>
      <c r="T183" s="3" t="s">
        <v>104</v>
      </c>
      <c r="U183" s="3" t="s">
        <v>106</v>
      </c>
      <c r="V183" s="3" t="s">
        <v>107</v>
      </c>
      <c r="W183" s="3">
        <v>5</v>
      </c>
      <c r="X183" s="3">
        <v>4</v>
      </c>
      <c r="Y183" s="3">
        <v>4</v>
      </c>
      <c r="Z183" s="3">
        <v>0</v>
      </c>
      <c r="AA183" s="3">
        <v>-2</v>
      </c>
      <c r="AB183" s="12">
        <f>(W183*4+X183*1+Y183*-2+Z183*-3)/W183</f>
        <v>3.2</v>
      </c>
      <c r="AC183" s="3">
        <f>W183*12.0107+X183*1.00784+Y183*15.999+Z183*14.0067</f>
        <v>128.08086</v>
      </c>
      <c r="AD183" s="12">
        <v>381</v>
      </c>
      <c r="AE183" s="3" t="s">
        <v>43</v>
      </c>
      <c r="AF183" s="3" t="s">
        <v>108</v>
      </c>
      <c r="AG183" s="2" t="str">
        <f>IF(AD183&gt;37,"Proton symporter", "Diffusion")</f>
        <v>Proton symporter</v>
      </c>
      <c r="AH183" s="3" t="s">
        <v>109</v>
      </c>
    </row>
    <row r="184" spans="1:34" hidden="1" x14ac:dyDescent="0.2">
      <c r="A184" s="16" t="s">
        <v>63</v>
      </c>
      <c r="B184" s="17" t="s">
        <v>64</v>
      </c>
      <c r="C184" t="s">
        <v>72</v>
      </c>
      <c r="D184" s="18" t="s">
        <v>66</v>
      </c>
      <c r="E184" t="s">
        <v>104</v>
      </c>
      <c r="F184" t="s">
        <v>105</v>
      </c>
      <c r="G184">
        <v>-10</v>
      </c>
      <c r="H184">
        <v>0</v>
      </c>
      <c r="I184">
        <v>-10</v>
      </c>
      <c r="J184">
        <v>0.45</v>
      </c>
      <c r="K184">
        <v>-10</v>
      </c>
      <c r="L184">
        <v>0</v>
      </c>
      <c r="M184">
        <v>-10</v>
      </c>
      <c r="N184">
        <v>0</v>
      </c>
      <c r="O184">
        <v>1.2551724137931</v>
      </c>
      <c r="P184"/>
      <c r="Q184">
        <v>0.12551724137931</v>
      </c>
      <c r="R184">
        <v>0.33457835696217297</v>
      </c>
      <c r="S184" s="20" t="s">
        <v>104</v>
      </c>
      <c r="T184" s="3" t="s">
        <v>104</v>
      </c>
      <c r="U184" s="3" t="s">
        <v>106</v>
      </c>
      <c r="V184" s="3" t="s">
        <v>107</v>
      </c>
      <c r="W184" s="3">
        <v>5</v>
      </c>
      <c r="X184" s="3">
        <v>4</v>
      </c>
      <c r="Y184" s="3">
        <v>4</v>
      </c>
      <c r="Z184" s="3">
        <v>0</v>
      </c>
      <c r="AA184" s="3">
        <v>-2</v>
      </c>
      <c r="AB184" s="12">
        <f>(W184*4+X184*1+Y184*-2+Z184*-3)/W184</f>
        <v>3.2</v>
      </c>
      <c r="AC184" s="3">
        <f>W184*12.0107+X184*1.00784+Y184*15.999+Z184*14.0067</f>
        <v>128.08086</v>
      </c>
      <c r="AD184" s="12">
        <v>381</v>
      </c>
      <c r="AE184" s="3" t="s">
        <v>43</v>
      </c>
      <c r="AF184" s="3" t="s">
        <v>108</v>
      </c>
      <c r="AG184" s="2" t="str">
        <f>IF(AD184&gt;37,"Proton symporter", "Diffusion")</f>
        <v>Proton symporter</v>
      </c>
      <c r="AH184" s="3" t="s">
        <v>109</v>
      </c>
    </row>
    <row r="185" spans="1:34" hidden="1" x14ac:dyDescent="0.2">
      <c r="A185" s="16" t="s">
        <v>63</v>
      </c>
      <c r="B185" s="17" t="s">
        <v>64</v>
      </c>
      <c r="C185" t="s">
        <v>71</v>
      </c>
      <c r="D185" s="18" t="s">
        <v>66</v>
      </c>
      <c r="E185" t="s">
        <v>104</v>
      </c>
      <c r="F185" t="s">
        <v>105</v>
      </c>
      <c r="G185">
        <v>-10</v>
      </c>
      <c r="H185">
        <v>0</v>
      </c>
      <c r="I185">
        <v>-5</v>
      </c>
      <c r="J185">
        <v>0.45</v>
      </c>
      <c r="K185">
        <v>-10</v>
      </c>
      <c r="L185">
        <v>0</v>
      </c>
      <c r="M185">
        <v>-5</v>
      </c>
      <c r="N185">
        <v>1.99298245614035</v>
      </c>
      <c r="O185">
        <v>1.0140350877193001</v>
      </c>
      <c r="P185"/>
      <c r="Q185">
        <v>0.10140350877193</v>
      </c>
      <c r="R185">
        <v>0.27610457169121999</v>
      </c>
      <c r="S185" s="20" t="s">
        <v>104</v>
      </c>
      <c r="T185" s="3" t="s">
        <v>104</v>
      </c>
      <c r="U185" s="3" t="s">
        <v>106</v>
      </c>
      <c r="V185" s="3" t="s">
        <v>107</v>
      </c>
      <c r="W185" s="3">
        <v>5</v>
      </c>
      <c r="X185" s="3">
        <v>4</v>
      </c>
      <c r="Y185" s="3">
        <v>4</v>
      </c>
      <c r="Z185" s="3">
        <v>0</v>
      </c>
      <c r="AA185" s="3">
        <v>-2</v>
      </c>
      <c r="AB185" s="12">
        <f>(W185*4+X185*1+Y185*-2+Z185*-3)/W185</f>
        <v>3.2</v>
      </c>
      <c r="AC185" s="3">
        <f>W185*12.0107+X185*1.00784+Y185*15.999+Z185*14.0067</f>
        <v>128.08086</v>
      </c>
      <c r="AD185" s="12">
        <v>381</v>
      </c>
      <c r="AE185" s="3" t="s">
        <v>43</v>
      </c>
      <c r="AF185" s="3" t="s">
        <v>108</v>
      </c>
      <c r="AG185" s="2" t="str">
        <f>IF(AD185&gt;37,"Proton symporter", "Diffusion")</f>
        <v>Proton symporter</v>
      </c>
      <c r="AH185" s="3" t="s">
        <v>109</v>
      </c>
    </row>
    <row r="186" spans="1:34" hidden="1" x14ac:dyDescent="0.2">
      <c r="A186" s="8" t="s">
        <v>368</v>
      </c>
      <c r="B186" s="17" t="s">
        <v>64</v>
      </c>
      <c r="C186" t="s">
        <v>369</v>
      </c>
      <c r="D186" s="18" t="s">
        <v>66</v>
      </c>
      <c r="E186" t="s">
        <v>104</v>
      </c>
      <c r="F186" t="s">
        <v>105</v>
      </c>
      <c r="G186">
        <v>-10</v>
      </c>
      <c r="H186">
        <v>0</v>
      </c>
      <c r="I186">
        <v>-20</v>
      </c>
      <c r="J186">
        <v>0.45</v>
      </c>
      <c r="K186">
        <v>-10</v>
      </c>
      <c r="L186">
        <v>0</v>
      </c>
      <c r="M186">
        <v>-20</v>
      </c>
      <c r="N186">
        <v>-10</v>
      </c>
      <c r="O186">
        <v>0.91034482758620605</v>
      </c>
      <c r="P186"/>
      <c r="Q186">
        <v>9.1034482758620597E-2</v>
      </c>
      <c r="R186">
        <v>0.242699613700081</v>
      </c>
      <c r="S186" s="1" t="str">
        <f>VLOOKUP($E186,'[1]Product Naming'!$A$1:$P$58,2)</f>
        <v>Itaconate</v>
      </c>
      <c r="T186" s="1" t="str">
        <f>VLOOKUP($E186,'[1]Product Naming'!$A$1:$P$58,3)</f>
        <v>Itaconate</v>
      </c>
      <c r="U186" s="1" t="str">
        <f>VLOOKUP($E186,'[1]Product Naming'!$A$1:$P$58,4)</f>
        <v>E</v>
      </c>
      <c r="V186" s="1" t="str">
        <f>VLOOKUP($E186,'[1]Product Naming'!$A$1:$P$58,5)</f>
        <v>C5H4O4</v>
      </c>
      <c r="W186" s="1">
        <f>VLOOKUP($E186,'[1]Product Naming'!$A$1:$P$58,6)</f>
        <v>5</v>
      </c>
      <c r="X186" s="1">
        <f>VLOOKUP($E186,'[1]Product Naming'!$A$1:$P$58,7)</f>
        <v>4</v>
      </c>
      <c r="Y186" s="1">
        <f>VLOOKUP($E186,'[1]Product Naming'!$A$1:$P$58,8)</f>
        <v>4</v>
      </c>
      <c r="Z186" s="1">
        <f>VLOOKUP($E186,'[1]Product Naming'!$A$1:$P$58,9)</f>
        <v>0</v>
      </c>
      <c r="AA186" s="1">
        <f>VLOOKUP($E186,'[1]Product Naming'!$A$1:$P$58,10)</f>
        <v>-2</v>
      </c>
      <c r="AB186" s="27">
        <f>VLOOKUP($E186,'[1]Product Naming'!$A$1:$P$58,11)</f>
        <v>3.2</v>
      </c>
      <c r="AC186" s="3">
        <f>VLOOKUP($E186,'[1]Product Naming'!$A$1:$P$58,12)</f>
        <v>128.08086</v>
      </c>
      <c r="AD186" s="1">
        <f>VLOOKUP($E186,'[1]Product Naming'!$A$1:$P$58,13)</f>
        <v>381</v>
      </c>
      <c r="AE186" s="1" t="str">
        <f>VLOOKUP($E186,'[1]Product Naming'!$A$1:$P$58,14)</f>
        <v>Dicarboxylate</v>
      </c>
      <c r="AF186" s="1" t="str">
        <f>VLOOKUP($E186,'[1]Product Naming'!$A$1:$P$58,15)</f>
        <v>Acetyl-CoA + Oxaloacetate</v>
      </c>
      <c r="AG186" s="28" t="str">
        <f>VLOOKUP($E186,'[1]Product Naming'!$A$1:$P$58,16)</f>
        <v>Proton symporter</v>
      </c>
      <c r="AH186" s="3" t="str">
        <f>VLOOKUP($E186,'[1]Product Naming'!$A$1:$Q$58,17)</f>
        <v>itacon_c</v>
      </c>
    </row>
    <row r="187" spans="1:34" hidden="1" x14ac:dyDescent="0.2">
      <c r="A187" s="16" t="s">
        <v>63</v>
      </c>
      <c r="B187" s="17" t="s">
        <v>64</v>
      </c>
      <c r="C187" t="s">
        <v>70</v>
      </c>
      <c r="D187" s="18" t="s">
        <v>66</v>
      </c>
      <c r="E187" t="s">
        <v>104</v>
      </c>
      <c r="F187" t="s">
        <v>105</v>
      </c>
      <c r="G187">
        <v>-10</v>
      </c>
      <c r="H187">
        <v>0</v>
      </c>
      <c r="I187">
        <v>0</v>
      </c>
      <c r="J187">
        <v>0.45</v>
      </c>
      <c r="K187">
        <v>-10</v>
      </c>
      <c r="L187">
        <v>0</v>
      </c>
      <c r="M187">
        <v>0</v>
      </c>
      <c r="N187">
        <v>4.6245614035087703</v>
      </c>
      <c r="O187">
        <v>0.75087719298245603</v>
      </c>
      <c r="P187"/>
      <c r="Q187">
        <v>7.5087719298245606E-2</v>
      </c>
      <c r="R187">
        <v>0.208937285206864</v>
      </c>
      <c r="S187" s="20" t="s">
        <v>104</v>
      </c>
      <c r="T187" s="3" t="s">
        <v>104</v>
      </c>
      <c r="U187" s="3" t="s">
        <v>106</v>
      </c>
      <c r="V187" s="3" t="s">
        <v>107</v>
      </c>
      <c r="W187" s="3">
        <v>5</v>
      </c>
      <c r="X187" s="3">
        <v>4</v>
      </c>
      <c r="Y187" s="3">
        <v>4</v>
      </c>
      <c r="Z187" s="3">
        <v>0</v>
      </c>
      <c r="AA187" s="3">
        <v>-2</v>
      </c>
      <c r="AB187" s="12">
        <f>(W187*4+X187*1+Y187*-2+Z187*-3)/W187</f>
        <v>3.2</v>
      </c>
      <c r="AC187" s="3">
        <f>W187*12.0107+X187*1.00784+Y187*15.999+Z187*14.0067</f>
        <v>128.08086</v>
      </c>
      <c r="AD187" s="12">
        <v>381</v>
      </c>
      <c r="AE187" s="3" t="s">
        <v>43</v>
      </c>
      <c r="AF187" s="3" t="s">
        <v>108</v>
      </c>
      <c r="AG187" s="2" t="str">
        <f>IF(AD187&gt;37,"Proton symporter", "Diffusion")</f>
        <v>Proton symporter</v>
      </c>
      <c r="AH187" s="3" t="s">
        <v>109</v>
      </c>
    </row>
    <row r="188" spans="1:34" hidden="1" x14ac:dyDescent="0.2">
      <c r="A188" s="8" t="s">
        <v>350</v>
      </c>
      <c r="B188" s="17" t="s">
        <v>64</v>
      </c>
      <c r="C188" t="s">
        <v>351</v>
      </c>
      <c r="D188" s="13" t="s">
        <v>51</v>
      </c>
      <c r="E188" t="s">
        <v>104</v>
      </c>
      <c r="F188" t="s">
        <v>105</v>
      </c>
      <c r="G188">
        <v>-10</v>
      </c>
      <c r="H188">
        <v>0</v>
      </c>
      <c r="I188">
        <v>0</v>
      </c>
      <c r="J188">
        <v>0.45</v>
      </c>
      <c r="K188">
        <v>-10</v>
      </c>
      <c r="L188">
        <v>0</v>
      </c>
      <c r="M188" s="26">
        <v>2.5894736842105401</v>
      </c>
      <c r="N188">
        <v>0</v>
      </c>
      <c r="O188" s="26">
        <v>0.431578947368423</v>
      </c>
      <c r="P188"/>
      <c r="Q188" s="26">
        <v>4.3157894736842298E-2</v>
      </c>
      <c r="R188" s="26">
        <v>0.17537664256281599</v>
      </c>
      <c r="S188" s="3" t="str">
        <f>VLOOKUP($E188,'[1]Product Naming'!$A$1:$P$58,2)</f>
        <v>Itaconate</v>
      </c>
      <c r="T188" s="3" t="str">
        <f>VLOOKUP($E188,'[1]Product Naming'!$A$1:$P$58,3)</f>
        <v>Itaconate</v>
      </c>
      <c r="U188" s="3" t="str">
        <f>VLOOKUP($E188,'[1]Product Naming'!$A$1:$P$58,4)</f>
        <v>E</v>
      </c>
      <c r="V188" s="3" t="str">
        <f>VLOOKUP($E188,'[1]Product Naming'!$A$1:$P$58,5)</f>
        <v>C5H4O4</v>
      </c>
      <c r="W188" s="3">
        <f>VLOOKUP($E188,'[1]Product Naming'!$A$1:$P$58,6)</f>
        <v>5</v>
      </c>
      <c r="X188" s="3">
        <f>VLOOKUP($E188,'[1]Product Naming'!$A$1:$P$58,7)</f>
        <v>4</v>
      </c>
      <c r="Y188" s="3">
        <f>VLOOKUP($E188,'[1]Product Naming'!$A$1:$P$58,8)</f>
        <v>4</v>
      </c>
      <c r="Z188" s="3">
        <f>VLOOKUP($E188,'[1]Product Naming'!$A$1:$P$58,9)</f>
        <v>0</v>
      </c>
      <c r="AA188" s="3">
        <f>VLOOKUP($E188,'[1]Product Naming'!$A$1:$P$58,10)</f>
        <v>-2</v>
      </c>
      <c r="AB188" s="3">
        <f>VLOOKUP($E188,'[1]Product Naming'!$A$1:$P$58,11)</f>
        <v>3.2</v>
      </c>
      <c r="AC188" s="3">
        <f>VLOOKUP($E188,'[1]Product Naming'!$A$1:$P$58,12)</f>
        <v>128.08086</v>
      </c>
      <c r="AD188" s="3">
        <f>VLOOKUP($E188,'[1]Product Naming'!$A$1:$P$58,13)</f>
        <v>381</v>
      </c>
      <c r="AE188" s="3" t="str">
        <f>VLOOKUP($E188,'[1]Product Naming'!$A$1:$P$58,14)</f>
        <v>Dicarboxylate</v>
      </c>
      <c r="AF188" s="3" t="str">
        <f>VLOOKUP($E188,'[1]Product Naming'!$A$1:$P$58,15)</f>
        <v>Acetyl-CoA + Oxaloacetate</v>
      </c>
      <c r="AG188" s="3" t="str">
        <f>VLOOKUP($E188,'[1]Product Naming'!$A$1:$P$58,16)</f>
        <v>Proton symporter</v>
      </c>
      <c r="AH188" s="3" t="str">
        <f>VLOOKUP($E188,'[1]Product Naming'!$A$1:$Q$58,17)</f>
        <v>itacon_c</v>
      </c>
    </row>
    <row r="189" spans="1:34" hidden="1" x14ac:dyDescent="0.2">
      <c r="A189" s="8" t="s">
        <v>34</v>
      </c>
      <c r="B189" s="9" t="s">
        <v>35</v>
      </c>
      <c r="C189" s="1" t="s">
        <v>50</v>
      </c>
      <c r="D189" s="13" t="s">
        <v>51</v>
      </c>
      <c r="E189" s="1" t="s">
        <v>104</v>
      </c>
      <c r="F189" s="1" t="s">
        <v>105</v>
      </c>
      <c r="G189" s="1">
        <v>-10</v>
      </c>
      <c r="H189" s="1">
        <v>-20</v>
      </c>
      <c r="I189" s="1" t="s">
        <v>40</v>
      </c>
      <c r="J189" s="1">
        <v>3.15</v>
      </c>
      <c r="K189" s="1">
        <v>-10</v>
      </c>
      <c r="L189" s="1">
        <v>-2.4607142857142801</v>
      </c>
      <c r="M189" s="1" t="s">
        <v>40</v>
      </c>
      <c r="N189" s="1">
        <v>7.1785714285714297</v>
      </c>
      <c r="O189" s="1">
        <v>0.56428571428571095</v>
      </c>
      <c r="Q189" s="1">
        <v>5.6428571428571099E-2</v>
      </c>
      <c r="R189" s="1">
        <v>0.157016788265438</v>
      </c>
      <c r="S189" s="20" t="s">
        <v>104</v>
      </c>
      <c r="T189" s="3" t="s">
        <v>104</v>
      </c>
      <c r="U189" s="3" t="s">
        <v>106</v>
      </c>
      <c r="V189" s="3" t="s">
        <v>107</v>
      </c>
      <c r="W189" s="3">
        <v>5</v>
      </c>
      <c r="X189" s="3">
        <v>4</v>
      </c>
      <c r="Y189" s="3">
        <v>4</v>
      </c>
      <c r="Z189" s="3">
        <v>0</v>
      </c>
      <c r="AA189" s="3">
        <v>-2</v>
      </c>
      <c r="AB189" s="12">
        <f>(W189*4+X189*1+Y189*-2+Z189*-3)/W189</f>
        <v>3.2</v>
      </c>
      <c r="AC189" s="3">
        <f>W189*12.0107+X189*1.00784+Y189*15.999+Z189*14.0067</f>
        <v>128.08086</v>
      </c>
      <c r="AD189" s="12">
        <v>381</v>
      </c>
      <c r="AE189" s="3" t="s">
        <v>43</v>
      </c>
      <c r="AF189" s="3" t="s">
        <v>108</v>
      </c>
      <c r="AG189" s="2" t="str">
        <f>IF(AD189&gt;37,"Proton symporter", "Diffusion")</f>
        <v>Proton symporter</v>
      </c>
      <c r="AH189" s="3" t="s">
        <v>109</v>
      </c>
    </row>
    <row r="190" spans="1:34" hidden="1" x14ac:dyDescent="0.2">
      <c r="A190" s="8" t="s">
        <v>34</v>
      </c>
      <c r="B190" s="9" t="s">
        <v>35</v>
      </c>
      <c r="C190" s="1" t="s">
        <v>52</v>
      </c>
      <c r="D190" s="13" t="s">
        <v>51</v>
      </c>
      <c r="E190" s="1" t="s">
        <v>104</v>
      </c>
      <c r="F190" s="1" t="s">
        <v>105</v>
      </c>
      <c r="G190" s="1">
        <v>-10</v>
      </c>
      <c r="H190" s="1">
        <v>-20</v>
      </c>
      <c r="I190" s="1" t="s">
        <v>40</v>
      </c>
      <c r="J190" s="1">
        <v>3.15</v>
      </c>
      <c r="K190" s="1">
        <v>-10</v>
      </c>
      <c r="L190" s="1">
        <v>-3.1769230769230798</v>
      </c>
      <c r="M190" s="1" t="s">
        <v>40</v>
      </c>
      <c r="N190" s="1">
        <v>7.97435897435897</v>
      </c>
      <c r="O190" s="1">
        <v>0.40512820512820502</v>
      </c>
      <c r="Q190" s="1">
        <v>4.0512820512820499E-2</v>
      </c>
      <c r="R190" s="1">
        <v>0.112730001831597</v>
      </c>
      <c r="S190" s="20" t="s">
        <v>104</v>
      </c>
      <c r="T190" s="3" t="s">
        <v>104</v>
      </c>
      <c r="U190" s="3" t="s">
        <v>106</v>
      </c>
      <c r="V190" s="3" t="s">
        <v>107</v>
      </c>
      <c r="W190" s="3">
        <v>5</v>
      </c>
      <c r="X190" s="3">
        <v>4</v>
      </c>
      <c r="Y190" s="3">
        <v>4</v>
      </c>
      <c r="Z190" s="3">
        <v>0</v>
      </c>
      <c r="AA190" s="3">
        <v>-2</v>
      </c>
      <c r="AB190" s="12">
        <f>(W190*4+X190*1+Y190*-2+Z190*-3)/W190</f>
        <v>3.2</v>
      </c>
      <c r="AC190" s="3">
        <f>W190*12.0107+X190*1.00784+Y190*15.999+Z190*14.0067</f>
        <v>128.08086</v>
      </c>
      <c r="AD190" s="12">
        <v>381</v>
      </c>
      <c r="AE190" s="3" t="s">
        <v>43</v>
      </c>
      <c r="AF190" s="3" t="s">
        <v>108</v>
      </c>
      <c r="AG190" s="2" t="str">
        <f>IF(AD190&gt;37,"Proton symporter", "Diffusion")</f>
        <v>Proton symporter</v>
      </c>
      <c r="AH190" s="3" t="s">
        <v>109</v>
      </c>
    </row>
    <row r="191" spans="1:34" hidden="1" x14ac:dyDescent="0.2">
      <c r="A191" s="8" t="s">
        <v>34</v>
      </c>
      <c r="B191" s="9" t="s">
        <v>35</v>
      </c>
      <c r="C191" s="1" t="s">
        <v>53</v>
      </c>
      <c r="D191" s="13" t="s">
        <v>51</v>
      </c>
      <c r="E191" s="1" t="s">
        <v>104</v>
      </c>
      <c r="F191" s="1" t="s">
        <v>105</v>
      </c>
      <c r="G191" s="1">
        <v>-10</v>
      </c>
      <c r="H191" s="1">
        <v>-20</v>
      </c>
      <c r="I191" s="1" t="s">
        <v>40</v>
      </c>
      <c r="J191" s="1">
        <v>3.15</v>
      </c>
      <c r="K191" s="1">
        <v>-10</v>
      </c>
      <c r="L191" s="1">
        <v>-4.1293877551020399</v>
      </c>
      <c r="M191" s="1" t="s">
        <v>40</v>
      </c>
      <c r="N191" s="1">
        <v>9.0326530612244902</v>
      </c>
      <c r="O191" s="1">
        <v>0.193469387755102</v>
      </c>
      <c r="Q191" s="1">
        <v>1.9346938775510199E-2</v>
      </c>
      <c r="R191" s="1">
        <v>5.3834327405293397E-2</v>
      </c>
      <c r="S191" s="20" t="s">
        <v>104</v>
      </c>
      <c r="T191" s="3" t="s">
        <v>104</v>
      </c>
      <c r="U191" s="3" t="s">
        <v>106</v>
      </c>
      <c r="V191" s="3" t="s">
        <v>107</v>
      </c>
      <c r="W191" s="3">
        <v>5</v>
      </c>
      <c r="X191" s="3">
        <v>4</v>
      </c>
      <c r="Y191" s="3">
        <v>4</v>
      </c>
      <c r="Z191" s="3">
        <v>0</v>
      </c>
      <c r="AA191" s="3">
        <v>-2</v>
      </c>
      <c r="AB191" s="12">
        <f>(W191*4+X191*1+Y191*-2+Z191*-3)/W191</f>
        <v>3.2</v>
      </c>
      <c r="AC191" s="3">
        <f>W191*12.0107+X191*1.00784+Y191*15.999+Z191*14.0067</f>
        <v>128.08086</v>
      </c>
      <c r="AD191" s="12">
        <v>381</v>
      </c>
      <c r="AE191" s="3" t="s">
        <v>43</v>
      </c>
      <c r="AF191" s="3" t="s">
        <v>108</v>
      </c>
      <c r="AG191" s="2" t="str">
        <f>IF(AD191&gt;37,"Proton symporter", "Diffusion")</f>
        <v>Proton symporter</v>
      </c>
      <c r="AH191" s="3" t="s">
        <v>109</v>
      </c>
    </row>
    <row r="192" spans="1:34" hidden="1" x14ac:dyDescent="0.2">
      <c r="A192" s="8" t="s">
        <v>34</v>
      </c>
      <c r="B192" s="9" t="s">
        <v>35</v>
      </c>
      <c r="C192" s="1" t="s">
        <v>49</v>
      </c>
      <c r="D192" s="10" t="s">
        <v>37</v>
      </c>
      <c r="E192" s="1" t="s">
        <v>110</v>
      </c>
      <c r="F192" s="1" t="s">
        <v>111</v>
      </c>
      <c r="G192" s="1">
        <v>-10</v>
      </c>
      <c r="H192" s="1">
        <v>-20</v>
      </c>
      <c r="I192" s="1" t="s">
        <v>40</v>
      </c>
      <c r="J192" s="1">
        <v>3.15</v>
      </c>
      <c r="K192" s="1">
        <v>-10</v>
      </c>
      <c r="L192" s="1">
        <v>-11.1563968668407</v>
      </c>
      <c r="M192" s="1" t="s">
        <v>40</v>
      </c>
      <c r="N192" s="1">
        <v>-0.55665796344646001</v>
      </c>
      <c r="O192" s="1">
        <v>3.4261096605744199</v>
      </c>
      <c r="Q192" s="1">
        <v>0.34261096605744201</v>
      </c>
      <c r="R192" s="1">
        <v>1.0418834801346499</v>
      </c>
      <c r="S192" s="11" t="s">
        <v>110</v>
      </c>
      <c r="T192" s="2" t="s">
        <v>112</v>
      </c>
      <c r="U192" s="3" t="s">
        <v>41</v>
      </c>
      <c r="V192" s="2" t="s">
        <v>113</v>
      </c>
      <c r="W192" s="2">
        <v>6</v>
      </c>
      <c r="X192" s="2">
        <v>4</v>
      </c>
      <c r="Y192" s="2">
        <v>4</v>
      </c>
      <c r="Z192" s="2">
        <v>0</v>
      </c>
      <c r="AA192" s="2">
        <v>0</v>
      </c>
      <c r="AB192" s="12">
        <f>(W192*4+X192*1+Y192*-2+Z192*-3)/W192</f>
        <v>3.3333333333333335</v>
      </c>
      <c r="AC192" s="3">
        <f>W192*12.0107+X192*1.00784+Y192*15.999+Z192*14.0067</f>
        <v>140.09156000000002</v>
      </c>
      <c r="AD192" s="12">
        <v>345.4</v>
      </c>
      <c r="AE192" s="2" t="s">
        <v>43</v>
      </c>
      <c r="AF192" s="2" t="s">
        <v>98</v>
      </c>
      <c r="AG192" s="2" t="str">
        <f>IF(AD192&gt;37,"Proton symporter", "Diffusion")</f>
        <v>Proton symporter</v>
      </c>
      <c r="AH192" s="3" t="s">
        <v>114</v>
      </c>
    </row>
    <row r="193" spans="1:34" hidden="1" x14ac:dyDescent="0.2">
      <c r="A193" s="8" t="s">
        <v>34</v>
      </c>
      <c r="B193" s="9" t="s">
        <v>35</v>
      </c>
      <c r="C193" s="1" t="s">
        <v>36</v>
      </c>
      <c r="D193" s="10" t="s">
        <v>37</v>
      </c>
      <c r="E193" s="1" t="s">
        <v>110</v>
      </c>
      <c r="F193" s="1" t="s">
        <v>111</v>
      </c>
      <c r="G193" s="1">
        <v>-10</v>
      </c>
      <c r="H193" s="1">
        <v>-20</v>
      </c>
      <c r="I193" s="1" t="s">
        <v>40</v>
      </c>
      <c r="J193" s="1">
        <v>3.15</v>
      </c>
      <c r="K193" s="1">
        <v>-10</v>
      </c>
      <c r="L193" s="1">
        <v>-9.1720626631853701</v>
      </c>
      <c r="M193" s="1" t="s">
        <v>40</v>
      </c>
      <c r="N193" s="1">
        <v>2.7331592689294899</v>
      </c>
      <c r="O193" s="1">
        <v>2.87780678851174</v>
      </c>
      <c r="Q193" s="1">
        <v>0.28778067885117398</v>
      </c>
      <c r="R193" s="1">
        <v>0.91518804783554697</v>
      </c>
      <c r="S193" s="11" t="s">
        <v>110</v>
      </c>
      <c r="T193" s="2" t="s">
        <v>112</v>
      </c>
      <c r="U193" s="3" t="s">
        <v>41</v>
      </c>
      <c r="V193" s="2" t="s">
        <v>113</v>
      </c>
      <c r="W193" s="2">
        <v>6</v>
      </c>
      <c r="X193" s="2">
        <v>4</v>
      </c>
      <c r="Y193" s="2">
        <v>4</v>
      </c>
      <c r="Z193" s="2">
        <v>0</v>
      </c>
      <c r="AA193" s="2">
        <v>0</v>
      </c>
      <c r="AB193" s="12">
        <f>(W193*4+X193*1+Y193*-2+Z193*-3)/W193</f>
        <v>3.3333333333333335</v>
      </c>
      <c r="AC193" s="3">
        <f>W193*12.0107+X193*1.00784+Y193*15.999+Z193*14.0067</f>
        <v>140.09156000000002</v>
      </c>
      <c r="AD193" s="12">
        <v>345.4</v>
      </c>
      <c r="AE193" s="2" t="s">
        <v>43</v>
      </c>
      <c r="AF193" s="2" t="s">
        <v>98</v>
      </c>
      <c r="AG193" s="2" t="str">
        <f>IF(AD193&gt;37,"Proton symporter", "Diffusion")</f>
        <v>Proton symporter</v>
      </c>
      <c r="AH193" s="3" t="s">
        <v>114</v>
      </c>
    </row>
    <row r="194" spans="1:34" hidden="1" x14ac:dyDescent="0.2">
      <c r="A194" s="8" t="s">
        <v>34</v>
      </c>
      <c r="B194" s="9" t="s">
        <v>35</v>
      </c>
      <c r="C194" s="1" t="s">
        <v>59</v>
      </c>
      <c r="D194" s="13" t="s">
        <v>51</v>
      </c>
      <c r="E194" s="1" t="s">
        <v>110</v>
      </c>
      <c r="F194" s="1" t="s">
        <v>111</v>
      </c>
      <c r="G194" s="1">
        <v>-10</v>
      </c>
      <c r="H194" s="1">
        <v>-20</v>
      </c>
      <c r="I194" s="1" t="s">
        <v>40</v>
      </c>
      <c r="J194" s="1">
        <v>3.15</v>
      </c>
      <c r="K194" s="1">
        <v>-10</v>
      </c>
      <c r="L194" s="1">
        <v>-5.3924295774647897</v>
      </c>
      <c r="M194" s="1" t="s">
        <v>40</v>
      </c>
      <c r="N194" s="1">
        <v>-0.48098591549295799</v>
      </c>
      <c r="O194" s="1">
        <v>1.74683098591549</v>
      </c>
      <c r="Q194" s="1">
        <v>0.17468309859154901</v>
      </c>
      <c r="R194" s="1">
        <v>0.76375837089421905</v>
      </c>
      <c r="S194" s="11" t="s">
        <v>110</v>
      </c>
      <c r="T194" s="2" t="s">
        <v>112</v>
      </c>
      <c r="U194" s="3" t="s">
        <v>41</v>
      </c>
      <c r="V194" s="2" t="s">
        <v>113</v>
      </c>
      <c r="W194" s="2">
        <v>6</v>
      </c>
      <c r="X194" s="2">
        <v>4</v>
      </c>
      <c r="Y194" s="2">
        <v>4</v>
      </c>
      <c r="Z194" s="2">
        <v>0</v>
      </c>
      <c r="AA194" s="2">
        <v>0</v>
      </c>
      <c r="AB194" s="12">
        <f>(W194*4+X194*1+Y194*-2+Z194*-3)/W194</f>
        <v>3.3333333333333335</v>
      </c>
      <c r="AC194" s="3">
        <f>W194*12.0107+X194*1.00784+Y194*15.999+Z194*14.0067</f>
        <v>140.09156000000002</v>
      </c>
      <c r="AD194" s="12">
        <v>345.4</v>
      </c>
      <c r="AE194" s="2" t="s">
        <v>43</v>
      </c>
      <c r="AF194" s="2" t="s">
        <v>98</v>
      </c>
      <c r="AG194" s="2" t="str">
        <f>IF(AD194&gt;37,"Proton symporter", "Diffusion")</f>
        <v>Proton symporter</v>
      </c>
      <c r="AH194" s="3" t="s">
        <v>114</v>
      </c>
    </row>
    <row r="195" spans="1:34" hidden="1" x14ac:dyDescent="0.2">
      <c r="A195" s="8" t="s">
        <v>34</v>
      </c>
      <c r="B195" s="9" t="s">
        <v>35</v>
      </c>
      <c r="C195" s="1" t="s">
        <v>60</v>
      </c>
      <c r="D195" s="13" t="s">
        <v>51</v>
      </c>
      <c r="E195" s="1" t="s">
        <v>110</v>
      </c>
      <c r="F195" s="1" t="s">
        <v>111</v>
      </c>
      <c r="G195" s="1">
        <v>-10</v>
      </c>
      <c r="H195" s="1">
        <v>-20</v>
      </c>
      <c r="I195" s="1" t="s">
        <v>40</v>
      </c>
      <c r="J195" s="1">
        <v>3.15</v>
      </c>
      <c r="K195" s="1">
        <v>-10</v>
      </c>
      <c r="L195" s="1">
        <v>-5.3924295774647897</v>
      </c>
      <c r="M195" s="1" t="s">
        <v>40</v>
      </c>
      <c r="N195" s="1">
        <v>-0.48098591549296599</v>
      </c>
      <c r="O195" s="1">
        <v>1.74683098591549</v>
      </c>
      <c r="Q195" s="1">
        <v>0.17468309859154901</v>
      </c>
      <c r="R195" s="1">
        <v>0.76375837089421805</v>
      </c>
      <c r="S195" s="11" t="s">
        <v>110</v>
      </c>
      <c r="T195" s="2" t="s">
        <v>112</v>
      </c>
      <c r="U195" s="3" t="s">
        <v>41</v>
      </c>
      <c r="V195" s="2" t="s">
        <v>113</v>
      </c>
      <c r="W195" s="2">
        <v>6</v>
      </c>
      <c r="X195" s="2">
        <v>4</v>
      </c>
      <c r="Y195" s="2">
        <v>4</v>
      </c>
      <c r="Z195" s="2">
        <v>0</v>
      </c>
      <c r="AA195" s="2">
        <v>0</v>
      </c>
      <c r="AB195" s="12">
        <f>(W195*4+X195*1+Y195*-2+Z195*-3)/W195</f>
        <v>3.3333333333333335</v>
      </c>
      <c r="AC195" s="3">
        <f>W195*12.0107+X195*1.00784+Y195*15.999+Z195*14.0067</f>
        <v>140.09156000000002</v>
      </c>
      <c r="AD195" s="12">
        <v>345.4</v>
      </c>
      <c r="AE195" s="2" t="s">
        <v>43</v>
      </c>
      <c r="AF195" s="2" t="s">
        <v>98</v>
      </c>
      <c r="AG195" s="2" t="str">
        <f>IF(AD195&gt;37,"Proton symporter", "Diffusion")</f>
        <v>Proton symporter</v>
      </c>
      <c r="AH195" s="3" t="s">
        <v>114</v>
      </c>
    </row>
    <row r="196" spans="1:34" hidden="1" x14ac:dyDescent="0.2">
      <c r="A196" s="8" t="s">
        <v>34</v>
      </c>
      <c r="B196" s="9" t="s">
        <v>35</v>
      </c>
      <c r="C196" s="1" t="s">
        <v>56</v>
      </c>
      <c r="D196" s="14" t="s">
        <v>55</v>
      </c>
      <c r="E196" s="1" t="s">
        <v>110</v>
      </c>
      <c r="F196" s="1" t="s">
        <v>111</v>
      </c>
      <c r="G196" s="1">
        <v>-10</v>
      </c>
      <c r="H196" s="1">
        <v>-20</v>
      </c>
      <c r="I196" s="1" t="s">
        <v>40</v>
      </c>
      <c r="J196" s="1">
        <v>3.15</v>
      </c>
      <c r="K196" s="1">
        <v>-10</v>
      </c>
      <c r="L196" s="1">
        <v>-9.1795454545454795</v>
      </c>
      <c r="M196" s="1" t="s">
        <v>40</v>
      </c>
      <c r="N196" s="1">
        <v>1.8322314049587001</v>
      </c>
      <c r="O196" s="1">
        <v>4.6946280991735696</v>
      </c>
      <c r="Q196" s="1">
        <v>0.469462809917357</v>
      </c>
      <c r="R196" s="1">
        <v>0.71413887927882602</v>
      </c>
      <c r="S196" s="11" t="s">
        <v>110</v>
      </c>
      <c r="T196" s="2" t="s">
        <v>112</v>
      </c>
      <c r="U196" s="3" t="s">
        <v>41</v>
      </c>
      <c r="V196" s="2" t="s">
        <v>113</v>
      </c>
      <c r="W196" s="2">
        <v>6</v>
      </c>
      <c r="X196" s="2">
        <v>4</v>
      </c>
      <c r="Y196" s="2">
        <v>4</v>
      </c>
      <c r="Z196" s="2">
        <v>0</v>
      </c>
      <c r="AA196" s="2">
        <v>0</v>
      </c>
      <c r="AB196" s="12">
        <f>(W196*4+X196*1+Y196*-2+Z196*-3)/W196</f>
        <v>3.3333333333333335</v>
      </c>
      <c r="AC196" s="3">
        <f>W196*12.0107+X196*1.00784+Y196*15.999+Z196*14.0067</f>
        <v>140.09156000000002</v>
      </c>
      <c r="AD196" s="12">
        <v>345.4</v>
      </c>
      <c r="AE196" s="2" t="s">
        <v>43</v>
      </c>
      <c r="AF196" s="2" t="s">
        <v>98</v>
      </c>
      <c r="AG196" s="2" t="str">
        <f>IF(AD196&gt;37,"Proton symporter", "Diffusion")</f>
        <v>Proton symporter</v>
      </c>
      <c r="AH196" s="3" t="s">
        <v>114</v>
      </c>
    </row>
    <row r="197" spans="1:34" hidden="1" x14ac:dyDescent="0.2">
      <c r="A197" s="8" t="s">
        <v>34</v>
      </c>
      <c r="B197" s="9" t="s">
        <v>35</v>
      </c>
      <c r="C197" s="1" t="s">
        <v>54</v>
      </c>
      <c r="D197" s="14" t="s">
        <v>55</v>
      </c>
      <c r="E197" s="1" t="s">
        <v>110</v>
      </c>
      <c r="F197" s="1" t="s">
        <v>111</v>
      </c>
      <c r="G197" s="1">
        <v>-10</v>
      </c>
      <c r="H197" s="1">
        <v>-20</v>
      </c>
      <c r="I197" s="1" t="s">
        <v>40</v>
      </c>
      <c r="J197" s="1">
        <v>3.15</v>
      </c>
      <c r="K197" s="1">
        <v>-10</v>
      </c>
      <c r="L197" s="1">
        <v>-13.13</v>
      </c>
      <c r="M197" s="1" t="s">
        <v>40</v>
      </c>
      <c r="N197" s="1">
        <v>8.8690909090909198</v>
      </c>
      <c r="O197" s="1">
        <v>8.5218181818181904</v>
      </c>
      <c r="Q197" s="1">
        <v>0.85218181818181904</v>
      </c>
      <c r="R197" s="1">
        <v>0.66268092922680399</v>
      </c>
      <c r="S197" s="11" t="s">
        <v>110</v>
      </c>
      <c r="T197" s="2" t="s">
        <v>112</v>
      </c>
      <c r="U197" s="3" t="s">
        <v>41</v>
      </c>
      <c r="V197" s="2" t="s">
        <v>113</v>
      </c>
      <c r="W197" s="2">
        <v>6</v>
      </c>
      <c r="X197" s="2">
        <v>4</v>
      </c>
      <c r="Y197" s="2">
        <v>4</v>
      </c>
      <c r="Z197" s="2">
        <v>0</v>
      </c>
      <c r="AA197" s="2">
        <v>0</v>
      </c>
      <c r="AB197" s="12">
        <f>(W197*4+X197*1+Y197*-2+Z197*-3)/W197</f>
        <v>3.3333333333333335</v>
      </c>
      <c r="AC197" s="3">
        <f>W197*12.0107+X197*1.00784+Y197*15.999+Z197*14.0067</f>
        <v>140.09156000000002</v>
      </c>
      <c r="AD197" s="12">
        <v>345.4</v>
      </c>
      <c r="AE197" s="2" t="s">
        <v>43</v>
      </c>
      <c r="AF197" s="2" t="s">
        <v>98</v>
      </c>
      <c r="AG197" s="2" t="str">
        <f>IF(AD197&gt;37,"Proton symporter", "Diffusion")</f>
        <v>Proton symporter</v>
      </c>
      <c r="AH197" s="3" t="s">
        <v>114</v>
      </c>
    </row>
    <row r="198" spans="1:34" hidden="1" x14ac:dyDescent="0.2">
      <c r="A198" s="8" t="s">
        <v>34</v>
      </c>
      <c r="B198" s="9" t="s">
        <v>35</v>
      </c>
      <c r="C198" s="1" t="s">
        <v>62</v>
      </c>
      <c r="D198" s="15" t="s">
        <v>55</v>
      </c>
      <c r="E198" s="1" t="s">
        <v>110</v>
      </c>
      <c r="F198" s="1" t="s">
        <v>111</v>
      </c>
      <c r="G198" s="1">
        <v>-10</v>
      </c>
      <c r="H198" s="1">
        <v>-20</v>
      </c>
      <c r="I198" s="1" t="s">
        <v>40</v>
      </c>
      <c r="J198" s="1">
        <v>3.15</v>
      </c>
      <c r="K198" s="1">
        <v>-10</v>
      </c>
      <c r="L198" s="1">
        <v>-11.139009287925701</v>
      </c>
      <c r="M198" s="1" t="s">
        <v>40</v>
      </c>
      <c r="N198" s="1">
        <v>7.6061919504643898</v>
      </c>
      <c r="O198" s="1">
        <v>7.0656346749225998</v>
      </c>
      <c r="Q198" s="1">
        <v>0.70656346749225996</v>
      </c>
      <c r="R198" s="1">
        <v>0.65931911276893296</v>
      </c>
      <c r="S198" s="11" t="s">
        <v>110</v>
      </c>
      <c r="T198" s="2" t="s">
        <v>112</v>
      </c>
      <c r="U198" s="3" t="s">
        <v>41</v>
      </c>
      <c r="V198" s="2" t="s">
        <v>113</v>
      </c>
      <c r="W198" s="2">
        <v>6</v>
      </c>
      <c r="X198" s="2">
        <v>4</v>
      </c>
      <c r="Y198" s="2">
        <v>4</v>
      </c>
      <c r="Z198" s="2">
        <v>0</v>
      </c>
      <c r="AA198" s="2">
        <v>0</v>
      </c>
      <c r="AB198" s="12">
        <f>(W198*4+X198*1+Y198*-2+Z198*-3)/W198</f>
        <v>3.3333333333333335</v>
      </c>
      <c r="AC198" s="3">
        <f>W198*12.0107+X198*1.00784+Y198*15.999+Z198*14.0067</f>
        <v>140.09156000000002</v>
      </c>
      <c r="AD198" s="12">
        <v>345.4</v>
      </c>
      <c r="AE198" s="2" t="s">
        <v>43</v>
      </c>
      <c r="AF198" s="2" t="s">
        <v>98</v>
      </c>
      <c r="AG198" s="2" t="str">
        <f>IF(AD198&gt;37,"Proton symporter", "Diffusion")</f>
        <v>Proton symporter</v>
      </c>
      <c r="AH198" s="3" t="s">
        <v>114</v>
      </c>
    </row>
    <row r="199" spans="1:34" hidden="1" x14ac:dyDescent="0.2">
      <c r="A199" s="8" t="s">
        <v>34</v>
      </c>
      <c r="B199" s="9" t="s">
        <v>35</v>
      </c>
      <c r="C199" s="1" t="s">
        <v>48</v>
      </c>
      <c r="D199" s="10" t="s">
        <v>37</v>
      </c>
      <c r="E199" s="1" t="s">
        <v>110</v>
      </c>
      <c r="F199" s="1" t="s">
        <v>111</v>
      </c>
      <c r="G199" s="1">
        <v>-10</v>
      </c>
      <c r="H199" s="1">
        <v>-20</v>
      </c>
      <c r="I199" s="1" t="s">
        <v>40</v>
      </c>
      <c r="J199" s="1">
        <v>3.15</v>
      </c>
      <c r="K199" s="1">
        <v>-10</v>
      </c>
      <c r="L199" s="1">
        <v>-9.1720626631853808</v>
      </c>
      <c r="M199" s="1" t="s">
        <v>40</v>
      </c>
      <c r="N199" s="1">
        <v>2.7331592689295001</v>
      </c>
      <c r="O199" s="1">
        <v>2.8778067885117502</v>
      </c>
      <c r="Q199" s="1">
        <v>0.28778067885117498</v>
      </c>
      <c r="R199" s="1">
        <v>0.64955667217882995</v>
      </c>
      <c r="S199" s="11" t="s">
        <v>110</v>
      </c>
      <c r="T199" s="2" t="s">
        <v>112</v>
      </c>
      <c r="U199" s="3" t="s">
        <v>41</v>
      </c>
      <c r="V199" s="2" t="s">
        <v>113</v>
      </c>
      <c r="W199" s="2">
        <v>6</v>
      </c>
      <c r="X199" s="2">
        <v>4</v>
      </c>
      <c r="Y199" s="2">
        <v>4</v>
      </c>
      <c r="Z199" s="2">
        <v>0</v>
      </c>
      <c r="AA199" s="2">
        <v>0</v>
      </c>
      <c r="AB199" s="12">
        <f>(W199*4+X199*1+Y199*-2+Z199*-3)/W199</f>
        <v>3.3333333333333335</v>
      </c>
      <c r="AC199" s="3">
        <f>W199*12.0107+X199*1.00784+Y199*15.999+Z199*14.0067</f>
        <v>140.09156000000002</v>
      </c>
      <c r="AD199" s="12">
        <v>345.4</v>
      </c>
      <c r="AE199" s="2" t="s">
        <v>43</v>
      </c>
      <c r="AF199" s="2" t="s">
        <v>98</v>
      </c>
      <c r="AG199" s="2" t="str">
        <f>IF(AD199&gt;37,"Proton symporter", "Diffusion")</f>
        <v>Proton symporter</v>
      </c>
      <c r="AH199" s="3" t="s">
        <v>114</v>
      </c>
    </row>
    <row r="200" spans="1:34" hidden="1" x14ac:dyDescent="0.2">
      <c r="A200" s="8" t="s">
        <v>34</v>
      </c>
      <c r="B200" s="9" t="s">
        <v>35</v>
      </c>
      <c r="C200" s="1" t="s">
        <v>47</v>
      </c>
      <c r="D200" s="10" t="s">
        <v>37</v>
      </c>
      <c r="E200" s="1" t="s">
        <v>110</v>
      </c>
      <c r="F200" s="1" t="s">
        <v>111</v>
      </c>
      <c r="G200" s="1">
        <v>-10</v>
      </c>
      <c r="H200" s="1">
        <v>-20</v>
      </c>
      <c r="I200" s="1" t="s">
        <v>40</v>
      </c>
      <c r="J200" s="1">
        <v>3.15</v>
      </c>
      <c r="K200" s="1">
        <v>-10</v>
      </c>
      <c r="L200" s="1">
        <v>-10.9403846153846</v>
      </c>
      <c r="M200" s="1" t="s">
        <v>40</v>
      </c>
      <c r="N200" s="1">
        <v>4.6622377622377602</v>
      </c>
      <c r="O200" s="1">
        <v>2.5562937062937099</v>
      </c>
      <c r="Q200" s="1">
        <v>0.25562937062937102</v>
      </c>
      <c r="R200" s="1">
        <v>0.57698718329541798</v>
      </c>
      <c r="S200" s="11" t="s">
        <v>110</v>
      </c>
      <c r="T200" s="2" t="s">
        <v>112</v>
      </c>
      <c r="U200" s="3" t="s">
        <v>41</v>
      </c>
      <c r="V200" s="2" t="s">
        <v>113</v>
      </c>
      <c r="W200" s="2">
        <v>6</v>
      </c>
      <c r="X200" s="2">
        <v>4</v>
      </c>
      <c r="Y200" s="2">
        <v>4</v>
      </c>
      <c r="Z200" s="2">
        <v>0</v>
      </c>
      <c r="AA200" s="2">
        <v>0</v>
      </c>
      <c r="AB200" s="12">
        <f>(W200*4+X200*1+Y200*-2+Z200*-3)/W200</f>
        <v>3.3333333333333335</v>
      </c>
      <c r="AC200" s="3">
        <f>W200*12.0107+X200*1.00784+Y200*15.999+Z200*14.0067</f>
        <v>140.09156000000002</v>
      </c>
      <c r="AD200" s="12">
        <v>345.4</v>
      </c>
      <c r="AE200" s="2" t="s">
        <v>43</v>
      </c>
      <c r="AF200" s="2" t="s">
        <v>98</v>
      </c>
      <c r="AG200" s="2" t="str">
        <f>IF(AD200&gt;37,"Proton symporter", "Diffusion")</f>
        <v>Proton symporter</v>
      </c>
      <c r="AH200" s="3" t="s">
        <v>114</v>
      </c>
    </row>
    <row r="201" spans="1:34" hidden="1" x14ac:dyDescent="0.2">
      <c r="A201" s="8" t="s">
        <v>34</v>
      </c>
      <c r="B201" s="9" t="s">
        <v>35</v>
      </c>
      <c r="C201" s="1" t="s">
        <v>58</v>
      </c>
      <c r="D201" s="10" t="s">
        <v>37</v>
      </c>
      <c r="E201" s="1" t="s">
        <v>110</v>
      </c>
      <c r="F201" s="1" t="s">
        <v>111</v>
      </c>
      <c r="G201" s="1">
        <v>-10</v>
      </c>
      <c r="H201" s="1">
        <v>-20</v>
      </c>
      <c r="I201" s="1" t="s">
        <v>40</v>
      </c>
      <c r="J201" s="1">
        <v>3.15</v>
      </c>
      <c r="K201" s="1">
        <v>-10</v>
      </c>
      <c r="L201" s="1">
        <v>-7.1877284595300202</v>
      </c>
      <c r="M201" s="1" t="s">
        <v>40</v>
      </c>
      <c r="N201" s="1">
        <v>6.0229765013054797</v>
      </c>
      <c r="O201" s="1">
        <v>2.3295039164490801</v>
      </c>
      <c r="Q201" s="1">
        <v>0.23295039164490799</v>
      </c>
      <c r="R201" s="1">
        <v>0.54343541877283297</v>
      </c>
      <c r="S201" s="11" t="s">
        <v>110</v>
      </c>
      <c r="T201" s="2" t="s">
        <v>112</v>
      </c>
      <c r="U201" s="3" t="s">
        <v>41</v>
      </c>
      <c r="V201" s="2" t="s">
        <v>113</v>
      </c>
      <c r="W201" s="2">
        <v>6</v>
      </c>
      <c r="X201" s="2">
        <v>4</v>
      </c>
      <c r="Y201" s="2">
        <v>4</v>
      </c>
      <c r="Z201" s="2">
        <v>0</v>
      </c>
      <c r="AA201" s="2">
        <v>0</v>
      </c>
      <c r="AB201" s="12">
        <f>(W201*4+X201*1+Y201*-2+Z201*-3)/W201</f>
        <v>3.3333333333333335</v>
      </c>
      <c r="AC201" s="3">
        <f>W201*12.0107+X201*1.00784+Y201*15.999+Z201*14.0067</f>
        <v>140.09156000000002</v>
      </c>
      <c r="AD201" s="12">
        <v>345.4</v>
      </c>
      <c r="AE201" s="2" t="s">
        <v>43</v>
      </c>
      <c r="AF201" s="2" t="s">
        <v>98</v>
      </c>
      <c r="AG201" s="2" t="str">
        <f>IF(AD201&gt;37,"Proton symporter", "Diffusion")</f>
        <v>Proton symporter</v>
      </c>
      <c r="AH201" s="3" t="s">
        <v>114</v>
      </c>
    </row>
    <row r="202" spans="1:34" hidden="1" x14ac:dyDescent="0.2">
      <c r="A202" s="8" t="s">
        <v>34</v>
      </c>
      <c r="B202" s="9" t="s">
        <v>35</v>
      </c>
      <c r="C202" s="1" t="s">
        <v>61</v>
      </c>
      <c r="D202" s="13" t="s">
        <v>51</v>
      </c>
      <c r="E202" s="1" t="s">
        <v>110</v>
      </c>
      <c r="F202" s="1" t="s">
        <v>111</v>
      </c>
      <c r="G202" s="1">
        <v>-10</v>
      </c>
      <c r="H202" s="1">
        <v>-20</v>
      </c>
      <c r="I202" s="1" t="s">
        <v>40</v>
      </c>
      <c r="J202" s="1">
        <v>3.15</v>
      </c>
      <c r="K202" s="1">
        <v>-10</v>
      </c>
      <c r="L202" s="1">
        <v>-8.4369955156950596</v>
      </c>
      <c r="M202" s="1" t="s">
        <v>40</v>
      </c>
      <c r="N202" s="1">
        <v>2.8403587443945999</v>
      </c>
      <c r="O202" s="1">
        <v>1.19327354260089</v>
      </c>
      <c r="Q202" s="1">
        <v>0.119327354260089</v>
      </c>
      <c r="R202" s="1">
        <v>0.52172915655625995</v>
      </c>
      <c r="S202" s="11" t="s">
        <v>110</v>
      </c>
      <c r="T202" s="2" t="s">
        <v>112</v>
      </c>
      <c r="U202" s="3" t="s">
        <v>41</v>
      </c>
      <c r="V202" s="2" t="s">
        <v>113</v>
      </c>
      <c r="W202" s="2">
        <v>6</v>
      </c>
      <c r="X202" s="2">
        <v>4</v>
      </c>
      <c r="Y202" s="2">
        <v>4</v>
      </c>
      <c r="Z202" s="2">
        <v>0</v>
      </c>
      <c r="AA202" s="2">
        <v>0</v>
      </c>
      <c r="AB202" s="12">
        <f>(W202*4+X202*1+Y202*-2+Z202*-3)/W202</f>
        <v>3.3333333333333335</v>
      </c>
      <c r="AC202" s="3">
        <f>W202*12.0107+X202*1.00784+Y202*15.999+Z202*14.0067</f>
        <v>140.09156000000002</v>
      </c>
      <c r="AD202" s="12">
        <v>345.4</v>
      </c>
      <c r="AE202" s="2" t="s">
        <v>43</v>
      </c>
      <c r="AF202" s="2" t="s">
        <v>98</v>
      </c>
      <c r="AG202" s="2" t="str">
        <f>IF(AD202&gt;37,"Proton symporter", "Diffusion")</f>
        <v>Proton symporter</v>
      </c>
      <c r="AH202" s="3" t="s">
        <v>114</v>
      </c>
    </row>
    <row r="203" spans="1:34" hidden="1" x14ac:dyDescent="0.2">
      <c r="A203" s="8" t="s">
        <v>34</v>
      </c>
      <c r="B203" s="9" t="s">
        <v>35</v>
      </c>
      <c r="C203" s="1" t="s">
        <v>57</v>
      </c>
      <c r="D203" s="10" t="s">
        <v>37</v>
      </c>
      <c r="E203" s="1" t="s">
        <v>110</v>
      </c>
      <c r="F203" s="1" t="s">
        <v>111</v>
      </c>
      <c r="G203" s="1">
        <v>-10</v>
      </c>
      <c r="H203" s="1">
        <v>-20</v>
      </c>
      <c r="I203" s="1" t="s">
        <v>40</v>
      </c>
      <c r="J203" s="1">
        <v>3.15</v>
      </c>
      <c r="K203" s="1">
        <v>-10</v>
      </c>
      <c r="L203" s="1">
        <v>-7.9596153846153799</v>
      </c>
      <c r="M203" s="1" t="s">
        <v>40</v>
      </c>
      <c r="N203" s="1">
        <v>6.8650349650349698</v>
      </c>
      <c r="O203" s="1">
        <v>2.1891608391608401</v>
      </c>
      <c r="Q203" s="1">
        <v>0.218916083916084</v>
      </c>
      <c r="R203" s="1">
        <v>0.51069565884391999</v>
      </c>
      <c r="S203" s="11" t="s">
        <v>110</v>
      </c>
      <c r="T203" s="2" t="s">
        <v>112</v>
      </c>
      <c r="U203" s="3" t="s">
        <v>41</v>
      </c>
      <c r="V203" s="2" t="s">
        <v>113</v>
      </c>
      <c r="W203" s="2">
        <v>6</v>
      </c>
      <c r="X203" s="2">
        <v>4</v>
      </c>
      <c r="Y203" s="2">
        <v>4</v>
      </c>
      <c r="Z203" s="2">
        <v>0</v>
      </c>
      <c r="AA203" s="2">
        <v>0</v>
      </c>
      <c r="AB203" s="12">
        <f>(W203*4+X203*1+Y203*-2+Z203*-3)/W203</f>
        <v>3.3333333333333335</v>
      </c>
      <c r="AC203" s="3">
        <f>W203*12.0107+X203*1.00784+Y203*15.999+Z203*14.0067</f>
        <v>140.09156000000002</v>
      </c>
      <c r="AD203" s="12">
        <v>345.4</v>
      </c>
      <c r="AE203" s="2" t="s">
        <v>43</v>
      </c>
      <c r="AF203" s="2" t="s">
        <v>98</v>
      </c>
      <c r="AG203" s="2" t="str">
        <f>IF(AD203&gt;37,"Proton symporter", "Diffusion")</f>
        <v>Proton symporter</v>
      </c>
      <c r="AH203" s="3" t="s">
        <v>114</v>
      </c>
    </row>
    <row r="204" spans="1:34" hidden="1" x14ac:dyDescent="0.2">
      <c r="A204" s="8" t="s">
        <v>34</v>
      </c>
      <c r="B204" s="9" t="s">
        <v>35</v>
      </c>
      <c r="C204" s="1" t="s">
        <v>46</v>
      </c>
      <c r="D204" s="10" t="s">
        <v>37</v>
      </c>
      <c r="E204" s="1" t="s">
        <v>110</v>
      </c>
      <c r="F204" s="1" t="s">
        <v>111</v>
      </c>
      <c r="G204" s="1">
        <v>-10</v>
      </c>
      <c r="H204" s="1">
        <v>-20</v>
      </c>
      <c r="I204" s="1" t="s">
        <v>40</v>
      </c>
      <c r="J204" s="1">
        <v>3.15</v>
      </c>
      <c r="K204" s="1">
        <v>-10</v>
      </c>
      <c r="L204" s="1">
        <v>-8.96591549295775</v>
      </c>
      <c r="M204" s="1" t="s">
        <v>40</v>
      </c>
      <c r="N204" s="1">
        <v>7.9628169014084502</v>
      </c>
      <c r="O204" s="1">
        <v>2.0061971830985899</v>
      </c>
      <c r="Q204" s="1">
        <v>0.200619718309859</v>
      </c>
      <c r="R204" s="1">
        <v>0.47601184536247099</v>
      </c>
      <c r="S204" s="11" t="s">
        <v>110</v>
      </c>
      <c r="T204" s="2" t="s">
        <v>112</v>
      </c>
      <c r="U204" s="3" t="s">
        <v>41</v>
      </c>
      <c r="V204" s="2" t="s">
        <v>113</v>
      </c>
      <c r="W204" s="2">
        <v>6</v>
      </c>
      <c r="X204" s="2">
        <v>4</v>
      </c>
      <c r="Y204" s="2">
        <v>4</v>
      </c>
      <c r="Z204" s="2">
        <v>0</v>
      </c>
      <c r="AA204" s="2">
        <v>0</v>
      </c>
      <c r="AB204" s="12">
        <f>(W204*4+X204*1+Y204*-2+Z204*-3)/W204</f>
        <v>3.3333333333333335</v>
      </c>
      <c r="AC204" s="3">
        <f>W204*12.0107+X204*1.00784+Y204*15.999+Z204*14.0067</f>
        <v>140.09156000000002</v>
      </c>
      <c r="AD204" s="12">
        <v>345.4</v>
      </c>
      <c r="AE204" s="2" t="s">
        <v>43</v>
      </c>
      <c r="AF204" s="2" t="s">
        <v>98</v>
      </c>
      <c r="AG204" s="2" t="str">
        <f>IF(AD204&gt;37,"Proton symporter", "Diffusion")</f>
        <v>Proton symporter</v>
      </c>
      <c r="AH204" s="3" t="s">
        <v>114</v>
      </c>
    </row>
    <row r="205" spans="1:34" hidden="1" x14ac:dyDescent="0.2">
      <c r="A205" s="8" t="s">
        <v>34</v>
      </c>
      <c r="B205" s="9" t="s">
        <v>35</v>
      </c>
      <c r="C205" s="1" t="s">
        <v>50</v>
      </c>
      <c r="D205" s="13" t="s">
        <v>51</v>
      </c>
      <c r="E205" s="1" t="s">
        <v>110</v>
      </c>
      <c r="F205" s="1" t="s">
        <v>111</v>
      </c>
      <c r="G205" s="1">
        <v>-10</v>
      </c>
      <c r="H205" s="1">
        <v>-20</v>
      </c>
      <c r="I205" s="1" t="s">
        <v>40</v>
      </c>
      <c r="J205" s="1">
        <v>3.15</v>
      </c>
      <c r="K205" s="1">
        <v>-10</v>
      </c>
      <c r="L205" s="1">
        <v>-2.9790697674418598</v>
      </c>
      <c r="M205" s="1" t="s">
        <v>40</v>
      </c>
      <c r="N205" s="1">
        <v>7.7953488372092998</v>
      </c>
      <c r="O205" s="1">
        <v>0.36744186046511601</v>
      </c>
      <c r="Q205" s="1">
        <v>3.6744186046511598E-2</v>
      </c>
      <c r="R205" s="1">
        <v>0.11183130733671499</v>
      </c>
      <c r="S205" s="11" t="s">
        <v>110</v>
      </c>
      <c r="T205" s="2" t="s">
        <v>112</v>
      </c>
      <c r="U205" s="3" t="s">
        <v>41</v>
      </c>
      <c r="V205" s="2" t="s">
        <v>113</v>
      </c>
      <c r="W205" s="2">
        <v>6</v>
      </c>
      <c r="X205" s="2">
        <v>4</v>
      </c>
      <c r="Y205" s="2">
        <v>4</v>
      </c>
      <c r="Z205" s="2">
        <v>0</v>
      </c>
      <c r="AA205" s="2">
        <v>0</v>
      </c>
      <c r="AB205" s="12">
        <f>(W205*4+X205*1+Y205*-2+Z205*-3)/W205</f>
        <v>3.3333333333333335</v>
      </c>
      <c r="AC205" s="3">
        <f>W205*12.0107+X205*1.00784+Y205*15.999+Z205*14.0067</f>
        <v>140.09156000000002</v>
      </c>
      <c r="AD205" s="12">
        <v>345.4</v>
      </c>
      <c r="AE205" s="2" t="s">
        <v>43</v>
      </c>
      <c r="AF205" s="2" t="s">
        <v>98</v>
      </c>
      <c r="AG205" s="2" t="str">
        <f>IF(AD205&gt;37,"Proton symporter", "Diffusion")</f>
        <v>Proton symporter</v>
      </c>
      <c r="AH205" s="3" t="s">
        <v>114</v>
      </c>
    </row>
    <row r="206" spans="1:34" hidden="1" x14ac:dyDescent="0.2">
      <c r="A206" s="8" t="s">
        <v>34</v>
      </c>
      <c r="B206" s="9" t="s">
        <v>35</v>
      </c>
      <c r="C206" s="1" t="s">
        <v>52</v>
      </c>
      <c r="D206" s="13" t="s">
        <v>51</v>
      </c>
      <c r="E206" s="1" t="s">
        <v>110</v>
      </c>
      <c r="F206" s="1" t="s">
        <v>111</v>
      </c>
      <c r="G206" s="1">
        <v>-10</v>
      </c>
      <c r="H206" s="1">
        <v>-20</v>
      </c>
      <c r="I206" s="1" t="s">
        <v>40</v>
      </c>
      <c r="J206" s="1">
        <v>3.15</v>
      </c>
      <c r="K206" s="1">
        <v>-10</v>
      </c>
      <c r="L206" s="1">
        <v>-3.5596685082872899</v>
      </c>
      <c r="M206" s="1" t="s">
        <v>40</v>
      </c>
      <c r="N206" s="1">
        <v>8.4287292817679607</v>
      </c>
      <c r="O206" s="1">
        <v>0.26187845303867402</v>
      </c>
      <c r="Q206" s="1">
        <v>2.6187845303867401E-2</v>
      </c>
      <c r="R206" s="1">
        <v>7.97029759471614E-2</v>
      </c>
      <c r="S206" s="11" t="s">
        <v>110</v>
      </c>
      <c r="T206" s="2" t="s">
        <v>112</v>
      </c>
      <c r="U206" s="3" t="s">
        <v>41</v>
      </c>
      <c r="V206" s="2" t="s">
        <v>113</v>
      </c>
      <c r="W206" s="2">
        <v>6</v>
      </c>
      <c r="X206" s="2">
        <v>4</v>
      </c>
      <c r="Y206" s="2">
        <v>4</v>
      </c>
      <c r="Z206" s="2">
        <v>0</v>
      </c>
      <c r="AA206" s="2">
        <v>0</v>
      </c>
      <c r="AB206" s="12">
        <f>(W206*4+X206*1+Y206*-2+Z206*-3)/W206</f>
        <v>3.3333333333333335</v>
      </c>
      <c r="AC206" s="3">
        <f>W206*12.0107+X206*1.00784+Y206*15.999+Z206*14.0067</f>
        <v>140.09156000000002</v>
      </c>
      <c r="AD206" s="12">
        <v>345.4</v>
      </c>
      <c r="AE206" s="2" t="s">
        <v>43</v>
      </c>
      <c r="AF206" s="2" t="s">
        <v>98</v>
      </c>
      <c r="AG206" s="2" t="str">
        <f>IF(AD206&gt;37,"Proton symporter", "Diffusion")</f>
        <v>Proton symporter</v>
      </c>
      <c r="AH206" s="3" t="s">
        <v>114</v>
      </c>
    </row>
    <row r="207" spans="1:34" hidden="1" x14ac:dyDescent="0.2">
      <c r="A207" s="8" t="s">
        <v>34</v>
      </c>
      <c r="B207" s="9" t="s">
        <v>35</v>
      </c>
      <c r="C207" s="1" t="s">
        <v>53</v>
      </c>
      <c r="D207" s="13" t="s">
        <v>51</v>
      </c>
      <c r="E207" s="1" t="s">
        <v>110</v>
      </c>
      <c r="F207" s="1" t="s">
        <v>111</v>
      </c>
      <c r="G207" s="1">
        <v>-10</v>
      </c>
      <c r="H207" s="1">
        <v>-20</v>
      </c>
      <c r="I207" s="1" t="s">
        <v>40</v>
      </c>
      <c r="J207" s="1">
        <v>3.15</v>
      </c>
      <c r="K207" s="1">
        <v>-10</v>
      </c>
      <c r="L207" s="1">
        <v>-4.2988165680473402</v>
      </c>
      <c r="M207" s="1" t="s">
        <v>40</v>
      </c>
      <c r="N207" s="1">
        <v>9.2350726196879993</v>
      </c>
      <c r="O207" s="1">
        <v>0.127487896718667</v>
      </c>
      <c r="Q207" s="1">
        <v>1.2748789671866699E-2</v>
      </c>
      <c r="R207" s="1">
        <v>3.8801072206660299E-2</v>
      </c>
      <c r="S207" s="11" t="s">
        <v>110</v>
      </c>
      <c r="T207" s="2" t="s">
        <v>112</v>
      </c>
      <c r="U207" s="3" t="s">
        <v>41</v>
      </c>
      <c r="V207" s="2" t="s">
        <v>113</v>
      </c>
      <c r="W207" s="2">
        <v>6</v>
      </c>
      <c r="X207" s="2">
        <v>4</v>
      </c>
      <c r="Y207" s="2">
        <v>4</v>
      </c>
      <c r="Z207" s="2">
        <v>0</v>
      </c>
      <c r="AA207" s="2">
        <v>0</v>
      </c>
      <c r="AB207" s="12">
        <f>(W207*4+X207*1+Y207*-2+Z207*-3)/W207</f>
        <v>3.3333333333333335</v>
      </c>
      <c r="AC207" s="3">
        <f>W207*12.0107+X207*1.00784+Y207*15.999+Z207*14.0067</f>
        <v>140.09156000000002</v>
      </c>
      <c r="AD207" s="12">
        <v>345.4</v>
      </c>
      <c r="AE207" s="2" t="s">
        <v>43</v>
      </c>
      <c r="AF207" s="2" t="s">
        <v>98</v>
      </c>
      <c r="AG207" s="2" t="str">
        <f>IF(AD207&gt;37,"Proton symporter", "Diffusion")</f>
        <v>Proton symporter</v>
      </c>
      <c r="AH207" s="3" t="s">
        <v>114</v>
      </c>
    </row>
    <row r="208" spans="1:34" hidden="1" x14ac:dyDescent="0.2">
      <c r="A208" s="8" t="s">
        <v>350</v>
      </c>
      <c r="B208" s="17" t="s">
        <v>64</v>
      </c>
      <c r="C208" t="s">
        <v>351</v>
      </c>
      <c r="D208" s="13" t="s">
        <v>51</v>
      </c>
      <c r="E208" t="s">
        <v>110</v>
      </c>
      <c r="F208" t="s">
        <v>111</v>
      </c>
      <c r="G208">
        <v>-10</v>
      </c>
      <c r="H208">
        <v>0</v>
      </c>
      <c r="I208">
        <v>0</v>
      </c>
      <c r="J208">
        <v>0.45</v>
      </c>
      <c r="K208">
        <v>-1.8</v>
      </c>
      <c r="L208">
        <v>0</v>
      </c>
      <c r="M208">
        <v>0</v>
      </c>
      <c r="N208">
        <v>0</v>
      </c>
      <c r="O208">
        <v>0</v>
      </c>
      <c r="P208"/>
      <c r="Q208">
        <v>0</v>
      </c>
      <c r="R208">
        <v>0</v>
      </c>
      <c r="S208" s="3" t="str">
        <f>VLOOKUP($E208,'[1]Product Naming'!$A$1:$P$58,2)</f>
        <v>ciscisMuconate</v>
      </c>
      <c r="T208" s="3" t="str">
        <f>VLOOKUP($E208,'[1]Product Naming'!$A$1:$P$58,3)</f>
        <v>cis,cis-Muconate</v>
      </c>
      <c r="U208" s="3" t="str">
        <f>VLOOKUP($E208,'[1]Product Naming'!$A$1:$P$58,4)</f>
        <v>A</v>
      </c>
      <c r="V208" s="3" t="str">
        <f>VLOOKUP($E208,'[1]Product Naming'!$A$1:$P$58,5)</f>
        <v>C6H4O4</v>
      </c>
      <c r="W208" s="3">
        <f>VLOOKUP($E208,'[1]Product Naming'!$A$1:$P$58,6)</f>
        <v>6</v>
      </c>
      <c r="X208" s="3">
        <f>VLOOKUP($E208,'[1]Product Naming'!$A$1:$P$58,7)</f>
        <v>4</v>
      </c>
      <c r="Y208" s="3">
        <f>VLOOKUP($E208,'[1]Product Naming'!$A$1:$P$58,8)</f>
        <v>4</v>
      </c>
      <c r="Z208" s="3">
        <f>VLOOKUP($E208,'[1]Product Naming'!$A$1:$P$58,9)</f>
        <v>0</v>
      </c>
      <c r="AA208" s="3">
        <f>VLOOKUP($E208,'[1]Product Naming'!$A$1:$P$58,10)</f>
        <v>-2</v>
      </c>
      <c r="AB208" s="3">
        <f>VLOOKUP($E208,'[1]Product Naming'!$A$1:$P$58,11)</f>
        <v>3.3333333333333335</v>
      </c>
      <c r="AC208" s="3">
        <f>VLOOKUP($E208,'[1]Product Naming'!$A$1:$P$58,12)</f>
        <v>140.09156000000002</v>
      </c>
      <c r="AD208" s="3">
        <f>VLOOKUP($E208,'[1]Product Naming'!$A$1:$P$58,13)</f>
        <v>345.4</v>
      </c>
      <c r="AE208" s="3" t="str">
        <f>VLOOKUP($E208,'[1]Product Naming'!$A$1:$P$58,14)</f>
        <v>Dicarboxylate</v>
      </c>
      <c r="AF208" s="3" t="str">
        <f>VLOOKUP($E208,'[1]Product Naming'!$A$1:$P$58,15)</f>
        <v>Glyceraldehyde 3-P</v>
      </c>
      <c r="AG208" s="3" t="str">
        <f>VLOOKUP($E208,'[1]Product Naming'!$A$1:$P$58,16)</f>
        <v>Proton symporter</v>
      </c>
      <c r="AH208" s="3" t="str">
        <f>VLOOKUP($E208,'[1]Product Naming'!$A$1:$Q$58,17)</f>
        <v>ccmuac_c</v>
      </c>
    </row>
    <row r="209" spans="1:34" hidden="1" x14ac:dyDescent="0.2">
      <c r="A209" s="8" t="s">
        <v>350</v>
      </c>
      <c r="B209" s="17" t="s">
        <v>64</v>
      </c>
      <c r="C209" t="s">
        <v>352</v>
      </c>
      <c r="D209" s="13" t="s">
        <v>51</v>
      </c>
      <c r="E209" t="s">
        <v>110</v>
      </c>
      <c r="F209" t="s">
        <v>111</v>
      </c>
      <c r="G209">
        <v>-10</v>
      </c>
      <c r="H209">
        <v>0</v>
      </c>
      <c r="I209">
        <v>0</v>
      </c>
      <c r="J209">
        <v>0.45</v>
      </c>
      <c r="K209">
        <v>-1.02857142857142</v>
      </c>
      <c r="L209">
        <v>0</v>
      </c>
      <c r="M209">
        <v>0</v>
      </c>
      <c r="N209">
        <v>0</v>
      </c>
      <c r="O209">
        <v>0</v>
      </c>
      <c r="P209"/>
      <c r="Q209">
        <v>0</v>
      </c>
      <c r="R209">
        <v>0</v>
      </c>
      <c r="S209" s="3" t="str">
        <f>VLOOKUP($E209,'[1]Product Naming'!$A$1:$P$58,2)</f>
        <v>ciscisMuconate</v>
      </c>
      <c r="T209" s="3" t="str">
        <f>VLOOKUP($E209,'[1]Product Naming'!$A$1:$P$58,3)</f>
        <v>cis,cis-Muconate</v>
      </c>
      <c r="U209" s="3" t="str">
        <f>VLOOKUP($E209,'[1]Product Naming'!$A$1:$P$58,4)</f>
        <v>A</v>
      </c>
      <c r="V209" s="3" t="str">
        <f>VLOOKUP($E209,'[1]Product Naming'!$A$1:$P$58,5)</f>
        <v>C6H4O4</v>
      </c>
      <c r="W209" s="3">
        <f>VLOOKUP($E209,'[1]Product Naming'!$A$1:$P$58,6)</f>
        <v>6</v>
      </c>
      <c r="X209" s="3">
        <f>VLOOKUP($E209,'[1]Product Naming'!$A$1:$P$58,7)</f>
        <v>4</v>
      </c>
      <c r="Y209" s="3">
        <f>VLOOKUP($E209,'[1]Product Naming'!$A$1:$P$58,8)</f>
        <v>4</v>
      </c>
      <c r="Z209" s="3">
        <f>VLOOKUP($E209,'[1]Product Naming'!$A$1:$P$58,9)</f>
        <v>0</v>
      </c>
      <c r="AA209" s="3">
        <f>VLOOKUP($E209,'[1]Product Naming'!$A$1:$P$58,10)</f>
        <v>-2</v>
      </c>
      <c r="AB209" s="3">
        <f>VLOOKUP($E209,'[1]Product Naming'!$A$1:$P$58,11)</f>
        <v>3.3333333333333335</v>
      </c>
      <c r="AC209" s="3">
        <f>VLOOKUP($E209,'[1]Product Naming'!$A$1:$P$58,12)</f>
        <v>140.09156000000002</v>
      </c>
      <c r="AD209" s="3">
        <f>VLOOKUP($E209,'[1]Product Naming'!$A$1:$P$58,13)</f>
        <v>345.4</v>
      </c>
      <c r="AE209" s="3" t="str">
        <f>VLOOKUP($E209,'[1]Product Naming'!$A$1:$P$58,14)</f>
        <v>Dicarboxylate</v>
      </c>
      <c r="AF209" s="3" t="str">
        <f>VLOOKUP($E209,'[1]Product Naming'!$A$1:$P$58,15)</f>
        <v>Glyceraldehyde 3-P</v>
      </c>
      <c r="AG209" s="3" t="str">
        <f>VLOOKUP($E209,'[1]Product Naming'!$A$1:$P$58,16)</f>
        <v>Proton symporter</v>
      </c>
      <c r="AH209" s="3" t="str">
        <f>VLOOKUP($E209,'[1]Product Naming'!$A$1:$Q$58,17)</f>
        <v>ccmuac_c</v>
      </c>
    </row>
    <row r="210" spans="1:34" hidden="1" x14ac:dyDescent="0.2">
      <c r="A210" s="8" t="s">
        <v>350</v>
      </c>
      <c r="B210" s="17" t="s">
        <v>64</v>
      </c>
      <c r="C210" t="s">
        <v>353</v>
      </c>
      <c r="D210" s="13" t="s">
        <v>51</v>
      </c>
      <c r="E210" t="s">
        <v>110</v>
      </c>
      <c r="F210" t="s">
        <v>111</v>
      </c>
      <c r="G210">
        <v>-10</v>
      </c>
      <c r="H210">
        <v>0</v>
      </c>
      <c r="I210">
        <v>0</v>
      </c>
      <c r="J210">
        <v>0.45</v>
      </c>
      <c r="K210">
        <v>-0.76595744680850997</v>
      </c>
      <c r="L210">
        <v>0</v>
      </c>
      <c r="M210">
        <v>0</v>
      </c>
      <c r="N210">
        <v>0</v>
      </c>
      <c r="O210">
        <v>0</v>
      </c>
      <c r="P210"/>
      <c r="Q210">
        <v>0</v>
      </c>
      <c r="R210">
        <v>0</v>
      </c>
      <c r="S210" s="3" t="str">
        <f>VLOOKUP($E210,'[1]Product Naming'!$A$1:$P$58,2)</f>
        <v>ciscisMuconate</v>
      </c>
      <c r="T210" s="3" t="str">
        <f>VLOOKUP($E210,'[1]Product Naming'!$A$1:$P$58,3)</f>
        <v>cis,cis-Muconate</v>
      </c>
      <c r="U210" s="3" t="str">
        <f>VLOOKUP($E210,'[1]Product Naming'!$A$1:$P$58,4)</f>
        <v>A</v>
      </c>
      <c r="V210" s="3" t="str">
        <f>VLOOKUP($E210,'[1]Product Naming'!$A$1:$P$58,5)</f>
        <v>C6H4O4</v>
      </c>
      <c r="W210" s="3">
        <f>VLOOKUP($E210,'[1]Product Naming'!$A$1:$P$58,6)</f>
        <v>6</v>
      </c>
      <c r="X210" s="3">
        <f>VLOOKUP($E210,'[1]Product Naming'!$A$1:$P$58,7)</f>
        <v>4</v>
      </c>
      <c r="Y210" s="3">
        <f>VLOOKUP($E210,'[1]Product Naming'!$A$1:$P$58,8)</f>
        <v>4</v>
      </c>
      <c r="Z210" s="3">
        <f>VLOOKUP($E210,'[1]Product Naming'!$A$1:$P$58,9)</f>
        <v>0</v>
      </c>
      <c r="AA210" s="3">
        <f>VLOOKUP($E210,'[1]Product Naming'!$A$1:$P$58,10)</f>
        <v>-2</v>
      </c>
      <c r="AB210" s="3">
        <f>VLOOKUP($E210,'[1]Product Naming'!$A$1:$P$58,11)</f>
        <v>3.3333333333333335</v>
      </c>
      <c r="AC210" s="3">
        <f>VLOOKUP($E210,'[1]Product Naming'!$A$1:$P$58,12)</f>
        <v>140.09156000000002</v>
      </c>
      <c r="AD210" s="3">
        <f>VLOOKUP($E210,'[1]Product Naming'!$A$1:$P$58,13)</f>
        <v>345.4</v>
      </c>
      <c r="AE210" s="3" t="str">
        <f>VLOOKUP($E210,'[1]Product Naming'!$A$1:$P$58,14)</f>
        <v>Dicarboxylate</v>
      </c>
      <c r="AF210" s="3" t="str">
        <f>VLOOKUP($E210,'[1]Product Naming'!$A$1:$P$58,15)</f>
        <v>Glyceraldehyde 3-P</v>
      </c>
      <c r="AG210" s="3" t="str">
        <f>VLOOKUP($E210,'[1]Product Naming'!$A$1:$P$58,16)</f>
        <v>Proton symporter</v>
      </c>
      <c r="AH210" s="3" t="str">
        <f>VLOOKUP($E210,'[1]Product Naming'!$A$1:$Q$58,17)</f>
        <v>ccmuac_c</v>
      </c>
    </row>
    <row r="211" spans="1:34" hidden="1" x14ac:dyDescent="0.2">
      <c r="A211" s="8" t="s">
        <v>350</v>
      </c>
      <c r="B211" s="17" t="s">
        <v>64</v>
      </c>
      <c r="C211" t="s">
        <v>354</v>
      </c>
      <c r="D211" s="13" t="s">
        <v>51</v>
      </c>
      <c r="E211" t="s">
        <v>110</v>
      </c>
      <c r="F211" t="s">
        <v>111</v>
      </c>
      <c r="G211">
        <v>-10</v>
      </c>
      <c r="H211">
        <v>0</v>
      </c>
      <c r="I211">
        <v>0</v>
      </c>
      <c r="J211">
        <v>0.45</v>
      </c>
      <c r="K211">
        <v>-0.72</v>
      </c>
      <c r="L211">
        <v>0</v>
      </c>
      <c r="M211">
        <v>0</v>
      </c>
      <c r="N211">
        <v>0</v>
      </c>
      <c r="O211">
        <v>0</v>
      </c>
      <c r="P211"/>
      <c r="Q211">
        <v>0</v>
      </c>
      <c r="R211">
        <v>0</v>
      </c>
      <c r="S211" s="3" t="str">
        <f>VLOOKUP($E211,'[1]Product Naming'!$A$1:$P$58,2)</f>
        <v>ciscisMuconate</v>
      </c>
      <c r="T211" s="3" t="str">
        <f>VLOOKUP($E211,'[1]Product Naming'!$A$1:$P$58,3)</f>
        <v>cis,cis-Muconate</v>
      </c>
      <c r="U211" s="3" t="str">
        <f>VLOOKUP($E211,'[1]Product Naming'!$A$1:$P$58,4)</f>
        <v>A</v>
      </c>
      <c r="V211" s="3" t="str">
        <f>VLOOKUP($E211,'[1]Product Naming'!$A$1:$P$58,5)</f>
        <v>C6H4O4</v>
      </c>
      <c r="W211" s="3">
        <f>VLOOKUP($E211,'[1]Product Naming'!$A$1:$P$58,6)</f>
        <v>6</v>
      </c>
      <c r="X211" s="3">
        <f>VLOOKUP($E211,'[1]Product Naming'!$A$1:$P$58,7)</f>
        <v>4</v>
      </c>
      <c r="Y211" s="3">
        <f>VLOOKUP($E211,'[1]Product Naming'!$A$1:$P$58,8)</f>
        <v>4</v>
      </c>
      <c r="Z211" s="3">
        <f>VLOOKUP($E211,'[1]Product Naming'!$A$1:$P$58,9)</f>
        <v>0</v>
      </c>
      <c r="AA211" s="3">
        <f>VLOOKUP($E211,'[1]Product Naming'!$A$1:$P$58,10)</f>
        <v>-2</v>
      </c>
      <c r="AB211" s="3">
        <f>VLOOKUP($E211,'[1]Product Naming'!$A$1:$P$58,11)</f>
        <v>3.3333333333333335</v>
      </c>
      <c r="AC211" s="3">
        <f>VLOOKUP($E211,'[1]Product Naming'!$A$1:$P$58,12)</f>
        <v>140.09156000000002</v>
      </c>
      <c r="AD211" s="3">
        <f>VLOOKUP($E211,'[1]Product Naming'!$A$1:$P$58,13)</f>
        <v>345.4</v>
      </c>
      <c r="AE211" s="3" t="str">
        <f>VLOOKUP($E211,'[1]Product Naming'!$A$1:$P$58,14)</f>
        <v>Dicarboxylate</v>
      </c>
      <c r="AF211" s="3" t="str">
        <f>VLOOKUP($E211,'[1]Product Naming'!$A$1:$P$58,15)</f>
        <v>Glyceraldehyde 3-P</v>
      </c>
      <c r="AG211" s="3" t="str">
        <f>VLOOKUP($E211,'[1]Product Naming'!$A$1:$P$58,16)</f>
        <v>Proton symporter</v>
      </c>
      <c r="AH211" s="3" t="str">
        <f>VLOOKUP($E211,'[1]Product Naming'!$A$1:$Q$58,17)</f>
        <v>ccmuac_c</v>
      </c>
    </row>
    <row r="212" spans="1:34" hidden="1" x14ac:dyDescent="0.2">
      <c r="A212" s="8" t="s">
        <v>368</v>
      </c>
      <c r="B212" s="17" t="s">
        <v>64</v>
      </c>
      <c r="C212" t="s">
        <v>369</v>
      </c>
      <c r="D212" s="18" t="s">
        <v>66</v>
      </c>
      <c r="E212" t="s">
        <v>110</v>
      </c>
      <c r="F212" t="s">
        <v>111</v>
      </c>
      <c r="G212">
        <v>-10</v>
      </c>
      <c r="H212">
        <v>0</v>
      </c>
      <c r="I212">
        <v>-20</v>
      </c>
      <c r="J212">
        <v>0.45</v>
      </c>
      <c r="K212">
        <v>-0.89999999999999902</v>
      </c>
      <c r="L212">
        <v>0</v>
      </c>
      <c r="M212">
        <v>-2.69999999999999</v>
      </c>
      <c r="N212">
        <v>-0.89999999999999902</v>
      </c>
      <c r="O212">
        <v>0</v>
      </c>
      <c r="P212"/>
      <c r="Q212">
        <v>0</v>
      </c>
      <c r="R212">
        <v>0</v>
      </c>
      <c r="S212" s="1" t="str">
        <f>VLOOKUP($E212,'[1]Product Naming'!$A$1:$P$58,2)</f>
        <v>ciscisMuconate</v>
      </c>
      <c r="T212" s="1" t="str">
        <f>VLOOKUP($E212,'[1]Product Naming'!$A$1:$P$58,3)</f>
        <v>cis,cis-Muconate</v>
      </c>
      <c r="U212" s="1" t="str">
        <f>VLOOKUP($E212,'[1]Product Naming'!$A$1:$P$58,4)</f>
        <v>A</v>
      </c>
      <c r="V212" s="1" t="str">
        <f>VLOOKUP($E212,'[1]Product Naming'!$A$1:$P$58,5)</f>
        <v>C6H4O4</v>
      </c>
      <c r="W212" s="1">
        <f>VLOOKUP($E212,'[1]Product Naming'!$A$1:$P$58,6)</f>
        <v>6</v>
      </c>
      <c r="X212" s="1">
        <f>VLOOKUP($E212,'[1]Product Naming'!$A$1:$P$58,7)</f>
        <v>4</v>
      </c>
      <c r="Y212" s="1">
        <f>VLOOKUP($E212,'[1]Product Naming'!$A$1:$P$58,8)</f>
        <v>4</v>
      </c>
      <c r="Z212" s="1">
        <f>VLOOKUP($E212,'[1]Product Naming'!$A$1:$P$58,9)</f>
        <v>0</v>
      </c>
      <c r="AA212" s="1">
        <f>VLOOKUP($E212,'[1]Product Naming'!$A$1:$P$58,10)</f>
        <v>-2</v>
      </c>
      <c r="AB212" s="27">
        <f>VLOOKUP($E212,'[1]Product Naming'!$A$1:$P$58,11)</f>
        <v>3.3333333333333335</v>
      </c>
      <c r="AC212" s="3">
        <f>VLOOKUP($E212,'[1]Product Naming'!$A$1:$P$58,12)</f>
        <v>140.09156000000002</v>
      </c>
      <c r="AD212" s="1">
        <f>VLOOKUP($E212,'[1]Product Naming'!$A$1:$P$58,13)</f>
        <v>345.4</v>
      </c>
      <c r="AE212" s="1" t="str">
        <f>VLOOKUP($E212,'[1]Product Naming'!$A$1:$P$58,14)</f>
        <v>Dicarboxylate</v>
      </c>
      <c r="AF212" s="1" t="str">
        <f>VLOOKUP($E212,'[1]Product Naming'!$A$1:$P$58,15)</f>
        <v>Glyceraldehyde 3-P</v>
      </c>
      <c r="AG212" s="28" t="str">
        <f>VLOOKUP($E212,'[1]Product Naming'!$A$1:$P$58,16)</f>
        <v>Proton symporter</v>
      </c>
      <c r="AH212" s="3" t="str">
        <f>VLOOKUP($E212,'[1]Product Naming'!$A$1:$Q$58,17)</f>
        <v>ccmuac_c</v>
      </c>
    </row>
    <row r="213" spans="1:34" hidden="1" x14ac:dyDescent="0.2">
      <c r="A213" s="16" t="s">
        <v>74</v>
      </c>
      <c r="B213" s="9" t="s">
        <v>35</v>
      </c>
      <c r="C213" t="s">
        <v>49</v>
      </c>
      <c r="D213" s="10" t="s">
        <v>37</v>
      </c>
      <c r="E213" t="s">
        <v>115</v>
      </c>
      <c r="F213" t="s">
        <v>116</v>
      </c>
      <c r="G213">
        <v>-10</v>
      </c>
      <c r="H213">
        <v>-20</v>
      </c>
      <c r="I213" s="1" t="s">
        <v>40</v>
      </c>
      <c r="J213">
        <v>3.15</v>
      </c>
      <c r="K213">
        <v>-10</v>
      </c>
      <c r="L213">
        <v>-6.2440298507462701</v>
      </c>
      <c r="M213" s="1" t="s">
        <v>40</v>
      </c>
      <c r="N213">
        <v>-6.3955223880596996</v>
      </c>
      <c r="O213">
        <v>5.2791044776119396</v>
      </c>
      <c r="P213"/>
      <c r="Q213">
        <v>0.527910447761194</v>
      </c>
      <c r="R213">
        <v>1.6744517273714801</v>
      </c>
      <c r="S213" s="3" t="s">
        <v>115</v>
      </c>
      <c r="T213" s="3" t="s">
        <v>117</v>
      </c>
      <c r="U213" s="3" t="s">
        <v>35</v>
      </c>
      <c r="V213" s="3" t="s">
        <v>118</v>
      </c>
      <c r="W213" s="3">
        <v>5</v>
      </c>
      <c r="X213" s="3">
        <v>8</v>
      </c>
      <c r="Y213" s="3">
        <v>4</v>
      </c>
      <c r="Z213" s="3">
        <v>1</v>
      </c>
      <c r="AA213" s="3">
        <v>-1</v>
      </c>
      <c r="AB213" s="12">
        <f>(W213*4+X213*1+Y213*-2+Z213*-3)/W213</f>
        <v>3.4</v>
      </c>
      <c r="AC213" s="3">
        <f>W213*12.0107+X213*1.00784+Y213*15.999+Z213*14.0067</f>
        <v>146.11892</v>
      </c>
      <c r="AD213" s="12">
        <v>333.8</v>
      </c>
      <c r="AE213" s="3" t="s">
        <v>119</v>
      </c>
      <c r="AF213" s="3" t="s">
        <v>120</v>
      </c>
      <c r="AG213" s="2" t="str">
        <f>IF(AD213&gt;37,"Proton symporter", "Diffusion")</f>
        <v>Proton symporter</v>
      </c>
      <c r="AH213" s="2" t="s">
        <v>121</v>
      </c>
    </row>
    <row r="214" spans="1:34" hidden="1" x14ac:dyDescent="0.2">
      <c r="A214" s="16" t="s">
        <v>74</v>
      </c>
      <c r="B214" s="9" t="s">
        <v>35</v>
      </c>
      <c r="C214" t="s">
        <v>36</v>
      </c>
      <c r="D214" s="10" t="s">
        <v>37</v>
      </c>
      <c r="E214" t="s">
        <v>115</v>
      </c>
      <c r="F214" t="s">
        <v>116</v>
      </c>
      <c r="G214">
        <v>-10</v>
      </c>
      <c r="H214">
        <v>-20</v>
      </c>
      <c r="I214" s="1" t="s">
        <v>40</v>
      </c>
      <c r="J214">
        <v>3.15</v>
      </c>
      <c r="K214">
        <v>-10</v>
      </c>
      <c r="L214">
        <v>-4.1670454545454598</v>
      </c>
      <c r="M214" s="1" t="s">
        <v>40</v>
      </c>
      <c r="N214">
        <v>-3.14772727272728</v>
      </c>
      <c r="O214">
        <v>4.6295454545454504</v>
      </c>
      <c r="P214"/>
      <c r="Q214">
        <v>0.46295454545454501</v>
      </c>
      <c r="R214">
        <v>1.5356121569469401</v>
      </c>
      <c r="S214" s="3" t="s">
        <v>115</v>
      </c>
      <c r="T214" s="3" t="s">
        <v>117</v>
      </c>
      <c r="U214" s="3" t="s">
        <v>35</v>
      </c>
      <c r="V214" s="3" t="s">
        <v>118</v>
      </c>
      <c r="W214" s="3">
        <v>5</v>
      </c>
      <c r="X214" s="3">
        <v>8</v>
      </c>
      <c r="Y214" s="3">
        <v>4</v>
      </c>
      <c r="Z214" s="3">
        <v>1</v>
      </c>
      <c r="AA214" s="3">
        <v>-1</v>
      </c>
      <c r="AB214" s="12">
        <f>(W214*4+X214*1+Y214*-2+Z214*-3)/W214</f>
        <v>3.4</v>
      </c>
      <c r="AC214" s="3">
        <f>W214*12.0107+X214*1.00784+Y214*15.999+Z214*14.0067</f>
        <v>146.11892</v>
      </c>
      <c r="AD214" s="12">
        <v>333.8</v>
      </c>
      <c r="AE214" s="3" t="s">
        <v>119</v>
      </c>
      <c r="AF214" s="3" t="s">
        <v>120</v>
      </c>
      <c r="AG214" s="2" t="str">
        <f>IF(AD214&gt;37,"Proton symporter", "Diffusion")</f>
        <v>Proton symporter</v>
      </c>
      <c r="AH214" s="2" t="s">
        <v>121</v>
      </c>
    </row>
    <row r="215" spans="1:34" hidden="1" x14ac:dyDescent="0.2">
      <c r="A215" s="16" t="s">
        <v>74</v>
      </c>
      <c r="B215" s="9" t="s">
        <v>35</v>
      </c>
      <c r="C215" t="s">
        <v>59</v>
      </c>
      <c r="D215" s="13" t="s">
        <v>51</v>
      </c>
      <c r="E215" t="s">
        <v>115</v>
      </c>
      <c r="F215" t="s">
        <v>116</v>
      </c>
      <c r="G215">
        <v>-10</v>
      </c>
      <c r="H215">
        <v>-20</v>
      </c>
      <c r="I215" s="1" t="s">
        <v>40</v>
      </c>
      <c r="J215">
        <v>3.15</v>
      </c>
      <c r="K215">
        <v>-10</v>
      </c>
      <c r="L215">
        <v>-3.8932835820895502</v>
      </c>
      <c r="M215" s="1" t="s">
        <v>40</v>
      </c>
      <c r="N215">
        <v>-2.3407960199005</v>
      </c>
      <c r="O215">
        <v>2.4681592039800999</v>
      </c>
      <c r="P215"/>
      <c r="Q215">
        <v>0.24681592039801001</v>
      </c>
      <c r="R215">
        <v>1.1255706186800101</v>
      </c>
      <c r="S215" s="3" t="s">
        <v>115</v>
      </c>
      <c r="T215" s="3" t="s">
        <v>117</v>
      </c>
      <c r="U215" s="3" t="s">
        <v>35</v>
      </c>
      <c r="V215" s="3" t="s">
        <v>118</v>
      </c>
      <c r="W215" s="3">
        <v>5</v>
      </c>
      <c r="X215" s="3">
        <v>8</v>
      </c>
      <c r="Y215" s="3">
        <v>4</v>
      </c>
      <c r="Z215" s="3">
        <v>1</v>
      </c>
      <c r="AA215" s="3">
        <v>-1</v>
      </c>
      <c r="AB215" s="12">
        <f>(W215*4+X215*1+Y215*-2+Z215*-3)/W215</f>
        <v>3.4</v>
      </c>
      <c r="AC215" s="3">
        <f>W215*12.0107+X215*1.00784+Y215*15.999+Z215*14.0067</f>
        <v>146.11892</v>
      </c>
      <c r="AD215" s="12">
        <v>333.8</v>
      </c>
      <c r="AE215" s="3" t="s">
        <v>119</v>
      </c>
      <c r="AF215" s="3" t="s">
        <v>120</v>
      </c>
      <c r="AG215" s="2" t="str">
        <f>IF(AD215&gt;37,"Proton symporter", "Diffusion")</f>
        <v>Proton symporter</v>
      </c>
      <c r="AH215" s="2" t="s">
        <v>121</v>
      </c>
    </row>
    <row r="216" spans="1:34" hidden="1" x14ac:dyDescent="0.2">
      <c r="A216" s="16" t="s">
        <v>74</v>
      </c>
      <c r="B216" s="9" t="s">
        <v>35</v>
      </c>
      <c r="C216" t="s">
        <v>60</v>
      </c>
      <c r="D216" s="13" t="s">
        <v>51</v>
      </c>
      <c r="E216" t="s">
        <v>115</v>
      </c>
      <c r="F216" t="s">
        <v>116</v>
      </c>
      <c r="G216">
        <v>-10</v>
      </c>
      <c r="H216">
        <v>-20</v>
      </c>
      <c r="I216" s="1" t="s">
        <v>40</v>
      </c>
      <c r="J216">
        <v>3.15</v>
      </c>
      <c r="K216">
        <v>-10</v>
      </c>
      <c r="L216">
        <v>-3.8932835820895502</v>
      </c>
      <c r="M216" s="1" t="s">
        <v>40</v>
      </c>
      <c r="N216">
        <v>-2.3407960199005</v>
      </c>
      <c r="O216">
        <v>2.4681592039800999</v>
      </c>
      <c r="P216"/>
      <c r="Q216">
        <v>0.24681592039801001</v>
      </c>
      <c r="R216">
        <v>1.1255706186800001</v>
      </c>
      <c r="S216" s="3" t="s">
        <v>115</v>
      </c>
      <c r="T216" s="3" t="s">
        <v>117</v>
      </c>
      <c r="U216" s="3" t="s">
        <v>35</v>
      </c>
      <c r="V216" s="3" t="s">
        <v>118</v>
      </c>
      <c r="W216" s="3">
        <v>5</v>
      </c>
      <c r="X216" s="3">
        <v>8</v>
      </c>
      <c r="Y216" s="3">
        <v>4</v>
      </c>
      <c r="Z216" s="3">
        <v>1</v>
      </c>
      <c r="AA216" s="3">
        <v>-1</v>
      </c>
      <c r="AB216" s="12">
        <f>(W216*4+X216*1+Y216*-2+Z216*-3)/W216</f>
        <v>3.4</v>
      </c>
      <c r="AC216" s="3">
        <f>W216*12.0107+X216*1.00784+Y216*15.999+Z216*14.0067</f>
        <v>146.11892</v>
      </c>
      <c r="AD216" s="12">
        <v>333.8</v>
      </c>
      <c r="AE216" s="3" t="s">
        <v>119</v>
      </c>
      <c r="AF216" s="3" t="s">
        <v>120</v>
      </c>
      <c r="AG216" s="2" t="str">
        <f>IF(AD216&gt;37,"Proton symporter", "Diffusion")</f>
        <v>Proton symporter</v>
      </c>
      <c r="AH216" s="2" t="s">
        <v>121</v>
      </c>
    </row>
    <row r="217" spans="1:34" hidden="1" x14ac:dyDescent="0.2">
      <c r="A217" s="16" t="s">
        <v>74</v>
      </c>
      <c r="B217" s="9" t="s">
        <v>35</v>
      </c>
      <c r="C217" t="s">
        <v>48</v>
      </c>
      <c r="D217" s="10" t="s">
        <v>37</v>
      </c>
      <c r="E217" t="s">
        <v>115</v>
      </c>
      <c r="F217" t="s">
        <v>116</v>
      </c>
      <c r="G217">
        <v>-10</v>
      </c>
      <c r="H217">
        <v>-20</v>
      </c>
      <c r="I217" s="1" t="s">
        <v>40</v>
      </c>
      <c r="J217">
        <v>3.15</v>
      </c>
      <c r="K217">
        <v>-10</v>
      </c>
      <c r="L217">
        <v>-4.1670454545454501</v>
      </c>
      <c r="M217" s="1" t="s">
        <v>40</v>
      </c>
      <c r="N217">
        <v>-3.1477272727272698</v>
      </c>
      <c r="O217">
        <v>4.6295454545454602</v>
      </c>
      <c r="P217"/>
      <c r="Q217">
        <v>0.46295454545454601</v>
      </c>
      <c r="R217">
        <v>1.08990400910813</v>
      </c>
      <c r="S217" s="3" t="s">
        <v>115</v>
      </c>
      <c r="T217" s="3" t="s">
        <v>117</v>
      </c>
      <c r="U217" s="3" t="s">
        <v>35</v>
      </c>
      <c r="V217" s="3" t="s">
        <v>118</v>
      </c>
      <c r="W217" s="3">
        <v>5</v>
      </c>
      <c r="X217" s="3">
        <v>8</v>
      </c>
      <c r="Y217" s="3">
        <v>4</v>
      </c>
      <c r="Z217" s="3">
        <v>1</v>
      </c>
      <c r="AA217" s="3">
        <v>-1</v>
      </c>
      <c r="AB217" s="12">
        <f>(W217*4+X217*1+Y217*-2+Z217*-3)/W217</f>
        <v>3.4</v>
      </c>
      <c r="AC217" s="3">
        <f>W217*12.0107+X217*1.00784+Y217*15.999+Z217*14.0067</f>
        <v>146.11892</v>
      </c>
      <c r="AD217" s="12">
        <v>333.8</v>
      </c>
      <c r="AE217" s="3" t="s">
        <v>119</v>
      </c>
      <c r="AF217" s="3" t="s">
        <v>120</v>
      </c>
      <c r="AG217" s="2" t="str">
        <f>IF(AD217&gt;37,"Proton symporter", "Diffusion")</f>
        <v>Proton symporter</v>
      </c>
      <c r="AH217" s="2" t="s">
        <v>121</v>
      </c>
    </row>
    <row r="218" spans="1:34" hidden="1" x14ac:dyDescent="0.2">
      <c r="A218" s="16" t="s">
        <v>74</v>
      </c>
      <c r="B218" s="9" t="s">
        <v>35</v>
      </c>
      <c r="C218" t="s">
        <v>56</v>
      </c>
      <c r="D218" s="14" t="s">
        <v>55</v>
      </c>
      <c r="E218" t="s">
        <v>115</v>
      </c>
      <c r="F218" t="s">
        <v>116</v>
      </c>
      <c r="G218">
        <v>-10</v>
      </c>
      <c r="H218">
        <v>-20</v>
      </c>
      <c r="I218" s="1" t="s">
        <v>40</v>
      </c>
      <c r="J218">
        <v>3.15</v>
      </c>
      <c r="K218">
        <v>-10</v>
      </c>
      <c r="L218">
        <v>-4.8634328358209</v>
      </c>
      <c r="M218" s="1" t="s">
        <v>40</v>
      </c>
      <c r="N218">
        <v>-3.48507462686567</v>
      </c>
      <c r="O218">
        <v>6.6970149253731304</v>
      </c>
      <c r="P218"/>
      <c r="Q218">
        <v>0.66970149253731304</v>
      </c>
      <c r="R218">
        <v>1.06256922355854</v>
      </c>
      <c r="S218" s="3" t="s">
        <v>115</v>
      </c>
      <c r="T218" s="3" t="s">
        <v>117</v>
      </c>
      <c r="U218" s="3" t="s">
        <v>35</v>
      </c>
      <c r="V218" s="3" t="s">
        <v>118</v>
      </c>
      <c r="W218" s="3">
        <v>5</v>
      </c>
      <c r="X218" s="3">
        <v>8</v>
      </c>
      <c r="Y218" s="3">
        <v>4</v>
      </c>
      <c r="Z218" s="3">
        <v>1</v>
      </c>
      <c r="AA218" s="3">
        <v>-1</v>
      </c>
      <c r="AB218" s="12">
        <f>(W218*4+X218*1+Y218*-2+Z218*-3)/W218</f>
        <v>3.4</v>
      </c>
      <c r="AC218" s="3">
        <f>W218*12.0107+X218*1.00784+Y218*15.999+Z218*14.0067</f>
        <v>146.11892</v>
      </c>
      <c r="AD218" s="12">
        <v>333.8</v>
      </c>
      <c r="AE218" s="3" t="s">
        <v>119</v>
      </c>
      <c r="AF218" s="3" t="s">
        <v>120</v>
      </c>
      <c r="AG218" s="2" t="str">
        <f>IF(AD218&gt;37,"Proton symporter", "Diffusion")</f>
        <v>Proton symporter</v>
      </c>
      <c r="AH218" s="2" t="s">
        <v>121</v>
      </c>
    </row>
    <row r="219" spans="1:34" hidden="1" x14ac:dyDescent="0.2">
      <c r="A219" s="16" t="s">
        <v>74</v>
      </c>
      <c r="B219" s="9" t="s">
        <v>35</v>
      </c>
      <c r="C219" t="s">
        <v>54</v>
      </c>
      <c r="D219" s="14" t="s">
        <v>55</v>
      </c>
      <c r="E219" t="s">
        <v>115</v>
      </c>
      <c r="F219" t="s">
        <v>116</v>
      </c>
      <c r="G219">
        <v>-10</v>
      </c>
      <c r="H219">
        <v>-20</v>
      </c>
      <c r="I219" s="1" t="s">
        <v>40</v>
      </c>
      <c r="J219">
        <v>3.15</v>
      </c>
      <c r="K219">
        <v>-10</v>
      </c>
      <c r="L219">
        <v>-6.2820618556700998</v>
      </c>
      <c r="M219" s="1" t="s">
        <v>40</v>
      </c>
      <c r="N219">
        <v>0.31340206185567399</v>
      </c>
      <c r="O219">
        <v>11.937319587628901</v>
      </c>
      <c r="P219"/>
      <c r="Q219">
        <v>1.1937319587628901</v>
      </c>
      <c r="R219">
        <v>0.96821880124923998</v>
      </c>
      <c r="S219" s="3" t="s">
        <v>115</v>
      </c>
      <c r="T219" s="3" t="s">
        <v>117</v>
      </c>
      <c r="U219" s="3" t="s">
        <v>35</v>
      </c>
      <c r="V219" s="3" t="s">
        <v>118</v>
      </c>
      <c r="W219" s="3">
        <v>5</v>
      </c>
      <c r="X219" s="3">
        <v>8</v>
      </c>
      <c r="Y219" s="3">
        <v>4</v>
      </c>
      <c r="Z219" s="3">
        <v>1</v>
      </c>
      <c r="AA219" s="3">
        <v>-1</v>
      </c>
      <c r="AB219" s="12">
        <f>(W219*4+X219*1+Y219*-2+Z219*-3)/W219</f>
        <v>3.4</v>
      </c>
      <c r="AC219" s="3">
        <f>W219*12.0107+X219*1.00784+Y219*15.999+Z219*14.0067</f>
        <v>146.11892</v>
      </c>
      <c r="AD219" s="12">
        <v>333.8</v>
      </c>
      <c r="AE219" s="3" t="s">
        <v>119</v>
      </c>
      <c r="AF219" s="3" t="s">
        <v>120</v>
      </c>
      <c r="AG219" s="2" t="str">
        <f>IF(AD219&gt;37,"Proton symporter", "Diffusion")</f>
        <v>Proton symporter</v>
      </c>
      <c r="AH219" s="2" t="s">
        <v>121</v>
      </c>
    </row>
    <row r="220" spans="1:34" hidden="1" x14ac:dyDescent="0.2">
      <c r="A220" s="16" t="s">
        <v>74</v>
      </c>
      <c r="B220" s="9" t="s">
        <v>35</v>
      </c>
      <c r="C220" t="s">
        <v>62</v>
      </c>
      <c r="D220" s="15" t="s">
        <v>55</v>
      </c>
      <c r="E220" t="s">
        <v>115</v>
      </c>
      <c r="F220" t="s">
        <v>116</v>
      </c>
      <c r="G220">
        <v>-10</v>
      </c>
      <c r="H220">
        <v>-20</v>
      </c>
      <c r="I220" s="1" t="s">
        <v>40</v>
      </c>
      <c r="J220">
        <v>3.15</v>
      </c>
      <c r="K220">
        <v>-10</v>
      </c>
      <c r="L220">
        <v>-5.4764705882352898</v>
      </c>
      <c r="M220" s="1" t="s">
        <v>40</v>
      </c>
      <c r="N220">
        <v>0.52941176470588502</v>
      </c>
      <c r="O220">
        <v>9.8941176470588204</v>
      </c>
      <c r="P220"/>
      <c r="Q220">
        <v>0.98941176470588199</v>
      </c>
      <c r="R220">
        <v>0.96297727632130603</v>
      </c>
      <c r="S220" s="3" t="s">
        <v>115</v>
      </c>
      <c r="T220" s="3" t="s">
        <v>117</v>
      </c>
      <c r="U220" s="3" t="s">
        <v>35</v>
      </c>
      <c r="V220" s="3" t="s">
        <v>118</v>
      </c>
      <c r="W220" s="3">
        <v>5</v>
      </c>
      <c r="X220" s="3">
        <v>8</v>
      </c>
      <c r="Y220" s="3">
        <v>4</v>
      </c>
      <c r="Z220" s="3">
        <v>1</v>
      </c>
      <c r="AA220" s="3">
        <v>-1</v>
      </c>
      <c r="AB220" s="12">
        <f>(W220*4+X220*1+Y220*-2+Z220*-3)/W220</f>
        <v>3.4</v>
      </c>
      <c r="AC220" s="3">
        <f>W220*12.0107+X220*1.00784+Y220*15.999+Z220*14.0067</f>
        <v>146.11892</v>
      </c>
      <c r="AD220" s="12">
        <v>333.8</v>
      </c>
      <c r="AE220" s="3" t="s">
        <v>119</v>
      </c>
      <c r="AF220" s="3" t="s">
        <v>120</v>
      </c>
      <c r="AG220" s="2" t="str">
        <f>IF(AD220&gt;37,"Proton symporter", "Diffusion")</f>
        <v>Proton symporter</v>
      </c>
      <c r="AH220" s="2" t="s">
        <v>121</v>
      </c>
    </row>
    <row r="221" spans="1:34" hidden="1" x14ac:dyDescent="0.2">
      <c r="A221" s="16" t="s">
        <v>74</v>
      </c>
      <c r="B221" s="9" t="s">
        <v>35</v>
      </c>
      <c r="C221" t="s">
        <v>58</v>
      </c>
      <c r="D221" s="10" t="s">
        <v>37</v>
      </c>
      <c r="E221" t="s">
        <v>115</v>
      </c>
      <c r="F221" t="s">
        <v>116</v>
      </c>
      <c r="G221">
        <v>-10</v>
      </c>
      <c r="H221">
        <v>-20</v>
      </c>
      <c r="I221" s="1" t="s">
        <v>40</v>
      </c>
      <c r="J221">
        <v>3.15</v>
      </c>
      <c r="K221">
        <v>-10</v>
      </c>
      <c r="L221">
        <v>-4.6636363636363702</v>
      </c>
      <c r="M221" s="1" t="s">
        <v>40</v>
      </c>
      <c r="N221">
        <v>0.82954545454545403</v>
      </c>
      <c r="O221">
        <v>3.8340909090909099</v>
      </c>
      <c r="P221"/>
      <c r="Q221">
        <v>0.38340909090909098</v>
      </c>
      <c r="R221">
        <v>0.93291351298571601</v>
      </c>
      <c r="S221" s="3" t="s">
        <v>115</v>
      </c>
      <c r="T221" s="3" t="s">
        <v>117</v>
      </c>
      <c r="U221" s="3" t="s">
        <v>35</v>
      </c>
      <c r="V221" s="3" t="s">
        <v>118</v>
      </c>
      <c r="W221" s="3">
        <v>5</v>
      </c>
      <c r="X221" s="3">
        <v>8</v>
      </c>
      <c r="Y221" s="3">
        <v>4</v>
      </c>
      <c r="Z221" s="3">
        <v>1</v>
      </c>
      <c r="AA221" s="3">
        <v>-1</v>
      </c>
      <c r="AB221" s="12">
        <f>(W221*4+X221*1+Y221*-2+Z221*-3)/W221</f>
        <v>3.4</v>
      </c>
      <c r="AC221" s="3">
        <f>W221*12.0107+X221*1.00784+Y221*15.999+Z221*14.0067</f>
        <v>146.11892</v>
      </c>
      <c r="AD221" s="12">
        <v>333.8</v>
      </c>
      <c r="AE221" s="3" t="s">
        <v>119</v>
      </c>
      <c r="AF221" s="3" t="s">
        <v>120</v>
      </c>
      <c r="AG221" s="2" t="str">
        <f>IF(AD221&gt;37,"Proton symporter", "Diffusion")</f>
        <v>Proton symporter</v>
      </c>
      <c r="AH221" s="2" t="s">
        <v>121</v>
      </c>
    </row>
    <row r="222" spans="1:34" hidden="1" x14ac:dyDescent="0.2">
      <c r="A222" s="16" t="s">
        <v>74</v>
      </c>
      <c r="B222" s="9" t="s">
        <v>35</v>
      </c>
      <c r="C222" t="s">
        <v>47</v>
      </c>
      <c r="D222" s="10" t="s">
        <v>37</v>
      </c>
      <c r="E222" t="s">
        <v>115</v>
      </c>
      <c r="F222" t="s">
        <v>116</v>
      </c>
      <c r="G222">
        <v>-10</v>
      </c>
      <c r="H222">
        <v>-20</v>
      </c>
      <c r="I222" s="1" t="s">
        <v>40</v>
      </c>
      <c r="J222">
        <v>3.15</v>
      </c>
      <c r="K222">
        <v>-10</v>
      </c>
      <c r="L222">
        <v>-8.6320895522388099</v>
      </c>
      <c r="M222" s="1" t="s">
        <v>40</v>
      </c>
      <c r="N222">
        <v>1.8134328358209</v>
      </c>
      <c r="O222">
        <v>3.6373134328358199</v>
      </c>
      <c r="P222"/>
      <c r="Q222">
        <v>0.36373134328358198</v>
      </c>
      <c r="R222">
        <v>0.85630922771010198</v>
      </c>
      <c r="S222" s="3" t="s">
        <v>115</v>
      </c>
      <c r="T222" s="3" t="s">
        <v>117</v>
      </c>
      <c r="U222" s="3" t="s">
        <v>35</v>
      </c>
      <c r="V222" s="3" t="s">
        <v>118</v>
      </c>
      <c r="W222" s="3">
        <v>5</v>
      </c>
      <c r="X222" s="3">
        <v>8</v>
      </c>
      <c r="Y222" s="3">
        <v>4</v>
      </c>
      <c r="Z222" s="3">
        <v>1</v>
      </c>
      <c r="AA222" s="3">
        <v>-1</v>
      </c>
      <c r="AB222" s="12">
        <f>(W222*4+X222*1+Y222*-2+Z222*-3)/W222</f>
        <v>3.4</v>
      </c>
      <c r="AC222" s="3">
        <f>W222*12.0107+X222*1.00784+Y222*15.999+Z222*14.0067</f>
        <v>146.11892</v>
      </c>
      <c r="AD222" s="12">
        <v>333.8</v>
      </c>
      <c r="AE222" s="3" t="s">
        <v>119</v>
      </c>
      <c r="AF222" s="3" t="s">
        <v>120</v>
      </c>
      <c r="AG222" s="2" t="str">
        <f>IF(AD222&gt;37,"Proton symporter", "Diffusion")</f>
        <v>Proton symporter</v>
      </c>
      <c r="AH222" s="2" t="s">
        <v>121</v>
      </c>
    </row>
    <row r="223" spans="1:34" hidden="1" x14ac:dyDescent="0.2">
      <c r="A223" s="16" t="s">
        <v>74</v>
      </c>
      <c r="B223" s="9" t="s">
        <v>35</v>
      </c>
      <c r="C223" t="s">
        <v>46</v>
      </c>
      <c r="D223" s="10" t="s">
        <v>37</v>
      </c>
      <c r="E223" t="s">
        <v>115</v>
      </c>
      <c r="F223" t="s">
        <v>116</v>
      </c>
      <c r="G223">
        <v>-10</v>
      </c>
      <c r="H223">
        <v>-20</v>
      </c>
      <c r="I223" s="1" t="s">
        <v>40</v>
      </c>
      <c r="J223">
        <v>3.15</v>
      </c>
      <c r="K223">
        <v>-10</v>
      </c>
      <c r="L223">
        <v>-4.7920454545454598</v>
      </c>
      <c r="M223" s="1" t="s">
        <v>40</v>
      </c>
      <c r="N223">
        <v>3.1022727272727102</v>
      </c>
      <c r="O223">
        <v>3.37954545454545</v>
      </c>
      <c r="P223"/>
      <c r="Q223">
        <v>0.33795454545454501</v>
      </c>
      <c r="R223">
        <v>0.83636705621789997</v>
      </c>
      <c r="S223" s="3" t="s">
        <v>115</v>
      </c>
      <c r="T223" s="3" t="s">
        <v>117</v>
      </c>
      <c r="U223" s="3" t="s">
        <v>35</v>
      </c>
      <c r="V223" s="3" t="s">
        <v>118</v>
      </c>
      <c r="W223" s="3">
        <v>5</v>
      </c>
      <c r="X223" s="3">
        <v>8</v>
      </c>
      <c r="Y223" s="3">
        <v>4</v>
      </c>
      <c r="Z223" s="3">
        <v>1</v>
      </c>
      <c r="AA223" s="3">
        <v>-1</v>
      </c>
      <c r="AB223" s="12">
        <f>(W223*4+X223*1+Y223*-2+Z223*-3)/W223</f>
        <v>3.4</v>
      </c>
      <c r="AC223" s="3">
        <f>W223*12.0107+X223*1.00784+Y223*15.999+Z223*14.0067</f>
        <v>146.11892</v>
      </c>
      <c r="AD223" s="12">
        <v>333.8</v>
      </c>
      <c r="AE223" s="3" t="s">
        <v>119</v>
      </c>
      <c r="AF223" s="3" t="s">
        <v>120</v>
      </c>
      <c r="AG223" s="2" t="str">
        <f>IF(AD223&gt;37,"Proton symporter", "Diffusion")</f>
        <v>Proton symporter</v>
      </c>
      <c r="AH223" s="2" t="s">
        <v>121</v>
      </c>
    </row>
    <row r="224" spans="1:34" hidden="1" x14ac:dyDescent="0.2">
      <c r="A224" s="16" t="s">
        <v>74</v>
      </c>
      <c r="B224" s="9" t="s">
        <v>35</v>
      </c>
      <c r="C224" t="s">
        <v>61</v>
      </c>
      <c r="D224" s="13" t="s">
        <v>51</v>
      </c>
      <c r="E224" t="s">
        <v>115</v>
      </c>
      <c r="F224" t="s">
        <v>116</v>
      </c>
      <c r="G224">
        <v>-10</v>
      </c>
      <c r="H224">
        <v>-20</v>
      </c>
      <c r="I224" s="1" t="s">
        <v>40</v>
      </c>
      <c r="J224">
        <v>3.15</v>
      </c>
      <c r="K224">
        <v>-10</v>
      </c>
      <c r="L224">
        <v>-6.8540816326530702</v>
      </c>
      <c r="M224" s="1" t="s">
        <v>40</v>
      </c>
      <c r="N224">
        <v>0.94897959183673597</v>
      </c>
      <c r="O224">
        <v>1.8102040816326599</v>
      </c>
      <c r="P224"/>
      <c r="Q224">
        <v>0.18102040816326601</v>
      </c>
      <c r="R224">
        <v>0.82551908516058903</v>
      </c>
      <c r="S224" s="3" t="s">
        <v>115</v>
      </c>
      <c r="T224" s="3" t="s">
        <v>117</v>
      </c>
      <c r="U224" s="3" t="s">
        <v>35</v>
      </c>
      <c r="V224" s="3" t="s">
        <v>118</v>
      </c>
      <c r="W224" s="3">
        <v>5</v>
      </c>
      <c r="X224" s="3">
        <v>8</v>
      </c>
      <c r="Y224" s="3">
        <v>4</v>
      </c>
      <c r="Z224" s="3">
        <v>1</v>
      </c>
      <c r="AA224" s="3">
        <v>-1</v>
      </c>
      <c r="AB224" s="12">
        <f>(W224*4+X224*1+Y224*-2+Z224*-3)/W224</f>
        <v>3.4</v>
      </c>
      <c r="AC224" s="3">
        <f>W224*12.0107+X224*1.00784+Y224*15.999+Z224*14.0067</f>
        <v>146.11892</v>
      </c>
      <c r="AD224" s="12">
        <v>333.8</v>
      </c>
      <c r="AE224" s="3" t="s">
        <v>119</v>
      </c>
      <c r="AF224" s="3" t="s">
        <v>120</v>
      </c>
      <c r="AG224" s="2" t="str">
        <f>IF(AD224&gt;37,"Proton symporter", "Diffusion")</f>
        <v>Proton symporter</v>
      </c>
      <c r="AH224" s="2" t="s">
        <v>121</v>
      </c>
    </row>
    <row r="225" spans="1:34" hidden="1" x14ac:dyDescent="0.2">
      <c r="A225" s="16" t="s">
        <v>74</v>
      </c>
      <c r="B225" s="9" t="s">
        <v>35</v>
      </c>
      <c r="C225" t="s">
        <v>57</v>
      </c>
      <c r="D225" s="10" t="s">
        <v>37</v>
      </c>
      <c r="E225" t="s">
        <v>115</v>
      </c>
      <c r="F225" t="s">
        <v>116</v>
      </c>
      <c r="G225">
        <v>-10</v>
      </c>
      <c r="H225">
        <v>-20</v>
      </c>
      <c r="I225" s="1" t="s">
        <v>40</v>
      </c>
      <c r="J225">
        <v>3.15</v>
      </c>
      <c r="K225">
        <v>-10</v>
      </c>
      <c r="L225">
        <v>-7.6758620689655102</v>
      </c>
      <c r="M225" s="1" t="s">
        <v>40</v>
      </c>
      <c r="N225">
        <v>4.5948275862069003</v>
      </c>
      <c r="O225">
        <v>3.08103448275862</v>
      </c>
      <c r="P225"/>
      <c r="Q225">
        <v>0.308103448275862</v>
      </c>
      <c r="R225">
        <v>0.74967932975329399</v>
      </c>
      <c r="S225" s="3" t="s">
        <v>115</v>
      </c>
      <c r="T225" s="3" t="s">
        <v>117</v>
      </c>
      <c r="U225" s="3" t="s">
        <v>35</v>
      </c>
      <c r="V225" s="3" t="s">
        <v>118</v>
      </c>
      <c r="W225" s="3">
        <v>5</v>
      </c>
      <c r="X225" s="3">
        <v>8</v>
      </c>
      <c r="Y225" s="3">
        <v>4</v>
      </c>
      <c r="Z225" s="3">
        <v>1</v>
      </c>
      <c r="AA225" s="3">
        <v>-1</v>
      </c>
      <c r="AB225" s="12">
        <f>(W225*4+X225*1+Y225*-2+Z225*-3)/W225</f>
        <v>3.4</v>
      </c>
      <c r="AC225" s="3">
        <f>W225*12.0107+X225*1.00784+Y225*15.999+Z225*14.0067</f>
        <v>146.11892</v>
      </c>
      <c r="AD225" s="12">
        <v>333.8</v>
      </c>
      <c r="AE225" s="3" t="s">
        <v>119</v>
      </c>
      <c r="AF225" s="3" t="s">
        <v>120</v>
      </c>
      <c r="AG225" s="2" t="str">
        <f>IF(AD225&gt;37,"Proton symporter", "Diffusion")</f>
        <v>Proton symporter</v>
      </c>
      <c r="AH225" s="2" t="s">
        <v>121</v>
      </c>
    </row>
    <row r="226" spans="1:34" hidden="1" x14ac:dyDescent="0.2">
      <c r="A226" s="16" t="s">
        <v>63</v>
      </c>
      <c r="B226" s="17" t="s">
        <v>64</v>
      </c>
      <c r="C226" t="s">
        <v>69</v>
      </c>
      <c r="D226" s="18" t="s">
        <v>66</v>
      </c>
      <c r="E226" t="s">
        <v>115</v>
      </c>
      <c r="F226" t="s">
        <v>116</v>
      </c>
      <c r="G226">
        <v>-10</v>
      </c>
      <c r="H226">
        <v>0</v>
      </c>
      <c r="I226">
        <v>-20</v>
      </c>
      <c r="J226">
        <v>0.45</v>
      </c>
      <c r="K226">
        <v>-10</v>
      </c>
      <c r="L226">
        <v>0</v>
      </c>
      <c r="M226">
        <v>-12.475675675675699</v>
      </c>
      <c r="N226">
        <v>0</v>
      </c>
      <c r="O226">
        <v>1.2540540540540499</v>
      </c>
      <c r="P226"/>
      <c r="Q226">
        <v>0.12540540540540501</v>
      </c>
      <c r="R226" s="19">
        <v>0.60019818182011098</v>
      </c>
      <c r="S226" s="3" t="s">
        <v>115</v>
      </c>
      <c r="T226" s="3" t="s">
        <v>117</v>
      </c>
      <c r="U226" s="3" t="s">
        <v>35</v>
      </c>
      <c r="V226" s="3" t="s">
        <v>118</v>
      </c>
      <c r="W226" s="3">
        <v>5</v>
      </c>
      <c r="X226" s="3">
        <v>8</v>
      </c>
      <c r="Y226" s="3">
        <v>4</v>
      </c>
      <c r="Z226" s="3">
        <v>1</v>
      </c>
      <c r="AA226" s="3">
        <v>-1</v>
      </c>
      <c r="AB226" s="12">
        <f>(W226*4+X226*1+Y226*-2+Z226*-3)/W226</f>
        <v>3.4</v>
      </c>
      <c r="AC226" s="3">
        <f>W226*12.0107+X226*1.00784+Y226*15.999+Z226*14.0067</f>
        <v>146.11892</v>
      </c>
      <c r="AD226" s="12">
        <v>333.8</v>
      </c>
      <c r="AE226" s="3" t="s">
        <v>119</v>
      </c>
      <c r="AF226" s="3" t="s">
        <v>120</v>
      </c>
      <c r="AG226" s="2" t="str">
        <f>IF(AD226&gt;37,"Proton symporter", "Diffusion")</f>
        <v>Proton symporter</v>
      </c>
      <c r="AH226" s="2" t="s">
        <v>121</v>
      </c>
    </row>
    <row r="227" spans="1:34" hidden="1" x14ac:dyDescent="0.2">
      <c r="A227" s="16" t="s">
        <v>63</v>
      </c>
      <c r="B227" s="17" t="s">
        <v>64</v>
      </c>
      <c r="C227" t="s">
        <v>68</v>
      </c>
      <c r="D227" s="18" t="s">
        <v>66</v>
      </c>
      <c r="E227" t="s">
        <v>115</v>
      </c>
      <c r="F227" t="s">
        <v>116</v>
      </c>
      <c r="G227">
        <v>-10</v>
      </c>
      <c r="H227">
        <v>0</v>
      </c>
      <c r="I227">
        <v>-10</v>
      </c>
      <c r="J227">
        <v>0.45</v>
      </c>
      <c r="K227">
        <v>-10</v>
      </c>
      <c r="L227">
        <v>0</v>
      </c>
      <c r="M227">
        <v>-10</v>
      </c>
      <c r="N227">
        <v>0</v>
      </c>
      <c r="O227">
        <v>1.1741935483871</v>
      </c>
      <c r="P227"/>
      <c r="Q227">
        <v>0.11741935483870999</v>
      </c>
      <c r="R227">
        <v>0.57133497556207202</v>
      </c>
      <c r="S227" s="3" t="s">
        <v>115</v>
      </c>
      <c r="T227" s="3" t="s">
        <v>117</v>
      </c>
      <c r="U227" s="3" t="s">
        <v>35</v>
      </c>
      <c r="V227" s="3" t="s">
        <v>118</v>
      </c>
      <c r="W227" s="3">
        <v>5</v>
      </c>
      <c r="X227" s="3">
        <v>8</v>
      </c>
      <c r="Y227" s="3">
        <v>4</v>
      </c>
      <c r="Z227" s="3">
        <v>1</v>
      </c>
      <c r="AA227" s="3">
        <v>-1</v>
      </c>
      <c r="AB227" s="12">
        <f>(W227*4+X227*1+Y227*-2+Z227*-3)/W227</f>
        <v>3.4</v>
      </c>
      <c r="AC227" s="3">
        <f>W227*12.0107+X227*1.00784+Y227*15.999+Z227*14.0067</f>
        <v>146.11892</v>
      </c>
      <c r="AD227" s="12">
        <v>333.8</v>
      </c>
      <c r="AE227" s="3" t="s">
        <v>119</v>
      </c>
      <c r="AF227" s="3" t="s">
        <v>120</v>
      </c>
      <c r="AG227" s="2" t="str">
        <f>IF(AD227&gt;37,"Proton symporter", "Diffusion")</f>
        <v>Proton symporter</v>
      </c>
      <c r="AH227" s="2" t="s">
        <v>121</v>
      </c>
    </row>
    <row r="228" spans="1:34" hidden="1" x14ac:dyDescent="0.2">
      <c r="A228" s="16" t="s">
        <v>63</v>
      </c>
      <c r="B228" s="17" t="s">
        <v>64</v>
      </c>
      <c r="C228" t="s">
        <v>67</v>
      </c>
      <c r="D228" s="18" t="s">
        <v>66</v>
      </c>
      <c r="E228" t="s">
        <v>115</v>
      </c>
      <c r="F228" t="s">
        <v>116</v>
      </c>
      <c r="G228">
        <v>-10</v>
      </c>
      <c r="H228">
        <v>0</v>
      </c>
      <c r="I228">
        <v>-5</v>
      </c>
      <c r="J228">
        <v>0.45</v>
      </c>
      <c r="K228">
        <v>-10</v>
      </c>
      <c r="L228">
        <v>0</v>
      </c>
      <c r="M228">
        <v>-5</v>
      </c>
      <c r="N228">
        <v>2.0262295081967201</v>
      </c>
      <c r="O228">
        <v>0.94754098360655703</v>
      </c>
      <c r="P228"/>
      <c r="Q228">
        <v>9.4754098360655695E-2</v>
      </c>
      <c r="R228">
        <v>0.47709739896735998</v>
      </c>
      <c r="S228" s="3" t="s">
        <v>115</v>
      </c>
      <c r="T228" s="3" t="s">
        <v>117</v>
      </c>
      <c r="U228" s="3" t="s">
        <v>35</v>
      </c>
      <c r="V228" s="3" t="s">
        <v>118</v>
      </c>
      <c r="W228" s="3">
        <v>5</v>
      </c>
      <c r="X228" s="3">
        <v>8</v>
      </c>
      <c r="Y228" s="3">
        <v>4</v>
      </c>
      <c r="Z228" s="3">
        <v>1</v>
      </c>
      <c r="AA228" s="3">
        <v>-1</v>
      </c>
      <c r="AB228" s="12">
        <f>(W228*4+X228*1+Y228*-2+Z228*-3)/W228</f>
        <v>3.4</v>
      </c>
      <c r="AC228" s="3">
        <f>W228*12.0107+X228*1.00784+Y228*15.999+Z228*14.0067</f>
        <v>146.11892</v>
      </c>
      <c r="AD228" s="12">
        <v>333.8</v>
      </c>
      <c r="AE228" s="3" t="s">
        <v>119</v>
      </c>
      <c r="AF228" s="3" t="s">
        <v>120</v>
      </c>
      <c r="AG228" s="2" t="str">
        <f>IF(AD228&gt;37,"Proton symporter", "Diffusion")</f>
        <v>Proton symporter</v>
      </c>
      <c r="AH228" s="2" t="s">
        <v>121</v>
      </c>
    </row>
    <row r="229" spans="1:34" hidden="1" x14ac:dyDescent="0.2">
      <c r="A229" s="16" t="s">
        <v>63</v>
      </c>
      <c r="B229" s="17" t="s">
        <v>64</v>
      </c>
      <c r="C229" t="s">
        <v>73</v>
      </c>
      <c r="D229" s="18" t="s">
        <v>66</v>
      </c>
      <c r="E229" t="s">
        <v>115</v>
      </c>
      <c r="F229" t="s">
        <v>116</v>
      </c>
      <c r="G229">
        <v>-10</v>
      </c>
      <c r="H229">
        <v>0</v>
      </c>
      <c r="I229">
        <v>-20</v>
      </c>
      <c r="J229">
        <v>0.45</v>
      </c>
      <c r="K229">
        <v>-10</v>
      </c>
      <c r="L229">
        <v>0</v>
      </c>
      <c r="M229">
        <v>-12.475675675675699</v>
      </c>
      <c r="N229">
        <v>0</v>
      </c>
      <c r="O229">
        <v>1.2540540540540499</v>
      </c>
      <c r="P229"/>
      <c r="Q229">
        <v>0.12540540540540501</v>
      </c>
      <c r="R229" s="19">
        <v>0.37742677152800302</v>
      </c>
      <c r="S229" s="3" t="s">
        <v>115</v>
      </c>
      <c r="T229" s="3" t="s">
        <v>117</v>
      </c>
      <c r="U229" s="3" t="s">
        <v>35</v>
      </c>
      <c r="V229" s="3" t="s">
        <v>118</v>
      </c>
      <c r="W229" s="3">
        <v>5</v>
      </c>
      <c r="X229" s="3">
        <v>8</v>
      </c>
      <c r="Y229" s="3">
        <v>4</v>
      </c>
      <c r="Z229" s="3">
        <v>1</v>
      </c>
      <c r="AA229" s="3">
        <v>-1</v>
      </c>
      <c r="AB229" s="12">
        <f>(W229*4+X229*1+Y229*-2+Z229*-3)/W229</f>
        <v>3.4</v>
      </c>
      <c r="AC229" s="3">
        <f>W229*12.0107+X229*1.00784+Y229*15.999+Z229*14.0067</f>
        <v>146.11892</v>
      </c>
      <c r="AD229" s="12">
        <v>333.8</v>
      </c>
      <c r="AE229" s="3" t="s">
        <v>119</v>
      </c>
      <c r="AF229" s="3" t="s">
        <v>120</v>
      </c>
      <c r="AG229" s="2" t="str">
        <f>IF(AD229&gt;37,"Proton symporter", "Diffusion")</f>
        <v>Proton symporter</v>
      </c>
      <c r="AH229" s="2" t="s">
        <v>121</v>
      </c>
    </row>
    <row r="230" spans="1:34" hidden="1" x14ac:dyDescent="0.2">
      <c r="A230" s="16" t="s">
        <v>63</v>
      </c>
      <c r="B230" s="17" t="s">
        <v>64</v>
      </c>
      <c r="C230" t="s">
        <v>65</v>
      </c>
      <c r="D230" s="18" t="s">
        <v>66</v>
      </c>
      <c r="E230" t="s">
        <v>115</v>
      </c>
      <c r="F230" t="s">
        <v>116</v>
      </c>
      <c r="G230">
        <v>-10</v>
      </c>
      <c r="H230">
        <v>0</v>
      </c>
      <c r="I230">
        <v>0</v>
      </c>
      <c r="J230">
        <v>0.45</v>
      </c>
      <c r="K230">
        <v>-10</v>
      </c>
      <c r="L230">
        <v>0</v>
      </c>
      <c r="M230">
        <v>0</v>
      </c>
      <c r="N230">
        <v>4.6491803278688497</v>
      </c>
      <c r="O230">
        <v>0.70163934426229502</v>
      </c>
      <c r="P230"/>
      <c r="Q230">
        <v>7.0163934426229493E-2</v>
      </c>
      <c r="R230">
        <v>0.36602207502004502</v>
      </c>
      <c r="S230" s="3" t="s">
        <v>115</v>
      </c>
      <c r="T230" s="3" t="s">
        <v>117</v>
      </c>
      <c r="U230" s="3" t="s">
        <v>35</v>
      </c>
      <c r="V230" s="3" t="s">
        <v>118</v>
      </c>
      <c r="W230" s="3">
        <v>5</v>
      </c>
      <c r="X230" s="3">
        <v>8</v>
      </c>
      <c r="Y230" s="3">
        <v>4</v>
      </c>
      <c r="Z230" s="3">
        <v>1</v>
      </c>
      <c r="AA230" s="3">
        <v>-1</v>
      </c>
      <c r="AB230" s="12">
        <f>(W230*4+X230*1+Y230*-2+Z230*-3)/W230</f>
        <v>3.4</v>
      </c>
      <c r="AC230" s="3">
        <f>W230*12.0107+X230*1.00784+Y230*15.999+Z230*14.0067</f>
        <v>146.11892</v>
      </c>
      <c r="AD230" s="12">
        <v>333.8</v>
      </c>
      <c r="AE230" s="3" t="s">
        <v>119</v>
      </c>
      <c r="AF230" s="3" t="s">
        <v>120</v>
      </c>
      <c r="AG230" s="2" t="str">
        <f>IF(AD230&gt;37,"Proton symporter", "Diffusion")</f>
        <v>Proton symporter</v>
      </c>
      <c r="AH230" s="2" t="s">
        <v>121</v>
      </c>
    </row>
    <row r="231" spans="1:34" hidden="1" x14ac:dyDescent="0.2">
      <c r="A231" s="16" t="s">
        <v>63</v>
      </c>
      <c r="B231" s="17" t="s">
        <v>64</v>
      </c>
      <c r="C231" t="s">
        <v>72</v>
      </c>
      <c r="D231" s="18" t="s">
        <v>66</v>
      </c>
      <c r="E231" t="s">
        <v>115</v>
      </c>
      <c r="F231" t="s">
        <v>116</v>
      </c>
      <c r="G231">
        <v>-10</v>
      </c>
      <c r="H231">
        <v>0</v>
      </c>
      <c r="I231">
        <v>-10</v>
      </c>
      <c r="J231">
        <v>0.45</v>
      </c>
      <c r="K231">
        <v>-10</v>
      </c>
      <c r="L231">
        <v>0</v>
      </c>
      <c r="M231">
        <v>-10</v>
      </c>
      <c r="N231">
        <v>0</v>
      </c>
      <c r="O231">
        <v>1.1741935483871</v>
      </c>
      <c r="P231"/>
      <c r="Q231">
        <v>0.11741935483870999</v>
      </c>
      <c r="R231">
        <v>0.35707246920118002</v>
      </c>
      <c r="S231" s="3" t="s">
        <v>115</v>
      </c>
      <c r="T231" s="3" t="s">
        <v>117</v>
      </c>
      <c r="U231" s="3" t="s">
        <v>35</v>
      </c>
      <c r="V231" s="3" t="s">
        <v>118</v>
      </c>
      <c r="W231" s="3">
        <v>5</v>
      </c>
      <c r="X231" s="3">
        <v>8</v>
      </c>
      <c r="Y231" s="3">
        <v>4</v>
      </c>
      <c r="Z231" s="3">
        <v>1</v>
      </c>
      <c r="AA231" s="3">
        <v>-1</v>
      </c>
      <c r="AB231" s="12">
        <f>(W231*4+X231*1+Y231*-2+Z231*-3)/W231</f>
        <v>3.4</v>
      </c>
      <c r="AC231" s="3">
        <f>W231*12.0107+X231*1.00784+Y231*15.999+Z231*14.0067</f>
        <v>146.11892</v>
      </c>
      <c r="AD231" s="12">
        <v>333.8</v>
      </c>
      <c r="AE231" s="3" t="s">
        <v>119</v>
      </c>
      <c r="AF231" s="3" t="s">
        <v>120</v>
      </c>
      <c r="AG231" s="2" t="str">
        <f>IF(AD231&gt;37,"Proton symporter", "Diffusion")</f>
        <v>Proton symporter</v>
      </c>
      <c r="AH231" s="2" t="s">
        <v>121</v>
      </c>
    </row>
    <row r="232" spans="1:34" hidden="1" x14ac:dyDescent="0.2">
      <c r="A232" s="16" t="s">
        <v>63</v>
      </c>
      <c r="B232" s="17" t="s">
        <v>64</v>
      </c>
      <c r="C232" t="s">
        <v>71</v>
      </c>
      <c r="D232" s="18" t="s">
        <v>66</v>
      </c>
      <c r="E232" t="s">
        <v>115</v>
      </c>
      <c r="F232" t="s">
        <v>116</v>
      </c>
      <c r="G232">
        <v>-10</v>
      </c>
      <c r="H232">
        <v>0</v>
      </c>
      <c r="I232">
        <v>-5</v>
      </c>
      <c r="J232">
        <v>0.45</v>
      </c>
      <c r="K232">
        <v>-10</v>
      </c>
      <c r="L232">
        <v>0</v>
      </c>
      <c r="M232">
        <v>-5</v>
      </c>
      <c r="N232">
        <v>2.0262295081967201</v>
      </c>
      <c r="O232">
        <v>0.94754098360655803</v>
      </c>
      <c r="P232"/>
      <c r="Q232">
        <v>9.4754098360655806E-2</v>
      </c>
      <c r="R232">
        <v>0.29433427405915003</v>
      </c>
      <c r="S232" s="3" t="s">
        <v>115</v>
      </c>
      <c r="T232" s="3" t="s">
        <v>117</v>
      </c>
      <c r="U232" s="3" t="s">
        <v>35</v>
      </c>
      <c r="V232" s="3" t="s">
        <v>118</v>
      </c>
      <c r="W232" s="3">
        <v>5</v>
      </c>
      <c r="X232" s="3">
        <v>8</v>
      </c>
      <c r="Y232" s="3">
        <v>4</v>
      </c>
      <c r="Z232" s="3">
        <v>1</v>
      </c>
      <c r="AA232" s="3">
        <v>-1</v>
      </c>
      <c r="AB232" s="12">
        <f>(W232*4+X232*1+Y232*-2+Z232*-3)/W232</f>
        <v>3.4</v>
      </c>
      <c r="AC232" s="3">
        <f>W232*12.0107+X232*1.00784+Y232*15.999+Z232*14.0067</f>
        <v>146.11892</v>
      </c>
      <c r="AD232" s="12">
        <v>333.8</v>
      </c>
      <c r="AE232" s="3" t="s">
        <v>119</v>
      </c>
      <c r="AF232" s="3" t="s">
        <v>120</v>
      </c>
      <c r="AG232" s="2" t="str">
        <f>IF(AD232&gt;37,"Proton symporter", "Diffusion")</f>
        <v>Proton symporter</v>
      </c>
      <c r="AH232" s="2" t="s">
        <v>121</v>
      </c>
    </row>
    <row r="233" spans="1:34" hidden="1" x14ac:dyDescent="0.2">
      <c r="A233" s="16" t="s">
        <v>63</v>
      </c>
      <c r="B233" s="17" t="s">
        <v>64</v>
      </c>
      <c r="C233" t="s">
        <v>70</v>
      </c>
      <c r="D233" s="18" t="s">
        <v>66</v>
      </c>
      <c r="E233" t="s">
        <v>115</v>
      </c>
      <c r="F233" t="s">
        <v>116</v>
      </c>
      <c r="G233">
        <v>-10</v>
      </c>
      <c r="H233">
        <v>0</v>
      </c>
      <c r="I233">
        <v>0</v>
      </c>
      <c r="J233">
        <v>0.45</v>
      </c>
      <c r="K233">
        <v>-10</v>
      </c>
      <c r="L233">
        <v>0</v>
      </c>
      <c r="M233">
        <v>0</v>
      </c>
      <c r="N233">
        <v>4.6491803278688497</v>
      </c>
      <c r="O233">
        <v>0.70163934426229602</v>
      </c>
      <c r="P233"/>
      <c r="Q233">
        <v>7.0163934426229604E-2</v>
      </c>
      <c r="R233">
        <v>0.2227322922926</v>
      </c>
      <c r="S233" s="3" t="s">
        <v>115</v>
      </c>
      <c r="T233" s="3" t="s">
        <v>117</v>
      </c>
      <c r="U233" s="3" t="s">
        <v>35</v>
      </c>
      <c r="V233" s="3" t="s">
        <v>118</v>
      </c>
      <c r="W233" s="3">
        <v>5</v>
      </c>
      <c r="X233" s="3">
        <v>8</v>
      </c>
      <c r="Y233" s="3">
        <v>4</v>
      </c>
      <c r="Z233" s="3">
        <v>1</v>
      </c>
      <c r="AA233" s="3">
        <v>-1</v>
      </c>
      <c r="AB233" s="12">
        <f>(W233*4+X233*1+Y233*-2+Z233*-3)/W233</f>
        <v>3.4</v>
      </c>
      <c r="AC233" s="3">
        <f>W233*12.0107+X233*1.00784+Y233*15.999+Z233*14.0067</f>
        <v>146.11892</v>
      </c>
      <c r="AD233" s="12">
        <v>333.8</v>
      </c>
      <c r="AE233" s="3" t="s">
        <v>119</v>
      </c>
      <c r="AF233" s="3" t="s">
        <v>120</v>
      </c>
      <c r="AG233" s="2" t="str">
        <f>IF(AD233&gt;37,"Proton symporter", "Diffusion")</f>
        <v>Proton symporter</v>
      </c>
      <c r="AH233" s="2" t="s">
        <v>121</v>
      </c>
    </row>
    <row r="234" spans="1:34" hidden="1" x14ac:dyDescent="0.2">
      <c r="A234" s="16" t="s">
        <v>74</v>
      </c>
      <c r="B234" s="9" t="s">
        <v>35</v>
      </c>
      <c r="C234" t="s">
        <v>50</v>
      </c>
      <c r="D234" s="13" t="s">
        <v>51</v>
      </c>
      <c r="E234" t="s">
        <v>115</v>
      </c>
      <c r="F234" t="s">
        <v>116</v>
      </c>
      <c r="G234">
        <v>-10</v>
      </c>
      <c r="H234">
        <v>-20</v>
      </c>
      <c r="I234" s="1" t="s">
        <v>40</v>
      </c>
      <c r="J234">
        <v>3.15</v>
      </c>
      <c r="K234">
        <v>-10</v>
      </c>
      <c r="L234">
        <v>-2.4607142857142801</v>
      </c>
      <c r="M234" s="1" t="s">
        <v>40</v>
      </c>
      <c r="N234">
        <v>7.1785714285714297</v>
      </c>
      <c r="O234">
        <v>0.56428571428571395</v>
      </c>
      <c r="P234"/>
      <c r="Q234">
        <v>5.6428571428571397E-2</v>
      </c>
      <c r="R234">
        <v>0.17912999275000699</v>
      </c>
      <c r="S234" s="3" t="s">
        <v>115</v>
      </c>
      <c r="T234" s="3" t="s">
        <v>117</v>
      </c>
      <c r="U234" s="3" t="s">
        <v>35</v>
      </c>
      <c r="V234" s="3" t="s">
        <v>118</v>
      </c>
      <c r="W234" s="3">
        <v>5</v>
      </c>
      <c r="X234" s="3">
        <v>8</v>
      </c>
      <c r="Y234" s="3">
        <v>4</v>
      </c>
      <c r="Z234" s="3">
        <v>1</v>
      </c>
      <c r="AA234" s="3">
        <v>-1</v>
      </c>
      <c r="AB234" s="12">
        <f>(W234*4+X234*1+Y234*-2+Z234*-3)/W234</f>
        <v>3.4</v>
      </c>
      <c r="AC234" s="3">
        <f>W234*12.0107+X234*1.00784+Y234*15.999+Z234*14.0067</f>
        <v>146.11892</v>
      </c>
      <c r="AD234" s="12">
        <v>333.8</v>
      </c>
      <c r="AE234" s="3" t="s">
        <v>119</v>
      </c>
      <c r="AF234" s="3" t="s">
        <v>120</v>
      </c>
      <c r="AG234" s="2" t="str">
        <f>IF(AD234&gt;37,"Proton symporter", "Diffusion")</f>
        <v>Proton symporter</v>
      </c>
      <c r="AH234" s="2" t="s">
        <v>121</v>
      </c>
    </row>
    <row r="235" spans="1:34" hidden="1" x14ac:dyDescent="0.2">
      <c r="A235" s="16" t="s">
        <v>74</v>
      </c>
      <c r="B235" s="9" t="s">
        <v>35</v>
      </c>
      <c r="C235" t="s">
        <v>52</v>
      </c>
      <c r="D235" s="13" t="s">
        <v>51</v>
      </c>
      <c r="E235" t="s">
        <v>115</v>
      </c>
      <c r="F235" t="s">
        <v>116</v>
      </c>
      <c r="G235">
        <v>-10</v>
      </c>
      <c r="H235">
        <v>-20</v>
      </c>
      <c r="I235" s="1" t="s">
        <v>40</v>
      </c>
      <c r="J235">
        <v>3.15</v>
      </c>
      <c r="K235">
        <v>-10</v>
      </c>
      <c r="L235">
        <v>-3.1769230769230798</v>
      </c>
      <c r="M235" s="1" t="s">
        <v>40</v>
      </c>
      <c r="N235">
        <v>7.9743589743589798</v>
      </c>
      <c r="O235">
        <v>0.40512820512820402</v>
      </c>
      <c r="P235"/>
      <c r="Q235">
        <v>4.0512820512820402E-2</v>
      </c>
      <c r="R235">
        <v>0.12860614864103001</v>
      </c>
      <c r="S235" s="3" t="s">
        <v>115</v>
      </c>
      <c r="T235" s="3" t="s">
        <v>117</v>
      </c>
      <c r="U235" s="3" t="s">
        <v>35</v>
      </c>
      <c r="V235" s="3" t="s">
        <v>118</v>
      </c>
      <c r="W235" s="3">
        <v>5</v>
      </c>
      <c r="X235" s="3">
        <v>8</v>
      </c>
      <c r="Y235" s="3">
        <v>4</v>
      </c>
      <c r="Z235" s="3">
        <v>1</v>
      </c>
      <c r="AA235" s="3">
        <v>-1</v>
      </c>
      <c r="AB235" s="12">
        <f>(W235*4+X235*1+Y235*-2+Z235*-3)/W235</f>
        <v>3.4</v>
      </c>
      <c r="AC235" s="3">
        <f>W235*12.0107+X235*1.00784+Y235*15.999+Z235*14.0067</f>
        <v>146.11892</v>
      </c>
      <c r="AD235" s="12">
        <v>333.8</v>
      </c>
      <c r="AE235" s="3" t="s">
        <v>119</v>
      </c>
      <c r="AF235" s="3" t="s">
        <v>120</v>
      </c>
      <c r="AG235" s="2" t="str">
        <f>IF(AD235&gt;37,"Proton symporter", "Diffusion")</f>
        <v>Proton symporter</v>
      </c>
      <c r="AH235" s="2" t="s">
        <v>121</v>
      </c>
    </row>
    <row r="236" spans="1:34" hidden="1" x14ac:dyDescent="0.2">
      <c r="A236" s="16" t="s">
        <v>74</v>
      </c>
      <c r="B236" s="9" t="s">
        <v>35</v>
      </c>
      <c r="C236" t="s">
        <v>53</v>
      </c>
      <c r="D236" s="13" t="s">
        <v>51</v>
      </c>
      <c r="E236" t="s">
        <v>115</v>
      </c>
      <c r="F236" t="s">
        <v>116</v>
      </c>
      <c r="G236">
        <v>-10</v>
      </c>
      <c r="H236">
        <v>-20</v>
      </c>
      <c r="I236" s="1" t="s">
        <v>40</v>
      </c>
      <c r="J236">
        <v>3.15</v>
      </c>
      <c r="K236">
        <v>-10</v>
      </c>
      <c r="L236">
        <v>-4.1293877551020399</v>
      </c>
      <c r="M236" s="1" t="s">
        <v>40</v>
      </c>
      <c r="N236">
        <v>9.0326530612244902</v>
      </c>
      <c r="O236">
        <v>0.193469387755102</v>
      </c>
      <c r="P236"/>
      <c r="Q236">
        <v>1.9346938775510199E-2</v>
      </c>
      <c r="R236">
        <v>6.1415997514287897E-2</v>
      </c>
      <c r="S236" s="3" t="s">
        <v>115</v>
      </c>
      <c r="T236" s="3" t="s">
        <v>117</v>
      </c>
      <c r="U236" s="3" t="s">
        <v>35</v>
      </c>
      <c r="V236" s="3" t="s">
        <v>118</v>
      </c>
      <c r="W236" s="3">
        <v>5</v>
      </c>
      <c r="X236" s="3">
        <v>8</v>
      </c>
      <c r="Y236" s="3">
        <v>4</v>
      </c>
      <c r="Z236" s="3">
        <v>1</v>
      </c>
      <c r="AA236" s="3">
        <v>-1</v>
      </c>
      <c r="AB236" s="12">
        <f>(W236*4+X236*1+Y236*-2+Z236*-3)/W236</f>
        <v>3.4</v>
      </c>
      <c r="AC236" s="3">
        <f>W236*12.0107+X236*1.00784+Y236*15.999+Z236*14.0067</f>
        <v>146.11892</v>
      </c>
      <c r="AD236" s="12">
        <v>333.8</v>
      </c>
      <c r="AE236" s="3" t="s">
        <v>119</v>
      </c>
      <c r="AF236" s="3" t="s">
        <v>120</v>
      </c>
      <c r="AG236" s="2" t="str">
        <f>IF(AD236&gt;37,"Proton symporter", "Diffusion")</f>
        <v>Proton symporter</v>
      </c>
      <c r="AH236" s="2" t="s">
        <v>121</v>
      </c>
    </row>
    <row r="237" spans="1:34" hidden="1" x14ac:dyDescent="0.2">
      <c r="A237" s="8" t="s">
        <v>34</v>
      </c>
      <c r="B237" s="9" t="s">
        <v>35</v>
      </c>
      <c r="C237" s="1" t="s">
        <v>49</v>
      </c>
      <c r="D237" s="10" t="s">
        <v>37</v>
      </c>
      <c r="E237" s="1" t="s">
        <v>122</v>
      </c>
      <c r="F237" s="1" t="s">
        <v>123</v>
      </c>
      <c r="G237" s="1">
        <v>-10</v>
      </c>
      <c r="H237" s="1">
        <v>-20</v>
      </c>
      <c r="I237" s="1" t="s">
        <v>40</v>
      </c>
      <c r="J237" s="1">
        <v>3.15</v>
      </c>
      <c r="K237" s="1">
        <v>-10</v>
      </c>
      <c r="L237" s="1">
        <v>-11.0555555555556</v>
      </c>
      <c r="M237" s="1" t="s">
        <v>40</v>
      </c>
      <c r="N237" s="1">
        <v>1.05555555555557</v>
      </c>
      <c r="O237" s="1">
        <v>3.7888888888888901</v>
      </c>
      <c r="Q237" s="1">
        <v>0.378888888888889</v>
      </c>
      <c r="R237" s="1">
        <v>1.0699994071493599</v>
      </c>
      <c r="S237" s="11" t="s">
        <v>122</v>
      </c>
      <c r="T237" s="2" t="s">
        <v>122</v>
      </c>
      <c r="U237" s="3" t="s">
        <v>41</v>
      </c>
      <c r="V237" s="2" t="s">
        <v>124</v>
      </c>
      <c r="W237" s="2">
        <v>5</v>
      </c>
      <c r="X237" s="2">
        <v>6</v>
      </c>
      <c r="Y237" s="2">
        <v>4</v>
      </c>
      <c r="Z237" s="2">
        <v>0</v>
      </c>
      <c r="AA237" s="2">
        <v>0</v>
      </c>
      <c r="AB237" s="12">
        <f>(W237*4+X237*1+Y237*-2+Z237*-3)/W237</f>
        <v>3.6</v>
      </c>
      <c r="AC237" s="3">
        <f>W237*12.0107+X237*1.00784+Y237*15.999+Z237*14.0067</f>
        <v>130.09654</v>
      </c>
      <c r="AD237" s="12">
        <v>200</v>
      </c>
      <c r="AE237" s="2" t="s">
        <v>43</v>
      </c>
      <c r="AF237" s="2" t="s">
        <v>125</v>
      </c>
      <c r="AG237" s="2" t="str">
        <f>IF(AD237&gt;37,"Proton symporter", "Diffusion")</f>
        <v>Proton symporter</v>
      </c>
      <c r="AH237" s="3" t="s">
        <v>126</v>
      </c>
    </row>
    <row r="238" spans="1:34" hidden="1" x14ac:dyDescent="0.2">
      <c r="A238" s="8" t="s">
        <v>34</v>
      </c>
      <c r="B238" s="9" t="s">
        <v>35</v>
      </c>
      <c r="C238" s="1" t="s">
        <v>36</v>
      </c>
      <c r="D238" s="10" t="s">
        <v>37</v>
      </c>
      <c r="E238" s="1" t="s">
        <v>122</v>
      </c>
      <c r="F238" s="1" t="s">
        <v>123</v>
      </c>
      <c r="G238" s="1">
        <v>-10</v>
      </c>
      <c r="H238" s="1">
        <v>-20</v>
      </c>
      <c r="I238" s="1" t="s">
        <v>40</v>
      </c>
      <c r="J238" s="1">
        <v>3.15</v>
      </c>
      <c r="K238" s="1">
        <v>-10</v>
      </c>
      <c r="L238" s="1">
        <v>-8.8859649122807092</v>
      </c>
      <c r="M238" s="1" t="s">
        <v>40</v>
      </c>
      <c r="N238" s="1">
        <v>3.8859649122807101</v>
      </c>
      <c r="O238" s="1">
        <v>3.2228070175438601</v>
      </c>
      <c r="Q238" s="1">
        <v>0.322280701754386</v>
      </c>
      <c r="R238" s="1">
        <v>0.95178045569615299</v>
      </c>
      <c r="S238" s="11" t="s">
        <v>122</v>
      </c>
      <c r="T238" s="2" t="s">
        <v>122</v>
      </c>
      <c r="U238" s="3" t="s">
        <v>41</v>
      </c>
      <c r="V238" s="2" t="s">
        <v>124</v>
      </c>
      <c r="W238" s="2">
        <v>5</v>
      </c>
      <c r="X238" s="2">
        <v>6</v>
      </c>
      <c r="Y238" s="2">
        <v>4</v>
      </c>
      <c r="Z238" s="2">
        <v>0</v>
      </c>
      <c r="AA238" s="2">
        <v>0</v>
      </c>
      <c r="AB238" s="12">
        <f>(W238*4+X238*1+Y238*-2+Z238*-3)/W238</f>
        <v>3.6</v>
      </c>
      <c r="AC238" s="3">
        <f>W238*12.0107+X238*1.00784+Y238*15.999+Z238*14.0067</f>
        <v>130.09654</v>
      </c>
      <c r="AD238" s="12">
        <v>200</v>
      </c>
      <c r="AE238" s="2" t="s">
        <v>43</v>
      </c>
      <c r="AF238" s="2" t="s">
        <v>125</v>
      </c>
      <c r="AG238" s="2" t="str">
        <f>IF(AD238&gt;37,"Proton symporter", "Diffusion")</f>
        <v>Proton symporter</v>
      </c>
      <c r="AH238" s="3" t="s">
        <v>126</v>
      </c>
    </row>
    <row r="239" spans="1:34" hidden="1" x14ac:dyDescent="0.2">
      <c r="A239" s="8" t="s">
        <v>34</v>
      </c>
      <c r="B239" s="9" t="s">
        <v>35</v>
      </c>
      <c r="C239" s="1" t="s">
        <v>59</v>
      </c>
      <c r="D239" s="13" t="s">
        <v>51</v>
      </c>
      <c r="E239" s="1" t="s">
        <v>122</v>
      </c>
      <c r="F239" s="1" t="s">
        <v>123</v>
      </c>
      <c r="G239" s="1">
        <v>-10</v>
      </c>
      <c r="H239" s="1">
        <v>-20</v>
      </c>
      <c r="I239" s="1" t="s">
        <v>40</v>
      </c>
      <c r="J239" s="1">
        <v>3.15</v>
      </c>
      <c r="K239" s="1">
        <v>-10</v>
      </c>
      <c r="L239" s="1">
        <v>-5.4979166666666703</v>
      </c>
      <c r="M239" s="1" t="s">
        <v>40</v>
      </c>
      <c r="N239" s="1">
        <v>0.49791666666666801</v>
      </c>
      <c r="O239" s="1">
        <v>1.90041666666667</v>
      </c>
      <c r="Q239" s="1">
        <v>0.190041666666667</v>
      </c>
      <c r="R239" s="1">
        <v>0.77162750823994797</v>
      </c>
      <c r="S239" s="11" t="s">
        <v>122</v>
      </c>
      <c r="T239" s="2" t="s">
        <v>122</v>
      </c>
      <c r="U239" s="3" t="s">
        <v>41</v>
      </c>
      <c r="V239" s="2" t="s">
        <v>124</v>
      </c>
      <c r="W239" s="2">
        <v>5</v>
      </c>
      <c r="X239" s="2">
        <v>6</v>
      </c>
      <c r="Y239" s="2">
        <v>4</v>
      </c>
      <c r="Z239" s="2">
        <v>0</v>
      </c>
      <c r="AA239" s="2">
        <v>0</v>
      </c>
      <c r="AB239" s="12">
        <f>(W239*4+X239*1+Y239*-2+Z239*-3)/W239</f>
        <v>3.6</v>
      </c>
      <c r="AC239" s="3">
        <f>W239*12.0107+X239*1.00784+Y239*15.999+Z239*14.0067</f>
        <v>130.09654</v>
      </c>
      <c r="AD239" s="12">
        <v>200</v>
      </c>
      <c r="AE239" s="2" t="s">
        <v>43</v>
      </c>
      <c r="AF239" s="2" t="s">
        <v>125</v>
      </c>
      <c r="AG239" s="2" t="str">
        <f>IF(AD239&gt;37,"Proton symporter", "Diffusion")</f>
        <v>Proton symporter</v>
      </c>
      <c r="AH239" s="3" t="s">
        <v>126</v>
      </c>
    </row>
    <row r="240" spans="1:34" hidden="1" x14ac:dyDescent="0.2">
      <c r="A240" s="8" t="s">
        <v>34</v>
      </c>
      <c r="B240" s="9" t="s">
        <v>35</v>
      </c>
      <c r="C240" s="1" t="s">
        <v>60</v>
      </c>
      <c r="D240" s="13" t="s">
        <v>51</v>
      </c>
      <c r="E240" s="1" t="s">
        <v>122</v>
      </c>
      <c r="F240" s="1" t="s">
        <v>123</v>
      </c>
      <c r="G240" s="1">
        <v>-10</v>
      </c>
      <c r="H240" s="1">
        <v>-20</v>
      </c>
      <c r="I240" s="1" t="s">
        <v>40</v>
      </c>
      <c r="J240" s="1">
        <v>3.15</v>
      </c>
      <c r="K240" s="1">
        <v>-10</v>
      </c>
      <c r="L240" s="1">
        <v>-5.4979166666666703</v>
      </c>
      <c r="M240" s="1" t="s">
        <v>40</v>
      </c>
      <c r="N240" s="1">
        <v>0.49791666666666301</v>
      </c>
      <c r="O240" s="1">
        <v>1.90041666666667</v>
      </c>
      <c r="Q240" s="1">
        <v>0.190041666666667</v>
      </c>
      <c r="R240" s="1">
        <v>0.77162750823994697</v>
      </c>
      <c r="S240" s="11" t="s">
        <v>122</v>
      </c>
      <c r="T240" s="2" t="s">
        <v>122</v>
      </c>
      <c r="U240" s="3" t="s">
        <v>41</v>
      </c>
      <c r="V240" s="2" t="s">
        <v>124</v>
      </c>
      <c r="W240" s="2">
        <v>5</v>
      </c>
      <c r="X240" s="2">
        <v>6</v>
      </c>
      <c r="Y240" s="2">
        <v>4</v>
      </c>
      <c r="Z240" s="2">
        <v>0</v>
      </c>
      <c r="AA240" s="2">
        <v>0</v>
      </c>
      <c r="AB240" s="12">
        <f>(W240*4+X240*1+Y240*-2+Z240*-3)/W240</f>
        <v>3.6</v>
      </c>
      <c r="AC240" s="3">
        <f>W240*12.0107+X240*1.00784+Y240*15.999+Z240*14.0067</f>
        <v>130.09654</v>
      </c>
      <c r="AD240" s="12">
        <v>200</v>
      </c>
      <c r="AE240" s="2" t="s">
        <v>43</v>
      </c>
      <c r="AF240" s="2" t="s">
        <v>125</v>
      </c>
      <c r="AG240" s="2" t="str">
        <f>IF(AD240&gt;37,"Proton symporter", "Diffusion")</f>
        <v>Proton symporter</v>
      </c>
      <c r="AH240" s="3" t="s">
        <v>126</v>
      </c>
    </row>
    <row r="241" spans="1:34" hidden="1" x14ac:dyDescent="0.2">
      <c r="A241" s="8" t="s">
        <v>34</v>
      </c>
      <c r="B241" s="9" t="s">
        <v>35</v>
      </c>
      <c r="C241" s="1" t="s">
        <v>56</v>
      </c>
      <c r="D241" s="14" t="s">
        <v>55</v>
      </c>
      <c r="E241" s="1" t="s">
        <v>122</v>
      </c>
      <c r="F241" s="1" t="s">
        <v>123</v>
      </c>
      <c r="G241" s="1">
        <v>-10</v>
      </c>
      <c r="H241" s="1">
        <v>-20</v>
      </c>
      <c r="I241" s="1" t="s">
        <v>40</v>
      </c>
      <c r="J241" s="1">
        <v>3.15</v>
      </c>
      <c r="K241" s="1">
        <v>-10</v>
      </c>
      <c r="L241" s="1">
        <v>-9.4562500000000096</v>
      </c>
      <c r="M241" s="1" t="s">
        <v>40</v>
      </c>
      <c r="N241" s="1">
        <v>4.45625000000003</v>
      </c>
      <c r="O241" s="1">
        <v>5.1087500000000103</v>
      </c>
      <c r="Q241" s="1">
        <v>0.51087500000000097</v>
      </c>
      <c r="R241" s="1">
        <v>0.72168870693495102</v>
      </c>
      <c r="S241" s="11" t="s">
        <v>122</v>
      </c>
      <c r="T241" s="2" t="s">
        <v>122</v>
      </c>
      <c r="U241" s="3" t="s">
        <v>41</v>
      </c>
      <c r="V241" s="2" t="s">
        <v>124</v>
      </c>
      <c r="W241" s="2">
        <v>5</v>
      </c>
      <c r="X241" s="2">
        <v>6</v>
      </c>
      <c r="Y241" s="2">
        <v>4</v>
      </c>
      <c r="Z241" s="2">
        <v>0</v>
      </c>
      <c r="AA241" s="2">
        <v>0</v>
      </c>
      <c r="AB241" s="12">
        <f>(W241*4+X241*1+Y241*-2+Z241*-3)/W241</f>
        <v>3.6</v>
      </c>
      <c r="AC241" s="3">
        <f>W241*12.0107+X241*1.00784+Y241*15.999+Z241*14.0067</f>
        <v>130.09654</v>
      </c>
      <c r="AD241" s="12">
        <v>200</v>
      </c>
      <c r="AE241" s="2" t="s">
        <v>43</v>
      </c>
      <c r="AF241" s="2" t="s">
        <v>125</v>
      </c>
      <c r="AG241" s="2" t="str">
        <f>IF(AD241&gt;37,"Proton symporter", "Diffusion")</f>
        <v>Proton symporter</v>
      </c>
      <c r="AH241" s="3" t="s">
        <v>126</v>
      </c>
    </row>
    <row r="242" spans="1:34" hidden="1" x14ac:dyDescent="0.2">
      <c r="A242" s="8" t="s">
        <v>34</v>
      </c>
      <c r="B242" s="9" t="s">
        <v>35</v>
      </c>
      <c r="C242" s="1" t="s">
        <v>48</v>
      </c>
      <c r="D242" s="10" t="s">
        <v>37</v>
      </c>
      <c r="E242" s="1" t="s">
        <v>122</v>
      </c>
      <c r="F242" s="1" t="s">
        <v>123</v>
      </c>
      <c r="G242" s="1">
        <v>-10</v>
      </c>
      <c r="H242" s="1">
        <v>-20</v>
      </c>
      <c r="I242" s="1" t="s">
        <v>40</v>
      </c>
      <c r="J242" s="1">
        <v>3.15</v>
      </c>
      <c r="K242" s="1">
        <v>-10</v>
      </c>
      <c r="L242" s="1">
        <v>-8.8859649122807003</v>
      </c>
      <c r="M242" s="1" t="s">
        <v>40</v>
      </c>
      <c r="N242" s="1">
        <v>3.8859649122806998</v>
      </c>
      <c r="O242" s="1">
        <v>3.2228070175438601</v>
      </c>
      <c r="Q242" s="1">
        <v>0.322280701754386</v>
      </c>
      <c r="R242" s="1">
        <v>0.67552821183470502</v>
      </c>
      <c r="S242" s="11" t="s">
        <v>122</v>
      </c>
      <c r="T242" s="2" t="s">
        <v>122</v>
      </c>
      <c r="U242" s="3" t="s">
        <v>41</v>
      </c>
      <c r="V242" s="2" t="s">
        <v>124</v>
      </c>
      <c r="W242" s="2">
        <v>5</v>
      </c>
      <c r="X242" s="2">
        <v>6</v>
      </c>
      <c r="Y242" s="2">
        <v>4</v>
      </c>
      <c r="Z242" s="2">
        <v>0</v>
      </c>
      <c r="AA242" s="2">
        <v>0</v>
      </c>
      <c r="AB242" s="12">
        <f>(W242*4+X242*1+Y242*-2+Z242*-3)/W242</f>
        <v>3.6</v>
      </c>
      <c r="AC242" s="3">
        <f>W242*12.0107+X242*1.00784+Y242*15.999+Z242*14.0067</f>
        <v>130.09654</v>
      </c>
      <c r="AD242" s="12">
        <v>200</v>
      </c>
      <c r="AE242" s="2" t="s">
        <v>43</v>
      </c>
      <c r="AF242" s="2" t="s">
        <v>125</v>
      </c>
      <c r="AG242" s="2" t="str">
        <f>IF(AD242&gt;37,"Proton symporter", "Diffusion")</f>
        <v>Proton symporter</v>
      </c>
      <c r="AH242" s="3" t="s">
        <v>126</v>
      </c>
    </row>
    <row r="243" spans="1:34" hidden="1" x14ac:dyDescent="0.2">
      <c r="A243" s="8" t="s">
        <v>34</v>
      </c>
      <c r="B243" s="9" t="s">
        <v>35</v>
      </c>
      <c r="C243" s="1" t="s">
        <v>54</v>
      </c>
      <c r="D243" s="14" t="s">
        <v>55</v>
      </c>
      <c r="E243" s="1" t="s">
        <v>122</v>
      </c>
      <c r="F243" s="1" t="s">
        <v>123</v>
      </c>
      <c r="G243" s="1">
        <v>-10</v>
      </c>
      <c r="H243" s="1">
        <v>-20</v>
      </c>
      <c r="I243" s="1" t="s">
        <v>40</v>
      </c>
      <c r="J243" s="1">
        <v>3.15</v>
      </c>
      <c r="K243" s="1">
        <v>-10</v>
      </c>
      <c r="L243" s="1">
        <v>-15.5714285714286</v>
      </c>
      <c r="M243" s="1" t="s">
        <v>40</v>
      </c>
      <c r="N243" s="1">
        <v>15.5714285714286</v>
      </c>
      <c r="O243" s="1">
        <v>8.8857142857142701</v>
      </c>
      <c r="Q243" s="1">
        <v>0.88857142857142701</v>
      </c>
      <c r="R243" s="1">
        <v>0.64167974116119897</v>
      </c>
      <c r="S243" s="11" t="s">
        <v>122</v>
      </c>
      <c r="T243" s="2" t="s">
        <v>122</v>
      </c>
      <c r="U243" s="3" t="s">
        <v>41</v>
      </c>
      <c r="V243" s="2" t="s">
        <v>124</v>
      </c>
      <c r="W243" s="2">
        <v>5</v>
      </c>
      <c r="X243" s="2">
        <v>6</v>
      </c>
      <c r="Y243" s="2">
        <v>4</v>
      </c>
      <c r="Z243" s="2">
        <v>0</v>
      </c>
      <c r="AA243" s="2">
        <v>0</v>
      </c>
      <c r="AB243" s="12">
        <f>(W243*4+X243*1+Y243*-2+Z243*-3)/W243</f>
        <v>3.6</v>
      </c>
      <c r="AC243" s="3">
        <f>W243*12.0107+X243*1.00784+Y243*15.999+Z243*14.0067</f>
        <v>130.09654</v>
      </c>
      <c r="AD243" s="12">
        <v>200</v>
      </c>
      <c r="AE243" s="2" t="s">
        <v>43</v>
      </c>
      <c r="AF243" s="2" t="s">
        <v>125</v>
      </c>
      <c r="AG243" s="2" t="str">
        <f>IF(AD243&gt;37,"Proton symporter", "Diffusion")</f>
        <v>Proton symporter</v>
      </c>
      <c r="AH243" s="3" t="s">
        <v>126</v>
      </c>
    </row>
    <row r="244" spans="1:34" hidden="1" x14ac:dyDescent="0.2">
      <c r="A244" s="8" t="s">
        <v>34</v>
      </c>
      <c r="B244" s="9" t="s">
        <v>35</v>
      </c>
      <c r="C244" s="1" t="s">
        <v>62</v>
      </c>
      <c r="D244" s="15" t="s">
        <v>55</v>
      </c>
      <c r="E244" s="1" t="s">
        <v>122</v>
      </c>
      <c r="F244" s="1" t="s">
        <v>123</v>
      </c>
      <c r="G244" s="1">
        <v>-10</v>
      </c>
      <c r="H244" s="1">
        <v>-20</v>
      </c>
      <c r="I244" s="1" t="s">
        <v>40</v>
      </c>
      <c r="J244" s="1">
        <v>3.15</v>
      </c>
      <c r="K244" s="1">
        <v>-10</v>
      </c>
      <c r="L244" s="1">
        <v>-13.4416666666667</v>
      </c>
      <c r="M244" s="1" t="s">
        <v>40</v>
      </c>
      <c r="N244" s="1">
        <v>13.4416666666667</v>
      </c>
      <c r="O244" s="1">
        <v>7.3116666666666701</v>
      </c>
      <c r="Q244" s="1">
        <v>0.73116666666666696</v>
      </c>
      <c r="R244" s="1">
        <v>0.63359923730544598</v>
      </c>
      <c r="S244" s="11" t="s">
        <v>122</v>
      </c>
      <c r="T244" s="2" t="s">
        <v>122</v>
      </c>
      <c r="U244" s="3" t="s">
        <v>41</v>
      </c>
      <c r="V244" s="2" t="s">
        <v>124</v>
      </c>
      <c r="W244" s="2">
        <v>5</v>
      </c>
      <c r="X244" s="2">
        <v>6</v>
      </c>
      <c r="Y244" s="2">
        <v>4</v>
      </c>
      <c r="Z244" s="2">
        <v>0</v>
      </c>
      <c r="AA244" s="2">
        <v>0</v>
      </c>
      <c r="AB244" s="12">
        <f>(W244*4+X244*1+Y244*-2+Z244*-3)/W244</f>
        <v>3.6</v>
      </c>
      <c r="AC244" s="3">
        <f>W244*12.0107+X244*1.00784+Y244*15.999+Z244*14.0067</f>
        <v>130.09654</v>
      </c>
      <c r="AD244" s="12">
        <v>200</v>
      </c>
      <c r="AE244" s="2" t="s">
        <v>43</v>
      </c>
      <c r="AF244" s="2" t="s">
        <v>125</v>
      </c>
      <c r="AG244" s="2" t="str">
        <f>IF(AD244&gt;37,"Proton symporter", "Diffusion")</f>
        <v>Proton symporter</v>
      </c>
      <c r="AH244" s="3" t="s">
        <v>126</v>
      </c>
    </row>
    <row r="245" spans="1:34" hidden="1" x14ac:dyDescent="0.2">
      <c r="A245" s="8" t="s">
        <v>34</v>
      </c>
      <c r="B245" s="9" t="s">
        <v>35</v>
      </c>
      <c r="C245" s="1" t="s">
        <v>47</v>
      </c>
      <c r="D245" s="10" t="s">
        <v>37</v>
      </c>
      <c r="E245" s="1" t="s">
        <v>122</v>
      </c>
      <c r="F245" s="1" t="s">
        <v>123</v>
      </c>
      <c r="G245" s="1">
        <v>-10</v>
      </c>
      <c r="H245" s="1">
        <v>-20</v>
      </c>
      <c r="I245" s="1" t="s">
        <v>40</v>
      </c>
      <c r="J245" s="1">
        <v>3.15</v>
      </c>
      <c r="K245" s="1">
        <v>-10</v>
      </c>
      <c r="L245" s="1">
        <v>-11.018750000000001</v>
      </c>
      <c r="M245" s="1" t="s">
        <v>40</v>
      </c>
      <c r="N245" s="1">
        <v>6.01875000000007</v>
      </c>
      <c r="O245" s="1">
        <v>2.7962500000000201</v>
      </c>
      <c r="Q245" s="1">
        <v>0.27962500000000201</v>
      </c>
      <c r="R245" s="1">
        <v>0.586118173399784</v>
      </c>
      <c r="S245" s="11" t="s">
        <v>122</v>
      </c>
      <c r="T245" s="2" t="s">
        <v>122</v>
      </c>
      <c r="U245" s="3" t="s">
        <v>41</v>
      </c>
      <c r="V245" s="2" t="s">
        <v>124</v>
      </c>
      <c r="W245" s="2">
        <v>5</v>
      </c>
      <c r="X245" s="2">
        <v>6</v>
      </c>
      <c r="Y245" s="2">
        <v>4</v>
      </c>
      <c r="Z245" s="2">
        <v>0</v>
      </c>
      <c r="AA245" s="2">
        <v>0</v>
      </c>
      <c r="AB245" s="12">
        <f>(W245*4+X245*1+Y245*-2+Z245*-3)/W245</f>
        <v>3.6</v>
      </c>
      <c r="AC245" s="3">
        <f>W245*12.0107+X245*1.00784+Y245*15.999+Z245*14.0067</f>
        <v>130.09654</v>
      </c>
      <c r="AD245" s="12">
        <v>200</v>
      </c>
      <c r="AE245" s="2" t="s">
        <v>43</v>
      </c>
      <c r="AF245" s="2" t="s">
        <v>125</v>
      </c>
      <c r="AG245" s="2" t="str">
        <f>IF(AD245&gt;37,"Proton symporter", "Diffusion")</f>
        <v>Proton symporter</v>
      </c>
      <c r="AH245" s="3" t="s">
        <v>126</v>
      </c>
    </row>
    <row r="246" spans="1:34" hidden="1" x14ac:dyDescent="0.2">
      <c r="A246" s="8" t="s">
        <v>34</v>
      </c>
      <c r="B246" s="9" t="s">
        <v>35</v>
      </c>
      <c r="C246" s="1" t="s">
        <v>58</v>
      </c>
      <c r="D246" s="10" t="s">
        <v>37</v>
      </c>
      <c r="E246" s="1" t="s">
        <v>122</v>
      </c>
      <c r="F246" s="1" t="s">
        <v>123</v>
      </c>
      <c r="G246" s="1">
        <v>-10</v>
      </c>
      <c r="H246" s="1">
        <v>-20</v>
      </c>
      <c r="I246" s="1" t="s">
        <v>40</v>
      </c>
      <c r="J246" s="1">
        <v>3.15</v>
      </c>
      <c r="K246" s="1">
        <v>-10</v>
      </c>
      <c r="L246" s="1">
        <v>-6.9561403508771997</v>
      </c>
      <c r="M246" s="1" t="s">
        <v>40</v>
      </c>
      <c r="N246" s="1">
        <v>6.9561403508772104</v>
      </c>
      <c r="O246" s="1">
        <v>2.6087719298245702</v>
      </c>
      <c r="Q246" s="1">
        <v>0.26087719298245698</v>
      </c>
      <c r="R246" s="1">
        <v>0.56516386085275905</v>
      </c>
      <c r="S246" s="11" t="s">
        <v>122</v>
      </c>
      <c r="T246" s="2" t="s">
        <v>122</v>
      </c>
      <c r="U246" s="3" t="s">
        <v>41</v>
      </c>
      <c r="V246" s="2" t="s">
        <v>124</v>
      </c>
      <c r="W246" s="2">
        <v>5</v>
      </c>
      <c r="X246" s="2">
        <v>6</v>
      </c>
      <c r="Y246" s="2">
        <v>4</v>
      </c>
      <c r="Z246" s="2">
        <v>0</v>
      </c>
      <c r="AA246" s="2">
        <v>0</v>
      </c>
      <c r="AB246" s="12">
        <f>(W246*4+X246*1+Y246*-2+Z246*-3)/W246</f>
        <v>3.6</v>
      </c>
      <c r="AC246" s="3">
        <f>W246*12.0107+X246*1.00784+Y246*15.999+Z246*14.0067</f>
        <v>130.09654</v>
      </c>
      <c r="AD246" s="12">
        <v>200</v>
      </c>
      <c r="AE246" s="2" t="s">
        <v>43</v>
      </c>
      <c r="AF246" s="2" t="s">
        <v>125</v>
      </c>
      <c r="AG246" s="2" t="str">
        <f>IF(AD246&gt;37,"Proton symporter", "Diffusion")</f>
        <v>Proton symporter</v>
      </c>
      <c r="AH246" s="3" t="s">
        <v>126</v>
      </c>
    </row>
    <row r="247" spans="1:34" hidden="1" x14ac:dyDescent="0.2">
      <c r="A247" s="8" t="s">
        <v>34</v>
      </c>
      <c r="B247" s="9" t="s">
        <v>35</v>
      </c>
      <c r="C247" s="1" t="s">
        <v>61</v>
      </c>
      <c r="D247" s="13" t="s">
        <v>51</v>
      </c>
      <c r="E247" s="1" t="s">
        <v>122</v>
      </c>
      <c r="F247" s="1" t="s">
        <v>123</v>
      </c>
      <c r="G247" s="1">
        <v>-10</v>
      </c>
      <c r="H247" s="1">
        <v>-20</v>
      </c>
      <c r="I247" s="1" t="s">
        <v>40</v>
      </c>
      <c r="J247" s="1">
        <v>3.15</v>
      </c>
      <c r="K247" s="1">
        <v>-10</v>
      </c>
      <c r="L247" s="1">
        <v>-8.4779411764705905</v>
      </c>
      <c r="M247" s="1" t="s">
        <v>40</v>
      </c>
      <c r="N247" s="1">
        <v>3.4779411764705901</v>
      </c>
      <c r="O247" s="1">
        <v>1.3044117647058799</v>
      </c>
      <c r="Q247" s="1">
        <v>0.13044117647058801</v>
      </c>
      <c r="R247" s="1">
        <v>0.52963122107548599</v>
      </c>
      <c r="S247" s="11" t="s">
        <v>122</v>
      </c>
      <c r="T247" s="2" t="s">
        <v>122</v>
      </c>
      <c r="U247" s="3" t="s">
        <v>41</v>
      </c>
      <c r="V247" s="2" t="s">
        <v>124</v>
      </c>
      <c r="W247" s="2">
        <v>5</v>
      </c>
      <c r="X247" s="2">
        <v>6</v>
      </c>
      <c r="Y247" s="2">
        <v>4</v>
      </c>
      <c r="Z247" s="2">
        <v>0</v>
      </c>
      <c r="AA247" s="2">
        <v>0</v>
      </c>
      <c r="AB247" s="12">
        <f>(W247*4+X247*1+Y247*-2+Z247*-3)/W247</f>
        <v>3.6</v>
      </c>
      <c r="AC247" s="3">
        <f>W247*12.0107+X247*1.00784+Y247*15.999+Z247*14.0067</f>
        <v>130.09654</v>
      </c>
      <c r="AD247" s="12">
        <v>200</v>
      </c>
      <c r="AE247" s="2" t="s">
        <v>43</v>
      </c>
      <c r="AF247" s="2" t="s">
        <v>125</v>
      </c>
      <c r="AG247" s="2" t="str">
        <f>IF(AD247&gt;37,"Proton symporter", "Diffusion")</f>
        <v>Proton symporter</v>
      </c>
      <c r="AH247" s="3" t="s">
        <v>126</v>
      </c>
    </row>
    <row r="248" spans="1:34" hidden="1" x14ac:dyDescent="0.2">
      <c r="A248" s="8" t="s">
        <v>34</v>
      </c>
      <c r="B248" s="9" t="s">
        <v>35</v>
      </c>
      <c r="C248" s="1" t="s">
        <v>57</v>
      </c>
      <c r="D248" s="10" t="s">
        <v>37</v>
      </c>
      <c r="E248" s="1" t="s">
        <v>122</v>
      </c>
      <c r="F248" s="1" t="s">
        <v>123</v>
      </c>
      <c r="G248" s="1">
        <v>-10</v>
      </c>
      <c r="H248" s="1">
        <v>-20</v>
      </c>
      <c r="I248" s="1" t="s">
        <v>40</v>
      </c>
      <c r="J248" s="1">
        <v>3.15</v>
      </c>
      <c r="K248" s="1">
        <v>-10</v>
      </c>
      <c r="L248" s="1">
        <v>-8.4416666666666593</v>
      </c>
      <c r="M248" s="1" t="s">
        <v>40</v>
      </c>
      <c r="N248" s="1">
        <v>8.4416666666666593</v>
      </c>
      <c r="O248" s="1">
        <v>2.3116666666666701</v>
      </c>
      <c r="Q248" s="1">
        <v>0.23116666666666699</v>
      </c>
      <c r="R248" s="1">
        <v>0.50079903244965496</v>
      </c>
      <c r="S248" s="11" t="s">
        <v>122</v>
      </c>
      <c r="T248" s="2" t="s">
        <v>122</v>
      </c>
      <c r="U248" s="3" t="s">
        <v>41</v>
      </c>
      <c r="V248" s="2" t="s">
        <v>124</v>
      </c>
      <c r="W248" s="2">
        <v>5</v>
      </c>
      <c r="X248" s="2">
        <v>6</v>
      </c>
      <c r="Y248" s="2">
        <v>4</v>
      </c>
      <c r="Z248" s="2">
        <v>0</v>
      </c>
      <c r="AA248" s="2">
        <v>0</v>
      </c>
      <c r="AB248" s="12">
        <f>(W248*4+X248*1+Y248*-2+Z248*-3)/W248</f>
        <v>3.6</v>
      </c>
      <c r="AC248" s="3">
        <f>W248*12.0107+X248*1.00784+Y248*15.999+Z248*14.0067</f>
        <v>130.09654</v>
      </c>
      <c r="AD248" s="12">
        <v>200</v>
      </c>
      <c r="AE248" s="2" t="s">
        <v>43</v>
      </c>
      <c r="AF248" s="2" t="s">
        <v>125</v>
      </c>
      <c r="AG248" s="2" t="str">
        <f>IF(AD248&gt;37,"Proton symporter", "Diffusion")</f>
        <v>Proton symporter</v>
      </c>
      <c r="AH248" s="3" t="s">
        <v>126</v>
      </c>
    </row>
    <row r="249" spans="1:34" hidden="1" x14ac:dyDescent="0.2">
      <c r="A249" s="8" t="s">
        <v>34</v>
      </c>
      <c r="B249" s="9" t="s">
        <v>35</v>
      </c>
      <c r="C249" s="1" t="s">
        <v>46</v>
      </c>
      <c r="D249" s="10" t="s">
        <v>37</v>
      </c>
      <c r="E249" s="1" t="s">
        <v>122</v>
      </c>
      <c r="F249" s="1" t="s">
        <v>123</v>
      </c>
      <c r="G249" s="1">
        <v>-10</v>
      </c>
      <c r="H249" s="1">
        <v>-20</v>
      </c>
      <c r="I249" s="1" t="s">
        <v>40</v>
      </c>
      <c r="J249" s="1">
        <v>3.15</v>
      </c>
      <c r="K249" s="1">
        <v>-10</v>
      </c>
      <c r="L249" s="1">
        <v>-8.7105263157894708</v>
      </c>
      <c r="M249" s="1" t="s">
        <v>40</v>
      </c>
      <c r="N249" s="1">
        <v>8.7105263157894708</v>
      </c>
      <c r="O249" s="1">
        <v>2.2578947368421001</v>
      </c>
      <c r="Q249" s="1">
        <v>0.22578947368421001</v>
      </c>
      <c r="R249" s="1">
        <v>0.49750976568802602</v>
      </c>
      <c r="S249" s="11" t="s">
        <v>122</v>
      </c>
      <c r="T249" s="2" t="s">
        <v>122</v>
      </c>
      <c r="U249" s="3" t="s">
        <v>41</v>
      </c>
      <c r="V249" s="2" t="s">
        <v>124</v>
      </c>
      <c r="W249" s="2">
        <v>5</v>
      </c>
      <c r="X249" s="2">
        <v>6</v>
      </c>
      <c r="Y249" s="2">
        <v>4</v>
      </c>
      <c r="Z249" s="2">
        <v>0</v>
      </c>
      <c r="AA249" s="2">
        <v>0</v>
      </c>
      <c r="AB249" s="12">
        <f>(W249*4+X249*1+Y249*-2+Z249*-3)/W249</f>
        <v>3.6</v>
      </c>
      <c r="AC249" s="3">
        <f>W249*12.0107+X249*1.00784+Y249*15.999+Z249*14.0067</f>
        <v>130.09654</v>
      </c>
      <c r="AD249" s="12">
        <v>200</v>
      </c>
      <c r="AE249" s="2" t="s">
        <v>43</v>
      </c>
      <c r="AF249" s="2" t="s">
        <v>125</v>
      </c>
      <c r="AG249" s="2" t="str">
        <f>IF(AD249&gt;37,"Proton symporter", "Diffusion")</f>
        <v>Proton symporter</v>
      </c>
      <c r="AH249" s="3" t="s">
        <v>126</v>
      </c>
    </row>
    <row r="250" spans="1:34" hidden="1" x14ac:dyDescent="0.2">
      <c r="A250" s="8" t="s">
        <v>34</v>
      </c>
      <c r="B250" s="9" t="s">
        <v>35</v>
      </c>
      <c r="C250" s="1" t="s">
        <v>50</v>
      </c>
      <c r="D250" s="13" t="s">
        <v>51</v>
      </c>
      <c r="E250" s="1" t="s">
        <v>122</v>
      </c>
      <c r="F250" s="1" t="s">
        <v>123</v>
      </c>
      <c r="G250" s="1">
        <v>-10</v>
      </c>
      <c r="H250" s="1">
        <v>-20</v>
      </c>
      <c r="I250" s="1" t="s">
        <v>40</v>
      </c>
      <c r="J250" s="1">
        <v>3.15</v>
      </c>
      <c r="K250" s="1">
        <v>-10</v>
      </c>
      <c r="L250" s="1">
        <v>-3.0249999999999999</v>
      </c>
      <c r="M250" s="1" t="s">
        <v>40</v>
      </c>
      <c r="N250" s="1">
        <v>8.0250000000000004</v>
      </c>
      <c r="O250" s="1">
        <v>0.39500000000000002</v>
      </c>
      <c r="Q250" s="1">
        <v>3.95E-2</v>
      </c>
      <c r="R250" s="1">
        <v>0.11164149438622099</v>
      </c>
      <c r="S250" s="11" t="s">
        <v>122</v>
      </c>
      <c r="T250" s="2" t="s">
        <v>122</v>
      </c>
      <c r="U250" s="3" t="s">
        <v>41</v>
      </c>
      <c r="V250" s="2" t="s">
        <v>124</v>
      </c>
      <c r="W250" s="2">
        <v>5</v>
      </c>
      <c r="X250" s="2">
        <v>6</v>
      </c>
      <c r="Y250" s="2">
        <v>4</v>
      </c>
      <c r="Z250" s="2">
        <v>0</v>
      </c>
      <c r="AA250" s="2">
        <v>0</v>
      </c>
      <c r="AB250" s="12">
        <f>(W250*4+X250*1+Y250*-2+Z250*-3)/W250</f>
        <v>3.6</v>
      </c>
      <c r="AC250" s="3">
        <f>W250*12.0107+X250*1.00784+Y250*15.999+Z250*14.0067</f>
        <v>130.09654</v>
      </c>
      <c r="AD250" s="12">
        <v>200</v>
      </c>
      <c r="AE250" s="2" t="s">
        <v>43</v>
      </c>
      <c r="AF250" s="2" t="s">
        <v>125</v>
      </c>
      <c r="AG250" s="2" t="str">
        <f>IF(AD250&gt;37,"Proton symporter", "Diffusion")</f>
        <v>Proton symporter</v>
      </c>
      <c r="AH250" s="3" t="s">
        <v>126</v>
      </c>
    </row>
    <row r="251" spans="1:34" hidden="1" x14ac:dyDescent="0.2">
      <c r="A251" s="8" t="s">
        <v>34</v>
      </c>
      <c r="B251" s="9" t="s">
        <v>35</v>
      </c>
      <c r="C251" s="1" t="s">
        <v>52</v>
      </c>
      <c r="D251" s="13" t="s">
        <v>51</v>
      </c>
      <c r="E251" s="1" t="s">
        <v>122</v>
      </c>
      <c r="F251" s="1" t="s">
        <v>123</v>
      </c>
      <c r="G251" s="1">
        <v>-10</v>
      </c>
      <c r="H251" s="1">
        <v>-20</v>
      </c>
      <c r="I251" s="1" t="s">
        <v>40</v>
      </c>
      <c r="J251" s="1">
        <v>3.15</v>
      </c>
      <c r="K251" s="1">
        <v>-10</v>
      </c>
      <c r="L251" s="1">
        <v>-3.5892857142857202</v>
      </c>
      <c r="M251" s="1" t="s">
        <v>40</v>
      </c>
      <c r="N251" s="1">
        <v>8.5892857142857206</v>
      </c>
      <c r="O251" s="1">
        <v>0.28214285714285697</v>
      </c>
      <c r="Q251" s="1">
        <v>2.8214285714285699E-2</v>
      </c>
      <c r="R251" s="1">
        <v>7.9743924561586493E-2</v>
      </c>
      <c r="S251" s="11" t="s">
        <v>122</v>
      </c>
      <c r="T251" s="2" t="s">
        <v>122</v>
      </c>
      <c r="U251" s="3" t="s">
        <v>41</v>
      </c>
      <c r="V251" s="2" t="s">
        <v>124</v>
      </c>
      <c r="W251" s="2">
        <v>5</v>
      </c>
      <c r="X251" s="2">
        <v>6</v>
      </c>
      <c r="Y251" s="2">
        <v>4</v>
      </c>
      <c r="Z251" s="2">
        <v>0</v>
      </c>
      <c r="AA251" s="2">
        <v>0</v>
      </c>
      <c r="AB251" s="12">
        <f>(W251*4+X251*1+Y251*-2+Z251*-3)/W251</f>
        <v>3.6</v>
      </c>
      <c r="AC251" s="3">
        <f>W251*12.0107+X251*1.00784+Y251*15.999+Z251*14.0067</f>
        <v>130.09654</v>
      </c>
      <c r="AD251" s="12">
        <v>200</v>
      </c>
      <c r="AE251" s="2" t="s">
        <v>43</v>
      </c>
      <c r="AF251" s="2" t="s">
        <v>125</v>
      </c>
      <c r="AG251" s="2" t="str">
        <f>IF(AD251&gt;37,"Proton symporter", "Diffusion")</f>
        <v>Proton symporter</v>
      </c>
      <c r="AH251" s="3" t="s">
        <v>126</v>
      </c>
    </row>
    <row r="252" spans="1:34" hidden="1" x14ac:dyDescent="0.2">
      <c r="A252" s="8" t="s">
        <v>34</v>
      </c>
      <c r="B252" s="9" t="s">
        <v>35</v>
      </c>
      <c r="C252" s="1" t="s">
        <v>53</v>
      </c>
      <c r="D252" s="13" t="s">
        <v>51</v>
      </c>
      <c r="E252" s="1" t="s">
        <v>122</v>
      </c>
      <c r="F252" s="1" t="s">
        <v>123</v>
      </c>
      <c r="G252" s="1">
        <v>-10</v>
      </c>
      <c r="H252" s="1">
        <v>-20</v>
      </c>
      <c r="I252" s="1" t="s">
        <v>40</v>
      </c>
      <c r="J252" s="1">
        <v>3.15</v>
      </c>
      <c r="K252" s="1">
        <v>-10</v>
      </c>
      <c r="L252" s="1">
        <v>-4.3045774647887303</v>
      </c>
      <c r="M252" s="1" t="s">
        <v>40</v>
      </c>
      <c r="N252" s="1">
        <v>9.3045774647887303</v>
      </c>
      <c r="O252" s="1">
        <v>0.139084507042253</v>
      </c>
      <c r="Q252" s="1">
        <v>1.3908450704225301E-2</v>
      </c>
      <c r="R252" s="1">
        <v>3.93103853472608E-2</v>
      </c>
      <c r="S252" s="11" t="s">
        <v>122</v>
      </c>
      <c r="T252" s="2" t="s">
        <v>122</v>
      </c>
      <c r="U252" s="3" t="s">
        <v>41</v>
      </c>
      <c r="V252" s="2" t="s">
        <v>124</v>
      </c>
      <c r="W252" s="2">
        <v>5</v>
      </c>
      <c r="X252" s="2">
        <v>6</v>
      </c>
      <c r="Y252" s="2">
        <v>4</v>
      </c>
      <c r="Z252" s="2">
        <v>0</v>
      </c>
      <c r="AA252" s="2">
        <v>0</v>
      </c>
      <c r="AB252" s="12">
        <f>(W252*4+X252*1+Y252*-2+Z252*-3)/W252</f>
        <v>3.6</v>
      </c>
      <c r="AC252" s="3">
        <f>W252*12.0107+X252*1.00784+Y252*15.999+Z252*14.0067</f>
        <v>130.09654</v>
      </c>
      <c r="AD252" s="12">
        <v>200</v>
      </c>
      <c r="AE252" s="2" t="s">
        <v>43</v>
      </c>
      <c r="AF252" s="2" t="s">
        <v>125</v>
      </c>
      <c r="AG252" s="2" t="str">
        <f>IF(AD252&gt;37,"Proton symporter", "Diffusion")</f>
        <v>Proton symporter</v>
      </c>
      <c r="AH252" s="3" t="s">
        <v>126</v>
      </c>
    </row>
    <row r="253" spans="1:34" hidden="1" x14ac:dyDescent="0.2">
      <c r="A253" s="8" t="s">
        <v>350</v>
      </c>
      <c r="B253" s="17" t="s">
        <v>64</v>
      </c>
      <c r="C253" t="s">
        <v>351</v>
      </c>
      <c r="D253" s="13" t="s">
        <v>51</v>
      </c>
      <c r="E253" t="s">
        <v>122</v>
      </c>
      <c r="F253" t="s">
        <v>123</v>
      </c>
      <c r="G253">
        <v>-10</v>
      </c>
      <c r="H253">
        <v>0</v>
      </c>
      <c r="I253">
        <v>0</v>
      </c>
      <c r="J253">
        <v>0.45</v>
      </c>
      <c r="K253">
        <v>-1.7999999999999901</v>
      </c>
      <c r="L253">
        <v>0</v>
      </c>
      <c r="M253">
        <v>0</v>
      </c>
      <c r="N253">
        <v>0</v>
      </c>
      <c r="O253">
        <v>0</v>
      </c>
      <c r="P253"/>
      <c r="Q253">
        <v>0</v>
      </c>
      <c r="R253">
        <v>0</v>
      </c>
      <c r="S253" s="3" t="str">
        <f>VLOOKUP($E253,'[1]Product Naming'!$A$1:$P$58,2)</f>
        <v>Glutarate</v>
      </c>
      <c r="T253" s="3" t="str">
        <f>VLOOKUP($E253,'[1]Product Naming'!$A$1:$P$58,3)</f>
        <v>Glutarate</v>
      </c>
      <c r="U253" s="3" t="str">
        <f>VLOOKUP($E253,'[1]Product Naming'!$A$1:$P$58,4)</f>
        <v>A</v>
      </c>
      <c r="V253" s="3" t="str">
        <f>VLOOKUP($E253,'[1]Product Naming'!$A$1:$P$58,5)</f>
        <v>C5H6O4</v>
      </c>
      <c r="W253" s="3">
        <f>VLOOKUP($E253,'[1]Product Naming'!$A$1:$P$58,6)</f>
        <v>5</v>
      </c>
      <c r="X253" s="3">
        <f>VLOOKUP($E253,'[1]Product Naming'!$A$1:$P$58,7)</f>
        <v>6</v>
      </c>
      <c r="Y253" s="3">
        <f>VLOOKUP($E253,'[1]Product Naming'!$A$1:$P$58,8)</f>
        <v>4</v>
      </c>
      <c r="Z253" s="3">
        <f>VLOOKUP($E253,'[1]Product Naming'!$A$1:$P$58,9)</f>
        <v>0</v>
      </c>
      <c r="AA253" s="3">
        <f>VLOOKUP($E253,'[1]Product Naming'!$A$1:$P$58,10)</f>
        <v>-2</v>
      </c>
      <c r="AB253" s="3">
        <f>VLOOKUP($E253,'[1]Product Naming'!$A$1:$P$58,11)</f>
        <v>3.6</v>
      </c>
      <c r="AC253" s="3">
        <f>VLOOKUP($E253,'[1]Product Naming'!$A$1:$P$58,12)</f>
        <v>130.09654</v>
      </c>
      <c r="AD253" s="3">
        <f>VLOOKUP($E253,'[1]Product Naming'!$A$1:$P$58,13)</f>
        <v>200</v>
      </c>
      <c r="AE253" s="3" t="str">
        <f>VLOOKUP($E253,'[1]Product Naming'!$A$1:$P$58,14)</f>
        <v>Dicarboxylate</v>
      </c>
      <c r="AF253" s="3" t="str">
        <f>VLOOKUP($E253,'[1]Product Naming'!$A$1:$P$58,15)</f>
        <v>Oxaloacetate + aKG</v>
      </c>
      <c r="AG253" s="3" t="str">
        <f>VLOOKUP($E253,'[1]Product Naming'!$A$1:$P$58,16)</f>
        <v>Proton symporter</v>
      </c>
      <c r="AH253" s="3" t="str">
        <f>VLOOKUP($E253,'[1]Product Naming'!$A$1:$Q$58,17)</f>
        <v>glutar_c</v>
      </c>
    </row>
    <row r="254" spans="1:34" hidden="1" x14ac:dyDescent="0.2">
      <c r="A254" s="8" t="s">
        <v>350</v>
      </c>
      <c r="B254" s="17" t="s">
        <v>64</v>
      </c>
      <c r="C254" t="s">
        <v>352</v>
      </c>
      <c r="D254" s="13" t="s">
        <v>51</v>
      </c>
      <c r="E254" t="s">
        <v>122</v>
      </c>
      <c r="F254" t="s">
        <v>123</v>
      </c>
      <c r="G254">
        <v>-10</v>
      </c>
      <c r="H254">
        <v>0</v>
      </c>
      <c r="I254">
        <v>0</v>
      </c>
      <c r="J254">
        <v>0.45</v>
      </c>
      <c r="K254">
        <v>-1.02857142857142</v>
      </c>
      <c r="L254">
        <v>0</v>
      </c>
      <c r="M254">
        <v>0</v>
      </c>
      <c r="N254">
        <v>0</v>
      </c>
      <c r="O254">
        <v>0</v>
      </c>
      <c r="P254"/>
      <c r="Q254">
        <v>0</v>
      </c>
      <c r="R254">
        <v>0</v>
      </c>
      <c r="S254" s="3" t="str">
        <f>VLOOKUP($E254,'[1]Product Naming'!$A$1:$P$58,2)</f>
        <v>Glutarate</v>
      </c>
      <c r="T254" s="3" t="str">
        <f>VLOOKUP($E254,'[1]Product Naming'!$A$1:$P$58,3)</f>
        <v>Glutarate</v>
      </c>
      <c r="U254" s="3" t="str">
        <f>VLOOKUP($E254,'[1]Product Naming'!$A$1:$P$58,4)</f>
        <v>A</v>
      </c>
      <c r="V254" s="3" t="str">
        <f>VLOOKUP($E254,'[1]Product Naming'!$A$1:$P$58,5)</f>
        <v>C5H6O4</v>
      </c>
      <c r="W254" s="3">
        <f>VLOOKUP($E254,'[1]Product Naming'!$A$1:$P$58,6)</f>
        <v>5</v>
      </c>
      <c r="X254" s="3">
        <f>VLOOKUP($E254,'[1]Product Naming'!$A$1:$P$58,7)</f>
        <v>6</v>
      </c>
      <c r="Y254" s="3">
        <f>VLOOKUP($E254,'[1]Product Naming'!$A$1:$P$58,8)</f>
        <v>4</v>
      </c>
      <c r="Z254" s="3">
        <f>VLOOKUP($E254,'[1]Product Naming'!$A$1:$P$58,9)</f>
        <v>0</v>
      </c>
      <c r="AA254" s="3">
        <f>VLOOKUP($E254,'[1]Product Naming'!$A$1:$P$58,10)</f>
        <v>-2</v>
      </c>
      <c r="AB254" s="3">
        <f>VLOOKUP($E254,'[1]Product Naming'!$A$1:$P$58,11)</f>
        <v>3.6</v>
      </c>
      <c r="AC254" s="3">
        <f>VLOOKUP($E254,'[1]Product Naming'!$A$1:$P$58,12)</f>
        <v>130.09654</v>
      </c>
      <c r="AD254" s="3">
        <f>VLOOKUP($E254,'[1]Product Naming'!$A$1:$P$58,13)</f>
        <v>200</v>
      </c>
      <c r="AE254" s="3" t="str">
        <f>VLOOKUP($E254,'[1]Product Naming'!$A$1:$P$58,14)</f>
        <v>Dicarboxylate</v>
      </c>
      <c r="AF254" s="3" t="str">
        <f>VLOOKUP($E254,'[1]Product Naming'!$A$1:$P$58,15)</f>
        <v>Oxaloacetate + aKG</v>
      </c>
      <c r="AG254" s="3" t="str">
        <f>VLOOKUP($E254,'[1]Product Naming'!$A$1:$P$58,16)</f>
        <v>Proton symporter</v>
      </c>
      <c r="AH254" s="3" t="str">
        <f>VLOOKUP($E254,'[1]Product Naming'!$A$1:$Q$58,17)</f>
        <v>glutar_c</v>
      </c>
    </row>
    <row r="255" spans="1:34" hidden="1" x14ac:dyDescent="0.2">
      <c r="A255" s="8" t="s">
        <v>350</v>
      </c>
      <c r="B255" s="17" t="s">
        <v>64</v>
      </c>
      <c r="C255" t="s">
        <v>353</v>
      </c>
      <c r="D255" s="13" t="s">
        <v>51</v>
      </c>
      <c r="E255" t="s">
        <v>122</v>
      </c>
      <c r="F255" t="s">
        <v>123</v>
      </c>
      <c r="G255">
        <v>-10</v>
      </c>
      <c r="H255">
        <v>0</v>
      </c>
      <c r="I255">
        <v>0</v>
      </c>
      <c r="J255">
        <v>0.45</v>
      </c>
      <c r="K255">
        <v>-0.76595744680850997</v>
      </c>
      <c r="L255">
        <v>0</v>
      </c>
      <c r="M255">
        <v>0</v>
      </c>
      <c r="N255">
        <v>0</v>
      </c>
      <c r="O255">
        <v>0</v>
      </c>
      <c r="P255"/>
      <c r="Q255">
        <v>0</v>
      </c>
      <c r="R255">
        <v>0</v>
      </c>
      <c r="S255" s="3" t="str">
        <f>VLOOKUP($E255,'[1]Product Naming'!$A$1:$P$58,2)</f>
        <v>Glutarate</v>
      </c>
      <c r="T255" s="3" t="str">
        <f>VLOOKUP($E255,'[1]Product Naming'!$A$1:$P$58,3)</f>
        <v>Glutarate</v>
      </c>
      <c r="U255" s="3" t="str">
        <f>VLOOKUP($E255,'[1]Product Naming'!$A$1:$P$58,4)</f>
        <v>A</v>
      </c>
      <c r="V255" s="3" t="str">
        <f>VLOOKUP($E255,'[1]Product Naming'!$A$1:$P$58,5)</f>
        <v>C5H6O4</v>
      </c>
      <c r="W255" s="3">
        <f>VLOOKUP($E255,'[1]Product Naming'!$A$1:$P$58,6)</f>
        <v>5</v>
      </c>
      <c r="X255" s="3">
        <f>VLOOKUP($E255,'[1]Product Naming'!$A$1:$P$58,7)</f>
        <v>6</v>
      </c>
      <c r="Y255" s="3">
        <f>VLOOKUP($E255,'[1]Product Naming'!$A$1:$P$58,8)</f>
        <v>4</v>
      </c>
      <c r="Z255" s="3">
        <f>VLOOKUP($E255,'[1]Product Naming'!$A$1:$P$58,9)</f>
        <v>0</v>
      </c>
      <c r="AA255" s="3">
        <f>VLOOKUP($E255,'[1]Product Naming'!$A$1:$P$58,10)</f>
        <v>-2</v>
      </c>
      <c r="AB255" s="3">
        <f>VLOOKUP($E255,'[1]Product Naming'!$A$1:$P$58,11)</f>
        <v>3.6</v>
      </c>
      <c r="AC255" s="3">
        <f>VLOOKUP($E255,'[1]Product Naming'!$A$1:$P$58,12)</f>
        <v>130.09654</v>
      </c>
      <c r="AD255" s="3">
        <f>VLOOKUP($E255,'[1]Product Naming'!$A$1:$P$58,13)</f>
        <v>200</v>
      </c>
      <c r="AE255" s="3" t="str">
        <f>VLOOKUP($E255,'[1]Product Naming'!$A$1:$P$58,14)</f>
        <v>Dicarboxylate</v>
      </c>
      <c r="AF255" s="3" t="str">
        <f>VLOOKUP($E255,'[1]Product Naming'!$A$1:$P$58,15)</f>
        <v>Oxaloacetate + aKG</v>
      </c>
      <c r="AG255" s="3" t="str">
        <f>VLOOKUP($E255,'[1]Product Naming'!$A$1:$P$58,16)</f>
        <v>Proton symporter</v>
      </c>
      <c r="AH255" s="3" t="str">
        <f>VLOOKUP($E255,'[1]Product Naming'!$A$1:$Q$58,17)</f>
        <v>glutar_c</v>
      </c>
    </row>
    <row r="256" spans="1:34" hidden="1" x14ac:dyDescent="0.2">
      <c r="A256" s="8" t="s">
        <v>350</v>
      </c>
      <c r="B256" s="17" t="s">
        <v>64</v>
      </c>
      <c r="C256" t="s">
        <v>354</v>
      </c>
      <c r="D256" s="13" t="s">
        <v>51</v>
      </c>
      <c r="E256" t="s">
        <v>122</v>
      </c>
      <c r="F256" t="s">
        <v>123</v>
      </c>
      <c r="G256">
        <v>-10</v>
      </c>
      <c r="H256">
        <v>0</v>
      </c>
      <c r="I256">
        <v>0</v>
      </c>
      <c r="J256">
        <v>0.45</v>
      </c>
      <c r="K256">
        <v>-0.72</v>
      </c>
      <c r="L256">
        <v>0</v>
      </c>
      <c r="M256">
        <v>0</v>
      </c>
      <c r="N256">
        <v>0</v>
      </c>
      <c r="O256">
        <v>0</v>
      </c>
      <c r="P256"/>
      <c r="Q256">
        <v>0</v>
      </c>
      <c r="R256">
        <v>0</v>
      </c>
      <c r="S256" s="3" t="str">
        <f>VLOOKUP($E256,'[1]Product Naming'!$A$1:$P$58,2)</f>
        <v>Glutarate</v>
      </c>
      <c r="T256" s="3" t="str">
        <f>VLOOKUP($E256,'[1]Product Naming'!$A$1:$P$58,3)</f>
        <v>Glutarate</v>
      </c>
      <c r="U256" s="3" t="str">
        <f>VLOOKUP($E256,'[1]Product Naming'!$A$1:$P$58,4)</f>
        <v>A</v>
      </c>
      <c r="V256" s="3" t="str">
        <f>VLOOKUP($E256,'[1]Product Naming'!$A$1:$P$58,5)</f>
        <v>C5H6O4</v>
      </c>
      <c r="W256" s="3">
        <f>VLOOKUP($E256,'[1]Product Naming'!$A$1:$P$58,6)</f>
        <v>5</v>
      </c>
      <c r="X256" s="3">
        <f>VLOOKUP($E256,'[1]Product Naming'!$A$1:$P$58,7)</f>
        <v>6</v>
      </c>
      <c r="Y256" s="3">
        <f>VLOOKUP($E256,'[1]Product Naming'!$A$1:$P$58,8)</f>
        <v>4</v>
      </c>
      <c r="Z256" s="3">
        <f>VLOOKUP($E256,'[1]Product Naming'!$A$1:$P$58,9)</f>
        <v>0</v>
      </c>
      <c r="AA256" s="3">
        <f>VLOOKUP($E256,'[1]Product Naming'!$A$1:$P$58,10)</f>
        <v>-2</v>
      </c>
      <c r="AB256" s="3">
        <f>VLOOKUP($E256,'[1]Product Naming'!$A$1:$P$58,11)</f>
        <v>3.6</v>
      </c>
      <c r="AC256" s="3">
        <f>VLOOKUP($E256,'[1]Product Naming'!$A$1:$P$58,12)</f>
        <v>130.09654</v>
      </c>
      <c r="AD256" s="3">
        <f>VLOOKUP($E256,'[1]Product Naming'!$A$1:$P$58,13)</f>
        <v>200</v>
      </c>
      <c r="AE256" s="3" t="str">
        <f>VLOOKUP($E256,'[1]Product Naming'!$A$1:$P$58,14)</f>
        <v>Dicarboxylate</v>
      </c>
      <c r="AF256" s="3" t="str">
        <f>VLOOKUP($E256,'[1]Product Naming'!$A$1:$P$58,15)</f>
        <v>Oxaloacetate + aKG</v>
      </c>
      <c r="AG256" s="3" t="str">
        <f>VLOOKUP($E256,'[1]Product Naming'!$A$1:$P$58,16)</f>
        <v>Proton symporter</v>
      </c>
      <c r="AH256" s="3" t="str">
        <f>VLOOKUP($E256,'[1]Product Naming'!$A$1:$Q$58,17)</f>
        <v>glutar_c</v>
      </c>
    </row>
    <row r="257" spans="1:34" hidden="1" x14ac:dyDescent="0.2">
      <c r="A257" s="8" t="s">
        <v>368</v>
      </c>
      <c r="B257" s="17" t="s">
        <v>64</v>
      </c>
      <c r="C257" t="s">
        <v>369</v>
      </c>
      <c r="D257" s="18" t="s">
        <v>66</v>
      </c>
      <c r="E257" t="s">
        <v>122</v>
      </c>
      <c r="F257" t="s">
        <v>123</v>
      </c>
      <c r="G257">
        <v>-10</v>
      </c>
      <c r="H257">
        <v>0</v>
      </c>
      <c r="I257">
        <v>-20</v>
      </c>
      <c r="J257">
        <v>0.45</v>
      </c>
      <c r="K257">
        <v>-0.9</v>
      </c>
      <c r="L257">
        <v>0</v>
      </c>
      <c r="M257">
        <v>-2.7</v>
      </c>
      <c r="N257">
        <v>-0.9</v>
      </c>
      <c r="O257">
        <v>0</v>
      </c>
      <c r="P257"/>
      <c r="Q257">
        <v>0</v>
      </c>
      <c r="R257">
        <v>0</v>
      </c>
      <c r="S257" s="1" t="str">
        <f>VLOOKUP($E257,'[1]Product Naming'!$A$1:$P$58,2)</f>
        <v>Glutarate</v>
      </c>
      <c r="T257" s="1" t="str">
        <f>VLOOKUP($E257,'[1]Product Naming'!$A$1:$P$58,3)</f>
        <v>Glutarate</v>
      </c>
      <c r="U257" s="1" t="str">
        <f>VLOOKUP($E257,'[1]Product Naming'!$A$1:$P$58,4)</f>
        <v>A</v>
      </c>
      <c r="V257" s="1" t="str">
        <f>VLOOKUP($E257,'[1]Product Naming'!$A$1:$P$58,5)</f>
        <v>C5H6O4</v>
      </c>
      <c r="W257" s="1">
        <f>VLOOKUP($E257,'[1]Product Naming'!$A$1:$P$58,6)</f>
        <v>5</v>
      </c>
      <c r="X257" s="1">
        <f>VLOOKUP($E257,'[1]Product Naming'!$A$1:$P$58,7)</f>
        <v>6</v>
      </c>
      <c r="Y257" s="1">
        <f>VLOOKUP($E257,'[1]Product Naming'!$A$1:$P$58,8)</f>
        <v>4</v>
      </c>
      <c r="Z257" s="1">
        <f>VLOOKUP($E257,'[1]Product Naming'!$A$1:$P$58,9)</f>
        <v>0</v>
      </c>
      <c r="AA257" s="1">
        <f>VLOOKUP($E257,'[1]Product Naming'!$A$1:$P$58,10)</f>
        <v>-2</v>
      </c>
      <c r="AB257" s="27">
        <f>VLOOKUP($E257,'[1]Product Naming'!$A$1:$P$58,11)</f>
        <v>3.6</v>
      </c>
      <c r="AC257" s="3">
        <f>VLOOKUP($E257,'[1]Product Naming'!$A$1:$P$58,12)</f>
        <v>130.09654</v>
      </c>
      <c r="AD257" s="1">
        <f>VLOOKUP($E257,'[1]Product Naming'!$A$1:$P$58,13)</f>
        <v>200</v>
      </c>
      <c r="AE257" s="1" t="str">
        <f>VLOOKUP($E257,'[1]Product Naming'!$A$1:$P$58,14)</f>
        <v>Dicarboxylate</v>
      </c>
      <c r="AF257" s="1" t="str">
        <f>VLOOKUP($E257,'[1]Product Naming'!$A$1:$P$58,15)</f>
        <v>Oxaloacetate + aKG</v>
      </c>
      <c r="AG257" s="28" t="str">
        <f>VLOOKUP($E257,'[1]Product Naming'!$A$1:$P$58,16)</f>
        <v>Proton symporter</v>
      </c>
      <c r="AH257" s="3" t="str">
        <f>VLOOKUP($E257,'[1]Product Naming'!$A$1:$Q$58,17)</f>
        <v>glutar_c</v>
      </c>
    </row>
    <row r="258" spans="1:34" hidden="1" x14ac:dyDescent="0.2">
      <c r="A258" s="8" t="s">
        <v>34</v>
      </c>
      <c r="B258" s="9" t="s">
        <v>35</v>
      </c>
      <c r="C258" s="1" t="s">
        <v>49</v>
      </c>
      <c r="D258" s="10" t="s">
        <v>37</v>
      </c>
      <c r="E258" s="1" t="s">
        <v>133</v>
      </c>
      <c r="F258" s="1" t="s">
        <v>128</v>
      </c>
      <c r="G258" s="1">
        <v>-10</v>
      </c>
      <c r="H258" s="1">
        <v>-20</v>
      </c>
      <c r="I258" s="1" t="s">
        <v>40</v>
      </c>
      <c r="J258" s="1">
        <v>3.15</v>
      </c>
      <c r="K258" s="1">
        <v>-10</v>
      </c>
      <c r="L258" s="1">
        <v>-4.2705882352941202</v>
      </c>
      <c r="M258" s="1" t="s">
        <v>40</v>
      </c>
      <c r="N258" s="1">
        <v>-5.7294117647058904</v>
      </c>
      <c r="O258" s="1">
        <v>8.5764705882352903</v>
      </c>
      <c r="Q258" s="1">
        <v>0.85764705882352898</v>
      </c>
      <c r="R258" s="1">
        <v>1.3228199398917</v>
      </c>
      <c r="S258" s="11" t="s">
        <v>133</v>
      </c>
      <c r="T258" s="2" t="s">
        <v>134</v>
      </c>
      <c r="U258" s="3" t="s">
        <v>41</v>
      </c>
      <c r="V258" s="2" t="s">
        <v>130</v>
      </c>
      <c r="W258" s="2">
        <v>3</v>
      </c>
      <c r="X258" s="2">
        <v>3</v>
      </c>
      <c r="Y258" s="2">
        <v>2</v>
      </c>
      <c r="Z258" s="2">
        <v>0</v>
      </c>
      <c r="AA258" s="2">
        <v>0</v>
      </c>
      <c r="AB258" s="12">
        <f>(W258*4+X258*1+Y258*-2+Z258*-3)/W258</f>
        <v>3.6666666666666665</v>
      </c>
      <c r="AC258" s="3">
        <f>W258*12.0107+X258*1.00784+Y258*15.999+Z258*14.0067</f>
        <v>71.053619999999995</v>
      </c>
      <c r="AD258" s="12">
        <v>80</v>
      </c>
      <c r="AE258" s="2" t="s">
        <v>131</v>
      </c>
      <c r="AF258" s="2" t="s">
        <v>135</v>
      </c>
      <c r="AG258" s="2" t="str">
        <f>IF(AD258&gt;37,"Proton symporter", "Diffusion")</f>
        <v>Proton symporter</v>
      </c>
      <c r="AH258" s="3" t="s">
        <v>132</v>
      </c>
    </row>
    <row r="259" spans="1:34" hidden="1" x14ac:dyDescent="0.2">
      <c r="A259" s="8" t="s">
        <v>34</v>
      </c>
      <c r="B259" s="9" t="s">
        <v>35</v>
      </c>
      <c r="C259" s="1" t="s">
        <v>36</v>
      </c>
      <c r="D259" s="10" t="s">
        <v>37</v>
      </c>
      <c r="E259" s="1" t="s">
        <v>133</v>
      </c>
      <c r="F259" s="1" t="s">
        <v>128</v>
      </c>
      <c r="G259" s="1">
        <v>-10</v>
      </c>
      <c r="H259" s="1">
        <v>-20</v>
      </c>
      <c r="I259" s="1" t="s">
        <v>40</v>
      </c>
      <c r="J259" s="1">
        <v>3.15</v>
      </c>
      <c r="K259" s="1">
        <v>-10</v>
      </c>
      <c r="L259" s="1">
        <v>-3.3882352941176501</v>
      </c>
      <c r="M259" s="1" t="s">
        <v>40</v>
      </c>
      <c r="N259" s="1">
        <v>-1.6117647058823501</v>
      </c>
      <c r="O259" s="1">
        <v>7.2039215686274503</v>
      </c>
      <c r="Q259" s="1">
        <v>0.72039215686274505</v>
      </c>
      <c r="R259" s="1">
        <v>1.16196198664267</v>
      </c>
      <c r="S259" s="11" t="s">
        <v>133</v>
      </c>
      <c r="T259" s="2" t="s">
        <v>134</v>
      </c>
      <c r="U259" s="3" t="s">
        <v>41</v>
      </c>
      <c r="V259" s="2" t="s">
        <v>130</v>
      </c>
      <c r="W259" s="2">
        <v>3</v>
      </c>
      <c r="X259" s="2">
        <v>3</v>
      </c>
      <c r="Y259" s="2">
        <v>2</v>
      </c>
      <c r="Z259" s="2">
        <v>0</v>
      </c>
      <c r="AA259" s="2">
        <v>0</v>
      </c>
      <c r="AB259" s="12">
        <f>(W259*4+X259*1+Y259*-2+Z259*-3)/W259</f>
        <v>3.6666666666666665</v>
      </c>
      <c r="AC259" s="3">
        <f>W259*12.0107+X259*1.00784+Y259*15.999+Z259*14.0067</f>
        <v>71.053619999999995</v>
      </c>
      <c r="AD259" s="12">
        <v>80</v>
      </c>
      <c r="AE259" s="2" t="s">
        <v>131</v>
      </c>
      <c r="AF259" s="2" t="s">
        <v>135</v>
      </c>
      <c r="AG259" s="2" t="str">
        <f>IF(AD259&gt;37,"Proton symporter", "Diffusion")</f>
        <v>Proton symporter</v>
      </c>
      <c r="AH259" s="3" t="s">
        <v>132</v>
      </c>
    </row>
    <row r="260" spans="1:34" hidden="1" x14ac:dyDescent="0.2">
      <c r="A260" s="8" t="s">
        <v>34</v>
      </c>
      <c r="B260" s="9" t="s">
        <v>35</v>
      </c>
      <c r="C260" s="1" t="s">
        <v>49</v>
      </c>
      <c r="D260" s="10" t="s">
        <v>37</v>
      </c>
      <c r="E260" s="1" t="s">
        <v>127</v>
      </c>
      <c r="F260" s="1" t="s">
        <v>128</v>
      </c>
      <c r="G260" s="1">
        <v>-10</v>
      </c>
      <c r="H260" s="1">
        <v>-20</v>
      </c>
      <c r="I260" s="1" t="s">
        <v>40</v>
      </c>
      <c r="J260" s="1">
        <v>3.15</v>
      </c>
      <c r="K260" s="1">
        <v>-10</v>
      </c>
      <c r="L260" s="1">
        <v>-9.8123076923076908</v>
      </c>
      <c r="M260" s="1" t="s">
        <v>40</v>
      </c>
      <c r="N260" s="1">
        <v>-0.18769230769230999</v>
      </c>
      <c r="O260" s="1">
        <v>6.72923076923077</v>
      </c>
      <c r="Q260" s="1">
        <v>0.67292307692307696</v>
      </c>
      <c r="R260" s="1">
        <v>1.03790487591503</v>
      </c>
      <c r="S260" s="11" t="s">
        <v>127</v>
      </c>
      <c r="T260" s="2" t="s">
        <v>129</v>
      </c>
      <c r="U260" s="3" t="s">
        <v>41</v>
      </c>
      <c r="V260" s="2" t="s">
        <v>130</v>
      </c>
      <c r="W260" s="2">
        <v>3</v>
      </c>
      <c r="X260" s="2">
        <v>3</v>
      </c>
      <c r="Y260" s="2">
        <v>2</v>
      </c>
      <c r="Z260" s="2">
        <v>0</v>
      </c>
      <c r="AA260" s="2">
        <v>0</v>
      </c>
      <c r="AB260" s="12">
        <f>(W260*4+X260*1+Y260*-2+Z260*-3)/W260</f>
        <v>3.6666666666666665</v>
      </c>
      <c r="AC260" s="3">
        <f>W260*12.0107+X260*1.00784+Y260*15.999+Z260*14.0067</f>
        <v>71.053619999999995</v>
      </c>
      <c r="AD260" s="12">
        <v>80</v>
      </c>
      <c r="AE260" s="2" t="s">
        <v>131</v>
      </c>
      <c r="AF260" s="2" t="s">
        <v>98</v>
      </c>
      <c r="AG260" s="2" t="str">
        <f>IF(AD260&gt;37,"Proton symporter", "Diffusion")</f>
        <v>Proton symporter</v>
      </c>
      <c r="AH260" s="3" t="s">
        <v>132</v>
      </c>
    </row>
    <row r="261" spans="1:34" hidden="1" x14ac:dyDescent="0.2">
      <c r="A261" s="8" t="s">
        <v>34</v>
      </c>
      <c r="B261" s="9" t="s">
        <v>35</v>
      </c>
      <c r="C261" s="1" t="s">
        <v>36</v>
      </c>
      <c r="D261" s="10" t="s">
        <v>37</v>
      </c>
      <c r="E261" s="1" t="s">
        <v>127</v>
      </c>
      <c r="F261" s="1" t="s">
        <v>128</v>
      </c>
      <c r="G261" s="1">
        <v>-10</v>
      </c>
      <c r="H261" s="1">
        <v>-20</v>
      </c>
      <c r="I261" s="1" t="s">
        <v>40</v>
      </c>
      <c r="J261" s="1">
        <v>3.15</v>
      </c>
      <c r="K261" s="1">
        <v>-10</v>
      </c>
      <c r="L261" s="1">
        <v>-8.0430769230769492</v>
      </c>
      <c r="M261" s="1" t="s">
        <v>40</v>
      </c>
      <c r="N261" s="1">
        <v>3.0430769230769399</v>
      </c>
      <c r="O261" s="1">
        <v>5.65230769230772</v>
      </c>
      <c r="Q261" s="1">
        <v>0.56523076923077198</v>
      </c>
      <c r="R261" s="1">
        <v>0.91169325105809396</v>
      </c>
      <c r="S261" s="11" t="s">
        <v>127</v>
      </c>
      <c r="T261" s="2" t="s">
        <v>129</v>
      </c>
      <c r="U261" s="3" t="s">
        <v>41</v>
      </c>
      <c r="V261" s="2" t="s">
        <v>130</v>
      </c>
      <c r="W261" s="2">
        <v>3</v>
      </c>
      <c r="X261" s="2">
        <v>3</v>
      </c>
      <c r="Y261" s="2">
        <v>2</v>
      </c>
      <c r="Z261" s="2">
        <v>0</v>
      </c>
      <c r="AA261" s="2">
        <v>0</v>
      </c>
      <c r="AB261" s="12">
        <f>(W261*4+X261*1+Y261*-2+Z261*-3)/W261</f>
        <v>3.6666666666666665</v>
      </c>
      <c r="AC261" s="3">
        <f>W261*12.0107+X261*1.00784+Y261*15.999+Z261*14.0067</f>
        <v>71.053619999999995</v>
      </c>
      <c r="AD261" s="12">
        <v>80</v>
      </c>
      <c r="AE261" s="2" t="s">
        <v>131</v>
      </c>
      <c r="AF261" s="2" t="s">
        <v>98</v>
      </c>
      <c r="AG261" s="2" t="str">
        <f>IF(AD261&gt;37,"Proton symporter", "Diffusion")</f>
        <v>Proton symporter</v>
      </c>
      <c r="AH261" s="3" t="s">
        <v>132</v>
      </c>
    </row>
    <row r="262" spans="1:34" hidden="1" x14ac:dyDescent="0.2">
      <c r="A262" s="8" t="s">
        <v>34</v>
      </c>
      <c r="B262" s="9" t="s">
        <v>35</v>
      </c>
      <c r="C262" s="1" t="s">
        <v>59</v>
      </c>
      <c r="D262" s="13" t="s">
        <v>51</v>
      </c>
      <c r="E262" s="1" t="s">
        <v>133</v>
      </c>
      <c r="F262" s="1" t="s">
        <v>128</v>
      </c>
      <c r="G262" s="1">
        <v>-10</v>
      </c>
      <c r="H262" s="1">
        <v>-20</v>
      </c>
      <c r="I262" s="1" t="s">
        <v>40</v>
      </c>
      <c r="J262" s="1">
        <v>3.15</v>
      </c>
      <c r="K262" s="1">
        <v>-10</v>
      </c>
      <c r="L262" s="1">
        <v>-2.6729729729729699</v>
      </c>
      <c r="M262" s="1" t="s">
        <v>40</v>
      </c>
      <c r="N262" s="1">
        <v>-2.3270270270270301</v>
      </c>
      <c r="O262" s="1">
        <v>4.1090090090090099</v>
      </c>
      <c r="Q262" s="1">
        <v>0.41090090090090098</v>
      </c>
      <c r="R262" s="1">
        <v>0.91120569888356595</v>
      </c>
      <c r="S262" s="11" t="s">
        <v>133</v>
      </c>
      <c r="T262" s="2" t="s">
        <v>134</v>
      </c>
      <c r="U262" s="3" t="s">
        <v>41</v>
      </c>
      <c r="V262" s="2" t="s">
        <v>130</v>
      </c>
      <c r="W262" s="2">
        <v>3</v>
      </c>
      <c r="X262" s="2">
        <v>3</v>
      </c>
      <c r="Y262" s="2">
        <v>2</v>
      </c>
      <c r="Z262" s="2">
        <v>0</v>
      </c>
      <c r="AA262" s="2">
        <v>0</v>
      </c>
      <c r="AB262" s="12">
        <f>(W262*4+X262*1+Y262*-2+Z262*-3)/W262</f>
        <v>3.6666666666666665</v>
      </c>
      <c r="AC262" s="3">
        <f>W262*12.0107+X262*1.00784+Y262*15.999+Z262*14.0067</f>
        <v>71.053619999999995</v>
      </c>
      <c r="AD262" s="12">
        <v>80</v>
      </c>
      <c r="AE262" s="2" t="s">
        <v>131</v>
      </c>
      <c r="AF262" s="2" t="s">
        <v>135</v>
      </c>
      <c r="AG262" s="2" t="str">
        <f>IF(AD262&gt;37,"Proton symporter", "Diffusion")</f>
        <v>Proton symporter</v>
      </c>
      <c r="AH262" s="3" t="s">
        <v>132</v>
      </c>
    </row>
    <row r="263" spans="1:34" hidden="1" x14ac:dyDescent="0.2">
      <c r="A263" s="8" t="s">
        <v>34</v>
      </c>
      <c r="B263" s="9" t="s">
        <v>35</v>
      </c>
      <c r="C263" s="1" t="s">
        <v>60</v>
      </c>
      <c r="D263" s="13" t="s">
        <v>51</v>
      </c>
      <c r="E263" s="1" t="s">
        <v>133</v>
      </c>
      <c r="F263" s="1" t="s">
        <v>128</v>
      </c>
      <c r="G263" s="1">
        <v>-10</v>
      </c>
      <c r="H263" s="1">
        <v>-20</v>
      </c>
      <c r="I263" s="1" t="s">
        <v>40</v>
      </c>
      <c r="J263" s="1">
        <v>3.15</v>
      </c>
      <c r="K263" s="1">
        <v>-10</v>
      </c>
      <c r="L263" s="1">
        <v>-2.6729729729729699</v>
      </c>
      <c r="M263" s="1" t="s">
        <v>40</v>
      </c>
      <c r="N263" s="1">
        <v>-2.3270270270270301</v>
      </c>
      <c r="O263" s="1">
        <v>4.1090090090090099</v>
      </c>
      <c r="Q263" s="1">
        <v>0.41090090090090098</v>
      </c>
      <c r="R263" s="1">
        <v>0.91120569888356595</v>
      </c>
      <c r="S263" s="11" t="s">
        <v>133</v>
      </c>
      <c r="T263" s="2" t="s">
        <v>134</v>
      </c>
      <c r="U263" s="3" t="s">
        <v>41</v>
      </c>
      <c r="V263" s="2" t="s">
        <v>130</v>
      </c>
      <c r="W263" s="2">
        <v>3</v>
      </c>
      <c r="X263" s="2">
        <v>3</v>
      </c>
      <c r="Y263" s="2">
        <v>2</v>
      </c>
      <c r="Z263" s="2">
        <v>0</v>
      </c>
      <c r="AA263" s="2">
        <v>0</v>
      </c>
      <c r="AB263" s="12">
        <f>(W263*4+X263*1+Y263*-2+Z263*-3)/W263</f>
        <v>3.6666666666666665</v>
      </c>
      <c r="AC263" s="3">
        <f>W263*12.0107+X263*1.00784+Y263*15.999+Z263*14.0067</f>
        <v>71.053619999999995</v>
      </c>
      <c r="AD263" s="12">
        <v>80</v>
      </c>
      <c r="AE263" s="2" t="s">
        <v>131</v>
      </c>
      <c r="AF263" s="2" t="s">
        <v>135</v>
      </c>
      <c r="AG263" s="2" t="str">
        <f>IF(AD263&gt;37,"Proton symporter", "Diffusion")</f>
        <v>Proton symporter</v>
      </c>
      <c r="AH263" s="3" t="s">
        <v>132</v>
      </c>
    </row>
    <row r="264" spans="1:34" hidden="1" x14ac:dyDescent="0.2">
      <c r="A264" s="8" t="s">
        <v>34</v>
      </c>
      <c r="B264" s="9" t="s">
        <v>35</v>
      </c>
      <c r="C264" s="1" t="s">
        <v>56</v>
      </c>
      <c r="D264" s="14" t="s">
        <v>55</v>
      </c>
      <c r="E264" s="1" t="s">
        <v>133</v>
      </c>
      <c r="F264" s="1" t="s">
        <v>128</v>
      </c>
      <c r="G264" s="1">
        <v>-10</v>
      </c>
      <c r="H264" s="1">
        <v>-20</v>
      </c>
      <c r="I264" s="1" t="s">
        <v>40</v>
      </c>
      <c r="J264" s="1">
        <v>3.15</v>
      </c>
      <c r="K264" s="1">
        <v>-10</v>
      </c>
      <c r="L264" s="1">
        <v>-2.2225806451612899</v>
      </c>
      <c r="M264" s="1" t="s">
        <v>40</v>
      </c>
      <c r="N264" s="1">
        <v>-2.7774193548387101</v>
      </c>
      <c r="O264" s="1">
        <v>10.9258064516129</v>
      </c>
      <c r="Q264" s="1">
        <v>1.0925806451612901</v>
      </c>
      <c r="R264" s="1">
        <v>0.84296438111314298</v>
      </c>
      <c r="S264" s="11" t="s">
        <v>133</v>
      </c>
      <c r="T264" s="2" t="s">
        <v>134</v>
      </c>
      <c r="U264" s="3" t="s">
        <v>41</v>
      </c>
      <c r="V264" s="2" t="s">
        <v>130</v>
      </c>
      <c r="W264" s="2">
        <v>3</v>
      </c>
      <c r="X264" s="2">
        <v>3</v>
      </c>
      <c r="Y264" s="2">
        <v>2</v>
      </c>
      <c r="Z264" s="2">
        <v>0</v>
      </c>
      <c r="AA264" s="2">
        <v>0</v>
      </c>
      <c r="AB264" s="12">
        <f>(W264*4+X264*1+Y264*-2+Z264*-3)/W264</f>
        <v>3.6666666666666665</v>
      </c>
      <c r="AC264" s="3">
        <f>W264*12.0107+X264*1.00784+Y264*15.999+Z264*14.0067</f>
        <v>71.053619999999995</v>
      </c>
      <c r="AD264" s="12">
        <v>80</v>
      </c>
      <c r="AE264" s="2" t="s">
        <v>131</v>
      </c>
      <c r="AF264" s="2" t="s">
        <v>135</v>
      </c>
      <c r="AG264" s="2" t="str">
        <f>IF(AD264&gt;37,"Proton symporter", "Diffusion")</f>
        <v>Proton symporter</v>
      </c>
      <c r="AH264" s="3" t="s">
        <v>132</v>
      </c>
    </row>
    <row r="265" spans="1:34" hidden="1" x14ac:dyDescent="0.2">
      <c r="A265" s="8" t="s">
        <v>34</v>
      </c>
      <c r="B265" s="9" t="s">
        <v>35</v>
      </c>
      <c r="C265" s="1" t="s">
        <v>48</v>
      </c>
      <c r="D265" s="10" t="s">
        <v>37</v>
      </c>
      <c r="E265" s="1" t="s">
        <v>133</v>
      </c>
      <c r="F265" s="1" t="s">
        <v>128</v>
      </c>
      <c r="G265" s="1">
        <v>-10</v>
      </c>
      <c r="H265" s="1">
        <v>-20</v>
      </c>
      <c r="I265" s="1" t="s">
        <v>40</v>
      </c>
      <c r="J265" s="1">
        <v>3.15</v>
      </c>
      <c r="K265" s="1">
        <v>-10</v>
      </c>
      <c r="L265" s="1">
        <v>-3.3882352941176501</v>
      </c>
      <c r="M265" s="1" t="s">
        <v>40</v>
      </c>
      <c r="N265" s="1">
        <v>-1.6117647058823601</v>
      </c>
      <c r="O265" s="1">
        <v>7.2039215686274503</v>
      </c>
      <c r="Q265" s="1">
        <v>0.72039215686274505</v>
      </c>
      <c r="R265" s="1">
        <v>0.82470500246036305</v>
      </c>
      <c r="S265" s="11" t="s">
        <v>133</v>
      </c>
      <c r="T265" s="2" t="s">
        <v>134</v>
      </c>
      <c r="U265" s="3" t="s">
        <v>41</v>
      </c>
      <c r="V265" s="2" t="s">
        <v>130</v>
      </c>
      <c r="W265" s="2">
        <v>3</v>
      </c>
      <c r="X265" s="2">
        <v>3</v>
      </c>
      <c r="Y265" s="2">
        <v>2</v>
      </c>
      <c r="Z265" s="2">
        <v>0</v>
      </c>
      <c r="AA265" s="2">
        <v>0</v>
      </c>
      <c r="AB265" s="12">
        <f>(W265*4+X265*1+Y265*-2+Z265*-3)/W265</f>
        <v>3.6666666666666665</v>
      </c>
      <c r="AC265" s="3">
        <f>W265*12.0107+X265*1.00784+Y265*15.999+Z265*14.0067</f>
        <v>71.053619999999995</v>
      </c>
      <c r="AD265" s="12">
        <v>80</v>
      </c>
      <c r="AE265" s="2" t="s">
        <v>131</v>
      </c>
      <c r="AF265" s="2" t="s">
        <v>135</v>
      </c>
      <c r="AG265" s="2" t="str">
        <f>IF(AD265&gt;37,"Proton symporter", "Diffusion")</f>
        <v>Proton symporter</v>
      </c>
      <c r="AH265" s="3" t="s">
        <v>132</v>
      </c>
    </row>
    <row r="266" spans="1:34" hidden="1" x14ac:dyDescent="0.2">
      <c r="A266" s="8" t="s">
        <v>34</v>
      </c>
      <c r="B266" s="9" t="s">
        <v>35</v>
      </c>
      <c r="C266" s="1" t="s">
        <v>59</v>
      </c>
      <c r="D266" s="13" t="s">
        <v>51</v>
      </c>
      <c r="E266" s="1" t="s">
        <v>127</v>
      </c>
      <c r="F266" s="1" t="s">
        <v>128</v>
      </c>
      <c r="G266" s="1">
        <v>-10</v>
      </c>
      <c r="H266" s="1">
        <v>-20</v>
      </c>
      <c r="I266" s="1" t="s">
        <v>40</v>
      </c>
      <c r="J266" s="1">
        <v>3.15</v>
      </c>
      <c r="K266" s="1">
        <v>-10</v>
      </c>
      <c r="L266" s="1">
        <v>-4.2152173913043498</v>
      </c>
      <c r="M266" s="1" t="s">
        <v>40</v>
      </c>
      <c r="N266" s="1">
        <v>-0.78478260869564598</v>
      </c>
      <c r="O266" s="1">
        <v>3.5949275362318902</v>
      </c>
      <c r="Q266" s="1">
        <v>0.359492753623189</v>
      </c>
      <c r="R266" s="1">
        <v>0.79720400975172701</v>
      </c>
      <c r="S266" s="11" t="s">
        <v>127</v>
      </c>
      <c r="T266" s="2" t="s">
        <v>129</v>
      </c>
      <c r="U266" s="3" t="s">
        <v>41</v>
      </c>
      <c r="V266" s="2" t="s">
        <v>130</v>
      </c>
      <c r="W266" s="2">
        <v>3</v>
      </c>
      <c r="X266" s="2">
        <v>3</v>
      </c>
      <c r="Y266" s="2">
        <v>2</v>
      </c>
      <c r="Z266" s="2">
        <v>0</v>
      </c>
      <c r="AA266" s="2">
        <v>0</v>
      </c>
      <c r="AB266" s="12">
        <f>(W266*4+X266*1+Y266*-2+Z266*-3)/W266</f>
        <v>3.6666666666666665</v>
      </c>
      <c r="AC266" s="3">
        <f>W266*12.0107+X266*1.00784+Y266*15.999+Z266*14.0067</f>
        <v>71.053619999999995</v>
      </c>
      <c r="AD266" s="12">
        <v>80</v>
      </c>
      <c r="AE266" s="2" t="s">
        <v>131</v>
      </c>
      <c r="AF266" s="2" t="s">
        <v>98</v>
      </c>
      <c r="AG266" s="2" t="str">
        <f>IF(AD266&gt;37,"Proton symporter", "Diffusion")</f>
        <v>Proton symporter</v>
      </c>
      <c r="AH266" s="3" t="s">
        <v>132</v>
      </c>
    </row>
    <row r="267" spans="1:34" hidden="1" x14ac:dyDescent="0.2">
      <c r="A267" s="8" t="s">
        <v>34</v>
      </c>
      <c r="B267" s="9" t="s">
        <v>35</v>
      </c>
      <c r="C267" s="1" t="s">
        <v>60</v>
      </c>
      <c r="D267" s="13" t="s">
        <v>51</v>
      </c>
      <c r="E267" s="1" t="s">
        <v>127</v>
      </c>
      <c r="F267" s="1" t="s">
        <v>128</v>
      </c>
      <c r="G267" s="1">
        <v>-10</v>
      </c>
      <c r="H267" s="1">
        <v>-20</v>
      </c>
      <c r="I267" s="1" t="s">
        <v>40</v>
      </c>
      <c r="J267" s="1">
        <v>3.15</v>
      </c>
      <c r="K267" s="1">
        <v>-10</v>
      </c>
      <c r="L267" s="1">
        <v>-4.2152173913043498</v>
      </c>
      <c r="M267" s="1" t="s">
        <v>40</v>
      </c>
      <c r="N267" s="1">
        <v>-0.78478260869565597</v>
      </c>
      <c r="O267" s="1">
        <v>3.59492753623188</v>
      </c>
      <c r="Q267" s="1">
        <v>0.359492753623188</v>
      </c>
      <c r="R267" s="1">
        <v>0.79720400975172501</v>
      </c>
      <c r="S267" s="11" t="s">
        <v>127</v>
      </c>
      <c r="T267" s="2" t="s">
        <v>129</v>
      </c>
      <c r="U267" s="3" t="s">
        <v>41</v>
      </c>
      <c r="V267" s="2" t="s">
        <v>130</v>
      </c>
      <c r="W267" s="2">
        <v>3</v>
      </c>
      <c r="X267" s="2">
        <v>3</v>
      </c>
      <c r="Y267" s="2">
        <v>2</v>
      </c>
      <c r="Z267" s="2">
        <v>0</v>
      </c>
      <c r="AA267" s="2">
        <v>0</v>
      </c>
      <c r="AB267" s="12">
        <f>(W267*4+X267*1+Y267*-2+Z267*-3)/W267</f>
        <v>3.6666666666666665</v>
      </c>
      <c r="AC267" s="3">
        <f>W267*12.0107+X267*1.00784+Y267*15.999+Z267*14.0067</f>
        <v>71.053619999999995</v>
      </c>
      <c r="AD267" s="12">
        <v>80</v>
      </c>
      <c r="AE267" s="2" t="s">
        <v>131</v>
      </c>
      <c r="AF267" s="2" t="s">
        <v>98</v>
      </c>
      <c r="AG267" s="2" t="str">
        <f>IF(AD267&gt;37,"Proton symporter", "Diffusion")</f>
        <v>Proton symporter</v>
      </c>
      <c r="AH267" s="3" t="s">
        <v>132</v>
      </c>
    </row>
    <row r="268" spans="1:34" hidden="1" x14ac:dyDescent="0.2">
      <c r="A268" s="8" t="s">
        <v>34</v>
      </c>
      <c r="B268" s="9" t="s">
        <v>35</v>
      </c>
      <c r="C268" s="1" t="s">
        <v>56</v>
      </c>
      <c r="D268" s="14" t="s">
        <v>55</v>
      </c>
      <c r="E268" s="1" t="s">
        <v>127</v>
      </c>
      <c r="F268" s="1" t="s">
        <v>128</v>
      </c>
      <c r="G268" s="1">
        <v>-10</v>
      </c>
      <c r="H268" s="1">
        <v>-20</v>
      </c>
      <c r="I268" s="1" t="s">
        <v>40</v>
      </c>
      <c r="J268" s="1">
        <v>3.15</v>
      </c>
      <c r="K268" s="1">
        <v>-10</v>
      </c>
      <c r="L268" s="1">
        <v>-4.4326086956521804</v>
      </c>
      <c r="M268" s="1" t="s">
        <v>40</v>
      </c>
      <c r="N268" s="1">
        <v>-0.56739130434782203</v>
      </c>
      <c r="O268" s="1">
        <v>10.1891304347826</v>
      </c>
      <c r="Q268" s="1">
        <v>1.0189130434782601</v>
      </c>
      <c r="R268" s="1">
        <v>0.78612723638076698</v>
      </c>
      <c r="S268" s="11" t="s">
        <v>127</v>
      </c>
      <c r="T268" s="2" t="s">
        <v>129</v>
      </c>
      <c r="U268" s="3" t="s">
        <v>41</v>
      </c>
      <c r="V268" s="2" t="s">
        <v>130</v>
      </c>
      <c r="W268" s="2">
        <v>3</v>
      </c>
      <c r="X268" s="2">
        <v>3</v>
      </c>
      <c r="Y268" s="2">
        <v>2</v>
      </c>
      <c r="Z268" s="2">
        <v>0</v>
      </c>
      <c r="AA268" s="2">
        <v>0</v>
      </c>
      <c r="AB268" s="12">
        <f>(W268*4+X268*1+Y268*-2+Z268*-3)/W268</f>
        <v>3.6666666666666665</v>
      </c>
      <c r="AC268" s="3">
        <f>W268*12.0107+X268*1.00784+Y268*15.999+Z268*14.0067</f>
        <v>71.053619999999995</v>
      </c>
      <c r="AD268" s="12">
        <v>80</v>
      </c>
      <c r="AE268" s="2" t="s">
        <v>131</v>
      </c>
      <c r="AF268" s="2" t="s">
        <v>98</v>
      </c>
      <c r="AG268" s="2" t="str">
        <f>IF(AD268&gt;37,"Proton symporter", "Diffusion")</f>
        <v>Proton symporter</v>
      </c>
      <c r="AH268" s="3" t="s">
        <v>132</v>
      </c>
    </row>
    <row r="269" spans="1:34" hidden="1" x14ac:dyDescent="0.2">
      <c r="A269" s="8" t="s">
        <v>34</v>
      </c>
      <c r="B269" s="9" t="s">
        <v>35</v>
      </c>
      <c r="C269" s="1" t="s">
        <v>54</v>
      </c>
      <c r="D269" s="14" t="s">
        <v>55</v>
      </c>
      <c r="E269" s="1" t="s">
        <v>133</v>
      </c>
      <c r="F269" s="1" t="s">
        <v>128</v>
      </c>
      <c r="G269" s="1">
        <v>-10</v>
      </c>
      <c r="H269" s="1">
        <v>-20</v>
      </c>
      <c r="I269" s="1" t="s">
        <v>40</v>
      </c>
      <c r="J269" s="1">
        <v>3.15</v>
      </c>
      <c r="K269" s="1">
        <v>-10</v>
      </c>
      <c r="L269" s="1">
        <v>-0.804255319148931</v>
      </c>
      <c r="M269" s="1" t="s">
        <v>40</v>
      </c>
      <c r="N269" s="1">
        <v>0.804255319148938</v>
      </c>
      <c r="O269" s="1">
        <v>19.731914893616999</v>
      </c>
      <c r="Q269" s="1">
        <v>1.9731914893617</v>
      </c>
      <c r="R269" s="1">
        <v>0.77824381835378598</v>
      </c>
      <c r="S269" s="11" t="s">
        <v>133</v>
      </c>
      <c r="T269" s="2" t="s">
        <v>134</v>
      </c>
      <c r="U269" s="3" t="s">
        <v>41</v>
      </c>
      <c r="V269" s="2" t="s">
        <v>130</v>
      </c>
      <c r="W269" s="2">
        <v>3</v>
      </c>
      <c r="X269" s="2">
        <v>3</v>
      </c>
      <c r="Y269" s="2">
        <v>2</v>
      </c>
      <c r="Z269" s="2">
        <v>0</v>
      </c>
      <c r="AA269" s="2">
        <v>0</v>
      </c>
      <c r="AB269" s="12">
        <f>(W269*4+X269*1+Y269*-2+Z269*-3)/W269</f>
        <v>3.6666666666666665</v>
      </c>
      <c r="AC269" s="3">
        <f>W269*12.0107+X269*1.00784+Y269*15.999+Z269*14.0067</f>
        <v>71.053619999999995</v>
      </c>
      <c r="AD269" s="12">
        <v>80</v>
      </c>
      <c r="AE269" s="2" t="s">
        <v>131</v>
      </c>
      <c r="AF269" s="2" t="s">
        <v>135</v>
      </c>
      <c r="AG269" s="2" t="str">
        <f>IF(AD269&gt;37,"Proton symporter", "Diffusion")</f>
        <v>Proton symporter</v>
      </c>
      <c r="AH269" s="3" t="s">
        <v>132</v>
      </c>
    </row>
    <row r="270" spans="1:34" hidden="1" x14ac:dyDescent="0.2">
      <c r="A270" s="8" t="s">
        <v>34</v>
      </c>
      <c r="B270" s="9" t="s">
        <v>35</v>
      </c>
      <c r="C270" s="1" t="s">
        <v>62</v>
      </c>
      <c r="D270" s="15" t="s">
        <v>55</v>
      </c>
      <c r="E270" s="1" t="s">
        <v>133</v>
      </c>
      <c r="F270" s="1" t="s">
        <v>128</v>
      </c>
      <c r="G270" s="1">
        <v>-10</v>
      </c>
      <c r="H270" s="1">
        <v>-20</v>
      </c>
      <c r="I270" s="1" t="s">
        <v>40</v>
      </c>
      <c r="J270" s="1">
        <v>3.15</v>
      </c>
      <c r="K270" s="1">
        <v>-10</v>
      </c>
      <c r="L270" s="1">
        <v>-1.4425531914893599</v>
      </c>
      <c r="M270" s="1" t="s">
        <v>40</v>
      </c>
      <c r="N270" s="1">
        <v>1.4425531914893599</v>
      </c>
      <c r="O270" s="1">
        <v>16.1858156028369</v>
      </c>
      <c r="Q270" s="1">
        <v>1.6185815602836899</v>
      </c>
      <c r="R270" s="1">
        <v>0.76604328997138604</v>
      </c>
      <c r="S270" s="11" t="s">
        <v>133</v>
      </c>
      <c r="T270" s="2" t="s">
        <v>134</v>
      </c>
      <c r="U270" s="3" t="s">
        <v>41</v>
      </c>
      <c r="V270" s="2" t="s">
        <v>130</v>
      </c>
      <c r="W270" s="2">
        <v>3</v>
      </c>
      <c r="X270" s="2">
        <v>3</v>
      </c>
      <c r="Y270" s="2">
        <v>2</v>
      </c>
      <c r="Z270" s="2">
        <v>0</v>
      </c>
      <c r="AA270" s="2">
        <v>0</v>
      </c>
      <c r="AB270" s="12">
        <f>(W270*4+X270*1+Y270*-2+Z270*-3)/W270</f>
        <v>3.6666666666666665</v>
      </c>
      <c r="AC270" s="3">
        <f>W270*12.0107+X270*1.00784+Y270*15.999+Z270*14.0067</f>
        <v>71.053619999999995</v>
      </c>
      <c r="AD270" s="12">
        <v>80</v>
      </c>
      <c r="AE270" s="2" t="s">
        <v>131</v>
      </c>
      <c r="AF270" s="2" t="s">
        <v>135</v>
      </c>
      <c r="AG270" s="2" t="str">
        <f>IF(AD270&gt;37,"Proton symporter", "Diffusion")</f>
        <v>Proton symporter</v>
      </c>
      <c r="AH270" s="3" t="s">
        <v>132</v>
      </c>
    </row>
    <row r="271" spans="1:34" hidden="1" x14ac:dyDescent="0.2">
      <c r="A271" s="8" t="s">
        <v>34</v>
      </c>
      <c r="B271" s="9" t="s">
        <v>35</v>
      </c>
      <c r="C271" s="1" t="s">
        <v>47</v>
      </c>
      <c r="D271" s="10" t="s">
        <v>37</v>
      </c>
      <c r="E271" s="1" t="s">
        <v>133</v>
      </c>
      <c r="F271" s="1" t="s">
        <v>128</v>
      </c>
      <c r="G271" s="1">
        <v>-10</v>
      </c>
      <c r="H271" s="1">
        <v>-20</v>
      </c>
      <c r="I271" s="1" t="s">
        <v>40</v>
      </c>
      <c r="J271" s="1">
        <v>3.15</v>
      </c>
      <c r="K271" s="1">
        <v>-10</v>
      </c>
      <c r="L271" s="1">
        <v>-6.8621621621621598</v>
      </c>
      <c r="M271" s="1" t="s">
        <v>40</v>
      </c>
      <c r="N271" s="1">
        <v>1.86216216216217</v>
      </c>
      <c r="O271" s="1">
        <v>6.0459459459459497</v>
      </c>
      <c r="Q271" s="1">
        <v>0.60459459459459497</v>
      </c>
      <c r="R271" s="1">
        <v>0.69213994332486495</v>
      </c>
      <c r="S271" s="11" t="s">
        <v>133</v>
      </c>
      <c r="T271" s="2" t="s">
        <v>134</v>
      </c>
      <c r="U271" s="3" t="s">
        <v>41</v>
      </c>
      <c r="V271" s="2" t="s">
        <v>130</v>
      </c>
      <c r="W271" s="2">
        <v>3</v>
      </c>
      <c r="X271" s="2">
        <v>3</v>
      </c>
      <c r="Y271" s="2">
        <v>2</v>
      </c>
      <c r="Z271" s="2">
        <v>0</v>
      </c>
      <c r="AA271" s="2">
        <v>0</v>
      </c>
      <c r="AB271" s="12">
        <f>(W271*4+X271*1+Y271*-2+Z271*-3)/W271</f>
        <v>3.6666666666666665</v>
      </c>
      <c r="AC271" s="3">
        <f>W271*12.0107+X271*1.00784+Y271*15.999+Z271*14.0067</f>
        <v>71.053619999999995</v>
      </c>
      <c r="AD271" s="12">
        <v>80</v>
      </c>
      <c r="AE271" s="2" t="s">
        <v>131</v>
      </c>
      <c r="AF271" s="2" t="s">
        <v>135</v>
      </c>
      <c r="AG271" s="2" t="str">
        <f>IF(AD271&gt;37,"Proton symporter", "Diffusion")</f>
        <v>Proton symporter</v>
      </c>
      <c r="AH271" s="3" t="s">
        <v>132</v>
      </c>
    </row>
    <row r="272" spans="1:34" hidden="1" x14ac:dyDescent="0.2">
      <c r="A272" s="8" t="s">
        <v>34</v>
      </c>
      <c r="B272" s="9" t="s">
        <v>35</v>
      </c>
      <c r="C272" s="1" t="s">
        <v>58</v>
      </c>
      <c r="D272" s="10" t="s">
        <v>37</v>
      </c>
      <c r="E272" s="1" t="s">
        <v>133</v>
      </c>
      <c r="F272" s="1" t="s">
        <v>128</v>
      </c>
      <c r="G272" s="1">
        <v>-10</v>
      </c>
      <c r="H272" s="1">
        <v>-20</v>
      </c>
      <c r="I272" s="1" t="s">
        <v>40</v>
      </c>
      <c r="J272" s="1">
        <v>3.15</v>
      </c>
      <c r="K272" s="1">
        <v>-10</v>
      </c>
      <c r="L272" s="1">
        <v>-2.50588235294118</v>
      </c>
      <c r="M272" s="1" t="s">
        <v>40</v>
      </c>
      <c r="N272" s="1">
        <v>2.50588235294118</v>
      </c>
      <c r="O272" s="1">
        <v>5.8313725490196102</v>
      </c>
      <c r="Q272" s="1">
        <v>0.583137254901961</v>
      </c>
      <c r="R272" s="1">
        <v>0.68996890890639895</v>
      </c>
      <c r="S272" s="11" t="s">
        <v>133</v>
      </c>
      <c r="T272" s="2" t="s">
        <v>134</v>
      </c>
      <c r="U272" s="3" t="s">
        <v>41</v>
      </c>
      <c r="V272" s="2" t="s">
        <v>130</v>
      </c>
      <c r="W272" s="2">
        <v>3</v>
      </c>
      <c r="X272" s="2">
        <v>3</v>
      </c>
      <c r="Y272" s="2">
        <v>2</v>
      </c>
      <c r="Z272" s="2">
        <v>0</v>
      </c>
      <c r="AA272" s="2">
        <v>0</v>
      </c>
      <c r="AB272" s="12">
        <f>(W272*4+X272*1+Y272*-2+Z272*-3)/W272</f>
        <v>3.6666666666666665</v>
      </c>
      <c r="AC272" s="3">
        <f>W272*12.0107+X272*1.00784+Y272*15.999+Z272*14.0067</f>
        <v>71.053619999999995</v>
      </c>
      <c r="AD272" s="12">
        <v>80</v>
      </c>
      <c r="AE272" s="2" t="s">
        <v>131</v>
      </c>
      <c r="AF272" s="2" t="s">
        <v>135</v>
      </c>
      <c r="AG272" s="2" t="str">
        <f>IF(AD272&gt;37,"Proton symporter", "Diffusion")</f>
        <v>Proton symporter</v>
      </c>
      <c r="AH272" s="3" t="s">
        <v>132</v>
      </c>
    </row>
    <row r="273" spans="1:34" hidden="1" x14ac:dyDescent="0.2">
      <c r="A273" s="8" t="s">
        <v>34</v>
      </c>
      <c r="B273" s="9" t="s">
        <v>35</v>
      </c>
      <c r="C273" s="1" t="s">
        <v>61</v>
      </c>
      <c r="D273" s="13" t="s">
        <v>51</v>
      </c>
      <c r="E273" s="1" t="s">
        <v>133</v>
      </c>
      <c r="F273" s="1" t="s">
        <v>128</v>
      </c>
      <c r="G273" s="1">
        <v>-10</v>
      </c>
      <c r="H273" s="1">
        <v>-20</v>
      </c>
      <c r="I273" s="1" t="s">
        <v>40</v>
      </c>
      <c r="J273" s="1">
        <v>3.15</v>
      </c>
      <c r="K273" s="1">
        <v>-10</v>
      </c>
      <c r="L273" s="1">
        <v>-6.1299999999999901</v>
      </c>
      <c r="M273" s="1" t="s">
        <v>40</v>
      </c>
      <c r="N273" s="1">
        <v>1.1299999999999799</v>
      </c>
      <c r="O273" s="1">
        <v>2.9566666666666501</v>
      </c>
      <c r="Q273" s="1">
        <v>0.29566666666666502</v>
      </c>
      <c r="R273" s="1">
        <v>0.655664543557545</v>
      </c>
      <c r="S273" s="11" t="s">
        <v>133</v>
      </c>
      <c r="T273" s="2" t="s">
        <v>134</v>
      </c>
      <c r="U273" s="3" t="s">
        <v>41</v>
      </c>
      <c r="V273" s="2" t="s">
        <v>130</v>
      </c>
      <c r="W273" s="2">
        <v>3</v>
      </c>
      <c r="X273" s="2">
        <v>3</v>
      </c>
      <c r="Y273" s="2">
        <v>2</v>
      </c>
      <c r="Z273" s="2">
        <v>0</v>
      </c>
      <c r="AA273" s="2">
        <v>0</v>
      </c>
      <c r="AB273" s="12">
        <f>(W273*4+X273*1+Y273*-2+Z273*-3)/W273</f>
        <v>3.6666666666666665</v>
      </c>
      <c r="AC273" s="3">
        <f>W273*12.0107+X273*1.00784+Y273*15.999+Z273*14.0067</f>
        <v>71.053619999999995</v>
      </c>
      <c r="AD273" s="12">
        <v>80</v>
      </c>
      <c r="AE273" s="2" t="s">
        <v>131</v>
      </c>
      <c r="AF273" s="2" t="s">
        <v>135</v>
      </c>
      <c r="AG273" s="2" t="str">
        <f>IF(AD273&gt;37,"Proton symporter", "Diffusion")</f>
        <v>Proton symporter</v>
      </c>
      <c r="AH273" s="3" t="s">
        <v>132</v>
      </c>
    </row>
    <row r="274" spans="1:34" hidden="1" x14ac:dyDescent="0.2">
      <c r="A274" s="8" t="s">
        <v>34</v>
      </c>
      <c r="B274" s="9" t="s">
        <v>35</v>
      </c>
      <c r="C274" s="1" t="s">
        <v>54</v>
      </c>
      <c r="D274" s="14" t="s">
        <v>55</v>
      </c>
      <c r="E274" s="1" t="s">
        <v>127</v>
      </c>
      <c r="F274" s="1" t="s">
        <v>128</v>
      </c>
      <c r="G274" s="1">
        <v>-10</v>
      </c>
      <c r="H274" s="1">
        <v>-20</v>
      </c>
      <c r="I274" s="1" t="s">
        <v>40</v>
      </c>
      <c r="J274" s="1">
        <v>3.15</v>
      </c>
      <c r="K274" s="1">
        <v>-10</v>
      </c>
      <c r="L274" s="1">
        <v>-10.6130136986301</v>
      </c>
      <c r="M274" s="1" t="s">
        <v>40</v>
      </c>
      <c r="N274" s="1">
        <v>10.6130136986301</v>
      </c>
      <c r="O274" s="1">
        <v>16.462328767123299</v>
      </c>
      <c r="Q274" s="1">
        <v>1.64623287671233</v>
      </c>
      <c r="R274" s="1">
        <v>0.64928850888495404</v>
      </c>
      <c r="S274" s="11" t="s">
        <v>127</v>
      </c>
      <c r="T274" s="2" t="s">
        <v>129</v>
      </c>
      <c r="U274" s="3" t="s">
        <v>41</v>
      </c>
      <c r="V274" s="2" t="s">
        <v>130</v>
      </c>
      <c r="W274" s="2">
        <v>3</v>
      </c>
      <c r="X274" s="2">
        <v>3</v>
      </c>
      <c r="Y274" s="2">
        <v>2</v>
      </c>
      <c r="Z274" s="2">
        <v>0</v>
      </c>
      <c r="AA274" s="2">
        <v>0</v>
      </c>
      <c r="AB274" s="12">
        <f>(W274*4+X274*1+Y274*-2+Z274*-3)/W274</f>
        <v>3.6666666666666665</v>
      </c>
      <c r="AC274" s="3">
        <f>W274*12.0107+X274*1.00784+Y274*15.999+Z274*14.0067</f>
        <v>71.053619999999995</v>
      </c>
      <c r="AD274" s="12">
        <v>80</v>
      </c>
      <c r="AE274" s="2" t="s">
        <v>131</v>
      </c>
      <c r="AF274" s="2" t="s">
        <v>98</v>
      </c>
      <c r="AG274" s="2" t="str">
        <f>IF(AD274&gt;37,"Proton symporter", "Diffusion")</f>
        <v>Proton symporter</v>
      </c>
      <c r="AH274" s="3" t="s">
        <v>132</v>
      </c>
    </row>
    <row r="275" spans="1:34" hidden="1" x14ac:dyDescent="0.2">
      <c r="A275" s="8" t="s">
        <v>34</v>
      </c>
      <c r="B275" s="9" t="s">
        <v>35</v>
      </c>
      <c r="C275" s="1" t="s">
        <v>48</v>
      </c>
      <c r="D275" s="10" t="s">
        <v>37</v>
      </c>
      <c r="E275" s="1" t="s">
        <v>127</v>
      </c>
      <c r="F275" s="1" t="s">
        <v>128</v>
      </c>
      <c r="G275" s="1">
        <v>-10</v>
      </c>
      <c r="H275" s="1">
        <v>-20</v>
      </c>
      <c r="I275" s="1" t="s">
        <v>40</v>
      </c>
      <c r="J275" s="1">
        <v>3.15</v>
      </c>
      <c r="K275" s="1">
        <v>-10</v>
      </c>
      <c r="L275" s="1">
        <v>-8.0430769230769297</v>
      </c>
      <c r="M275" s="1" t="s">
        <v>40</v>
      </c>
      <c r="N275" s="1">
        <v>3.0430769230769301</v>
      </c>
      <c r="O275" s="1">
        <v>5.6523076923076996</v>
      </c>
      <c r="Q275" s="1">
        <v>0.56523076923076998</v>
      </c>
      <c r="R275" s="1">
        <v>0.64707623269966996</v>
      </c>
      <c r="S275" s="11" t="s">
        <v>127</v>
      </c>
      <c r="T275" s="2" t="s">
        <v>129</v>
      </c>
      <c r="U275" s="3" t="s">
        <v>41</v>
      </c>
      <c r="V275" s="2" t="s">
        <v>130</v>
      </c>
      <c r="W275" s="2">
        <v>3</v>
      </c>
      <c r="X275" s="2">
        <v>3</v>
      </c>
      <c r="Y275" s="2">
        <v>2</v>
      </c>
      <c r="Z275" s="2">
        <v>0</v>
      </c>
      <c r="AA275" s="2">
        <v>0</v>
      </c>
      <c r="AB275" s="12">
        <f>(W275*4+X275*1+Y275*-2+Z275*-3)/W275</f>
        <v>3.6666666666666665</v>
      </c>
      <c r="AC275" s="3">
        <f>W275*12.0107+X275*1.00784+Y275*15.999+Z275*14.0067</f>
        <v>71.053619999999995</v>
      </c>
      <c r="AD275" s="12">
        <v>80</v>
      </c>
      <c r="AE275" s="2" t="s">
        <v>131</v>
      </c>
      <c r="AF275" s="2" t="s">
        <v>98</v>
      </c>
      <c r="AG275" s="2" t="str">
        <f>IF(AD275&gt;37,"Proton symporter", "Diffusion")</f>
        <v>Proton symporter</v>
      </c>
      <c r="AH275" s="3" t="s">
        <v>132</v>
      </c>
    </row>
    <row r="276" spans="1:34" hidden="1" x14ac:dyDescent="0.2">
      <c r="A276" s="8" t="s">
        <v>34</v>
      </c>
      <c r="B276" s="9" t="s">
        <v>35</v>
      </c>
      <c r="C276" s="1" t="s">
        <v>62</v>
      </c>
      <c r="D276" s="15" t="s">
        <v>55</v>
      </c>
      <c r="E276" s="1" t="s">
        <v>127</v>
      </c>
      <c r="F276" s="1" t="s">
        <v>128</v>
      </c>
      <c r="G276" s="1">
        <v>-10</v>
      </c>
      <c r="H276" s="1">
        <v>-20</v>
      </c>
      <c r="I276" s="1" t="s">
        <v>40</v>
      </c>
      <c r="J276" s="1">
        <v>3.15</v>
      </c>
      <c r="K276" s="1">
        <v>-10</v>
      </c>
      <c r="L276" s="1">
        <v>-9.0842105263157897</v>
      </c>
      <c r="M276" s="1" t="s">
        <v>40</v>
      </c>
      <c r="N276" s="1">
        <v>9.0842105263157897</v>
      </c>
      <c r="O276" s="1">
        <v>13.6385964912281</v>
      </c>
      <c r="Q276" s="1">
        <v>1.3638596491228101</v>
      </c>
      <c r="R276" s="1">
        <v>0.64548834504832597</v>
      </c>
      <c r="S276" s="11" t="s">
        <v>127</v>
      </c>
      <c r="T276" s="2" t="s">
        <v>129</v>
      </c>
      <c r="U276" s="3" t="s">
        <v>41</v>
      </c>
      <c r="V276" s="2" t="s">
        <v>130</v>
      </c>
      <c r="W276" s="2">
        <v>3</v>
      </c>
      <c r="X276" s="2">
        <v>3</v>
      </c>
      <c r="Y276" s="2">
        <v>2</v>
      </c>
      <c r="Z276" s="2">
        <v>0</v>
      </c>
      <c r="AA276" s="2">
        <v>0</v>
      </c>
      <c r="AB276" s="12">
        <f>(W276*4+X276*1+Y276*-2+Z276*-3)/W276</f>
        <v>3.6666666666666665</v>
      </c>
      <c r="AC276" s="3">
        <f>W276*12.0107+X276*1.00784+Y276*15.999+Z276*14.0067</f>
        <v>71.053619999999995</v>
      </c>
      <c r="AD276" s="12">
        <v>80</v>
      </c>
      <c r="AE276" s="2" t="s">
        <v>131</v>
      </c>
      <c r="AF276" s="2" t="s">
        <v>98</v>
      </c>
      <c r="AG276" s="2" t="str">
        <f>IF(AD276&gt;37,"Proton symporter", "Diffusion")</f>
        <v>Proton symporter</v>
      </c>
      <c r="AH276" s="3" t="s">
        <v>132</v>
      </c>
    </row>
    <row r="277" spans="1:34" hidden="1" x14ac:dyDescent="0.2">
      <c r="A277" s="8" t="s">
        <v>34</v>
      </c>
      <c r="B277" s="9" t="s">
        <v>35</v>
      </c>
      <c r="C277" s="1" t="s">
        <v>46</v>
      </c>
      <c r="D277" s="10" t="s">
        <v>37</v>
      </c>
      <c r="E277" s="1" t="s">
        <v>133</v>
      </c>
      <c r="F277" s="1" t="s">
        <v>128</v>
      </c>
      <c r="G277" s="1">
        <v>-10</v>
      </c>
      <c r="H277" s="1">
        <v>-20</v>
      </c>
      <c r="I277" s="1" t="s">
        <v>40</v>
      </c>
      <c r="J277" s="1">
        <v>3.15</v>
      </c>
      <c r="K277" s="1">
        <v>-10</v>
      </c>
      <c r="L277" s="1">
        <v>-4.8588235294117599</v>
      </c>
      <c r="M277" s="1" t="s">
        <v>40</v>
      </c>
      <c r="N277" s="1">
        <v>4.8588235294117696</v>
      </c>
      <c r="O277" s="1">
        <v>5.0470588235294098</v>
      </c>
      <c r="Q277" s="1">
        <v>0.504705882352941</v>
      </c>
      <c r="R277" s="1">
        <v>0.60737477036146903</v>
      </c>
      <c r="S277" s="11" t="s">
        <v>133</v>
      </c>
      <c r="T277" s="2" t="s">
        <v>134</v>
      </c>
      <c r="U277" s="3" t="s">
        <v>41</v>
      </c>
      <c r="V277" s="2" t="s">
        <v>130</v>
      </c>
      <c r="W277" s="2">
        <v>3</v>
      </c>
      <c r="X277" s="2">
        <v>3</v>
      </c>
      <c r="Y277" s="2">
        <v>2</v>
      </c>
      <c r="Z277" s="2">
        <v>0</v>
      </c>
      <c r="AA277" s="2">
        <v>0</v>
      </c>
      <c r="AB277" s="12">
        <f>(W277*4+X277*1+Y277*-2+Z277*-3)/W277</f>
        <v>3.6666666666666665</v>
      </c>
      <c r="AC277" s="3">
        <f>W277*12.0107+X277*1.00784+Y277*15.999+Z277*14.0067</f>
        <v>71.053619999999995</v>
      </c>
      <c r="AD277" s="12">
        <v>80</v>
      </c>
      <c r="AE277" s="2" t="s">
        <v>131</v>
      </c>
      <c r="AF277" s="2" t="s">
        <v>135</v>
      </c>
      <c r="AG277" s="2" t="str">
        <f>IF(AD277&gt;37,"Proton symporter", "Diffusion")</f>
        <v>Proton symporter</v>
      </c>
      <c r="AH277" s="3" t="s">
        <v>132</v>
      </c>
    </row>
    <row r="278" spans="1:34" hidden="1" x14ac:dyDescent="0.2">
      <c r="A278" s="8" t="s">
        <v>34</v>
      </c>
      <c r="B278" s="9" t="s">
        <v>35</v>
      </c>
      <c r="C278" s="1" t="s">
        <v>47</v>
      </c>
      <c r="D278" s="10" t="s">
        <v>37</v>
      </c>
      <c r="E278" s="1" t="s">
        <v>127</v>
      </c>
      <c r="F278" s="1" t="s">
        <v>128</v>
      </c>
      <c r="G278" s="1">
        <v>-10</v>
      </c>
      <c r="H278" s="1">
        <v>-20</v>
      </c>
      <c r="I278" s="1" t="s">
        <v>40</v>
      </c>
      <c r="J278" s="1">
        <v>3.15</v>
      </c>
      <c r="K278" s="1">
        <v>-10</v>
      </c>
      <c r="L278" s="1">
        <v>-9.1065217391304305</v>
      </c>
      <c r="M278" s="1" t="s">
        <v>40</v>
      </c>
      <c r="N278" s="1">
        <v>4.1065217391304403</v>
      </c>
      <c r="O278" s="1">
        <v>5.2978260869565199</v>
      </c>
      <c r="Q278" s="1">
        <v>0.52978260869565197</v>
      </c>
      <c r="R278" s="1">
        <v>0.60649517550348597</v>
      </c>
      <c r="S278" s="11" t="s">
        <v>127</v>
      </c>
      <c r="T278" s="2" t="s">
        <v>129</v>
      </c>
      <c r="U278" s="3" t="s">
        <v>41</v>
      </c>
      <c r="V278" s="2" t="s">
        <v>130</v>
      </c>
      <c r="W278" s="2">
        <v>3</v>
      </c>
      <c r="X278" s="2">
        <v>3</v>
      </c>
      <c r="Y278" s="2">
        <v>2</v>
      </c>
      <c r="Z278" s="2">
        <v>0</v>
      </c>
      <c r="AA278" s="2">
        <v>0</v>
      </c>
      <c r="AB278" s="12">
        <f>(W278*4+X278*1+Y278*-2+Z278*-3)/W278</f>
        <v>3.6666666666666665</v>
      </c>
      <c r="AC278" s="3">
        <f>W278*12.0107+X278*1.00784+Y278*15.999+Z278*14.0067</f>
        <v>71.053619999999995</v>
      </c>
      <c r="AD278" s="12">
        <v>80</v>
      </c>
      <c r="AE278" s="2" t="s">
        <v>131</v>
      </c>
      <c r="AF278" s="2" t="s">
        <v>98</v>
      </c>
      <c r="AG278" s="2" t="str">
        <f>IF(AD278&gt;37,"Proton symporter", "Diffusion")</f>
        <v>Proton symporter</v>
      </c>
      <c r="AH278" s="3" t="s">
        <v>132</v>
      </c>
    </row>
    <row r="279" spans="1:34" hidden="1" x14ac:dyDescent="0.2">
      <c r="A279" s="8" t="s">
        <v>34</v>
      </c>
      <c r="B279" s="9" t="s">
        <v>35</v>
      </c>
      <c r="C279" s="1" t="s">
        <v>57</v>
      </c>
      <c r="D279" s="10" t="s">
        <v>37</v>
      </c>
      <c r="E279" s="1" t="s">
        <v>133</v>
      </c>
      <c r="F279" s="1" t="s">
        <v>128</v>
      </c>
      <c r="G279" s="1">
        <v>-10</v>
      </c>
      <c r="H279" s="1">
        <v>-20</v>
      </c>
      <c r="I279" s="1" t="s">
        <v>40</v>
      </c>
      <c r="J279" s="1">
        <v>3.15</v>
      </c>
      <c r="K279" s="1">
        <v>-10</v>
      </c>
      <c r="L279" s="1">
        <v>-5.0000000000000098</v>
      </c>
      <c r="M279" s="1" t="s">
        <v>40</v>
      </c>
      <c r="N279" s="1">
        <v>5.0000000000000098</v>
      </c>
      <c r="O279" s="1">
        <v>5</v>
      </c>
      <c r="Q279" s="1">
        <v>0.5</v>
      </c>
      <c r="R279" s="1">
        <v>0.59160077932458599</v>
      </c>
      <c r="S279" s="11" t="s">
        <v>133</v>
      </c>
      <c r="T279" s="2" t="s">
        <v>134</v>
      </c>
      <c r="U279" s="3" t="s">
        <v>41</v>
      </c>
      <c r="V279" s="2" t="s">
        <v>130</v>
      </c>
      <c r="W279" s="2">
        <v>3</v>
      </c>
      <c r="X279" s="2">
        <v>3</v>
      </c>
      <c r="Y279" s="2">
        <v>2</v>
      </c>
      <c r="Z279" s="2">
        <v>0</v>
      </c>
      <c r="AA279" s="2">
        <v>0</v>
      </c>
      <c r="AB279" s="12">
        <f>(W279*4+X279*1+Y279*-2+Z279*-3)/W279</f>
        <v>3.6666666666666665</v>
      </c>
      <c r="AC279" s="3">
        <f>W279*12.0107+X279*1.00784+Y279*15.999+Z279*14.0067</f>
        <v>71.053619999999995</v>
      </c>
      <c r="AD279" s="12">
        <v>80</v>
      </c>
      <c r="AE279" s="2" t="s">
        <v>131</v>
      </c>
      <c r="AF279" s="2" t="s">
        <v>135</v>
      </c>
      <c r="AG279" s="2" t="str">
        <f>IF(AD279&gt;37,"Proton symporter", "Diffusion")</f>
        <v>Proton symporter</v>
      </c>
      <c r="AH279" s="3" t="s">
        <v>132</v>
      </c>
    </row>
    <row r="280" spans="1:34" hidden="1" x14ac:dyDescent="0.2">
      <c r="A280" s="8" t="s">
        <v>34</v>
      </c>
      <c r="B280" s="9" t="s">
        <v>35</v>
      </c>
      <c r="C280" s="1" t="s">
        <v>58</v>
      </c>
      <c r="D280" s="10" t="s">
        <v>37</v>
      </c>
      <c r="E280" s="1" t="s">
        <v>127</v>
      </c>
      <c r="F280" s="1" t="s">
        <v>128</v>
      </c>
      <c r="G280" s="1">
        <v>-10</v>
      </c>
      <c r="H280" s="1">
        <v>-20</v>
      </c>
      <c r="I280" s="1" t="s">
        <v>40</v>
      </c>
      <c r="J280" s="1">
        <v>3.15</v>
      </c>
      <c r="K280" s="1">
        <v>-10</v>
      </c>
      <c r="L280" s="1">
        <v>-6.2738461538461499</v>
      </c>
      <c r="M280" s="1" t="s">
        <v>40</v>
      </c>
      <c r="N280" s="1">
        <v>6.2738461538461499</v>
      </c>
      <c r="O280" s="1">
        <v>4.5753846153846096</v>
      </c>
      <c r="Q280" s="1">
        <v>0.45753846153846101</v>
      </c>
      <c r="R280" s="1">
        <v>0.54136022083425095</v>
      </c>
      <c r="S280" s="11" t="s">
        <v>127</v>
      </c>
      <c r="T280" s="2" t="s">
        <v>129</v>
      </c>
      <c r="U280" s="3" t="s">
        <v>41</v>
      </c>
      <c r="V280" s="2" t="s">
        <v>130</v>
      </c>
      <c r="W280" s="2">
        <v>3</v>
      </c>
      <c r="X280" s="2">
        <v>3</v>
      </c>
      <c r="Y280" s="2">
        <v>2</v>
      </c>
      <c r="Z280" s="2">
        <v>0</v>
      </c>
      <c r="AA280" s="2">
        <v>0</v>
      </c>
      <c r="AB280" s="12">
        <f>(W280*4+X280*1+Y280*-2+Z280*-3)/W280</f>
        <v>3.6666666666666665</v>
      </c>
      <c r="AC280" s="3">
        <f>W280*12.0107+X280*1.00784+Y280*15.999+Z280*14.0067</f>
        <v>71.053619999999995</v>
      </c>
      <c r="AD280" s="12">
        <v>80</v>
      </c>
      <c r="AE280" s="2" t="s">
        <v>131</v>
      </c>
      <c r="AF280" s="2" t="s">
        <v>98</v>
      </c>
      <c r="AG280" s="2" t="str">
        <f>IF(AD280&gt;37,"Proton symporter", "Diffusion")</f>
        <v>Proton symporter</v>
      </c>
      <c r="AH280" s="3" t="s">
        <v>132</v>
      </c>
    </row>
    <row r="281" spans="1:34" hidden="1" x14ac:dyDescent="0.2">
      <c r="A281" s="8" t="s">
        <v>350</v>
      </c>
      <c r="B281" s="17" t="s">
        <v>64</v>
      </c>
      <c r="C281" t="s">
        <v>354</v>
      </c>
      <c r="D281" s="13" t="s">
        <v>51</v>
      </c>
      <c r="E281" t="s">
        <v>133</v>
      </c>
      <c r="F281" t="s">
        <v>128</v>
      </c>
      <c r="G281">
        <v>-10</v>
      </c>
      <c r="H281">
        <v>0</v>
      </c>
      <c r="I281">
        <v>0</v>
      </c>
      <c r="J281">
        <v>0.45</v>
      </c>
      <c r="K281">
        <v>-10</v>
      </c>
      <c r="L281">
        <v>0</v>
      </c>
      <c r="M281" s="26">
        <v>6.9600000000000097</v>
      </c>
      <c r="N281">
        <v>0</v>
      </c>
      <c r="O281" s="26">
        <v>2.3199999999999998</v>
      </c>
      <c r="P281"/>
      <c r="Q281" s="26">
        <v>0.23200000000000001</v>
      </c>
      <c r="R281" s="26">
        <v>0.53804036592035498</v>
      </c>
      <c r="S281" s="3" t="str">
        <f>VLOOKUP($E281,'[1]Product Naming'!$A$1:$P$58,2)</f>
        <v>Acrylate-PW2</v>
      </c>
      <c r="T281" s="3" t="str">
        <f>VLOOKUP($E281,'[1]Product Naming'!$A$1:$P$58,3)</f>
        <v>Acrylate (PW2)</v>
      </c>
      <c r="U281" s="3" t="str">
        <f>VLOOKUP($E281,'[1]Product Naming'!$A$1:$P$58,4)</f>
        <v>A</v>
      </c>
      <c r="V281" s="3" t="str">
        <f>VLOOKUP($E281,'[1]Product Naming'!$A$1:$P$58,5)</f>
        <v>C3H3O2</v>
      </c>
      <c r="W281" s="3">
        <f>VLOOKUP($E281,'[1]Product Naming'!$A$1:$P$58,6)</f>
        <v>3</v>
      </c>
      <c r="X281" s="3">
        <f>VLOOKUP($E281,'[1]Product Naming'!$A$1:$P$58,7)</f>
        <v>3</v>
      </c>
      <c r="Y281" s="3">
        <f>VLOOKUP($E281,'[1]Product Naming'!$A$1:$P$58,8)</f>
        <v>2</v>
      </c>
      <c r="Z281" s="3">
        <f>VLOOKUP($E281,'[1]Product Naming'!$A$1:$P$58,9)</f>
        <v>0</v>
      </c>
      <c r="AA281" s="3">
        <f>VLOOKUP($E281,'[1]Product Naming'!$A$1:$P$58,10)</f>
        <v>-1</v>
      </c>
      <c r="AB281" s="3">
        <f>VLOOKUP($E281,'[1]Product Naming'!$A$1:$P$58,11)</f>
        <v>3.6666666666666665</v>
      </c>
      <c r="AC281" s="3">
        <f>VLOOKUP($E281,'[1]Product Naming'!$A$1:$P$58,12)</f>
        <v>71.053619999999995</v>
      </c>
      <c r="AD281" s="3">
        <f>VLOOKUP($E281,'[1]Product Naming'!$A$1:$P$58,13)</f>
        <v>80</v>
      </c>
      <c r="AE281" s="3" t="str">
        <f>VLOOKUP($E281,'[1]Product Naming'!$A$1:$P$58,14)</f>
        <v>Carboxylate</v>
      </c>
      <c r="AF281" s="3" t="str">
        <f>VLOOKUP($E281,'[1]Product Naming'!$A$1:$P$58,15)</f>
        <v>Pyruvate</v>
      </c>
      <c r="AG281" s="3" t="str">
        <f>VLOOKUP($E281,'[1]Product Naming'!$A$1:$P$58,16)</f>
        <v>Proton symporter</v>
      </c>
      <c r="AH281" s="3" t="str">
        <f>VLOOKUP($E281,'[1]Product Naming'!$A$1:$Q$58,17)</f>
        <v>acryl_c</v>
      </c>
    </row>
    <row r="282" spans="1:34" hidden="1" x14ac:dyDescent="0.2">
      <c r="A282" s="16" t="s">
        <v>63</v>
      </c>
      <c r="B282" s="17" t="s">
        <v>64</v>
      </c>
      <c r="C282" t="s">
        <v>69</v>
      </c>
      <c r="D282" s="18" t="s">
        <v>66</v>
      </c>
      <c r="E282" t="s">
        <v>133</v>
      </c>
      <c r="F282" t="s">
        <v>128</v>
      </c>
      <c r="G282">
        <v>-10</v>
      </c>
      <c r="H282">
        <v>0</v>
      </c>
      <c r="I282">
        <v>-20</v>
      </c>
      <c r="J282">
        <v>0.45</v>
      </c>
      <c r="K282">
        <v>-10</v>
      </c>
      <c r="L282">
        <v>0</v>
      </c>
      <c r="M282">
        <v>-13.04</v>
      </c>
      <c r="N282">
        <v>0</v>
      </c>
      <c r="O282">
        <v>2.3199999999999998</v>
      </c>
      <c r="P282"/>
      <c r="Q282">
        <v>0.23200000000000001</v>
      </c>
      <c r="R282" s="19">
        <v>0.53793228055794096</v>
      </c>
      <c r="S282" s="11" t="s">
        <v>133</v>
      </c>
      <c r="T282" s="2" t="s">
        <v>134</v>
      </c>
      <c r="U282" s="3" t="s">
        <v>41</v>
      </c>
      <c r="V282" s="2" t="s">
        <v>130</v>
      </c>
      <c r="W282" s="2">
        <v>3</v>
      </c>
      <c r="X282" s="2">
        <v>3</v>
      </c>
      <c r="Y282" s="2">
        <v>2</v>
      </c>
      <c r="Z282" s="2">
        <v>0</v>
      </c>
      <c r="AA282" s="2">
        <v>0</v>
      </c>
      <c r="AB282" s="12">
        <f>(W282*4+X282*1+Y282*-2+Z282*-3)/W282</f>
        <v>3.6666666666666665</v>
      </c>
      <c r="AC282" s="3">
        <f>W282*12.0107+X282*1.00784+Y282*15.999+Z282*14.0067</f>
        <v>71.053619999999995</v>
      </c>
      <c r="AD282" s="12">
        <v>80</v>
      </c>
      <c r="AE282" s="2" t="s">
        <v>131</v>
      </c>
      <c r="AF282" s="2" t="s">
        <v>135</v>
      </c>
      <c r="AG282" s="2" t="str">
        <f>IF(AD282&gt;37,"Proton symporter", "Diffusion")</f>
        <v>Proton symporter</v>
      </c>
      <c r="AH282" s="3" t="s">
        <v>132</v>
      </c>
    </row>
    <row r="283" spans="1:34" hidden="1" x14ac:dyDescent="0.2">
      <c r="A283" s="8" t="s">
        <v>34</v>
      </c>
      <c r="B283" s="9" t="s">
        <v>35</v>
      </c>
      <c r="C283" s="1" t="s">
        <v>61</v>
      </c>
      <c r="D283" s="13" t="s">
        <v>51</v>
      </c>
      <c r="E283" s="1" t="s">
        <v>127</v>
      </c>
      <c r="F283" s="1" t="s">
        <v>128</v>
      </c>
      <c r="G283" s="1">
        <v>-10</v>
      </c>
      <c r="H283" s="1">
        <v>-20</v>
      </c>
      <c r="I283" s="1" t="s">
        <v>40</v>
      </c>
      <c r="J283" s="1">
        <v>3.15</v>
      </c>
      <c r="K283" s="1">
        <v>-10</v>
      </c>
      <c r="L283" s="1">
        <v>-7.8081081081081098</v>
      </c>
      <c r="M283" s="1" t="s">
        <v>40</v>
      </c>
      <c r="N283" s="1">
        <v>2.8081081081081098</v>
      </c>
      <c r="O283" s="1">
        <v>2.3972972972973001</v>
      </c>
      <c r="Q283" s="1">
        <v>0.23972972972973</v>
      </c>
      <c r="R283" s="1">
        <v>0.53161990018179595</v>
      </c>
      <c r="S283" s="11" t="s">
        <v>127</v>
      </c>
      <c r="T283" s="2" t="s">
        <v>129</v>
      </c>
      <c r="U283" s="3" t="s">
        <v>41</v>
      </c>
      <c r="V283" s="2" t="s">
        <v>130</v>
      </c>
      <c r="W283" s="2">
        <v>3</v>
      </c>
      <c r="X283" s="2">
        <v>3</v>
      </c>
      <c r="Y283" s="2">
        <v>2</v>
      </c>
      <c r="Z283" s="2">
        <v>0</v>
      </c>
      <c r="AA283" s="2">
        <v>0</v>
      </c>
      <c r="AB283" s="12">
        <f>(W283*4+X283*1+Y283*-2+Z283*-3)/W283</f>
        <v>3.6666666666666665</v>
      </c>
      <c r="AC283" s="3">
        <f>W283*12.0107+X283*1.00784+Y283*15.999+Z283*14.0067</f>
        <v>71.053619999999995</v>
      </c>
      <c r="AD283" s="12">
        <v>80</v>
      </c>
      <c r="AE283" s="2" t="s">
        <v>131</v>
      </c>
      <c r="AF283" s="2" t="s">
        <v>98</v>
      </c>
      <c r="AG283" s="2" t="str">
        <f>IF(AD283&gt;37,"Proton symporter", "Diffusion")</f>
        <v>Proton symporter</v>
      </c>
      <c r="AH283" s="3" t="s">
        <v>132</v>
      </c>
    </row>
    <row r="284" spans="1:34" hidden="1" x14ac:dyDescent="0.2">
      <c r="A284" s="8" t="s">
        <v>34</v>
      </c>
      <c r="B284" s="9" t="s">
        <v>35</v>
      </c>
      <c r="C284" s="1" t="s">
        <v>57</v>
      </c>
      <c r="D284" s="10" t="s">
        <v>37</v>
      </c>
      <c r="E284" s="1" t="s">
        <v>127</v>
      </c>
      <c r="F284" s="1" t="s">
        <v>128</v>
      </c>
      <c r="G284" s="1">
        <v>-10</v>
      </c>
      <c r="H284" s="1">
        <v>-20</v>
      </c>
      <c r="I284" s="1" t="s">
        <v>40</v>
      </c>
      <c r="J284" s="1">
        <v>3.15</v>
      </c>
      <c r="K284" s="1">
        <v>-10</v>
      </c>
      <c r="L284" s="1">
        <v>-7.13</v>
      </c>
      <c r="M284" s="1" t="s">
        <v>40</v>
      </c>
      <c r="N284" s="1">
        <v>7.1300000000000097</v>
      </c>
      <c r="O284" s="1">
        <v>4.2900000000000098</v>
      </c>
      <c r="Q284" s="1">
        <v>0.42900000000000099</v>
      </c>
      <c r="R284" s="1">
        <v>0.50759346866049504</v>
      </c>
      <c r="S284" s="11" t="s">
        <v>127</v>
      </c>
      <c r="T284" s="2" t="s">
        <v>129</v>
      </c>
      <c r="U284" s="3" t="s">
        <v>41</v>
      </c>
      <c r="V284" s="2" t="s">
        <v>130</v>
      </c>
      <c r="W284" s="2">
        <v>3</v>
      </c>
      <c r="X284" s="2">
        <v>3</v>
      </c>
      <c r="Y284" s="2">
        <v>2</v>
      </c>
      <c r="Z284" s="2">
        <v>0</v>
      </c>
      <c r="AA284" s="2">
        <v>0</v>
      </c>
      <c r="AB284" s="12">
        <f>(W284*4+X284*1+Y284*-2+Z284*-3)/W284</f>
        <v>3.6666666666666665</v>
      </c>
      <c r="AC284" s="3">
        <f>W284*12.0107+X284*1.00784+Y284*15.999+Z284*14.0067</f>
        <v>71.053619999999995</v>
      </c>
      <c r="AD284" s="12">
        <v>80</v>
      </c>
      <c r="AE284" s="2" t="s">
        <v>131</v>
      </c>
      <c r="AF284" s="2" t="s">
        <v>98</v>
      </c>
      <c r="AG284" s="2" t="str">
        <f>IF(AD284&gt;37,"Proton symporter", "Diffusion")</f>
        <v>Proton symporter</v>
      </c>
      <c r="AH284" s="3" t="s">
        <v>132</v>
      </c>
    </row>
    <row r="285" spans="1:34" hidden="1" x14ac:dyDescent="0.2">
      <c r="A285" s="16" t="s">
        <v>63</v>
      </c>
      <c r="B285" s="17" t="s">
        <v>64</v>
      </c>
      <c r="C285" t="s">
        <v>68</v>
      </c>
      <c r="D285" s="18" t="s">
        <v>66</v>
      </c>
      <c r="E285" t="s">
        <v>133</v>
      </c>
      <c r="F285" t="s">
        <v>128</v>
      </c>
      <c r="G285">
        <v>-10</v>
      </c>
      <c r="H285">
        <v>0</v>
      </c>
      <c r="I285">
        <v>-10</v>
      </c>
      <c r="J285">
        <v>0.45</v>
      </c>
      <c r="K285">
        <v>-10</v>
      </c>
      <c r="L285">
        <v>0</v>
      </c>
      <c r="M285">
        <v>-10</v>
      </c>
      <c r="N285">
        <v>0</v>
      </c>
      <c r="O285">
        <v>2.1411764705882401</v>
      </c>
      <c r="P285"/>
      <c r="Q285">
        <v>0.214117647058824</v>
      </c>
      <c r="R285">
        <v>0.50662117647058802</v>
      </c>
      <c r="S285" s="11" t="s">
        <v>133</v>
      </c>
      <c r="T285" s="2" t="s">
        <v>134</v>
      </c>
      <c r="U285" s="3" t="s">
        <v>41</v>
      </c>
      <c r="V285" s="2" t="s">
        <v>130</v>
      </c>
      <c r="W285" s="2">
        <v>3</v>
      </c>
      <c r="X285" s="2">
        <v>3</v>
      </c>
      <c r="Y285" s="2">
        <v>2</v>
      </c>
      <c r="Z285" s="2">
        <v>0</v>
      </c>
      <c r="AA285" s="2">
        <v>0</v>
      </c>
      <c r="AB285" s="12">
        <f>(W285*4+X285*1+Y285*-2+Z285*-3)/W285</f>
        <v>3.6666666666666665</v>
      </c>
      <c r="AC285" s="3">
        <f>W285*12.0107+X285*1.00784+Y285*15.999+Z285*14.0067</f>
        <v>71.053619999999995</v>
      </c>
      <c r="AD285" s="12">
        <v>80</v>
      </c>
      <c r="AE285" s="2" t="s">
        <v>131</v>
      </c>
      <c r="AF285" s="2" t="s">
        <v>135</v>
      </c>
      <c r="AG285" s="2" t="str">
        <f>IF(AD285&gt;37,"Proton symporter", "Diffusion")</f>
        <v>Proton symporter</v>
      </c>
      <c r="AH285" s="3" t="s">
        <v>132</v>
      </c>
    </row>
    <row r="286" spans="1:34" hidden="1" x14ac:dyDescent="0.2">
      <c r="A286" s="8" t="s">
        <v>350</v>
      </c>
      <c r="B286" s="17" t="s">
        <v>64</v>
      </c>
      <c r="C286" t="s">
        <v>353</v>
      </c>
      <c r="D286" s="13" t="s">
        <v>51</v>
      </c>
      <c r="E286" t="s">
        <v>133</v>
      </c>
      <c r="F286" t="s">
        <v>128</v>
      </c>
      <c r="G286">
        <v>-10</v>
      </c>
      <c r="H286">
        <v>0</v>
      </c>
      <c r="I286">
        <v>0</v>
      </c>
      <c r="J286">
        <v>0.45</v>
      </c>
      <c r="K286">
        <v>-10</v>
      </c>
      <c r="L286">
        <v>0</v>
      </c>
      <c r="M286" s="26">
        <v>6.4137931034482696</v>
      </c>
      <c r="N286">
        <v>0</v>
      </c>
      <c r="O286">
        <v>2.1379310344827598</v>
      </c>
      <c r="P286"/>
      <c r="Q286" s="26">
        <v>0.21379310344827501</v>
      </c>
      <c r="R286" s="26">
        <v>0.494040409461936</v>
      </c>
      <c r="S286" s="3" t="str">
        <f>VLOOKUP($E286,'[1]Product Naming'!$A$1:$P$58,2)</f>
        <v>Acrylate-PW2</v>
      </c>
      <c r="T286" s="3" t="str">
        <f>VLOOKUP($E286,'[1]Product Naming'!$A$1:$P$58,3)</f>
        <v>Acrylate (PW2)</v>
      </c>
      <c r="U286" s="3" t="str">
        <f>VLOOKUP($E286,'[1]Product Naming'!$A$1:$P$58,4)</f>
        <v>A</v>
      </c>
      <c r="V286" s="3" t="str">
        <f>VLOOKUP($E286,'[1]Product Naming'!$A$1:$P$58,5)</f>
        <v>C3H3O2</v>
      </c>
      <c r="W286" s="3">
        <f>VLOOKUP($E286,'[1]Product Naming'!$A$1:$P$58,6)</f>
        <v>3</v>
      </c>
      <c r="X286" s="3">
        <f>VLOOKUP($E286,'[1]Product Naming'!$A$1:$P$58,7)</f>
        <v>3</v>
      </c>
      <c r="Y286" s="3">
        <f>VLOOKUP($E286,'[1]Product Naming'!$A$1:$P$58,8)</f>
        <v>2</v>
      </c>
      <c r="Z286" s="3">
        <f>VLOOKUP($E286,'[1]Product Naming'!$A$1:$P$58,9)</f>
        <v>0</v>
      </c>
      <c r="AA286" s="3">
        <f>VLOOKUP($E286,'[1]Product Naming'!$A$1:$P$58,10)</f>
        <v>-1</v>
      </c>
      <c r="AB286" s="3">
        <f>VLOOKUP($E286,'[1]Product Naming'!$A$1:$P$58,11)</f>
        <v>3.6666666666666665</v>
      </c>
      <c r="AC286" s="3">
        <f>VLOOKUP($E286,'[1]Product Naming'!$A$1:$P$58,12)</f>
        <v>71.053619999999995</v>
      </c>
      <c r="AD286" s="3">
        <f>VLOOKUP($E286,'[1]Product Naming'!$A$1:$P$58,13)</f>
        <v>80</v>
      </c>
      <c r="AE286" s="3" t="str">
        <f>VLOOKUP($E286,'[1]Product Naming'!$A$1:$P$58,14)</f>
        <v>Carboxylate</v>
      </c>
      <c r="AF286" s="3" t="str">
        <f>VLOOKUP($E286,'[1]Product Naming'!$A$1:$P$58,15)</f>
        <v>Pyruvate</v>
      </c>
      <c r="AG286" s="3" t="str">
        <f>VLOOKUP($E286,'[1]Product Naming'!$A$1:$P$58,16)</f>
        <v>Proton symporter</v>
      </c>
      <c r="AH286" s="3" t="str">
        <f>VLOOKUP($E286,'[1]Product Naming'!$A$1:$Q$58,17)</f>
        <v>acryl_c</v>
      </c>
    </row>
    <row r="287" spans="1:34" hidden="1" x14ac:dyDescent="0.2">
      <c r="A287" s="8" t="s">
        <v>34</v>
      </c>
      <c r="B287" s="9" t="s">
        <v>35</v>
      </c>
      <c r="C287" s="1" t="s">
        <v>46</v>
      </c>
      <c r="D287" s="10" t="s">
        <v>37</v>
      </c>
      <c r="E287" s="1" t="s">
        <v>127</v>
      </c>
      <c r="F287" s="1" t="s">
        <v>128</v>
      </c>
      <c r="G287" s="1">
        <v>-10</v>
      </c>
      <c r="H287" s="1">
        <v>-20</v>
      </c>
      <c r="I287" s="1" t="s">
        <v>40</v>
      </c>
      <c r="J287" s="1">
        <v>3.15</v>
      </c>
      <c r="K287" s="1">
        <v>-10</v>
      </c>
      <c r="L287" s="1">
        <v>-8.1199999999999992</v>
      </c>
      <c r="M287" s="1" t="s">
        <v>40</v>
      </c>
      <c r="N287" s="1">
        <v>8.1199999999999797</v>
      </c>
      <c r="O287" s="1">
        <v>3.95999999999998</v>
      </c>
      <c r="Q287" s="1">
        <v>0.39599999999999802</v>
      </c>
      <c r="R287" s="1">
        <v>0.47655558905284301</v>
      </c>
      <c r="S287" s="11" t="s">
        <v>127</v>
      </c>
      <c r="T287" s="2" t="s">
        <v>129</v>
      </c>
      <c r="U287" s="3" t="s">
        <v>41</v>
      </c>
      <c r="V287" s="2" t="s">
        <v>130</v>
      </c>
      <c r="W287" s="2">
        <v>3</v>
      </c>
      <c r="X287" s="2">
        <v>3</v>
      </c>
      <c r="Y287" s="2">
        <v>2</v>
      </c>
      <c r="Z287" s="2">
        <v>0</v>
      </c>
      <c r="AA287" s="2">
        <v>0</v>
      </c>
      <c r="AB287" s="12">
        <f>(W287*4+X287*1+Y287*-2+Z287*-3)/W287</f>
        <v>3.6666666666666665</v>
      </c>
      <c r="AC287" s="3">
        <f>W287*12.0107+X287*1.00784+Y287*15.999+Z287*14.0067</f>
        <v>71.053619999999995</v>
      </c>
      <c r="AD287" s="12">
        <v>80</v>
      </c>
      <c r="AE287" s="2" t="s">
        <v>131</v>
      </c>
      <c r="AF287" s="2" t="s">
        <v>98</v>
      </c>
      <c r="AG287" s="2" t="str">
        <f>IF(AD287&gt;37,"Proton symporter", "Diffusion")</f>
        <v>Proton symporter</v>
      </c>
      <c r="AH287" s="3" t="s">
        <v>132</v>
      </c>
    </row>
    <row r="288" spans="1:34" hidden="1" x14ac:dyDescent="0.2">
      <c r="A288" s="16" t="s">
        <v>63</v>
      </c>
      <c r="B288" s="17" t="s">
        <v>64</v>
      </c>
      <c r="C288" t="s">
        <v>67</v>
      </c>
      <c r="D288" s="18" t="s">
        <v>66</v>
      </c>
      <c r="E288" t="s">
        <v>133</v>
      </c>
      <c r="F288" t="s">
        <v>128</v>
      </c>
      <c r="G288">
        <v>-10</v>
      </c>
      <c r="H288">
        <v>0</v>
      </c>
      <c r="I288">
        <v>-5</v>
      </c>
      <c r="J288">
        <v>0.45</v>
      </c>
      <c r="K288">
        <v>-10</v>
      </c>
      <c r="L288">
        <v>0</v>
      </c>
      <c r="M288">
        <v>-5</v>
      </c>
      <c r="N288">
        <v>2.5</v>
      </c>
      <c r="O288">
        <v>1.7</v>
      </c>
      <c r="P288"/>
      <c r="Q288">
        <v>0.17</v>
      </c>
      <c r="R288">
        <v>0.41623416264645102</v>
      </c>
      <c r="S288" s="11" t="s">
        <v>133</v>
      </c>
      <c r="T288" s="2" t="s">
        <v>134</v>
      </c>
      <c r="U288" s="3" t="s">
        <v>41</v>
      </c>
      <c r="V288" s="2" t="s">
        <v>130</v>
      </c>
      <c r="W288" s="2">
        <v>3</v>
      </c>
      <c r="X288" s="2">
        <v>3</v>
      </c>
      <c r="Y288" s="2">
        <v>2</v>
      </c>
      <c r="Z288" s="2">
        <v>0</v>
      </c>
      <c r="AA288" s="2">
        <v>0</v>
      </c>
      <c r="AB288" s="12">
        <f>(W288*4+X288*1+Y288*-2+Z288*-3)/W288</f>
        <v>3.6666666666666665</v>
      </c>
      <c r="AC288" s="3">
        <f>W288*12.0107+X288*1.00784+Y288*15.999+Z288*14.0067</f>
        <v>71.053619999999995</v>
      </c>
      <c r="AD288" s="12">
        <v>80</v>
      </c>
      <c r="AE288" s="2" t="s">
        <v>131</v>
      </c>
      <c r="AF288" s="2" t="s">
        <v>135</v>
      </c>
      <c r="AG288" s="2" t="str">
        <f>IF(AD288&gt;37,"Proton symporter", "Diffusion")</f>
        <v>Proton symporter</v>
      </c>
      <c r="AH288" s="3" t="s">
        <v>132</v>
      </c>
    </row>
    <row r="289" spans="1:34" hidden="1" x14ac:dyDescent="0.2">
      <c r="A289" s="16" t="s">
        <v>63</v>
      </c>
      <c r="B289" s="17" t="s">
        <v>64</v>
      </c>
      <c r="C289" t="s">
        <v>73</v>
      </c>
      <c r="D289" s="18" t="s">
        <v>66</v>
      </c>
      <c r="E289" t="s">
        <v>133</v>
      </c>
      <c r="F289" t="s">
        <v>128</v>
      </c>
      <c r="G289">
        <v>-10</v>
      </c>
      <c r="H289">
        <v>0</v>
      </c>
      <c r="I289">
        <v>-20</v>
      </c>
      <c r="J289">
        <v>0.45</v>
      </c>
      <c r="K289">
        <v>-10</v>
      </c>
      <c r="L289">
        <v>0</v>
      </c>
      <c r="M289">
        <v>-13.04</v>
      </c>
      <c r="N289">
        <v>0</v>
      </c>
      <c r="O289">
        <v>2.3199999999999998</v>
      </c>
      <c r="P289"/>
      <c r="Q289">
        <v>0.23200000000000001</v>
      </c>
      <c r="R289" s="19">
        <v>0.33873937080491401</v>
      </c>
      <c r="S289" s="11" t="s">
        <v>133</v>
      </c>
      <c r="T289" s="2" t="s">
        <v>134</v>
      </c>
      <c r="U289" s="3" t="s">
        <v>41</v>
      </c>
      <c r="V289" s="2" t="s">
        <v>130</v>
      </c>
      <c r="W289" s="2">
        <v>3</v>
      </c>
      <c r="X289" s="2">
        <v>3</v>
      </c>
      <c r="Y289" s="2">
        <v>2</v>
      </c>
      <c r="Z289" s="2">
        <v>0</v>
      </c>
      <c r="AA289" s="2">
        <v>0</v>
      </c>
      <c r="AB289" s="12">
        <f>(W289*4+X289*1+Y289*-2+Z289*-3)/W289</f>
        <v>3.6666666666666665</v>
      </c>
      <c r="AC289" s="3">
        <f>W289*12.0107+X289*1.00784+Y289*15.999+Z289*14.0067</f>
        <v>71.053619999999995</v>
      </c>
      <c r="AD289" s="12">
        <v>80</v>
      </c>
      <c r="AE289" s="2" t="s">
        <v>131</v>
      </c>
      <c r="AF289" s="2" t="s">
        <v>135</v>
      </c>
      <c r="AG289" s="2" t="str">
        <f>IF(AD289&gt;37,"Proton symporter", "Diffusion")</f>
        <v>Proton symporter</v>
      </c>
      <c r="AH289" s="3" t="s">
        <v>132</v>
      </c>
    </row>
    <row r="290" spans="1:34" hidden="1" x14ac:dyDescent="0.2">
      <c r="A290" s="8" t="s">
        <v>350</v>
      </c>
      <c r="B290" s="17" t="s">
        <v>64</v>
      </c>
      <c r="C290" t="s">
        <v>352</v>
      </c>
      <c r="D290" s="13" t="s">
        <v>51</v>
      </c>
      <c r="E290" t="s">
        <v>133</v>
      </c>
      <c r="F290" t="s">
        <v>128</v>
      </c>
      <c r="G290">
        <v>-10</v>
      </c>
      <c r="H290">
        <v>0</v>
      </c>
      <c r="I290">
        <v>0</v>
      </c>
      <c r="J290">
        <v>0.45</v>
      </c>
      <c r="K290">
        <v>-10</v>
      </c>
      <c r="L290">
        <v>0</v>
      </c>
      <c r="M290" s="26">
        <v>4.3813953488372102</v>
      </c>
      <c r="N290">
        <v>0</v>
      </c>
      <c r="O290" s="26">
        <v>1.4604651162790701</v>
      </c>
      <c r="P290"/>
      <c r="Q290" s="26">
        <v>0.14604651162790699</v>
      </c>
      <c r="R290" s="26">
        <v>0.33305121345890798</v>
      </c>
      <c r="S290" s="3" t="str">
        <f>VLOOKUP($E290,'[1]Product Naming'!$A$1:$P$58,2)</f>
        <v>Acrylate-PW2</v>
      </c>
      <c r="T290" s="3" t="str">
        <f>VLOOKUP($E290,'[1]Product Naming'!$A$1:$P$58,3)</f>
        <v>Acrylate (PW2)</v>
      </c>
      <c r="U290" s="3" t="str">
        <f>VLOOKUP($E290,'[1]Product Naming'!$A$1:$P$58,4)</f>
        <v>A</v>
      </c>
      <c r="V290" s="3" t="str">
        <f>VLOOKUP($E290,'[1]Product Naming'!$A$1:$P$58,5)</f>
        <v>C3H3O2</v>
      </c>
      <c r="W290" s="3">
        <f>VLOOKUP($E290,'[1]Product Naming'!$A$1:$P$58,6)</f>
        <v>3</v>
      </c>
      <c r="X290" s="3">
        <f>VLOOKUP($E290,'[1]Product Naming'!$A$1:$P$58,7)</f>
        <v>3</v>
      </c>
      <c r="Y290" s="3">
        <f>VLOOKUP($E290,'[1]Product Naming'!$A$1:$P$58,8)</f>
        <v>2</v>
      </c>
      <c r="Z290" s="3">
        <f>VLOOKUP($E290,'[1]Product Naming'!$A$1:$P$58,9)</f>
        <v>0</v>
      </c>
      <c r="AA290" s="3">
        <f>VLOOKUP($E290,'[1]Product Naming'!$A$1:$P$58,10)</f>
        <v>-1</v>
      </c>
      <c r="AB290" s="3">
        <f>VLOOKUP($E290,'[1]Product Naming'!$A$1:$P$58,11)</f>
        <v>3.6666666666666665</v>
      </c>
      <c r="AC290" s="3">
        <f>VLOOKUP($E290,'[1]Product Naming'!$A$1:$P$58,12)</f>
        <v>71.053619999999995</v>
      </c>
      <c r="AD290" s="3">
        <f>VLOOKUP($E290,'[1]Product Naming'!$A$1:$P$58,13)</f>
        <v>80</v>
      </c>
      <c r="AE290" s="3" t="str">
        <f>VLOOKUP($E290,'[1]Product Naming'!$A$1:$P$58,14)</f>
        <v>Carboxylate</v>
      </c>
      <c r="AF290" s="3" t="str">
        <f>VLOOKUP($E290,'[1]Product Naming'!$A$1:$P$58,15)</f>
        <v>Pyruvate</v>
      </c>
      <c r="AG290" s="3" t="str">
        <f>VLOOKUP($E290,'[1]Product Naming'!$A$1:$P$58,16)</f>
        <v>Proton symporter</v>
      </c>
      <c r="AH290" s="3" t="str">
        <f>VLOOKUP($E290,'[1]Product Naming'!$A$1:$Q$58,17)</f>
        <v>acryl_c</v>
      </c>
    </row>
    <row r="291" spans="1:34" hidden="1" x14ac:dyDescent="0.2">
      <c r="A291" s="16" t="s">
        <v>63</v>
      </c>
      <c r="B291" s="17" t="s">
        <v>64</v>
      </c>
      <c r="C291" t="s">
        <v>65</v>
      </c>
      <c r="D291" s="18" t="s">
        <v>66</v>
      </c>
      <c r="E291" t="s">
        <v>133</v>
      </c>
      <c r="F291" t="s">
        <v>128</v>
      </c>
      <c r="G291">
        <v>-10</v>
      </c>
      <c r="H291">
        <v>0</v>
      </c>
      <c r="I291">
        <v>0</v>
      </c>
      <c r="J291">
        <v>0.45</v>
      </c>
      <c r="K291">
        <v>-10</v>
      </c>
      <c r="L291">
        <v>0</v>
      </c>
      <c r="M291">
        <v>0</v>
      </c>
      <c r="N291">
        <v>5</v>
      </c>
      <c r="O291">
        <v>1.25882352941177</v>
      </c>
      <c r="P291"/>
      <c r="Q291">
        <v>0.125882352941177</v>
      </c>
      <c r="R291">
        <v>0.31932869941407499</v>
      </c>
      <c r="S291" s="11" t="s">
        <v>133</v>
      </c>
      <c r="T291" s="2" t="s">
        <v>134</v>
      </c>
      <c r="U291" s="3" t="s">
        <v>41</v>
      </c>
      <c r="V291" s="2" t="s">
        <v>130</v>
      </c>
      <c r="W291" s="2">
        <v>3</v>
      </c>
      <c r="X291" s="2">
        <v>3</v>
      </c>
      <c r="Y291" s="2">
        <v>2</v>
      </c>
      <c r="Z291" s="2">
        <v>0</v>
      </c>
      <c r="AA291" s="2">
        <v>0</v>
      </c>
      <c r="AB291" s="12">
        <f>(W291*4+X291*1+Y291*-2+Z291*-3)/W291</f>
        <v>3.6666666666666665</v>
      </c>
      <c r="AC291" s="3">
        <f>W291*12.0107+X291*1.00784+Y291*15.999+Z291*14.0067</f>
        <v>71.053619999999995</v>
      </c>
      <c r="AD291" s="12">
        <v>80</v>
      </c>
      <c r="AE291" s="2" t="s">
        <v>131</v>
      </c>
      <c r="AF291" s="2" t="s">
        <v>135</v>
      </c>
      <c r="AG291" s="2" t="str">
        <f>IF(AD291&gt;37,"Proton symporter", "Diffusion")</f>
        <v>Proton symporter</v>
      </c>
      <c r="AH291" s="3" t="s">
        <v>132</v>
      </c>
    </row>
    <row r="292" spans="1:34" hidden="1" x14ac:dyDescent="0.2">
      <c r="A292" s="16" t="s">
        <v>63</v>
      </c>
      <c r="B292" s="17" t="s">
        <v>64</v>
      </c>
      <c r="C292" t="s">
        <v>72</v>
      </c>
      <c r="D292" s="18" t="s">
        <v>66</v>
      </c>
      <c r="E292" t="s">
        <v>133</v>
      </c>
      <c r="F292" t="s">
        <v>128</v>
      </c>
      <c r="G292">
        <v>-10</v>
      </c>
      <c r="H292">
        <v>0</v>
      </c>
      <c r="I292">
        <v>-10</v>
      </c>
      <c r="J292">
        <v>0.45</v>
      </c>
      <c r="K292">
        <v>-10</v>
      </c>
      <c r="L292">
        <v>0</v>
      </c>
      <c r="M292">
        <v>-10</v>
      </c>
      <c r="N292">
        <v>0</v>
      </c>
      <c r="O292">
        <v>2.1411764705882299</v>
      </c>
      <c r="P292"/>
      <c r="Q292">
        <v>0.214117647058823</v>
      </c>
      <c r="R292">
        <v>0.31662769158144399</v>
      </c>
      <c r="S292" s="11" t="s">
        <v>133</v>
      </c>
      <c r="T292" s="2" t="s">
        <v>134</v>
      </c>
      <c r="U292" s="3" t="s">
        <v>41</v>
      </c>
      <c r="V292" s="2" t="s">
        <v>130</v>
      </c>
      <c r="W292" s="2">
        <v>3</v>
      </c>
      <c r="X292" s="2">
        <v>3</v>
      </c>
      <c r="Y292" s="2">
        <v>2</v>
      </c>
      <c r="Z292" s="2">
        <v>0</v>
      </c>
      <c r="AA292" s="2">
        <v>0</v>
      </c>
      <c r="AB292" s="12">
        <f>(W292*4+X292*1+Y292*-2+Z292*-3)/W292</f>
        <v>3.6666666666666665</v>
      </c>
      <c r="AC292" s="3">
        <f>W292*12.0107+X292*1.00784+Y292*15.999+Z292*14.0067</f>
        <v>71.053619999999995</v>
      </c>
      <c r="AD292" s="12">
        <v>80</v>
      </c>
      <c r="AE292" s="2" t="s">
        <v>131</v>
      </c>
      <c r="AF292" s="2" t="s">
        <v>135</v>
      </c>
      <c r="AG292" s="2" t="str">
        <f>IF(AD292&gt;37,"Proton symporter", "Diffusion")</f>
        <v>Proton symporter</v>
      </c>
      <c r="AH292" s="3" t="s">
        <v>132</v>
      </c>
    </row>
    <row r="293" spans="1:34" hidden="1" x14ac:dyDescent="0.2">
      <c r="A293" s="16" t="s">
        <v>63</v>
      </c>
      <c r="B293" s="17" t="s">
        <v>64</v>
      </c>
      <c r="C293" t="s">
        <v>71</v>
      </c>
      <c r="D293" s="18" t="s">
        <v>66</v>
      </c>
      <c r="E293" t="s">
        <v>133</v>
      </c>
      <c r="F293" t="s">
        <v>128</v>
      </c>
      <c r="G293">
        <v>-10</v>
      </c>
      <c r="H293">
        <v>0</v>
      </c>
      <c r="I293">
        <v>-5</v>
      </c>
      <c r="J293">
        <v>0.45</v>
      </c>
      <c r="K293">
        <v>-10</v>
      </c>
      <c r="L293">
        <v>0</v>
      </c>
      <c r="M293">
        <v>-5</v>
      </c>
      <c r="N293">
        <v>2.5</v>
      </c>
      <c r="O293">
        <v>1.7</v>
      </c>
      <c r="P293"/>
      <c r="Q293">
        <v>0.17</v>
      </c>
      <c r="R293">
        <v>0.25678609937159302</v>
      </c>
      <c r="S293" s="11" t="s">
        <v>133</v>
      </c>
      <c r="T293" s="2" t="s">
        <v>134</v>
      </c>
      <c r="U293" s="3" t="s">
        <v>41</v>
      </c>
      <c r="V293" s="2" t="s">
        <v>130</v>
      </c>
      <c r="W293" s="2">
        <v>3</v>
      </c>
      <c r="X293" s="2">
        <v>3</v>
      </c>
      <c r="Y293" s="2">
        <v>2</v>
      </c>
      <c r="Z293" s="2">
        <v>0</v>
      </c>
      <c r="AA293" s="2">
        <v>0</v>
      </c>
      <c r="AB293" s="12">
        <f>(W293*4+X293*1+Y293*-2+Z293*-3)/W293</f>
        <v>3.6666666666666665</v>
      </c>
      <c r="AC293" s="3">
        <f>W293*12.0107+X293*1.00784+Y293*15.999+Z293*14.0067</f>
        <v>71.053619999999995</v>
      </c>
      <c r="AD293" s="12">
        <v>80</v>
      </c>
      <c r="AE293" s="2" t="s">
        <v>131</v>
      </c>
      <c r="AF293" s="2" t="s">
        <v>135</v>
      </c>
      <c r="AG293" s="2" t="str">
        <f>IF(AD293&gt;37,"Proton symporter", "Diffusion")</f>
        <v>Proton symporter</v>
      </c>
      <c r="AH293" s="3" t="s">
        <v>132</v>
      </c>
    </row>
    <row r="294" spans="1:34" hidden="1" x14ac:dyDescent="0.2">
      <c r="A294" s="8" t="s">
        <v>368</v>
      </c>
      <c r="B294" s="17" t="s">
        <v>64</v>
      </c>
      <c r="C294" t="s">
        <v>369</v>
      </c>
      <c r="D294" s="18" t="s">
        <v>66</v>
      </c>
      <c r="E294" t="s">
        <v>133</v>
      </c>
      <c r="F294" t="s">
        <v>128</v>
      </c>
      <c r="G294">
        <v>-10</v>
      </c>
      <c r="H294">
        <v>0</v>
      </c>
      <c r="I294">
        <v>-20</v>
      </c>
      <c r="J294">
        <v>0.45</v>
      </c>
      <c r="K294">
        <v>-10</v>
      </c>
      <c r="L294">
        <v>0</v>
      </c>
      <c r="M294">
        <v>-20</v>
      </c>
      <c r="N294">
        <v>-10</v>
      </c>
      <c r="O294">
        <v>1.55294117647059</v>
      </c>
      <c r="P294"/>
      <c r="Q294">
        <v>0.155294117647059</v>
      </c>
      <c r="R294">
        <v>0.22967839023207701</v>
      </c>
      <c r="S294" s="1" t="str">
        <f>VLOOKUP($E294,'[1]Product Naming'!$A$1:$P$58,2)</f>
        <v>Acrylate-PW2</v>
      </c>
      <c r="T294" s="1" t="str">
        <f>VLOOKUP($E294,'[1]Product Naming'!$A$1:$P$58,3)</f>
        <v>Acrylate (PW2)</v>
      </c>
      <c r="U294" s="1" t="str">
        <f>VLOOKUP($E294,'[1]Product Naming'!$A$1:$P$58,4)</f>
        <v>A</v>
      </c>
      <c r="V294" s="1" t="str">
        <f>VLOOKUP($E294,'[1]Product Naming'!$A$1:$P$58,5)</f>
        <v>C3H3O2</v>
      </c>
      <c r="W294" s="1">
        <f>VLOOKUP($E294,'[1]Product Naming'!$A$1:$P$58,6)</f>
        <v>3</v>
      </c>
      <c r="X294" s="1">
        <f>VLOOKUP($E294,'[1]Product Naming'!$A$1:$P$58,7)</f>
        <v>3</v>
      </c>
      <c r="Y294" s="1">
        <f>VLOOKUP($E294,'[1]Product Naming'!$A$1:$P$58,8)</f>
        <v>2</v>
      </c>
      <c r="Z294" s="1">
        <f>VLOOKUP($E294,'[1]Product Naming'!$A$1:$P$58,9)</f>
        <v>0</v>
      </c>
      <c r="AA294" s="1">
        <f>VLOOKUP($E294,'[1]Product Naming'!$A$1:$P$58,10)</f>
        <v>-1</v>
      </c>
      <c r="AB294" s="27">
        <f>VLOOKUP($E294,'[1]Product Naming'!$A$1:$P$58,11)</f>
        <v>3.6666666666666665</v>
      </c>
      <c r="AC294" s="3">
        <f>VLOOKUP($E294,'[1]Product Naming'!$A$1:$P$58,12)</f>
        <v>71.053619999999995</v>
      </c>
      <c r="AD294" s="1">
        <f>VLOOKUP($E294,'[1]Product Naming'!$A$1:$P$58,13)</f>
        <v>80</v>
      </c>
      <c r="AE294" s="1" t="str">
        <f>VLOOKUP($E294,'[1]Product Naming'!$A$1:$P$58,14)</f>
        <v>Carboxylate</v>
      </c>
      <c r="AF294" s="1" t="str">
        <f>VLOOKUP($E294,'[1]Product Naming'!$A$1:$P$58,15)</f>
        <v>Pyruvate</v>
      </c>
      <c r="AG294" s="28" t="str">
        <f>VLOOKUP($E294,'[1]Product Naming'!$A$1:$P$58,16)</f>
        <v>Proton symporter</v>
      </c>
      <c r="AH294" s="3" t="str">
        <f>VLOOKUP($E294,'[1]Product Naming'!$A$1:$Q$58,17)</f>
        <v>acryl_c</v>
      </c>
    </row>
    <row r="295" spans="1:34" hidden="1" x14ac:dyDescent="0.2">
      <c r="A295" s="8" t="s">
        <v>350</v>
      </c>
      <c r="B295" s="17" t="s">
        <v>64</v>
      </c>
      <c r="C295" t="s">
        <v>354</v>
      </c>
      <c r="D295" s="13" t="s">
        <v>51</v>
      </c>
      <c r="E295" t="s">
        <v>127</v>
      </c>
      <c r="F295" t="s">
        <v>128</v>
      </c>
      <c r="G295">
        <v>-10</v>
      </c>
      <c r="H295">
        <v>0</v>
      </c>
      <c r="I295">
        <v>0</v>
      </c>
      <c r="J295">
        <v>0.45</v>
      </c>
      <c r="K295">
        <v>-10</v>
      </c>
      <c r="L295">
        <v>0</v>
      </c>
      <c r="M295" s="26">
        <v>3.0260869565217399</v>
      </c>
      <c r="N295">
        <v>0</v>
      </c>
      <c r="O295" s="26">
        <v>1.0086956521738899</v>
      </c>
      <c r="P295"/>
      <c r="Q295" s="26">
        <v>0.100869565217389</v>
      </c>
      <c r="R295" s="26">
        <v>0.22802798378150299</v>
      </c>
      <c r="S295" s="3" t="str">
        <f>VLOOKUP($E295,'[1]Product Naming'!$A$1:$P$58,2)</f>
        <v>Acrylate-PW1</v>
      </c>
      <c r="T295" s="3" t="str">
        <f>VLOOKUP($E295,'[1]Product Naming'!$A$1:$P$58,3)</f>
        <v>Acrylate (PW1)</v>
      </c>
      <c r="U295" s="3" t="str">
        <f>VLOOKUP($E295,'[1]Product Naming'!$A$1:$P$58,4)</f>
        <v>A</v>
      </c>
      <c r="V295" s="3" t="str">
        <f>VLOOKUP($E295,'[1]Product Naming'!$A$1:$P$58,5)</f>
        <v>C3H3O2</v>
      </c>
      <c r="W295" s="3">
        <f>VLOOKUP($E295,'[1]Product Naming'!$A$1:$P$58,6)</f>
        <v>3</v>
      </c>
      <c r="X295" s="3">
        <f>VLOOKUP($E295,'[1]Product Naming'!$A$1:$P$58,7)</f>
        <v>3</v>
      </c>
      <c r="Y295" s="3">
        <f>VLOOKUP($E295,'[1]Product Naming'!$A$1:$P$58,8)</f>
        <v>2</v>
      </c>
      <c r="Z295" s="3">
        <f>VLOOKUP($E295,'[1]Product Naming'!$A$1:$P$58,9)</f>
        <v>0</v>
      </c>
      <c r="AA295" s="3">
        <f>VLOOKUP($E295,'[1]Product Naming'!$A$1:$P$58,10)</f>
        <v>-1</v>
      </c>
      <c r="AB295" s="3">
        <f>VLOOKUP($E295,'[1]Product Naming'!$A$1:$P$58,11)</f>
        <v>3.6666666666666665</v>
      </c>
      <c r="AC295" s="3">
        <f>VLOOKUP($E295,'[1]Product Naming'!$A$1:$P$58,12)</f>
        <v>71.053619999999995</v>
      </c>
      <c r="AD295" s="3">
        <f>VLOOKUP($E295,'[1]Product Naming'!$A$1:$P$58,13)</f>
        <v>80</v>
      </c>
      <c r="AE295" s="3" t="str">
        <f>VLOOKUP($E295,'[1]Product Naming'!$A$1:$P$58,14)</f>
        <v>Carboxylate</v>
      </c>
      <c r="AF295" s="3" t="str">
        <f>VLOOKUP($E295,'[1]Product Naming'!$A$1:$P$58,15)</f>
        <v>Glyceraldehyde 3-P</v>
      </c>
      <c r="AG295" s="3" t="str">
        <f>VLOOKUP($E295,'[1]Product Naming'!$A$1:$P$58,16)</f>
        <v>Proton symporter</v>
      </c>
      <c r="AH295" s="3" t="str">
        <f>VLOOKUP($E295,'[1]Product Naming'!$A$1:$Q$58,17)</f>
        <v>acryl_c</v>
      </c>
    </row>
    <row r="296" spans="1:34" hidden="1" x14ac:dyDescent="0.2">
      <c r="A296" s="16" t="s">
        <v>63</v>
      </c>
      <c r="B296" s="17" t="s">
        <v>64</v>
      </c>
      <c r="C296" t="s">
        <v>69</v>
      </c>
      <c r="D296" s="18" t="s">
        <v>66</v>
      </c>
      <c r="E296" t="s">
        <v>127</v>
      </c>
      <c r="F296" t="s">
        <v>128</v>
      </c>
      <c r="G296">
        <v>-10</v>
      </c>
      <c r="H296">
        <v>0</v>
      </c>
      <c r="I296">
        <v>-20</v>
      </c>
      <c r="J296">
        <v>0.45</v>
      </c>
      <c r="K296">
        <v>-10</v>
      </c>
      <c r="L296">
        <v>0</v>
      </c>
      <c r="M296">
        <v>-16.973913043478301</v>
      </c>
      <c r="N296">
        <v>0</v>
      </c>
      <c r="O296">
        <v>1.0086956521739101</v>
      </c>
      <c r="P296"/>
      <c r="Q296">
        <v>0.100869565217391</v>
      </c>
      <c r="R296" s="19">
        <v>0.22797192053888601</v>
      </c>
      <c r="S296" s="11" t="s">
        <v>127</v>
      </c>
      <c r="T296" s="2" t="s">
        <v>129</v>
      </c>
      <c r="U296" s="3" t="s">
        <v>41</v>
      </c>
      <c r="V296" s="2" t="s">
        <v>130</v>
      </c>
      <c r="W296" s="2">
        <v>3</v>
      </c>
      <c r="X296" s="2">
        <v>3</v>
      </c>
      <c r="Y296" s="2">
        <v>2</v>
      </c>
      <c r="Z296" s="2">
        <v>0</v>
      </c>
      <c r="AA296" s="2">
        <v>0</v>
      </c>
      <c r="AB296" s="12">
        <f>(W296*4+X296*1+Y296*-2+Z296*-3)/W296</f>
        <v>3.6666666666666665</v>
      </c>
      <c r="AC296" s="3">
        <f>W296*12.0107+X296*1.00784+Y296*15.999+Z296*14.0067</f>
        <v>71.053619999999995</v>
      </c>
      <c r="AD296" s="12">
        <v>80</v>
      </c>
      <c r="AE296" s="2" t="s">
        <v>131</v>
      </c>
      <c r="AF296" s="2" t="s">
        <v>98</v>
      </c>
      <c r="AG296" s="2" t="str">
        <f>IF(AD296&gt;37,"Proton symporter", "Diffusion")</f>
        <v>Proton symporter</v>
      </c>
      <c r="AH296" s="3" t="s">
        <v>132</v>
      </c>
    </row>
    <row r="297" spans="1:34" hidden="1" x14ac:dyDescent="0.2">
      <c r="A297" s="8" t="s">
        <v>350</v>
      </c>
      <c r="B297" s="17" t="s">
        <v>64</v>
      </c>
      <c r="C297" t="s">
        <v>353</v>
      </c>
      <c r="D297" s="13" t="s">
        <v>51</v>
      </c>
      <c r="E297" t="s">
        <v>127</v>
      </c>
      <c r="F297" t="s">
        <v>128</v>
      </c>
      <c r="G297">
        <v>-10</v>
      </c>
      <c r="H297">
        <v>0</v>
      </c>
      <c r="I297">
        <v>0</v>
      </c>
      <c r="J297">
        <v>0.45</v>
      </c>
      <c r="K297">
        <v>-10</v>
      </c>
      <c r="L297">
        <v>0</v>
      </c>
      <c r="M297" s="26">
        <v>2.8120950323974099</v>
      </c>
      <c r="N297">
        <v>0</v>
      </c>
      <c r="O297" s="26">
        <v>0.93736501079913503</v>
      </c>
      <c r="P297"/>
      <c r="Q297">
        <v>9.3736501079913506E-2</v>
      </c>
      <c r="R297" s="26">
        <v>0.21161237067975999</v>
      </c>
      <c r="S297" s="3" t="str">
        <f>VLOOKUP($E297,'[1]Product Naming'!$A$1:$P$58,2)</f>
        <v>Acrylate-PW1</v>
      </c>
      <c r="T297" s="3" t="str">
        <f>VLOOKUP($E297,'[1]Product Naming'!$A$1:$P$58,3)</f>
        <v>Acrylate (PW1)</v>
      </c>
      <c r="U297" s="3" t="str">
        <f>VLOOKUP($E297,'[1]Product Naming'!$A$1:$P$58,4)</f>
        <v>A</v>
      </c>
      <c r="V297" s="3" t="str">
        <f>VLOOKUP($E297,'[1]Product Naming'!$A$1:$P$58,5)</f>
        <v>C3H3O2</v>
      </c>
      <c r="W297" s="3">
        <f>VLOOKUP($E297,'[1]Product Naming'!$A$1:$P$58,6)</f>
        <v>3</v>
      </c>
      <c r="X297" s="3">
        <f>VLOOKUP($E297,'[1]Product Naming'!$A$1:$P$58,7)</f>
        <v>3</v>
      </c>
      <c r="Y297" s="3">
        <f>VLOOKUP($E297,'[1]Product Naming'!$A$1:$P$58,8)</f>
        <v>2</v>
      </c>
      <c r="Z297" s="3">
        <f>VLOOKUP($E297,'[1]Product Naming'!$A$1:$P$58,9)</f>
        <v>0</v>
      </c>
      <c r="AA297" s="3">
        <f>VLOOKUP($E297,'[1]Product Naming'!$A$1:$P$58,10)</f>
        <v>-1</v>
      </c>
      <c r="AB297" s="3">
        <f>VLOOKUP($E297,'[1]Product Naming'!$A$1:$P$58,11)</f>
        <v>3.6666666666666665</v>
      </c>
      <c r="AC297" s="3">
        <f>VLOOKUP($E297,'[1]Product Naming'!$A$1:$P$58,12)</f>
        <v>71.053619999999995</v>
      </c>
      <c r="AD297" s="3">
        <f>VLOOKUP($E297,'[1]Product Naming'!$A$1:$P$58,13)</f>
        <v>80</v>
      </c>
      <c r="AE297" s="3" t="str">
        <f>VLOOKUP($E297,'[1]Product Naming'!$A$1:$P$58,14)</f>
        <v>Carboxylate</v>
      </c>
      <c r="AF297" s="3" t="str">
        <f>VLOOKUP($E297,'[1]Product Naming'!$A$1:$P$58,15)</f>
        <v>Glyceraldehyde 3-P</v>
      </c>
      <c r="AG297" s="3" t="str">
        <f>VLOOKUP($E297,'[1]Product Naming'!$A$1:$P$58,16)</f>
        <v>Proton symporter</v>
      </c>
      <c r="AH297" s="3" t="str">
        <f>VLOOKUP($E297,'[1]Product Naming'!$A$1:$Q$58,17)</f>
        <v>acryl_c</v>
      </c>
    </row>
    <row r="298" spans="1:34" hidden="1" x14ac:dyDescent="0.2">
      <c r="A298" s="16" t="s">
        <v>63</v>
      </c>
      <c r="B298" s="17" t="s">
        <v>64</v>
      </c>
      <c r="C298" t="s">
        <v>68</v>
      </c>
      <c r="D298" s="18" t="s">
        <v>66</v>
      </c>
      <c r="E298" t="s">
        <v>127</v>
      </c>
      <c r="F298" t="s">
        <v>128</v>
      </c>
      <c r="G298">
        <v>-10</v>
      </c>
      <c r="H298">
        <v>0</v>
      </c>
      <c r="I298">
        <v>-10</v>
      </c>
      <c r="J298">
        <v>0.45</v>
      </c>
      <c r="K298">
        <v>-10</v>
      </c>
      <c r="L298">
        <v>0</v>
      </c>
      <c r="M298">
        <v>-10</v>
      </c>
      <c r="N298">
        <v>0</v>
      </c>
      <c r="O298">
        <v>0.84651162790697698</v>
      </c>
      <c r="P298"/>
      <c r="Q298">
        <v>8.4651162790697704E-2</v>
      </c>
      <c r="R298">
        <v>0.20029209302325601</v>
      </c>
      <c r="S298" s="11" t="s">
        <v>127</v>
      </c>
      <c r="T298" s="2" t="s">
        <v>129</v>
      </c>
      <c r="U298" s="3" t="s">
        <v>41</v>
      </c>
      <c r="V298" s="2" t="s">
        <v>130</v>
      </c>
      <c r="W298" s="2">
        <v>3</v>
      </c>
      <c r="X298" s="2">
        <v>3</v>
      </c>
      <c r="Y298" s="2">
        <v>2</v>
      </c>
      <c r="Z298" s="2">
        <v>0</v>
      </c>
      <c r="AA298" s="2">
        <v>0</v>
      </c>
      <c r="AB298" s="12">
        <f>(W298*4+X298*1+Y298*-2+Z298*-3)/W298</f>
        <v>3.6666666666666665</v>
      </c>
      <c r="AC298" s="3">
        <f>W298*12.0107+X298*1.00784+Y298*15.999+Z298*14.0067</f>
        <v>71.053619999999995</v>
      </c>
      <c r="AD298" s="12">
        <v>80</v>
      </c>
      <c r="AE298" s="2" t="s">
        <v>131</v>
      </c>
      <c r="AF298" s="2" t="s">
        <v>98</v>
      </c>
      <c r="AG298" s="2" t="str">
        <f>IF(AD298&gt;37,"Proton symporter", "Diffusion")</f>
        <v>Proton symporter</v>
      </c>
      <c r="AH298" s="3" t="s">
        <v>132</v>
      </c>
    </row>
    <row r="299" spans="1:34" hidden="1" x14ac:dyDescent="0.2">
      <c r="A299" s="16" t="s">
        <v>63</v>
      </c>
      <c r="B299" s="17" t="s">
        <v>64</v>
      </c>
      <c r="C299" t="s">
        <v>70</v>
      </c>
      <c r="D299" s="18" t="s">
        <v>66</v>
      </c>
      <c r="E299" t="s">
        <v>133</v>
      </c>
      <c r="F299" t="s">
        <v>128</v>
      </c>
      <c r="G299">
        <v>-10</v>
      </c>
      <c r="H299">
        <v>0</v>
      </c>
      <c r="I299">
        <v>0</v>
      </c>
      <c r="J299">
        <v>0.45</v>
      </c>
      <c r="K299">
        <v>-10</v>
      </c>
      <c r="L299">
        <v>0</v>
      </c>
      <c r="M299">
        <v>0</v>
      </c>
      <c r="N299">
        <v>5</v>
      </c>
      <c r="O299">
        <v>1.25882352941177</v>
      </c>
      <c r="P299"/>
      <c r="Q299">
        <v>0.125882352941177</v>
      </c>
      <c r="R299">
        <v>0.19431837058302101</v>
      </c>
      <c r="S299" s="11" t="s">
        <v>133</v>
      </c>
      <c r="T299" s="2" t="s">
        <v>134</v>
      </c>
      <c r="U299" s="3" t="s">
        <v>41</v>
      </c>
      <c r="V299" s="2" t="s">
        <v>130</v>
      </c>
      <c r="W299" s="2">
        <v>3</v>
      </c>
      <c r="X299" s="2">
        <v>3</v>
      </c>
      <c r="Y299" s="2">
        <v>2</v>
      </c>
      <c r="Z299" s="2">
        <v>0</v>
      </c>
      <c r="AA299" s="2">
        <v>0</v>
      </c>
      <c r="AB299" s="12">
        <f>(W299*4+X299*1+Y299*-2+Z299*-3)/W299</f>
        <v>3.6666666666666665</v>
      </c>
      <c r="AC299" s="3">
        <f>W299*12.0107+X299*1.00784+Y299*15.999+Z299*14.0067</f>
        <v>71.053619999999995</v>
      </c>
      <c r="AD299" s="12">
        <v>80</v>
      </c>
      <c r="AE299" s="2" t="s">
        <v>131</v>
      </c>
      <c r="AF299" s="2" t="s">
        <v>135</v>
      </c>
      <c r="AG299" s="2" t="str">
        <f>IF(AD299&gt;37,"Proton symporter", "Diffusion")</f>
        <v>Proton symporter</v>
      </c>
      <c r="AH299" s="3" t="s">
        <v>132</v>
      </c>
    </row>
    <row r="300" spans="1:34" hidden="1" x14ac:dyDescent="0.2">
      <c r="A300" s="16" t="s">
        <v>63</v>
      </c>
      <c r="B300" s="17" t="s">
        <v>64</v>
      </c>
      <c r="C300" t="s">
        <v>67</v>
      </c>
      <c r="D300" s="18" t="s">
        <v>66</v>
      </c>
      <c r="E300" t="s">
        <v>127</v>
      </c>
      <c r="F300" t="s">
        <v>128</v>
      </c>
      <c r="G300">
        <v>-10</v>
      </c>
      <c r="H300">
        <v>0</v>
      </c>
      <c r="I300">
        <v>-5</v>
      </c>
      <c r="J300">
        <v>0.45</v>
      </c>
      <c r="K300">
        <v>-10</v>
      </c>
      <c r="L300">
        <v>0</v>
      </c>
      <c r="M300">
        <v>-5</v>
      </c>
      <c r="N300">
        <v>2.5</v>
      </c>
      <c r="O300">
        <v>0.67209302325581399</v>
      </c>
      <c r="P300"/>
      <c r="Q300">
        <v>6.7209302325581394E-2</v>
      </c>
      <c r="R300">
        <v>0.164557692209062</v>
      </c>
      <c r="S300" s="11" t="s">
        <v>127</v>
      </c>
      <c r="T300" s="2" t="s">
        <v>129</v>
      </c>
      <c r="U300" s="3" t="s">
        <v>41</v>
      </c>
      <c r="V300" s="2" t="s">
        <v>130</v>
      </c>
      <c r="W300" s="2">
        <v>3</v>
      </c>
      <c r="X300" s="2">
        <v>3</v>
      </c>
      <c r="Y300" s="2">
        <v>2</v>
      </c>
      <c r="Z300" s="2">
        <v>0</v>
      </c>
      <c r="AA300" s="2">
        <v>0</v>
      </c>
      <c r="AB300" s="12">
        <f>(W300*4+X300*1+Y300*-2+Z300*-3)/W300</f>
        <v>3.6666666666666665</v>
      </c>
      <c r="AC300" s="3">
        <f>W300*12.0107+X300*1.00784+Y300*15.999+Z300*14.0067</f>
        <v>71.053619999999995</v>
      </c>
      <c r="AD300" s="12">
        <v>80</v>
      </c>
      <c r="AE300" s="2" t="s">
        <v>131</v>
      </c>
      <c r="AF300" s="2" t="s">
        <v>98</v>
      </c>
      <c r="AG300" s="2" t="str">
        <f>IF(AD300&gt;37,"Proton symporter", "Diffusion")</f>
        <v>Proton symporter</v>
      </c>
      <c r="AH300" s="3" t="s">
        <v>132</v>
      </c>
    </row>
    <row r="301" spans="1:34" hidden="1" x14ac:dyDescent="0.2">
      <c r="A301" s="8" t="s">
        <v>350</v>
      </c>
      <c r="B301" s="17" t="s">
        <v>64</v>
      </c>
      <c r="C301" t="s">
        <v>351</v>
      </c>
      <c r="D301" s="13" t="s">
        <v>51</v>
      </c>
      <c r="E301" t="s">
        <v>133</v>
      </c>
      <c r="F301" t="s">
        <v>128</v>
      </c>
      <c r="G301">
        <v>-10</v>
      </c>
      <c r="H301">
        <v>0</v>
      </c>
      <c r="I301">
        <v>0</v>
      </c>
      <c r="J301">
        <v>0.45</v>
      </c>
      <c r="K301">
        <v>-10</v>
      </c>
      <c r="L301">
        <v>0</v>
      </c>
      <c r="M301" s="26">
        <v>2.1391304347825999</v>
      </c>
      <c r="N301">
        <v>0</v>
      </c>
      <c r="O301" s="26">
        <v>0.713043478260868</v>
      </c>
      <c r="P301"/>
      <c r="Q301">
        <v>7.13043478260868E-2</v>
      </c>
      <c r="R301" s="26">
        <v>0.160280363144266</v>
      </c>
      <c r="S301" s="3" t="str">
        <f>VLOOKUP($E301,'[1]Product Naming'!$A$1:$P$58,2)</f>
        <v>Acrylate-PW2</v>
      </c>
      <c r="T301" s="3" t="str">
        <f>VLOOKUP($E301,'[1]Product Naming'!$A$1:$P$58,3)</f>
        <v>Acrylate (PW2)</v>
      </c>
      <c r="U301" s="3" t="str">
        <f>VLOOKUP($E301,'[1]Product Naming'!$A$1:$P$58,4)</f>
        <v>A</v>
      </c>
      <c r="V301" s="3" t="str">
        <f>VLOOKUP($E301,'[1]Product Naming'!$A$1:$P$58,5)</f>
        <v>C3H3O2</v>
      </c>
      <c r="W301" s="3">
        <f>VLOOKUP($E301,'[1]Product Naming'!$A$1:$P$58,6)</f>
        <v>3</v>
      </c>
      <c r="X301" s="3">
        <f>VLOOKUP($E301,'[1]Product Naming'!$A$1:$P$58,7)</f>
        <v>3</v>
      </c>
      <c r="Y301" s="3">
        <f>VLOOKUP($E301,'[1]Product Naming'!$A$1:$P$58,8)</f>
        <v>2</v>
      </c>
      <c r="Z301" s="3">
        <f>VLOOKUP($E301,'[1]Product Naming'!$A$1:$P$58,9)</f>
        <v>0</v>
      </c>
      <c r="AA301" s="3">
        <f>VLOOKUP($E301,'[1]Product Naming'!$A$1:$P$58,10)</f>
        <v>-1</v>
      </c>
      <c r="AB301" s="3">
        <f>VLOOKUP($E301,'[1]Product Naming'!$A$1:$P$58,11)</f>
        <v>3.6666666666666665</v>
      </c>
      <c r="AC301" s="3">
        <f>VLOOKUP($E301,'[1]Product Naming'!$A$1:$P$58,12)</f>
        <v>71.053619999999995</v>
      </c>
      <c r="AD301" s="3">
        <f>VLOOKUP($E301,'[1]Product Naming'!$A$1:$P$58,13)</f>
        <v>80</v>
      </c>
      <c r="AE301" s="3" t="str">
        <f>VLOOKUP($E301,'[1]Product Naming'!$A$1:$P$58,14)</f>
        <v>Carboxylate</v>
      </c>
      <c r="AF301" s="3" t="str">
        <f>VLOOKUP($E301,'[1]Product Naming'!$A$1:$P$58,15)</f>
        <v>Pyruvate</v>
      </c>
      <c r="AG301" s="3" t="str">
        <f>VLOOKUP($E301,'[1]Product Naming'!$A$1:$P$58,16)</f>
        <v>Proton symporter</v>
      </c>
      <c r="AH301" s="3" t="str">
        <f>VLOOKUP($E301,'[1]Product Naming'!$A$1:$Q$58,17)</f>
        <v>acryl_c</v>
      </c>
    </row>
    <row r="302" spans="1:34" hidden="1" x14ac:dyDescent="0.2">
      <c r="A302" s="8" t="s">
        <v>350</v>
      </c>
      <c r="B302" s="17" t="s">
        <v>64</v>
      </c>
      <c r="C302" t="s">
        <v>352</v>
      </c>
      <c r="D302" s="13" t="s">
        <v>51</v>
      </c>
      <c r="E302" t="s">
        <v>127</v>
      </c>
      <c r="F302" t="s">
        <v>128</v>
      </c>
      <c r="G302">
        <v>-10</v>
      </c>
      <c r="H302">
        <v>0</v>
      </c>
      <c r="I302">
        <v>0</v>
      </c>
      <c r="J302">
        <v>0.45</v>
      </c>
      <c r="K302">
        <v>-10</v>
      </c>
      <c r="L302">
        <v>0</v>
      </c>
      <c r="M302" s="26">
        <v>1.98315789473684</v>
      </c>
      <c r="N302">
        <v>0</v>
      </c>
      <c r="O302" s="26">
        <v>0.661052631578947</v>
      </c>
      <c r="P302"/>
      <c r="Q302">
        <v>6.6105263157894695E-2</v>
      </c>
      <c r="R302" s="26">
        <v>0.14844601434836899</v>
      </c>
      <c r="S302" s="3" t="str">
        <f>VLOOKUP($E302,'[1]Product Naming'!$A$1:$P$58,2)</f>
        <v>Acrylate-PW1</v>
      </c>
      <c r="T302" s="3" t="str">
        <f>VLOOKUP($E302,'[1]Product Naming'!$A$1:$P$58,3)</f>
        <v>Acrylate (PW1)</v>
      </c>
      <c r="U302" s="3" t="str">
        <f>VLOOKUP($E302,'[1]Product Naming'!$A$1:$P$58,4)</f>
        <v>A</v>
      </c>
      <c r="V302" s="3" t="str">
        <f>VLOOKUP($E302,'[1]Product Naming'!$A$1:$P$58,5)</f>
        <v>C3H3O2</v>
      </c>
      <c r="W302" s="3">
        <f>VLOOKUP($E302,'[1]Product Naming'!$A$1:$P$58,6)</f>
        <v>3</v>
      </c>
      <c r="X302" s="3">
        <f>VLOOKUP($E302,'[1]Product Naming'!$A$1:$P$58,7)</f>
        <v>3</v>
      </c>
      <c r="Y302" s="3">
        <f>VLOOKUP($E302,'[1]Product Naming'!$A$1:$P$58,8)</f>
        <v>2</v>
      </c>
      <c r="Z302" s="3">
        <f>VLOOKUP($E302,'[1]Product Naming'!$A$1:$P$58,9)</f>
        <v>0</v>
      </c>
      <c r="AA302" s="3">
        <f>VLOOKUP($E302,'[1]Product Naming'!$A$1:$P$58,10)</f>
        <v>-1</v>
      </c>
      <c r="AB302" s="3">
        <f>VLOOKUP($E302,'[1]Product Naming'!$A$1:$P$58,11)</f>
        <v>3.6666666666666665</v>
      </c>
      <c r="AC302" s="3">
        <f>VLOOKUP($E302,'[1]Product Naming'!$A$1:$P$58,12)</f>
        <v>71.053619999999995</v>
      </c>
      <c r="AD302" s="3">
        <f>VLOOKUP($E302,'[1]Product Naming'!$A$1:$P$58,13)</f>
        <v>80</v>
      </c>
      <c r="AE302" s="3" t="str">
        <f>VLOOKUP($E302,'[1]Product Naming'!$A$1:$P$58,14)</f>
        <v>Carboxylate</v>
      </c>
      <c r="AF302" s="3" t="str">
        <f>VLOOKUP($E302,'[1]Product Naming'!$A$1:$P$58,15)</f>
        <v>Glyceraldehyde 3-P</v>
      </c>
      <c r="AG302" s="3" t="str">
        <f>VLOOKUP($E302,'[1]Product Naming'!$A$1:$P$58,16)</f>
        <v>Proton symporter</v>
      </c>
      <c r="AH302" s="3" t="str">
        <f>VLOOKUP($E302,'[1]Product Naming'!$A$1:$Q$58,17)</f>
        <v>acryl_c</v>
      </c>
    </row>
    <row r="303" spans="1:34" hidden="1" x14ac:dyDescent="0.2">
      <c r="A303" s="16" t="s">
        <v>63</v>
      </c>
      <c r="B303" s="17" t="s">
        <v>64</v>
      </c>
      <c r="C303" t="s">
        <v>73</v>
      </c>
      <c r="D303" s="18" t="s">
        <v>66</v>
      </c>
      <c r="E303" t="s">
        <v>127</v>
      </c>
      <c r="F303" t="s">
        <v>128</v>
      </c>
      <c r="G303">
        <v>-10</v>
      </c>
      <c r="H303">
        <v>0</v>
      </c>
      <c r="I303">
        <v>-20</v>
      </c>
      <c r="J303">
        <v>0.45</v>
      </c>
      <c r="K303">
        <v>-10</v>
      </c>
      <c r="L303">
        <v>0</v>
      </c>
      <c r="M303">
        <v>-16.973913043478301</v>
      </c>
      <c r="N303">
        <v>0</v>
      </c>
      <c r="O303">
        <v>1.0086956521739101</v>
      </c>
      <c r="P303"/>
      <c r="Q303">
        <v>0.100869565217391</v>
      </c>
      <c r="R303" s="21">
        <v>0.144911680779443</v>
      </c>
      <c r="S303" s="11" t="s">
        <v>127</v>
      </c>
      <c r="T303" s="2" t="s">
        <v>129</v>
      </c>
      <c r="U303" s="3" t="s">
        <v>41</v>
      </c>
      <c r="V303" s="2" t="s">
        <v>130</v>
      </c>
      <c r="W303" s="2">
        <v>3</v>
      </c>
      <c r="X303" s="2">
        <v>3</v>
      </c>
      <c r="Y303" s="2">
        <v>2</v>
      </c>
      <c r="Z303" s="2">
        <v>0</v>
      </c>
      <c r="AA303" s="2">
        <v>0</v>
      </c>
      <c r="AB303" s="12">
        <f>(W303*4+X303*1+Y303*-2+Z303*-3)/W303</f>
        <v>3.6666666666666665</v>
      </c>
      <c r="AC303" s="3">
        <f>W303*12.0107+X303*1.00784+Y303*15.999+Z303*14.0067</f>
        <v>71.053619999999995</v>
      </c>
      <c r="AD303" s="12">
        <v>80</v>
      </c>
      <c r="AE303" s="2" t="s">
        <v>131</v>
      </c>
      <c r="AF303" s="2" t="s">
        <v>98</v>
      </c>
      <c r="AG303" s="2" t="str">
        <f>IF(AD303&gt;37,"Proton symporter", "Diffusion")</f>
        <v>Proton symporter</v>
      </c>
      <c r="AH303" s="3" t="s">
        <v>132</v>
      </c>
    </row>
    <row r="304" spans="1:34" hidden="1" x14ac:dyDescent="0.2">
      <c r="A304" s="8" t="s">
        <v>34</v>
      </c>
      <c r="B304" s="9" t="s">
        <v>35</v>
      </c>
      <c r="C304" s="1" t="s">
        <v>50</v>
      </c>
      <c r="D304" s="13" t="s">
        <v>51</v>
      </c>
      <c r="E304" s="1" t="s">
        <v>133</v>
      </c>
      <c r="F304" s="1" t="s">
        <v>128</v>
      </c>
      <c r="G304" s="1">
        <v>-10</v>
      </c>
      <c r="H304" s="1">
        <v>-20</v>
      </c>
      <c r="I304" s="1" t="s">
        <v>40</v>
      </c>
      <c r="J304" s="1">
        <v>3.15</v>
      </c>
      <c r="K304" s="1">
        <v>-10</v>
      </c>
      <c r="L304" s="1">
        <v>-2.5052631578947402</v>
      </c>
      <c r="M304" s="1" t="s">
        <v>40</v>
      </c>
      <c r="N304" s="1">
        <v>7.5052631578947402</v>
      </c>
      <c r="O304" s="1">
        <v>0.83157894736842297</v>
      </c>
      <c r="Q304" s="1">
        <v>8.3157894736842305E-2</v>
      </c>
      <c r="R304" s="1">
        <v>0.12836673472356</v>
      </c>
      <c r="S304" s="11" t="s">
        <v>133</v>
      </c>
      <c r="T304" s="2" t="s">
        <v>134</v>
      </c>
      <c r="U304" s="3" t="s">
        <v>41</v>
      </c>
      <c r="V304" s="2" t="s">
        <v>130</v>
      </c>
      <c r="W304" s="2">
        <v>3</v>
      </c>
      <c r="X304" s="2">
        <v>3</v>
      </c>
      <c r="Y304" s="2">
        <v>2</v>
      </c>
      <c r="Z304" s="2">
        <v>0</v>
      </c>
      <c r="AA304" s="2">
        <v>0</v>
      </c>
      <c r="AB304" s="12">
        <f>(W304*4+X304*1+Y304*-2+Z304*-3)/W304</f>
        <v>3.6666666666666665</v>
      </c>
      <c r="AC304" s="3">
        <f>W304*12.0107+X304*1.00784+Y304*15.999+Z304*14.0067</f>
        <v>71.053619999999995</v>
      </c>
      <c r="AD304" s="12">
        <v>80</v>
      </c>
      <c r="AE304" s="2" t="s">
        <v>131</v>
      </c>
      <c r="AF304" s="2" t="s">
        <v>135</v>
      </c>
      <c r="AG304" s="2" t="str">
        <f>IF(AD304&gt;37,"Proton symporter", "Diffusion")</f>
        <v>Proton symporter</v>
      </c>
      <c r="AH304" s="3" t="s">
        <v>132</v>
      </c>
    </row>
    <row r="305" spans="1:34" hidden="1" x14ac:dyDescent="0.2">
      <c r="A305" s="16" t="s">
        <v>63</v>
      </c>
      <c r="B305" s="17" t="s">
        <v>64</v>
      </c>
      <c r="C305" t="s">
        <v>65</v>
      </c>
      <c r="D305" s="18" t="s">
        <v>66</v>
      </c>
      <c r="E305" t="s">
        <v>127</v>
      </c>
      <c r="F305" t="s">
        <v>128</v>
      </c>
      <c r="G305">
        <v>-10</v>
      </c>
      <c r="H305">
        <v>0</v>
      </c>
      <c r="I305">
        <v>0</v>
      </c>
      <c r="J305">
        <v>0.45</v>
      </c>
      <c r="K305">
        <v>-10</v>
      </c>
      <c r="L305">
        <v>0</v>
      </c>
      <c r="M305">
        <v>0</v>
      </c>
      <c r="N305">
        <v>5</v>
      </c>
      <c r="O305">
        <v>0.497674418604651</v>
      </c>
      <c r="P305"/>
      <c r="Q305">
        <v>4.9767441860465098E-2</v>
      </c>
      <c r="R305">
        <v>0.12624623000091301</v>
      </c>
      <c r="S305" s="11" t="s">
        <v>127</v>
      </c>
      <c r="T305" s="2" t="s">
        <v>129</v>
      </c>
      <c r="U305" s="3" t="s">
        <v>41</v>
      </c>
      <c r="V305" s="2" t="s">
        <v>130</v>
      </c>
      <c r="W305" s="2">
        <v>3</v>
      </c>
      <c r="X305" s="2">
        <v>3</v>
      </c>
      <c r="Y305" s="2">
        <v>2</v>
      </c>
      <c r="Z305" s="2">
        <v>0</v>
      </c>
      <c r="AA305" s="2">
        <v>0</v>
      </c>
      <c r="AB305" s="12">
        <f>(W305*4+X305*1+Y305*-2+Z305*-3)/W305</f>
        <v>3.6666666666666665</v>
      </c>
      <c r="AC305" s="3">
        <f>W305*12.0107+X305*1.00784+Y305*15.999+Z305*14.0067</f>
        <v>71.053619999999995</v>
      </c>
      <c r="AD305" s="12">
        <v>80</v>
      </c>
      <c r="AE305" s="2" t="s">
        <v>131</v>
      </c>
      <c r="AF305" s="2" t="s">
        <v>98</v>
      </c>
      <c r="AG305" s="2" t="str">
        <f>IF(AD305&gt;37,"Proton symporter", "Diffusion")</f>
        <v>Proton symporter</v>
      </c>
      <c r="AH305" s="3" t="s">
        <v>132</v>
      </c>
    </row>
    <row r="306" spans="1:34" hidden="1" x14ac:dyDescent="0.2">
      <c r="A306" s="16" t="s">
        <v>63</v>
      </c>
      <c r="B306" s="17" t="s">
        <v>64</v>
      </c>
      <c r="C306" t="s">
        <v>72</v>
      </c>
      <c r="D306" s="18" t="s">
        <v>66</v>
      </c>
      <c r="E306" t="s">
        <v>127</v>
      </c>
      <c r="F306" t="s">
        <v>128</v>
      </c>
      <c r="G306">
        <v>-10</v>
      </c>
      <c r="H306">
        <v>0</v>
      </c>
      <c r="I306">
        <v>-10</v>
      </c>
      <c r="J306">
        <v>0.45</v>
      </c>
      <c r="K306">
        <v>-10</v>
      </c>
      <c r="L306">
        <v>0</v>
      </c>
      <c r="M306">
        <v>-10</v>
      </c>
      <c r="N306">
        <v>1.7763568394002501E-15</v>
      </c>
      <c r="O306">
        <v>0.84651162790697698</v>
      </c>
      <c r="P306"/>
      <c r="Q306">
        <v>8.4651162790697704E-2</v>
      </c>
      <c r="R306">
        <v>0.12517838969499001</v>
      </c>
      <c r="S306" s="11" t="s">
        <v>127</v>
      </c>
      <c r="T306" s="2" t="s">
        <v>129</v>
      </c>
      <c r="U306" s="3" t="s">
        <v>41</v>
      </c>
      <c r="V306" s="2" t="s">
        <v>130</v>
      </c>
      <c r="W306" s="2">
        <v>3</v>
      </c>
      <c r="X306" s="2">
        <v>3</v>
      </c>
      <c r="Y306" s="2">
        <v>2</v>
      </c>
      <c r="Z306" s="2">
        <v>0</v>
      </c>
      <c r="AA306" s="2">
        <v>0</v>
      </c>
      <c r="AB306" s="12">
        <f>(W306*4+X306*1+Y306*-2+Z306*-3)/W306</f>
        <v>3.6666666666666665</v>
      </c>
      <c r="AC306" s="3">
        <f>W306*12.0107+X306*1.00784+Y306*15.999+Z306*14.0067</f>
        <v>71.053619999999995</v>
      </c>
      <c r="AD306" s="12">
        <v>80</v>
      </c>
      <c r="AE306" s="2" t="s">
        <v>131</v>
      </c>
      <c r="AF306" s="2" t="s">
        <v>98</v>
      </c>
      <c r="AG306" s="2" t="str">
        <f>IF(AD306&gt;37,"Proton symporter", "Diffusion")</f>
        <v>Proton symporter</v>
      </c>
      <c r="AH306" s="3" t="s">
        <v>132</v>
      </c>
    </row>
    <row r="307" spans="1:34" hidden="1" x14ac:dyDescent="0.2">
      <c r="A307" s="8" t="s">
        <v>34</v>
      </c>
      <c r="B307" s="9" t="s">
        <v>35</v>
      </c>
      <c r="C307" s="1" t="s">
        <v>50</v>
      </c>
      <c r="D307" s="13" t="s">
        <v>51</v>
      </c>
      <c r="E307" s="1" t="s">
        <v>127</v>
      </c>
      <c r="F307" s="1" t="s">
        <v>128</v>
      </c>
      <c r="G307" s="1">
        <v>-10</v>
      </c>
      <c r="H307" s="1">
        <v>-20</v>
      </c>
      <c r="I307" s="1" t="s">
        <v>40</v>
      </c>
      <c r="J307" s="1">
        <v>3.15</v>
      </c>
      <c r="K307" s="1">
        <v>-10</v>
      </c>
      <c r="L307" s="1">
        <v>-2.81230769230769</v>
      </c>
      <c r="M307" s="1" t="s">
        <v>40</v>
      </c>
      <c r="N307" s="1">
        <v>7.81230769230769</v>
      </c>
      <c r="O307" s="1">
        <v>0.72923076923076902</v>
      </c>
      <c r="Q307" s="1">
        <v>7.2923076923076896E-2</v>
      </c>
      <c r="R307" s="1">
        <v>0.112567751988353</v>
      </c>
      <c r="S307" s="11" t="s">
        <v>127</v>
      </c>
      <c r="T307" s="2" t="s">
        <v>129</v>
      </c>
      <c r="U307" s="3" t="s">
        <v>41</v>
      </c>
      <c r="V307" s="2" t="s">
        <v>130</v>
      </c>
      <c r="W307" s="2">
        <v>3</v>
      </c>
      <c r="X307" s="2">
        <v>3</v>
      </c>
      <c r="Y307" s="2">
        <v>2</v>
      </c>
      <c r="Z307" s="2">
        <v>0</v>
      </c>
      <c r="AA307" s="2">
        <v>0</v>
      </c>
      <c r="AB307" s="12">
        <f>(W307*4+X307*1+Y307*-2+Z307*-3)/W307</f>
        <v>3.6666666666666665</v>
      </c>
      <c r="AC307" s="3">
        <f>W307*12.0107+X307*1.00784+Y307*15.999+Z307*14.0067</f>
        <v>71.053619999999995</v>
      </c>
      <c r="AD307" s="12">
        <v>80</v>
      </c>
      <c r="AE307" s="2" t="s">
        <v>131</v>
      </c>
      <c r="AF307" s="2" t="s">
        <v>98</v>
      </c>
      <c r="AG307" s="2" t="str">
        <f>IF(AD307&gt;37,"Proton symporter", "Diffusion")</f>
        <v>Proton symporter</v>
      </c>
      <c r="AH307" s="3" t="s">
        <v>132</v>
      </c>
    </row>
    <row r="308" spans="1:34" hidden="1" x14ac:dyDescent="0.2">
      <c r="A308" s="16" t="s">
        <v>63</v>
      </c>
      <c r="B308" s="17" t="s">
        <v>64</v>
      </c>
      <c r="C308" t="s">
        <v>71</v>
      </c>
      <c r="D308" s="18" t="s">
        <v>66</v>
      </c>
      <c r="E308" t="s">
        <v>127</v>
      </c>
      <c r="F308" t="s">
        <v>128</v>
      </c>
      <c r="G308">
        <v>-10</v>
      </c>
      <c r="H308">
        <v>0</v>
      </c>
      <c r="I308">
        <v>-5</v>
      </c>
      <c r="J308">
        <v>0.45</v>
      </c>
      <c r="K308">
        <v>-10</v>
      </c>
      <c r="L308">
        <v>0</v>
      </c>
      <c r="M308">
        <v>-5</v>
      </c>
      <c r="N308">
        <v>2.5</v>
      </c>
      <c r="O308">
        <v>0.67209302325581499</v>
      </c>
      <c r="P308"/>
      <c r="Q308">
        <v>6.7209302325581505E-2</v>
      </c>
      <c r="R308">
        <v>0.10152008579807199</v>
      </c>
      <c r="S308" s="11" t="s">
        <v>127</v>
      </c>
      <c r="T308" s="2" t="s">
        <v>129</v>
      </c>
      <c r="U308" s="3" t="s">
        <v>41</v>
      </c>
      <c r="V308" s="2" t="s">
        <v>130</v>
      </c>
      <c r="W308" s="2">
        <v>3</v>
      </c>
      <c r="X308" s="2">
        <v>3</v>
      </c>
      <c r="Y308" s="2">
        <v>2</v>
      </c>
      <c r="Z308" s="2">
        <v>0</v>
      </c>
      <c r="AA308" s="2">
        <v>0</v>
      </c>
      <c r="AB308" s="12">
        <f>(W308*4+X308*1+Y308*-2+Z308*-3)/W308</f>
        <v>3.6666666666666665</v>
      </c>
      <c r="AC308" s="3">
        <f>W308*12.0107+X308*1.00784+Y308*15.999+Z308*14.0067</f>
        <v>71.053619999999995</v>
      </c>
      <c r="AD308" s="12">
        <v>80</v>
      </c>
      <c r="AE308" s="2" t="s">
        <v>131</v>
      </c>
      <c r="AF308" s="2" t="s">
        <v>98</v>
      </c>
      <c r="AG308" s="2" t="str">
        <f>IF(AD308&gt;37,"Proton symporter", "Diffusion")</f>
        <v>Proton symporter</v>
      </c>
      <c r="AH308" s="3" t="s">
        <v>132</v>
      </c>
    </row>
    <row r="309" spans="1:34" hidden="1" x14ac:dyDescent="0.2">
      <c r="A309" s="8" t="s">
        <v>34</v>
      </c>
      <c r="B309" s="9" t="s">
        <v>35</v>
      </c>
      <c r="C309" s="1" t="s">
        <v>52</v>
      </c>
      <c r="D309" s="13" t="s">
        <v>51</v>
      </c>
      <c r="E309" s="1" t="s">
        <v>133</v>
      </c>
      <c r="F309" s="1" t="s">
        <v>128</v>
      </c>
      <c r="G309" s="1">
        <v>-10</v>
      </c>
      <c r="H309" s="1">
        <v>-20</v>
      </c>
      <c r="I309" s="1" t="s">
        <v>40</v>
      </c>
      <c r="J309" s="1">
        <v>3.15</v>
      </c>
      <c r="K309" s="1">
        <v>-10</v>
      </c>
      <c r="L309" s="1">
        <v>-3.1289473684210498</v>
      </c>
      <c r="M309" s="1" t="s">
        <v>40</v>
      </c>
      <c r="N309" s="1">
        <v>8.1289473684210591</v>
      </c>
      <c r="O309" s="1">
        <v>0.62368421052631895</v>
      </c>
      <c r="Q309" s="1">
        <v>6.2368421052631899E-2</v>
      </c>
      <c r="R309" s="1">
        <v>9.6275051042670506E-2</v>
      </c>
      <c r="S309" s="11" t="s">
        <v>133</v>
      </c>
      <c r="T309" s="2" t="s">
        <v>134</v>
      </c>
      <c r="U309" s="3" t="s">
        <v>41</v>
      </c>
      <c r="V309" s="2" t="s">
        <v>130</v>
      </c>
      <c r="W309" s="2">
        <v>3</v>
      </c>
      <c r="X309" s="2">
        <v>3</v>
      </c>
      <c r="Y309" s="2">
        <v>2</v>
      </c>
      <c r="Z309" s="2">
        <v>0</v>
      </c>
      <c r="AA309" s="2">
        <v>0</v>
      </c>
      <c r="AB309" s="12">
        <f>(W309*4+X309*1+Y309*-2+Z309*-3)/W309</f>
        <v>3.6666666666666665</v>
      </c>
      <c r="AC309" s="3">
        <f>W309*12.0107+X309*1.00784+Y309*15.999+Z309*14.0067</f>
        <v>71.053619999999995</v>
      </c>
      <c r="AD309" s="12">
        <v>80</v>
      </c>
      <c r="AE309" s="2" t="s">
        <v>131</v>
      </c>
      <c r="AF309" s="2" t="s">
        <v>135</v>
      </c>
      <c r="AG309" s="2" t="str">
        <f>IF(AD309&gt;37,"Proton symporter", "Diffusion")</f>
        <v>Proton symporter</v>
      </c>
      <c r="AH309" s="3" t="s">
        <v>132</v>
      </c>
    </row>
    <row r="310" spans="1:34" hidden="1" x14ac:dyDescent="0.2">
      <c r="A310" s="8" t="s">
        <v>368</v>
      </c>
      <c r="B310" s="17" t="s">
        <v>64</v>
      </c>
      <c r="C310" t="s">
        <v>369</v>
      </c>
      <c r="D310" s="18" t="s">
        <v>66</v>
      </c>
      <c r="E310" t="s">
        <v>127</v>
      </c>
      <c r="F310" t="s">
        <v>128</v>
      </c>
      <c r="G310">
        <v>-10</v>
      </c>
      <c r="H310">
        <v>0</v>
      </c>
      <c r="I310">
        <v>-20</v>
      </c>
      <c r="J310">
        <v>0.45</v>
      </c>
      <c r="K310">
        <v>-10</v>
      </c>
      <c r="L310">
        <v>0</v>
      </c>
      <c r="M310">
        <v>-20</v>
      </c>
      <c r="N310">
        <v>-10</v>
      </c>
      <c r="O310">
        <v>0.61395348837209696</v>
      </c>
      <c r="P310"/>
      <c r="Q310">
        <v>6.13953488372097E-2</v>
      </c>
      <c r="R310">
        <v>9.0803084510356402E-2</v>
      </c>
      <c r="S310" s="1" t="str">
        <f>VLOOKUP($E310,'[1]Product Naming'!$A$1:$P$58,2)</f>
        <v>Acrylate-PW1</v>
      </c>
      <c r="T310" s="1" t="str">
        <f>VLOOKUP($E310,'[1]Product Naming'!$A$1:$P$58,3)</f>
        <v>Acrylate (PW1)</v>
      </c>
      <c r="U310" s="1" t="str">
        <f>VLOOKUP($E310,'[1]Product Naming'!$A$1:$P$58,4)</f>
        <v>A</v>
      </c>
      <c r="V310" s="1" t="str">
        <f>VLOOKUP($E310,'[1]Product Naming'!$A$1:$P$58,5)</f>
        <v>C3H3O2</v>
      </c>
      <c r="W310" s="1">
        <f>VLOOKUP($E310,'[1]Product Naming'!$A$1:$P$58,6)</f>
        <v>3</v>
      </c>
      <c r="X310" s="1">
        <f>VLOOKUP($E310,'[1]Product Naming'!$A$1:$P$58,7)</f>
        <v>3</v>
      </c>
      <c r="Y310" s="1">
        <f>VLOOKUP($E310,'[1]Product Naming'!$A$1:$P$58,8)</f>
        <v>2</v>
      </c>
      <c r="Z310" s="1">
        <f>VLOOKUP($E310,'[1]Product Naming'!$A$1:$P$58,9)</f>
        <v>0</v>
      </c>
      <c r="AA310" s="1">
        <f>VLOOKUP($E310,'[1]Product Naming'!$A$1:$P$58,10)</f>
        <v>-1</v>
      </c>
      <c r="AB310" s="27">
        <f>VLOOKUP($E310,'[1]Product Naming'!$A$1:$P$58,11)</f>
        <v>3.6666666666666665</v>
      </c>
      <c r="AC310" s="3">
        <f>VLOOKUP($E310,'[1]Product Naming'!$A$1:$P$58,12)</f>
        <v>71.053619999999995</v>
      </c>
      <c r="AD310" s="1">
        <f>VLOOKUP($E310,'[1]Product Naming'!$A$1:$P$58,13)</f>
        <v>80</v>
      </c>
      <c r="AE310" s="1" t="str">
        <f>VLOOKUP($E310,'[1]Product Naming'!$A$1:$P$58,14)</f>
        <v>Carboxylate</v>
      </c>
      <c r="AF310" s="1" t="str">
        <f>VLOOKUP($E310,'[1]Product Naming'!$A$1:$P$58,15)</f>
        <v>Glyceraldehyde 3-P</v>
      </c>
      <c r="AG310" s="28" t="str">
        <f>VLOOKUP($E310,'[1]Product Naming'!$A$1:$P$58,16)</f>
        <v>Proton symporter</v>
      </c>
      <c r="AH310" s="3" t="str">
        <f>VLOOKUP($E310,'[1]Product Naming'!$A$1:$Q$58,17)</f>
        <v>acryl_c</v>
      </c>
    </row>
    <row r="311" spans="1:34" hidden="1" x14ac:dyDescent="0.2">
      <c r="A311" s="8" t="s">
        <v>34</v>
      </c>
      <c r="B311" s="9" t="s">
        <v>35</v>
      </c>
      <c r="C311" s="1" t="s">
        <v>52</v>
      </c>
      <c r="D311" s="13" t="s">
        <v>51</v>
      </c>
      <c r="E311" s="1" t="s">
        <v>127</v>
      </c>
      <c r="F311" s="1" t="s">
        <v>128</v>
      </c>
      <c r="G311" s="1">
        <v>-10</v>
      </c>
      <c r="H311" s="1">
        <v>-20</v>
      </c>
      <c r="I311" s="1" t="s">
        <v>40</v>
      </c>
      <c r="J311" s="1">
        <v>3.15</v>
      </c>
      <c r="K311" s="1">
        <v>-10</v>
      </c>
      <c r="L311" s="1">
        <v>-3.42</v>
      </c>
      <c r="M311" s="1" t="s">
        <v>40</v>
      </c>
      <c r="N311" s="1">
        <v>8.42</v>
      </c>
      <c r="O311" s="1">
        <v>0.52666666666666895</v>
      </c>
      <c r="Q311" s="1">
        <v>5.2666666666666903E-2</v>
      </c>
      <c r="R311" s="1">
        <v>8.12989319915884E-2</v>
      </c>
      <c r="S311" s="11" t="s">
        <v>127</v>
      </c>
      <c r="T311" s="2" t="s">
        <v>129</v>
      </c>
      <c r="U311" s="3" t="s">
        <v>41</v>
      </c>
      <c r="V311" s="2" t="s">
        <v>130</v>
      </c>
      <c r="W311" s="2">
        <v>3</v>
      </c>
      <c r="X311" s="2">
        <v>3</v>
      </c>
      <c r="Y311" s="2">
        <v>2</v>
      </c>
      <c r="Z311" s="2">
        <v>0</v>
      </c>
      <c r="AA311" s="2">
        <v>0</v>
      </c>
      <c r="AB311" s="12">
        <f>(W311*4+X311*1+Y311*-2+Z311*-3)/W311</f>
        <v>3.6666666666666665</v>
      </c>
      <c r="AC311" s="3">
        <f>W311*12.0107+X311*1.00784+Y311*15.999+Z311*14.0067</f>
        <v>71.053619999999995</v>
      </c>
      <c r="AD311" s="12">
        <v>80</v>
      </c>
      <c r="AE311" s="2" t="s">
        <v>131</v>
      </c>
      <c r="AF311" s="2" t="s">
        <v>98</v>
      </c>
      <c r="AG311" s="2" t="str">
        <f>IF(AD311&gt;37,"Proton symporter", "Diffusion")</f>
        <v>Proton symporter</v>
      </c>
      <c r="AH311" s="3" t="s">
        <v>132</v>
      </c>
    </row>
    <row r="312" spans="1:34" hidden="1" x14ac:dyDescent="0.2">
      <c r="A312" s="16" t="s">
        <v>63</v>
      </c>
      <c r="B312" s="17" t="s">
        <v>64</v>
      </c>
      <c r="C312" t="s">
        <v>70</v>
      </c>
      <c r="D312" s="18" t="s">
        <v>66</v>
      </c>
      <c r="E312" t="s">
        <v>127</v>
      </c>
      <c r="F312" t="s">
        <v>128</v>
      </c>
      <c r="G312">
        <v>-10</v>
      </c>
      <c r="H312">
        <v>0</v>
      </c>
      <c r="I312">
        <v>0</v>
      </c>
      <c r="J312">
        <v>0.45</v>
      </c>
      <c r="K312">
        <v>-10</v>
      </c>
      <c r="L312">
        <v>0</v>
      </c>
      <c r="M312">
        <v>0</v>
      </c>
      <c r="N312">
        <v>5</v>
      </c>
      <c r="O312">
        <v>0.497674418604652</v>
      </c>
      <c r="P312"/>
      <c r="Q312">
        <v>4.9767441860465202E-2</v>
      </c>
      <c r="R312">
        <v>7.6823541858403802E-2</v>
      </c>
      <c r="S312" s="11" t="s">
        <v>127</v>
      </c>
      <c r="T312" s="2" t="s">
        <v>129</v>
      </c>
      <c r="U312" s="3" t="s">
        <v>41</v>
      </c>
      <c r="V312" s="2" t="s">
        <v>130</v>
      </c>
      <c r="W312" s="2">
        <v>3</v>
      </c>
      <c r="X312" s="2">
        <v>3</v>
      </c>
      <c r="Y312" s="2">
        <v>2</v>
      </c>
      <c r="Z312" s="2">
        <v>0</v>
      </c>
      <c r="AA312" s="2">
        <v>0</v>
      </c>
      <c r="AB312" s="12">
        <f>(W312*4+X312*1+Y312*-2+Z312*-3)/W312</f>
        <v>3.6666666666666665</v>
      </c>
      <c r="AC312" s="3">
        <f>W312*12.0107+X312*1.00784+Y312*15.999+Z312*14.0067</f>
        <v>71.053619999999995</v>
      </c>
      <c r="AD312" s="12">
        <v>80</v>
      </c>
      <c r="AE312" s="2" t="s">
        <v>131</v>
      </c>
      <c r="AF312" s="2" t="s">
        <v>98</v>
      </c>
      <c r="AG312" s="2" t="str">
        <f>IF(AD312&gt;37,"Proton symporter", "Diffusion")</f>
        <v>Proton symporter</v>
      </c>
      <c r="AH312" s="3" t="s">
        <v>132</v>
      </c>
    </row>
    <row r="313" spans="1:34" hidden="1" x14ac:dyDescent="0.2">
      <c r="A313" s="8" t="s">
        <v>350</v>
      </c>
      <c r="B313" s="17" t="s">
        <v>64</v>
      </c>
      <c r="C313" t="s">
        <v>351</v>
      </c>
      <c r="D313" s="13" t="s">
        <v>51</v>
      </c>
      <c r="E313" t="s">
        <v>127</v>
      </c>
      <c r="F313" t="s">
        <v>128</v>
      </c>
      <c r="G313">
        <v>-10</v>
      </c>
      <c r="H313">
        <v>0</v>
      </c>
      <c r="I313">
        <v>0</v>
      </c>
      <c r="J313">
        <v>0.45</v>
      </c>
      <c r="K313">
        <v>-10</v>
      </c>
      <c r="L313">
        <v>0</v>
      </c>
      <c r="M313" s="26">
        <v>1.0040816326530599</v>
      </c>
      <c r="N313">
        <v>0</v>
      </c>
      <c r="O313" s="26">
        <v>0.33469387755101998</v>
      </c>
      <c r="P313"/>
      <c r="Q313">
        <v>3.3469387755101998E-2</v>
      </c>
      <c r="R313">
        <v>7.4692932003127294E-2</v>
      </c>
      <c r="S313" s="3" t="str">
        <f>VLOOKUP($E313,'[1]Product Naming'!$A$1:$P$58,2)</f>
        <v>Acrylate-PW1</v>
      </c>
      <c r="T313" s="3" t="str">
        <f>VLOOKUP($E313,'[1]Product Naming'!$A$1:$P$58,3)</f>
        <v>Acrylate (PW1)</v>
      </c>
      <c r="U313" s="3" t="str">
        <f>VLOOKUP($E313,'[1]Product Naming'!$A$1:$P$58,4)</f>
        <v>A</v>
      </c>
      <c r="V313" s="3" t="str">
        <f>VLOOKUP($E313,'[1]Product Naming'!$A$1:$P$58,5)</f>
        <v>C3H3O2</v>
      </c>
      <c r="W313" s="3">
        <f>VLOOKUP($E313,'[1]Product Naming'!$A$1:$P$58,6)</f>
        <v>3</v>
      </c>
      <c r="X313" s="3">
        <f>VLOOKUP($E313,'[1]Product Naming'!$A$1:$P$58,7)</f>
        <v>3</v>
      </c>
      <c r="Y313" s="3">
        <f>VLOOKUP($E313,'[1]Product Naming'!$A$1:$P$58,8)</f>
        <v>2</v>
      </c>
      <c r="Z313" s="3">
        <f>VLOOKUP($E313,'[1]Product Naming'!$A$1:$P$58,9)</f>
        <v>0</v>
      </c>
      <c r="AA313" s="3">
        <f>VLOOKUP($E313,'[1]Product Naming'!$A$1:$P$58,10)</f>
        <v>-1</v>
      </c>
      <c r="AB313" s="3">
        <f>VLOOKUP($E313,'[1]Product Naming'!$A$1:$P$58,11)</f>
        <v>3.6666666666666665</v>
      </c>
      <c r="AC313" s="3">
        <f>VLOOKUP($E313,'[1]Product Naming'!$A$1:$P$58,12)</f>
        <v>71.053619999999995</v>
      </c>
      <c r="AD313" s="3">
        <f>VLOOKUP($E313,'[1]Product Naming'!$A$1:$P$58,13)</f>
        <v>80</v>
      </c>
      <c r="AE313" s="3" t="str">
        <f>VLOOKUP($E313,'[1]Product Naming'!$A$1:$P$58,14)</f>
        <v>Carboxylate</v>
      </c>
      <c r="AF313" s="3" t="str">
        <f>VLOOKUP($E313,'[1]Product Naming'!$A$1:$P$58,15)</f>
        <v>Glyceraldehyde 3-P</v>
      </c>
      <c r="AG313" s="3" t="str">
        <f>VLOOKUP($E313,'[1]Product Naming'!$A$1:$P$58,16)</f>
        <v>Proton symporter</v>
      </c>
      <c r="AH313" s="3" t="str">
        <f>VLOOKUP($E313,'[1]Product Naming'!$A$1:$Q$58,17)</f>
        <v>acryl_c</v>
      </c>
    </row>
    <row r="314" spans="1:34" hidden="1" x14ac:dyDescent="0.2">
      <c r="A314" s="8" t="s">
        <v>34</v>
      </c>
      <c r="B314" s="9" t="s">
        <v>35</v>
      </c>
      <c r="C314" s="1" t="s">
        <v>53</v>
      </c>
      <c r="D314" s="13" t="s">
        <v>51</v>
      </c>
      <c r="E314" s="1" t="s">
        <v>133</v>
      </c>
      <c r="F314" s="1" t="s">
        <v>128</v>
      </c>
      <c r="G314" s="1">
        <v>-10</v>
      </c>
      <c r="H314" s="1">
        <v>-20</v>
      </c>
      <c r="I314" s="1" t="s">
        <v>40</v>
      </c>
      <c r="J314" s="1">
        <v>3.15</v>
      </c>
      <c r="K314" s="1">
        <v>-10</v>
      </c>
      <c r="L314" s="1">
        <v>-4.1371359223301001</v>
      </c>
      <c r="M314" s="1" t="s">
        <v>40</v>
      </c>
      <c r="N314" s="1">
        <v>9.1371359223300992</v>
      </c>
      <c r="O314" s="1">
        <v>0.28762135922329901</v>
      </c>
      <c r="Q314" s="1">
        <v>2.8762135922329901E-2</v>
      </c>
      <c r="R314" s="1">
        <v>4.4398688587638797E-2</v>
      </c>
      <c r="S314" s="11" t="s">
        <v>133</v>
      </c>
      <c r="T314" s="2" t="s">
        <v>134</v>
      </c>
      <c r="U314" s="3" t="s">
        <v>41</v>
      </c>
      <c r="V314" s="2" t="s">
        <v>130</v>
      </c>
      <c r="W314" s="2">
        <v>3</v>
      </c>
      <c r="X314" s="2">
        <v>3</v>
      </c>
      <c r="Y314" s="2">
        <v>2</v>
      </c>
      <c r="Z314" s="2">
        <v>0</v>
      </c>
      <c r="AA314" s="2">
        <v>0</v>
      </c>
      <c r="AB314" s="12">
        <f>(W314*4+X314*1+Y314*-2+Z314*-3)/W314</f>
        <v>3.6666666666666665</v>
      </c>
      <c r="AC314" s="3">
        <f>W314*12.0107+X314*1.00784+Y314*15.999+Z314*14.0067</f>
        <v>71.053619999999995</v>
      </c>
      <c r="AD314" s="12">
        <v>80</v>
      </c>
      <c r="AE314" s="2" t="s">
        <v>131</v>
      </c>
      <c r="AF314" s="2" t="s">
        <v>135</v>
      </c>
      <c r="AG314" s="2" t="str">
        <f>IF(AD314&gt;37,"Proton symporter", "Diffusion")</f>
        <v>Proton symporter</v>
      </c>
      <c r="AH314" s="3" t="s">
        <v>132</v>
      </c>
    </row>
    <row r="315" spans="1:34" hidden="1" x14ac:dyDescent="0.2">
      <c r="A315" s="8" t="s">
        <v>34</v>
      </c>
      <c r="B315" s="9" t="s">
        <v>35</v>
      </c>
      <c r="C315" s="1" t="s">
        <v>53</v>
      </c>
      <c r="D315" s="13" t="s">
        <v>51</v>
      </c>
      <c r="E315" s="1" t="s">
        <v>127</v>
      </c>
      <c r="F315" s="1" t="s">
        <v>128</v>
      </c>
      <c r="G315" s="1">
        <v>-10</v>
      </c>
      <c r="H315" s="1">
        <v>-20</v>
      </c>
      <c r="I315" s="1" t="s">
        <v>40</v>
      </c>
      <c r="J315" s="1">
        <v>3.15</v>
      </c>
      <c r="K315" s="1">
        <v>-10</v>
      </c>
      <c r="L315" s="1">
        <v>-4.1975169300225703</v>
      </c>
      <c r="M315" s="1" t="s">
        <v>40</v>
      </c>
      <c r="N315" s="1">
        <v>9.1975169300225694</v>
      </c>
      <c r="O315" s="1">
        <v>0.26749435665914501</v>
      </c>
      <c r="Q315" s="1">
        <v>2.6749435665914499E-2</v>
      </c>
      <c r="R315" s="1">
        <v>4.1291782614238097E-2</v>
      </c>
      <c r="S315" s="11" t="s">
        <v>127</v>
      </c>
      <c r="T315" s="2" t="s">
        <v>129</v>
      </c>
      <c r="U315" s="3" t="s">
        <v>41</v>
      </c>
      <c r="V315" s="2" t="s">
        <v>130</v>
      </c>
      <c r="W315" s="2">
        <v>3</v>
      </c>
      <c r="X315" s="2">
        <v>3</v>
      </c>
      <c r="Y315" s="2">
        <v>2</v>
      </c>
      <c r="Z315" s="2">
        <v>0</v>
      </c>
      <c r="AA315" s="2">
        <v>0</v>
      </c>
      <c r="AB315" s="12">
        <f>(W315*4+X315*1+Y315*-2+Z315*-3)/W315</f>
        <v>3.6666666666666665</v>
      </c>
      <c r="AC315" s="3">
        <f>W315*12.0107+X315*1.00784+Y315*15.999+Z315*14.0067</f>
        <v>71.053619999999995</v>
      </c>
      <c r="AD315" s="12">
        <v>80</v>
      </c>
      <c r="AE315" s="2" t="s">
        <v>131</v>
      </c>
      <c r="AF315" s="2" t="s">
        <v>98</v>
      </c>
      <c r="AG315" s="2" t="str">
        <f>IF(AD315&gt;37,"Proton symporter", "Diffusion")</f>
        <v>Proton symporter</v>
      </c>
      <c r="AH315" s="3" t="s">
        <v>132</v>
      </c>
    </row>
    <row r="316" spans="1:34" hidden="1" x14ac:dyDescent="0.2">
      <c r="A316" s="8" t="s">
        <v>34</v>
      </c>
      <c r="B316" s="9" t="s">
        <v>35</v>
      </c>
      <c r="C316" s="1" t="s">
        <v>49</v>
      </c>
      <c r="D316" s="10" t="s">
        <v>37</v>
      </c>
      <c r="E316" s="1" t="s">
        <v>136</v>
      </c>
      <c r="F316" s="1" t="s">
        <v>137</v>
      </c>
      <c r="G316" s="1">
        <v>-10</v>
      </c>
      <c r="H316" s="1">
        <v>-20</v>
      </c>
      <c r="I316" s="1" t="s">
        <v>40</v>
      </c>
      <c r="J316" s="1">
        <v>3.15</v>
      </c>
      <c r="K316" s="1">
        <v>-10</v>
      </c>
      <c r="L316" s="1">
        <v>-7.4314496314496301</v>
      </c>
      <c r="M316" s="1" t="s">
        <v>40</v>
      </c>
      <c r="N316" s="1">
        <v>-2.5685503685503499</v>
      </c>
      <c r="O316" s="1">
        <v>3.2240786240786301</v>
      </c>
      <c r="Q316" s="1">
        <v>0.32240786240786301</v>
      </c>
      <c r="R316" s="1">
        <v>1.21174186377437</v>
      </c>
      <c r="S316" s="1" t="s">
        <v>136</v>
      </c>
      <c r="T316" s="2" t="s">
        <v>136</v>
      </c>
      <c r="U316" s="3" t="s">
        <v>106</v>
      </c>
      <c r="V316" s="2" t="s">
        <v>138</v>
      </c>
      <c r="W316" s="3">
        <v>7</v>
      </c>
      <c r="X316" s="3">
        <v>9</v>
      </c>
      <c r="Y316" s="3">
        <v>5</v>
      </c>
      <c r="Z316" s="3">
        <v>0</v>
      </c>
      <c r="AA316" s="3">
        <v>-1</v>
      </c>
      <c r="AB316" s="12">
        <f>(W316*4+X316*1+Y316*-2+Z316*-3)/W316</f>
        <v>3.8571428571428572</v>
      </c>
      <c r="AC316" s="3">
        <f>W316*12.0107+X316*1.00784+Y316*15.999+Z316*14.0067</f>
        <v>173.14046000000002</v>
      </c>
      <c r="AD316" s="12">
        <v>400.5</v>
      </c>
      <c r="AE316" s="3" t="s">
        <v>139</v>
      </c>
      <c r="AF316" s="3" t="s">
        <v>140</v>
      </c>
      <c r="AG316" s="2" t="str">
        <f>IF(AD316&gt;37,"Proton symporter", "Diffusion")</f>
        <v>Proton symporter</v>
      </c>
      <c r="AH316" s="3" t="s">
        <v>141</v>
      </c>
    </row>
    <row r="317" spans="1:34" hidden="1" x14ac:dyDescent="0.2">
      <c r="A317" s="8" t="s">
        <v>34</v>
      </c>
      <c r="B317" s="9" t="s">
        <v>35</v>
      </c>
      <c r="C317" s="1" t="s">
        <v>36</v>
      </c>
      <c r="D317" s="10" t="s">
        <v>37</v>
      </c>
      <c r="E317" s="1" t="s">
        <v>136</v>
      </c>
      <c r="F317" s="1" t="s">
        <v>137</v>
      </c>
      <c r="G317" s="1">
        <v>-10</v>
      </c>
      <c r="H317" s="1">
        <v>-20</v>
      </c>
      <c r="I317" s="1" t="s">
        <v>40</v>
      </c>
      <c r="J317" s="1">
        <v>3.15</v>
      </c>
      <c r="K317" s="1">
        <v>-10</v>
      </c>
      <c r="L317" s="1">
        <v>-6.0432432432432401</v>
      </c>
      <c r="M317" s="1" t="s">
        <v>40</v>
      </c>
      <c r="N317" s="1">
        <v>1.0432432432432499</v>
      </c>
      <c r="O317" s="1">
        <v>2.7081081081081102</v>
      </c>
      <c r="Q317" s="1">
        <v>0.27081081081081099</v>
      </c>
      <c r="R317" s="1">
        <v>1.06439126057068</v>
      </c>
      <c r="S317" s="1" t="s">
        <v>136</v>
      </c>
      <c r="T317" s="2" t="s">
        <v>136</v>
      </c>
      <c r="U317" s="3" t="s">
        <v>106</v>
      </c>
      <c r="V317" s="2" t="s">
        <v>138</v>
      </c>
      <c r="W317" s="3">
        <v>7</v>
      </c>
      <c r="X317" s="3">
        <v>9</v>
      </c>
      <c r="Y317" s="3">
        <v>5</v>
      </c>
      <c r="Z317" s="3">
        <v>0</v>
      </c>
      <c r="AA317" s="3">
        <v>-1</v>
      </c>
      <c r="AB317" s="12">
        <f>(W317*4+X317*1+Y317*-2+Z317*-3)/W317</f>
        <v>3.8571428571428572</v>
      </c>
      <c r="AC317" s="3">
        <f>W317*12.0107+X317*1.00784+Y317*15.999+Z317*14.0067</f>
        <v>173.14046000000002</v>
      </c>
      <c r="AD317" s="12">
        <v>400.5</v>
      </c>
      <c r="AE317" s="3" t="s">
        <v>139</v>
      </c>
      <c r="AF317" s="3" t="s">
        <v>140</v>
      </c>
      <c r="AG317" s="2" t="str">
        <f>IF(AD317&gt;37,"Proton symporter", "Diffusion")</f>
        <v>Proton symporter</v>
      </c>
      <c r="AH317" s="3" t="s">
        <v>141</v>
      </c>
    </row>
    <row r="318" spans="1:34" hidden="1" x14ac:dyDescent="0.2">
      <c r="A318" s="8" t="s">
        <v>34</v>
      </c>
      <c r="B318" s="9" t="s">
        <v>35</v>
      </c>
      <c r="C318" s="1" t="s">
        <v>59</v>
      </c>
      <c r="D318" s="13" t="s">
        <v>51</v>
      </c>
      <c r="E318" s="1" t="s">
        <v>136</v>
      </c>
      <c r="F318" s="1" t="s">
        <v>137</v>
      </c>
      <c r="G318" s="1">
        <v>-10</v>
      </c>
      <c r="H318" s="1">
        <v>-20</v>
      </c>
      <c r="I318" s="1" t="s">
        <v>40</v>
      </c>
      <c r="J318" s="1">
        <v>3.15</v>
      </c>
      <c r="K318" s="1">
        <v>-10</v>
      </c>
      <c r="L318" s="1">
        <v>-3.26790540540541</v>
      </c>
      <c r="M318" s="1" t="s">
        <v>40</v>
      </c>
      <c r="N318" s="1">
        <v>-1.73209459459459</v>
      </c>
      <c r="O318" s="1">
        <v>1.6760135135135099</v>
      </c>
      <c r="Q318" s="1">
        <v>0.16760135135135101</v>
      </c>
      <c r="R318" s="1">
        <v>0.905668385178099</v>
      </c>
      <c r="S318" s="1" t="s">
        <v>136</v>
      </c>
      <c r="T318" s="2" t="s">
        <v>136</v>
      </c>
      <c r="U318" s="3" t="s">
        <v>106</v>
      </c>
      <c r="V318" s="2" t="s">
        <v>138</v>
      </c>
      <c r="W318" s="3">
        <v>7</v>
      </c>
      <c r="X318" s="3">
        <v>9</v>
      </c>
      <c r="Y318" s="3">
        <v>5</v>
      </c>
      <c r="Z318" s="3">
        <v>0</v>
      </c>
      <c r="AA318" s="3">
        <v>-1</v>
      </c>
      <c r="AB318" s="12">
        <f>(W318*4+X318*1+Y318*-2+Z318*-3)/W318</f>
        <v>3.8571428571428572</v>
      </c>
      <c r="AC318" s="3">
        <f>W318*12.0107+X318*1.00784+Y318*15.999+Z318*14.0067</f>
        <v>173.14046000000002</v>
      </c>
      <c r="AD318" s="12">
        <v>400.5</v>
      </c>
      <c r="AE318" s="3" t="s">
        <v>139</v>
      </c>
      <c r="AF318" s="3" t="s">
        <v>140</v>
      </c>
      <c r="AG318" s="2" t="str">
        <f>IF(AD318&gt;37,"Proton symporter", "Diffusion")</f>
        <v>Proton symporter</v>
      </c>
      <c r="AH318" s="3" t="s">
        <v>141</v>
      </c>
    </row>
    <row r="319" spans="1:34" hidden="1" x14ac:dyDescent="0.2">
      <c r="A319" s="8" t="s">
        <v>34</v>
      </c>
      <c r="B319" s="9" t="s">
        <v>35</v>
      </c>
      <c r="C319" s="1" t="s">
        <v>60</v>
      </c>
      <c r="D319" s="13" t="s">
        <v>51</v>
      </c>
      <c r="E319" s="1" t="s">
        <v>136</v>
      </c>
      <c r="F319" s="1" t="s">
        <v>137</v>
      </c>
      <c r="G319" s="1">
        <v>-10</v>
      </c>
      <c r="H319" s="1">
        <v>-20</v>
      </c>
      <c r="I319" s="1" t="s">
        <v>40</v>
      </c>
      <c r="J319" s="1">
        <v>3.15</v>
      </c>
      <c r="K319" s="1">
        <v>-10</v>
      </c>
      <c r="L319" s="1">
        <v>-3.26790540540541</v>
      </c>
      <c r="M319" s="1" t="s">
        <v>40</v>
      </c>
      <c r="N319" s="1">
        <v>-1.7320945945946</v>
      </c>
      <c r="O319" s="1">
        <v>1.6760135135135099</v>
      </c>
      <c r="Q319" s="1">
        <v>0.16760135135135101</v>
      </c>
      <c r="R319" s="1">
        <v>0.905668385178099</v>
      </c>
      <c r="S319" s="1" t="s">
        <v>136</v>
      </c>
      <c r="T319" s="2" t="s">
        <v>136</v>
      </c>
      <c r="U319" s="3" t="s">
        <v>106</v>
      </c>
      <c r="V319" s="2" t="s">
        <v>138</v>
      </c>
      <c r="W319" s="3">
        <v>7</v>
      </c>
      <c r="X319" s="3">
        <v>9</v>
      </c>
      <c r="Y319" s="3">
        <v>5</v>
      </c>
      <c r="Z319" s="3">
        <v>0</v>
      </c>
      <c r="AA319" s="3">
        <v>-1</v>
      </c>
      <c r="AB319" s="12">
        <f>(W319*4+X319*1+Y319*-2+Z319*-3)/W319</f>
        <v>3.8571428571428572</v>
      </c>
      <c r="AC319" s="3">
        <f>W319*12.0107+X319*1.00784+Y319*15.999+Z319*14.0067</f>
        <v>173.14046000000002</v>
      </c>
      <c r="AD319" s="12">
        <v>400.5</v>
      </c>
      <c r="AE319" s="3" t="s">
        <v>139</v>
      </c>
      <c r="AF319" s="3" t="s">
        <v>140</v>
      </c>
      <c r="AG319" s="2" t="str">
        <f>IF(AD319&gt;37,"Proton symporter", "Diffusion")</f>
        <v>Proton symporter</v>
      </c>
      <c r="AH319" s="3" t="s">
        <v>141</v>
      </c>
    </row>
    <row r="320" spans="1:34" hidden="1" x14ac:dyDescent="0.2">
      <c r="A320" s="8" t="s">
        <v>34</v>
      </c>
      <c r="B320" s="9" t="s">
        <v>35</v>
      </c>
      <c r="C320" s="1" t="s">
        <v>56</v>
      </c>
      <c r="D320" s="14" t="s">
        <v>55</v>
      </c>
      <c r="E320" s="1" t="s">
        <v>136</v>
      </c>
      <c r="F320" s="1" t="s">
        <v>137</v>
      </c>
      <c r="G320" s="1">
        <v>-10</v>
      </c>
      <c r="H320" s="1">
        <v>-20</v>
      </c>
      <c r="I320" s="1" t="s">
        <v>40</v>
      </c>
      <c r="J320" s="1">
        <v>3.15</v>
      </c>
      <c r="K320" s="1">
        <v>-10</v>
      </c>
      <c r="L320" s="1">
        <v>-3.3159362549800799</v>
      </c>
      <c r="M320" s="1" t="s">
        <v>40</v>
      </c>
      <c r="N320" s="1">
        <v>-1.6840637450199201</v>
      </c>
      <c r="O320" s="1">
        <v>4.5262948207171299</v>
      </c>
      <c r="Q320" s="1">
        <v>0.452629482071713</v>
      </c>
      <c r="R320" s="1">
        <v>0.85096347111519699</v>
      </c>
      <c r="S320" s="1" t="s">
        <v>136</v>
      </c>
      <c r="T320" s="2" t="s">
        <v>136</v>
      </c>
      <c r="U320" s="3" t="s">
        <v>106</v>
      </c>
      <c r="V320" s="2" t="s">
        <v>138</v>
      </c>
      <c r="W320" s="3">
        <v>7</v>
      </c>
      <c r="X320" s="3">
        <v>9</v>
      </c>
      <c r="Y320" s="3">
        <v>5</v>
      </c>
      <c r="Z320" s="3">
        <v>0</v>
      </c>
      <c r="AA320" s="3">
        <v>-1</v>
      </c>
      <c r="AB320" s="12">
        <f>(W320*4+X320*1+Y320*-2+Z320*-3)/W320</f>
        <v>3.8571428571428572</v>
      </c>
      <c r="AC320" s="3">
        <f>W320*12.0107+X320*1.00784+Y320*15.999+Z320*14.0067</f>
        <v>173.14046000000002</v>
      </c>
      <c r="AD320" s="12">
        <v>400.5</v>
      </c>
      <c r="AE320" s="3" t="s">
        <v>139</v>
      </c>
      <c r="AF320" s="3" t="s">
        <v>140</v>
      </c>
      <c r="AG320" s="2" t="str">
        <f>IF(AD320&gt;37,"Proton symporter", "Diffusion")</f>
        <v>Proton symporter</v>
      </c>
      <c r="AH320" s="3" t="s">
        <v>141</v>
      </c>
    </row>
    <row r="321" spans="1:34" hidden="1" x14ac:dyDescent="0.2">
      <c r="A321" s="8" t="s">
        <v>34</v>
      </c>
      <c r="B321" s="9" t="s">
        <v>35</v>
      </c>
      <c r="C321" s="1" t="s">
        <v>54</v>
      </c>
      <c r="D321" s="14" t="s">
        <v>55</v>
      </c>
      <c r="E321" s="1" t="s">
        <v>136</v>
      </c>
      <c r="F321" s="1" t="s">
        <v>137</v>
      </c>
      <c r="G321" s="1">
        <v>-10</v>
      </c>
      <c r="H321" s="1">
        <v>-20</v>
      </c>
      <c r="I321" s="1" t="s">
        <v>40</v>
      </c>
      <c r="J321" s="1">
        <v>3.15</v>
      </c>
      <c r="K321" s="1">
        <v>-10</v>
      </c>
      <c r="L321" s="1">
        <v>-3.9257575757575802</v>
      </c>
      <c r="M321" s="1" t="s">
        <v>40</v>
      </c>
      <c r="N321" s="1">
        <v>3.92575757575757</v>
      </c>
      <c r="O321" s="1">
        <v>8.0106060606060598</v>
      </c>
      <c r="Q321" s="1">
        <v>0.80106060606060603</v>
      </c>
      <c r="R321" s="1">
        <v>0.76988202325950095</v>
      </c>
      <c r="S321" s="1" t="s">
        <v>136</v>
      </c>
      <c r="T321" s="2" t="s">
        <v>136</v>
      </c>
      <c r="U321" s="3" t="s">
        <v>106</v>
      </c>
      <c r="V321" s="2" t="s">
        <v>138</v>
      </c>
      <c r="W321" s="3">
        <v>7</v>
      </c>
      <c r="X321" s="3">
        <v>9</v>
      </c>
      <c r="Y321" s="3">
        <v>5</v>
      </c>
      <c r="Z321" s="3">
        <v>0</v>
      </c>
      <c r="AA321" s="3">
        <v>-1</v>
      </c>
      <c r="AB321" s="12">
        <f>(W321*4+X321*1+Y321*-2+Z321*-3)/W321</f>
        <v>3.8571428571428572</v>
      </c>
      <c r="AC321" s="3">
        <f>W321*12.0107+X321*1.00784+Y321*15.999+Z321*14.0067</f>
        <v>173.14046000000002</v>
      </c>
      <c r="AD321" s="12">
        <v>400.5</v>
      </c>
      <c r="AE321" s="3" t="s">
        <v>139</v>
      </c>
      <c r="AF321" s="3" t="s">
        <v>140</v>
      </c>
      <c r="AG321" s="2" t="str">
        <f>IF(AD321&gt;37,"Proton symporter", "Diffusion")</f>
        <v>Proton symporter</v>
      </c>
      <c r="AH321" s="3" t="s">
        <v>141</v>
      </c>
    </row>
    <row r="322" spans="1:34" hidden="1" x14ac:dyDescent="0.2">
      <c r="A322" s="8" t="s">
        <v>34</v>
      </c>
      <c r="B322" s="9" t="s">
        <v>35</v>
      </c>
      <c r="C322" s="1" t="s">
        <v>62</v>
      </c>
      <c r="D322" s="15" t="s">
        <v>55</v>
      </c>
      <c r="E322" s="1" t="s">
        <v>136</v>
      </c>
      <c r="F322" s="1" t="s">
        <v>137</v>
      </c>
      <c r="G322" s="1">
        <v>-10</v>
      </c>
      <c r="H322" s="1">
        <v>-20</v>
      </c>
      <c r="I322" s="1" t="s">
        <v>40</v>
      </c>
      <c r="J322" s="1">
        <v>3.15</v>
      </c>
      <c r="K322" s="1">
        <v>-10</v>
      </c>
      <c r="L322" s="1">
        <v>-3.4888888888888898</v>
      </c>
      <c r="M322" s="1" t="s">
        <v>40</v>
      </c>
      <c r="N322" s="1">
        <v>3.48888888888888</v>
      </c>
      <c r="O322" s="1">
        <v>6.6444444444444501</v>
      </c>
      <c r="Q322" s="1">
        <v>0.66444444444444495</v>
      </c>
      <c r="R322" s="1">
        <v>0.76628399890465304</v>
      </c>
      <c r="S322" s="1" t="s">
        <v>136</v>
      </c>
      <c r="T322" s="2" t="s">
        <v>136</v>
      </c>
      <c r="U322" s="3" t="s">
        <v>106</v>
      </c>
      <c r="V322" s="2" t="s">
        <v>138</v>
      </c>
      <c r="W322" s="3">
        <v>7</v>
      </c>
      <c r="X322" s="3">
        <v>9</v>
      </c>
      <c r="Y322" s="3">
        <v>5</v>
      </c>
      <c r="Z322" s="3">
        <v>0</v>
      </c>
      <c r="AA322" s="3">
        <v>-1</v>
      </c>
      <c r="AB322" s="12">
        <f>(W322*4+X322*1+Y322*-2+Z322*-3)/W322</f>
        <v>3.8571428571428572</v>
      </c>
      <c r="AC322" s="3">
        <f>W322*12.0107+X322*1.00784+Y322*15.999+Z322*14.0067</f>
        <v>173.14046000000002</v>
      </c>
      <c r="AD322" s="12">
        <v>400.5</v>
      </c>
      <c r="AE322" s="3" t="s">
        <v>139</v>
      </c>
      <c r="AF322" s="3" t="s">
        <v>140</v>
      </c>
      <c r="AG322" s="2" t="str">
        <f>IF(AD322&gt;37,"Proton symporter", "Diffusion")</f>
        <v>Proton symporter</v>
      </c>
      <c r="AH322" s="3" t="s">
        <v>141</v>
      </c>
    </row>
    <row r="323" spans="1:34" hidden="1" x14ac:dyDescent="0.2">
      <c r="A323" s="8" t="s">
        <v>34</v>
      </c>
      <c r="B323" s="9" t="s">
        <v>35</v>
      </c>
      <c r="C323" s="1" t="s">
        <v>48</v>
      </c>
      <c r="D323" s="10" t="s">
        <v>37</v>
      </c>
      <c r="E323" s="1" t="s">
        <v>136</v>
      </c>
      <c r="F323" s="1" t="s">
        <v>137</v>
      </c>
      <c r="G323" s="1">
        <v>-10</v>
      </c>
      <c r="H323" s="1">
        <v>-20</v>
      </c>
      <c r="I323" s="1" t="s">
        <v>40</v>
      </c>
      <c r="J323" s="1">
        <v>3.15</v>
      </c>
      <c r="K323" s="1">
        <v>-10</v>
      </c>
      <c r="L323" s="1">
        <v>-6.0432432432432401</v>
      </c>
      <c r="M323" s="1" t="s">
        <v>40</v>
      </c>
      <c r="N323" s="1">
        <v>1.0432432432432399</v>
      </c>
      <c r="O323" s="1">
        <v>2.7081081081081102</v>
      </c>
      <c r="Q323" s="1">
        <v>0.27081081081081099</v>
      </c>
      <c r="R323" s="1">
        <v>0.75545397117855595</v>
      </c>
      <c r="S323" s="1" t="s">
        <v>136</v>
      </c>
      <c r="T323" s="2" t="s">
        <v>136</v>
      </c>
      <c r="U323" s="3" t="s">
        <v>106</v>
      </c>
      <c r="V323" s="2" t="s">
        <v>138</v>
      </c>
      <c r="W323" s="3">
        <v>7</v>
      </c>
      <c r="X323" s="3">
        <v>9</v>
      </c>
      <c r="Y323" s="3">
        <v>5</v>
      </c>
      <c r="Z323" s="3">
        <v>0</v>
      </c>
      <c r="AA323" s="3">
        <v>-1</v>
      </c>
      <c r="AB323" s="12">
        <f>(W323*4+X323*1+Y323*-2+Z323*-3)/W323</f>
        <v>3.8571428571428572</v>
      </c>
      <c r="AC323" s="3">
        <f>W323*12.0107+X323*1.00784+Y323*15.999+Z323*14.0067</f>
        <v>173.14046000000002</v>
      </c>
      <c r="AD323" s="12">
        <v>400.5</v>
      </c>
      <c r="AE323" s="3" t="s">
        <v>139</v>
      </c>
      <c r="AF323" s="3" t="s">
        <v>140</v>
      </c>
      <c r="AG323" s="2" t="str">
        <f>IF(AD323&gt;37,"Proton symporter", "Diffusion")</f>
        <v>Proton symporter</v>
      </c>
      <c r="AH323" s="3" t="s">
        <v>141</v>
      </c>
    </row>
    <row r="324" spans="1:34" hidden="1" x14ac:dyDescent="0.2">
      <c r="A324" s="8" t="s">
        <v>34</v>
      </c>
      <c r="B324" s="9" t="s">
        <v>35</v>
      </c>
      <c r="C324" s="1" t="s">
        <v>47</v>
      </c>
      <c r="D324" s="10" t="s">
        <v>37</v>
      </c>
      <c r="E324" s="1" t="s">
        <v>136</v>
      </c>
      <c r="F324" s="1" t="s">
        <v>137</v>
      </c>
      <c r="G324" s="1">
        <v>-10</v>
      </c>
      <c r="H324" s="1">
        <v>-20</v>
      </c>
      <c r="I324" s="1" t="s">
        <v>40</v>
      </c>
      <c r="J324" s="1">
        <v>3.15</v>
      </c>
      <c r="K324" s="1">
        <v>-10</v>
      </c>
      <c r="L324" s="1">
        <v>-7.8265100671140901</v>
      </c>
      <c r="M324" s="1" t="s">
        <v>40</v>
      </c>
      <c r="N324" s="1">
        <v>2.8265100671140999</v>
      </c>
      <c r="O324" s="1">
        <v>2.4533557046979899</v>
      </c>
      <c r="Q324" s="1">
        <v>0.24533557046979901</v>
      </c>
      <c r="R324" s="1">
        <v>0.68438822817987399</v>
      </c>
      <c r="S324" s="1" t="s">
        <v>136</v>
      </c>
      <c r="T324" s="2" t="s">
        <v>136</v>
      </c>
      <c r="U324" s="3" t="s">
        <v>106</v>
      </c>
      <c r="V324" s="2" t="s">
        <v>138</v>
      </c>
      <c r="W324" s="3">
        <v>7</v>
      </c>
      <c r="X324" s="3">
        <v>9</v>
      </c>
      <c r="Y324" s="3">
        <v>5</v>
      </c>
      <c r="Z324" s="3">
        <v>0</v>
      </c>
      <c r="AA324" s="3">
        <v>-1</v>
      </c>
      <c r="AB324" s="12">
        <f>(W324*4+X324*1+Y324*-2+Z324*-3)/W324</f>
        <v>3.8571428571428572</v>
      </c>
      <c r="AC324" s="3">
        <f>W324*12.0107+X324*1.00784+Y324*15.999+Z324*14.0067</f>
        <v>173.14046000000002</v>
      </c>
      <c r="AD324" s="12">
        <v>400.5</v>
      </c>
      <c r="AE324" s="3" t="s">
        <v>139</v>
      </c>
      <c r="AF324" s="3" t="s">
        <v>140</v>
      </c>
      <c r="AG324" s="2" t="str">
        <f>IF(AD324&gt;37,"Proton symporter", "Diffusion")</f>
        <v>Proton symporter</v>
      </c>
      <c r="AH324" s="3" t="s">
        <v>141</v>
      </c>
    </row>
    <row r="325" spans="1:34" hidden="1" x14ac:dyDescent="0.2">
      <c r="A325" s="8" t="s">
        <v>34</v>
      </c>
      <c r="B325" s="9" t="s">
        <v>35</v>
      </c>
      <c r="C325" s="1" t="s">
        <v>58</v>
      </c>
      <c r="D325" s="10" t="s">
        <v>37</v>
      </c>
      <c r="E325" s="1" t="s">
        <v>136</v>
      </c>
      <c r="F325" s="1" t="s">
        <v>137</v>
      </c>
      <c r="G325" s="1">
        <v>-10</v>
      </c>
      <c r="H325" s="1">
        <v>-20</v>
      </c>
      <c r="I325" s="1" t="s">
        <v>40</v>
      </c>
      <c r="J325" s="1">
        <v>3.15</v>
      </c>
      <c r="K325" s="1">
        <v>-10</v>
      </c>
      <c r="L325" s="1">
        <v>-4.6550368550368502</v>
      </c>
      <c r="M325" s="1" t="s">
        <v>40</v>
      </c>
      <c r="N325" s="1">
        <v>4.6550368550368599</v>
      </c>
      <c r="O325" s="1">
        <v>2.1921375921375899</v>
      </c>
      <c r="Q325" s="1">
        <v>0.21921375921375899</v>
      </c>
      <c r="R325" s="1">
        <v>0.63203175762005503</v>
      </c>
      <c r="S325" s="1" t="s">
        <v>136</v>
      </c>
      <c r="T325" s="2" t="s">
        <v>136</v>
      </c>
      <c r="U325" s="3" t="s">
        <v>106</v>
      </c>
      <c r="V325" s="2" t="s">
        <v>138</v>
      </c>
      <c r="W325" s="3">
        <v>7</v>
      </c>
      <c r="X325" s="3">
        <v>9</v>
      </c>
      <c r="Y325" s="3">
        <v>5</v>
      </c>
      <c r="Z325" s="3">
        <v>0</v>
      </c>
      <c r="AA325" s="3">
        <v>-1</v>
      </c>
      <c r="AB325" s="12">
        <f>(W325*4+X325*1+Y325*-2+Z325*-3)/W325</f>
        <v>3.8571428571428572</v>
      </c>
      <c r="AC325" s="3">
        <f>W325*12.0107+X325*1.00784+Y325*15.999+Z325*14.0067</f>
        <v>173.14046000000002</v>
      </c>
      <c r="AD325" s="12">
        <v>400.5</v>
      </c>
      <c r="AE325" s="3" t="s">
        <v>139</v>
      </c>
      <c r="AF325" s="3" t="s">
        <v>140</v>
      </c>
      <c r="AG325" s="2" t="str">
        <f>IF(AD325&gt;37,"Proton symporter", "Diffusion")</f>
        <v>Proton symporter</v>
      </c>
      <c r="AH325" s="3" t="s">
        <v>141</v>
      </c>
    </row>
    <row r="326" spans="1:34" hidden="1" x14ac:dyDescent="0.2">
      <c r="A326" s="8" t="s">
        <v>34</v>
      </c>
      <c r="B326" s="9" t="s">
        <v>35</v>
      </c>
      <c r="C326" s="1" t="s">
        <v>61</v>
      </c>
      <c r="D326" s="13" t="s">
        <v>51</v>
      </c>
      <c r="E326" s="1" t="s">
        <v>136</v>
      </c>
      <c r="F326" s="1" t="s">
        <v>137</v>
      </c>
      <c r="G326" s="1">
        <v>-10</v>
      </c>
      <c r="H326" s="1">
        <v>-20</v>
      </c>
      <c r="I326" s="1" t="s">
        <v>40</v>
      </c>
      <c r="J326" s="1">
        <v>3.15</v>
      </c>
      <c r="K326" s="1">
        <v>-10</v>
      </c>
      <c r="L326" s="1">
        <v>-7.0736170212765899</v>
      </c>
      <c r="M326" s="1" t="s">
        <v>40</v>
      </c>
      <c r="N326" s="1">
        <v>2.0736170212766001</v>
      </c>
      <c r="O326" s="1">
        <v>1.13234042553192</v>
      </c>
      <c r="Q326" s="1">
        <v>0.113234042553192</v>
      </c>
      <c r="R326" s="1">
        <v>0.61188344628171298</v>
      </c>
      <c r="S326" s="1" t="s">
        <v>136</v>
      </c>
      <c r="T326" s="2" t="s">
        <v>136</v>
      </c>
      <c r="U326" s="3" t="s">
        <v>106</v>
      </c>
      <c r="V326" s="2" t="s">
        <v>138</v>
      </c>
      <c r="W326" s="3">
        <v>7</v>
      </c>
      <c r="X326" s="3">
        <v>9</v>
      </c>
      <c r="Y326" s="3">
        <v>5</v>
      </c>
      <c r="Z326" s="3">
        <v>0</v>
      </c>
      <c r="AA326" s="3">
        <v>-1</v>
      </c>
      <c r="AB326" s="12">
        <f>(W326*4+X326*1+Y326*-2+Z326*-3)/W326</f>
        <v>3.8571428571428572</v>
      </c>
      <c r="AC326" s="3">
        <f>W326*12.0107+X326*1.00784+Y326*15.999+Z326*14.0067</f>
        <v>173.14046000000002</v>
      </c>
      <c r="AD326" s="12">
        <v>400.5</v>
      </c>
      <c r="AE326" s="3" t="s">
        <v>139</v>
      </c>
      <c r="AF326" s="3" t="s">
        <v>140</v>
      </c>
      <c r="AG326" s="2" t="str">
        <f>IF(AD326&gt;37,"Proton symporter", "Diffusion")</f>
        <v>Proton symporter</v>
      </c>
      <c r="AH326" s="3" t="s">
        <v>141</v>
      </c>
    </row>
    <row r="327" spans="1:34" hidden="1" x14ac:dyDescent="0.2">
      <c r="A327" s="8" t="s">
        <v>34</v>
      </c>
      <c r="B327" s="9" t="s">
        <v>35</v>
      </c>
      <c r="C327" s="1" t="s">
        <v>57</v>
      </c>
      <c r="D327" s="10" t="s">
        <v>37</v>
      </c>
      <c r="E327" s="1" t="s">
        <v>136</v>
      </c>
      <c r="F327" s="1" t="s">
        <v>137</v>
      </c>
      <c r="G327" s="1">
        <v>-10</v>
      </c>
      <c r="H327" s="1">
        <v>-20</v>
      </c>
      <c r="I327" s="1" t="s">
        <v>40</v>
      </c>
      <c r="J327" s="1">
        <v>3.15</v>
      </c>
      <c r="K327" s="1">
        <v>-10</v>
      </c>
      <c r="L327" s="1">
        <v>-5.4693548387096804</v>
      </c>
      <c r="M327" s="1" t="s">
        <v>40</v>
      </c>
      <c r="N327" s="1">
        <v>5.4693548387096698</v>
      </c>
      <c r="O327" s="1">
        <v>2.0758064516129</v>
      </c>
      <c r="Q327" s="1">
        <v>0.20758064516128999</v>
      </c>
      <c r="R327" s="1">
        <v>0.59849144725109205</v>
      </c>
      <c r="S327" s="1" t="s">
        <v>136</v>
      </c>
      <c r="T327" s="2" t="s">
        <v>136</v>
      </c>
      <c r="U327" s="3" t="s">
        <v>106</v>
      </c>
      <c r="V327" s="2" t="s">
        <v>138</v>
      </c>
      <c r="W327" s="3">
        <v>7</v>
      </c>
      <c r="X327" s="3">
        <v>9</v>
      </c>
      <c r="Y327" s="3">
        <v>5</v>
      </c>
      <c r="Z327" s="3">
        <v>0</v>
      </c>
      <c r="AA327" s="3">
        <v>-1</v>
      </c>
      <c r="AB327" s="12">
        <f>(W327*4+X327*1+Y327*-2+Z327*-3)/W327</f>
        <v>3.8571428571428572</v>
      </c>
      <c r="AC327" s="3">
        <f>W327*12.0107+X327*1.00784+Y327*15.999+Z327*14.0067</f>
        <v>173.14046000000002</v>
      </c>
      <c r="AD327" s="12">
        <v>400.5</v>
      </c>
      <c r="AE327" s="3" t="s">
        <v>139</v>
      </c>
      <c r="AF327" s="3" t="s">
        <v>140</v>
      </c>
      <c r="AG327" s="2" t="str">
        <f>IF(AD327&gt;37,"Proton symporter", "Diffusion")</f>
        <v>Proton symporter</v>
      </c>
      <c r="AH327" s="3" t="s">
        <v>141</v>
      </c>
    </row>
    <row r="328" spans="1:34" hidden="1" x14ac:dyDescent="0.2">
      <c r="A328" s="8" t="s">
        <v>34</v>
      </c>
      <c r="B328" s="9" t="s">
        <v>35</v>
      </c>
      <c r="C328" s="1" t="s">
        <v>46</v>
      </c>
      <c r="D328" s="10" t="s">
        <v>37</v>
      </c>
      <c r="E328" s="1" t="s">
        <v>136</v>
      </c>
      <c r="F328" s="1" t="s">
        <v>137</v>
      </c>
      <c r="G328" s="1">
        <v>-10</v>
      </c>
      <c r="H328" s="1">
        <v>-20</v>
      </c>
      <c r="I328" s="1" t="s">
        <v>40</v>
      </c>
      <c r="J328" s="1">
        <v>3.15</v>
      </c>
      <c r="K328" s="1">
        <v>-10</v>
      </c>
      <c r="L328" s="1">
        <v>-6.71891891891892</v>
      </c>
      <c r="M328" s="1" t="s">
        <v>40</v>
      </c>
      <c r="N328" s="1">
        <v>6.71891891891892</v>
      </c>
      <c r="O328" s="1">
        <v>1.8972972972972999</v>
      </c>
      <c r="Q328" s="1">
        <v>0.18972972972973001</v>
      </c>
      <c r="R328" s="1">
        <v>0.55637310419405195</v>
      </c>
      <c r="S328" s="1" t="s">
        <v>136</v>
      </c>
      <c r="T328" s="2" t="s">
        <v>136</v>
      </c>
      <c r="U328" s="3" t="s">
        <v>106</v>
      </c>
      <c r="V328" s="2" t="s">
        <v>138</v>
      </c>
      <c r="W328" s="3">
        <v>7</v>
      </c>
      <c r="X328" s="3">
        <v>9</v>
      </c>
      <c r="Y328" s="3">
        <v>5</v>
      </c>
      <c r="Z328" s="3">
        <v>0</v>
      </c>
      <c r="AA328" s="3">
        <v>-1</v>
      </c>
      <c r="AB328" s="12">
        <f>(W328*4+X328*1+Y328*-2+Z328*-3)/W328</f>
        <v>3.8571428571428572</v>
      </c>
      <c r="AC328" s="3">
        <f>W328*12.0107+X328*1.00784+Y328*15.999+Z328*14.0067</f>
        <v>173.14046000000002</v>
      </c>
      <c r="AD328" s="12">
        <v>400.5</v>
      </c>
      <c r="AE328" s="3" t="s">
        <v>139</v>
      </c>
      <c r="AF328" s="3" t="s">
        <v>140</v>
      </c>
      <c r="AG328" s="2" t="str">
        <f>IF(AD328&gt;37,"Proton symporter", "Diffusion")</f>
        <v>Proton symporter</v>
      </c>
      <c r="AH328" s="3" t="s">
        <v>141</v>
      </c>
    </row>
    <row r="329" spans="1:34" hidden="1" x14ac:dyDescent="0.2">
      <c r="A329" s="8" t="s">
        <v>350</v>
      </c>
      <c r="B329" s="17" t="s">
        <v>64</v>
      </c>
      <c r="C329" t="s">
        <v>354</v>
      </c>
      <c r="D329" s="13" t="s">
        <v>51</v>
      </c>
      <c r="E329" t="s">
        <v>136</v>
      </c>
      <c r="F329" t="s">
        <v>137</v>
      </c>
      <c r="G329">
        <v>-10</v>
      </c>
      <c r="H329">
        <v>0</v>
      </c>
      <c r="I329">
        <v>0</v>
      </c>
      <c r="J329">
        <v>0.45</v>
      </c>
      <c r="K329">
        <v>-10</v>
      </c>
      <c r="L329">
        <v>0</v>
      </c>
      <c r="M329" s="26">
        <v>4.1641025641025502</v>
      </c>
      <c r="N329">
        <v>0</v>
      </c>
      <c r="O329" s="26">
        <v>0.59487179487179398</v>
      </c>
      <c r="P329"/>
      <c r="Q329" s="26">
        <v>5.9487179487179402E-2</v>
      </c>
      <c r="R329" s="26">
        <v>0.330099906357461</v>
      </c>
      <c r="S329" s="3" t="str">
        <f>VLOOKUP($E329,'[1]Product Naming'!$A$1:$P$58,2)</f>
        <v>Shikimate</v>
      </c>
      <c r="T329" s="3" t="str">
        <f>VLOOKUP($E329,'[1]Product Naming'!$A$1:$P$58,3)</f>
        <v>Shikimate</v>
      </c>
      <c r="U329" s="3" t="str">
        <f>VLOOKUP($E329,'[1]Product Naming'!$A$1:$P$58,4)</f>
        <v>E</v>
      </c>
      <c r="V329" s="3" t="str">
        <f>VLOOKUP($E329,'[1]Product Naming'!$A$1:$P$58,5)</f>
        <v>C7H9O5</v>
      </c>
      <c r="W329" s="3">
        <f>VLOOKUP($E329,'[1]Product Naming'!$A$1:$P$58,6)</f>
        <v>7</v>
      </c>
      <c r="X329" s="3">
        <f>VLOOKUP($E329,'[1]Product Naming'!$A$1:$P$58,7)</f>
        <v>9</v>
      </c>
      <c r="Y329" s="3">
        <f>VLOOKUP($E329,'[1]Product Naming'!$A$1:$P$58,8)</f>
        <v>5</v>
      </c>
      <c r="Z329" s="3">
        <f>VLOOKUP($E329,'[1]Product Naming'!$A$1:$P$58,9)</f>
        <v>0</v>
      </c>
      <c r="AA329" s="3">
        <f>VLOOKUP($E329,'[1]Product Naming'!$A$1:$P$58,10)</f>
        <v>-1</v>
      </c>
      <c r="AB329" s="3">
        <f>VLOOKUP($E329,'[1]Product Naming'!$A$1:$P$58,11)</f>
        <v>3.8571428571428572</v>
      </c>
      <c r="AC329" s="3">
        <f>VLOOKUP($E329,'[1]Product Naming'!$A$1:$P$58,12)</f>
        <v>173.14046000000002</v>
      </c>
      <c r="AD329" s="3">
        <f>VLOOKUP($E329,'[1]Product Naming'!$A$1:$P$58,13)</f>
        <v>400.5</v>
      </c>
      <c r="AE329" s="3" t="str">
        <f>VLOOKUP($E329,'[1]Product Naming'!$A$1:$P$58,14)</f>
        <v>Aromatic + Alcohol + Carboxylate</v>
      </c>
      <c r="AF329" s="3" t="str">
        <f>VLOOKUP($E329,'[1]Product Naming'!$A$1:$P$58,15)</f>
        <v>PEP + E4P (Glyceraldehyde 3-P)</v>
      </c>
      <c r="AG329" s="3" t="str">
        <f>VLOOKUP($E329,'[1]Product Naming'!$A$1:$P$58,16)</f>
        <v>Proton symporter</v>
      </c>
      <c r="AH329" s="3" t="str">
        <f>VLOOKUP($E329,'[1]Product Naming'!$A$1:$Q$58,17)</f>
        <v>skm_c</v>
      </c>
    </row>
    <row r="330" spans="1:34" hidden="1" x14ac:dyDescent="0.2">
      <c r="A330" s="16" t="s">
        <v>63</v>
      </c>
      <c r="B330" s="17" t="s">
        <v>64</v>
      </c>
      <c r="C330" t="s">
        <v>69</v>
      </c>
      <c r="D330" s="18" t="s">
        <v>66</v>
      </c>
      <c r="E330" t="s">
        <v>136</v>
      </c>
      <c r="F330" t="s">
        <v>137</v>
      </c>
      <c r="G330">
        <v>-10</v>
      </c>
      <c r="H330">
        <v>0</v>
      </c>
      <c r="I330">
        <v>-20</v>
      </c>
      <c r="J330">
        <v>0.45</v>
      </c>
      <c r="K330">
        <v>-10</v>
      </c>
      <c r="L330">
        <v>0</v>
      </c>
      <c r="M330">
        <v>-15.835897435897399</v>
      </c>
      <c r="N330">
        <v>0</v>
      </c>
      <c r="O330">
        <v>0.59487179487179498</v>
      </c>
      <c r="P330"/>
      <c r="Q330">
        <v>5.9487179487179499E-2</v>
      </c>
      <c r="R330" s="19">
        <v>0.33002296455673502</v>
      </c>
      <c r="S330" s="1" t="s">
        <v>136</v>
      </c>
      <c r="T330" s="2" t="s">
        <v>136</v>
      </c>
      <c r="U330" s="3" t="s">
        <v>106</v>
      </c>
      <c r="V330" s="2" t="s">
        <v>138</v>
      </c>
      <c r="W330" s="3">
        <v>7</v>
      </c>
      <c r="X330" s="3">
        <v>9</v>
      </c>
      <c r="Y330" s="3">
        <v>5</v>
      </c>
      <c r="Z330" s="3">
        <v>0</v>
      </c>
      <c r="AA330" s="3">
        <v>-1</v>
      </c>
      <c r="AB330" s="12">
        <f>(W330*4+X330*1+Y330*-2+Z330*-3)/W330</f>
        <v>3.8571428571428572</v>
      </c>
      <c r="AC330" s="3">
        <f>W330*12.0107+X330*1.00784+Y330*15.999+Z330*14.0067</f>
        <v>173.14046000000002</v>
      </c>
      <c r="AD330" s="12">
        <v>400.5</v>
      </c>
      <c r="AE330" s="3" t="s">
        <v>139</v>
      </c>
      <c r="AF330" s="3" t="s">
        <v>140</v>
      </c>
      <c r="AG330" s="2" t="str">
        <f>IF(AD330&gt;37,"Proton symporter", "Diffusion")</f>
        <v>Proton symporter</v>
      </c>
      <c r="AH330" s="3" t="s">
        <v>141</v>
      </c>
    </row>
    <row r="331" spans="1:34" hidden="1" x14ac:dyDescent="0.2">
      <c r="A331" s="8" t="s">
        <v>350</v>
      </c>
      <c r="B331" s="17" t="s">
        <v>64</v>
      </c>
      <c r="C331" t="s">
        <v>353</v>
      </c>
      <c r="D331" s="13" t="s">
        <v>51</v>
      </c>
      <c r="E331" t="s">
        <v>136</v>
      </c>
      <c r="F331" t="s">
        <v>137</v>
      </c>
      <c r="G331">
        <v>-10</v>
      </c>
      <c r="H331">
        <v>0</v>
      </c>
      <c r="I331">
        <v>0</v>
      </c>
      <c r="J331">
        <v>0.45</v>
      </c>
      <c r="K331">
        <v>-10</v>
      </c>
      <c r="L331">
        <v>0</v>
      </c>
      <c r="M331">
        <v>3.8602287166454801</v>
      </c>
      <c r="N331">
        <v>0</v>
      </c>
      <c r="O331" s="26">
        <v>0.55146124523506801</v>
      </c>
      <c r="P331"/>
      <c r="Q331">
        <v>5.5146124523506798E-2</v>
      </c>
      <c r="R331" s="26">
        <v>0.30541134495183397</v>
      </c>
      <c r="S331" s="3" t="str">
        <f>VLOOKUP($E331,'[1]Product Naming'!$A$1:$P$58,2)</f>
        <v>Shikimate</v>
      </c>
      <c r="T331" s="3" t="str">
        <f>VLOOKUP($E331,'[1]Product Naming'!$A$1:$P$58,3)</f>
        <v>Shikimate</v>
      </c>
      <c r="U331" s="3" t="str">
        <f>VLOOKUP($E331,'[1]Product Naming'!$A$1:$P$58,4)</f>
        <v>E</v>
      </c>
      <c r="V331" s="3" t="str">
        <f>VLOOKUP($E331,'[1]Product Naming'!$A$1:$P$58,5)</f>
        <v>C7H9O5</v>
      </c>
      <c r="W331" s="3">
        <f>VLOOKUP($E331,'[1]Product Naming'!$A$1:$P$58,6)</f>
        <v>7</v>
      </c>
      <c r="X331" s="3">
        <f>VLOOKUP($E331,'[1]Product Naming'!$A$1:$P$58,7)</f>
        <v>9</v>
      </c>
      <c r="Y331" s="3">
        <f>VLOOKUP($E331,'[1]Product Naming'!$A$1:$P$58,8)</f>
        <v>5</v>
      </c>
      <c r="Z331" s="3">
        <f>VLOOKUP($E331,'[1]Product Naming'!$A$1:$P$58,9)</f>
        <v>0</v>
      </c>
      <c r="AA331" s="3">
        <f>VLOOKUP($E331,'[1]Product Naming'!$A$1:$P$58,10)</f>
        <v>-1</v>
      </c>
      <c r="AB331" s="3">
        <f>VLOOKUP($E331,'[1]Product Naming'!$A$1:$P$58,11)</f>
        <v>3.8571428571428572</v>
      </c>
      <c r="AC331" s="3">
        <f>VLOOKUP($E331,'[1]Product Naming'!$A$1:$P$58,12)</f>
        <v>173.14046000000002</v>
      </c>
      <c r="AD331" s="3">
        <f>VLOOKUP($E331,'[1]Product Naming'!$A$1:$P$58,13)</f>
        <v>400.5</v>
      </c>
      <c r="AE331" s="3" t="str">
        <f>VLOOKUP($E331,'[1]Product Naming'!$A$1:$P$58,14)</f>
        <v>Aromatic + Alcohol + Carboxylate</v>
      </c>
      <c r="AF331" s="3" t="str">
        <f>VLOOKUP($E331,'[1]Product Naming'!$A$1:$P$58,15)</f>
        <v>PEP + E4P (Glyceraldehyde 3-P)</v>
      </c>
      <c r="AG331" s="3" t="str">
        <f>VLOOKUP($E331,'[1]Product Naming'!$A$1:$P$58,16)</f>
        <v>Proton symporter</v>
      </c>
      <c r="AH331" s="3" t="str">
        <f>VLOOKUP($E331,'[1]Product Naming'!$A$1:$Q$58,17)</f>
        <v>skm_c</v>
      </c>
    </row>
    <row r="332" spans="1:34" hidden="1" x14ac:dyDescent="0.2">
      <c r="A332" s="16" t="s">
        <v>63</v>
      </c>
      <c r="B332" s="17" t="s">
        <v>64</v>
      </c>
      <c r="C332" t="s">
        <v>68</v>
      </c>
      <c r="D332" s="18" t="s">
        <v>66</v>
      </c>
      <c r="E332" t="s">
        <v>136</v>
      </c>
      <c r="F332" t="s">
        <v>137</v>
      </c>
      <c r="G332">
        <v>-10</v>
      </c>
      <c r="H332">
        <v>0</v>
      </c>
      <c r="I332">
        <v>-10</v>
      </c>
      <c r="J332">
        <v>0.45</v>
      </c>
      <c r="K332">
        <v>-10</v>
      </c>
      <c r="L332">
        <v>0</v>
      </c>
      <c r="M332">
        <v>-10</v>
      </c>
      <c r="N332">
        <v>0</v>
      </c>
      <c r="O332">
        <v>0.51267605633802804</v>
      </c>
      <c r="P332"/>
      <c r="Q332">
        <v>5.1267605633802803E-2</v>
      </c>
      <c r="R332">
        <v>0.29558763977806202</v>
      </c>
      <c r="S332" s="1" t="s">
        <v>136</v>
      </c>
      <c r="T332" s="2" t="s">
        <v>136</v>
      </c>
      <c r="U332" s="3" t="s">
        <v>106</v>
      </c>
      <c r="V332" s="2" t="s">
        <v>138</v>
      </c>
      <c r="W332" s="3">
        <v>7</v>
      </c>
      <c r="X332" s="3">
        <v>9</v>
      </c>
      <c r="Y332" s="3">
        <v>5</v>
      </c>
      <c r="Z332" s="3">
        <v>0</v>
      </c>
      <c r="AA332" s="3">
        <v>-1</v>
      </c>
      <c r="AB332" s="12">
        <f>(W332*4+X332*1+Y332*-2+Z332*-3)/W332</f>
        <v>3.8571428571428572</v>
      </c>
      <c r="AC332" s="3">
        <f>W332*12.0107+X332*1.00784+Y332*15.999+Z332*14.0067</f>
        <v>173.14046000000002</v>
      </c>
      <c r="AD332" s="12">
        <v>400.5</v>
      </c>
      <c r="AE332" s="3" t="s">
        <v>139</v>
      </c>
      <c r="AF332" s="3" t="s">
        <v>140</v>
      </c>
      <c r="AG332" s="2" t="str">
        <f>IF(AD332&gt;37,"Proton symporter", "Diffusion")</f>
        <v>Proton symporter</v>
      </c>
      <c r="AH332" s="3" t="s">
        <v>141</v>
      </c>
    </row>
    <row r="333" spans="1:34" hidden="1" x14ac:dyDescent="0.2">
      <c r="A333" s="16" t="s">
        <v>63</v>
      </c>
      <c r="B333" s="17" t="s">
        <v>64</v>
      </c>
      <c r="C333" t="s">
        <v>67</v>
      </c>
      <c r="D333" s="18" t="s">
        <v>66</v>
      </c>
      <c r="E333" t="s">
        <v>136</v>
      </c>
      <c r="F333" t="s">
        <v>137</v>
      </c>
      <c r="G333">
        <v>-10</v>
      </c>
      <c r="H333">
        <v>0</v>
      </c>
      <c r="I333">
        <v>-5</v>
      </c>
      <c r="J333">
        <v>0.45</v>
      </c>
      <c r="K333">
        <v>-10</v>
      </c>
      <c r="L333">
        <v>0</v>
      </c>
      <c r="M333">
        <v>-5</v>
      </c>
      <c r="N333">
        <v>2.5</v>
      </c>
      <c r="O333">
        <v>0.407042253521127</v>
      </c>
      <c r="P333"/>
      <c r="Q333">
        <v>4.0704225352112697E-2</v>
      </c>
      <c r="R333">
        <v>0.24285142320497799</v>
      </c>
      <c r="S333" s="1" t="s">
        <v>136</v>
      </c>
      <c r="T333" s="2" t="s">
        <v>136</v>
      </c>
      <c r="U333" s="3" t="s">
        <v>106</v>
      </c>
      <c r="V333" s="2" t="s">
        <v>138</v>
      </c>
      <c r="W333" s="3">
        <v>7</v>
      </c>
      <c r="X333" s="3">
        <v>9</v>
      </c>
      <c r="Y333" s="3">
        <v>5</v>
      </c>
      <c r="Z333" s="3">
        <v>0</v>
      </c>
      <c r="AA333" s="3">
        <v>-1</v>
      </c>
      <c r="AB333" s="12">
        <f>(W333*4+X333*1+Y333*-2+Z333*-3)/W333</f>
        <v>3.8571428571428572</v>
      </c>
      <c r="AC333" s="3">
        <f>W333*12.0107+X333*1.00784+Y333*15.999+Z333*14.0067</f>
        <v>173.14046000000002</v>
      </c>
      <c r="AD333" s="12">
        <v>400.5</v>
      </c>
      <c r="AE333" s="3" t="s">
        <v>139</v>
      </c>
      <c r="AF333" s="3" t="s">
        <v>140</v>
      </c>
      <c r="AG333" s="2" t="str">
        <f>IF(AD333&gt;37,"Proton symporter", "Diffusion")</f>
        <v>Proton symporter</v>
      </c>
      <c r="AH333" s="3" t="s">
        <v>141</v>
      </c>
    </row>
    <row r="334" spans="1:34" hidden="1" x14ac:dyDescent="0.2">
      <c r="A334" s="8" t="s">
        <v>350</v>
      </c>
      <c r="B334" s="17" t="s">
        <v>64</v>
      </c>
      <c r="C334" t="s">
        <v>352</v>
      </c>
      <c r="D334" s="13" t="s">
        <v>51</v>
      </c>
      <c r="E334" t="s">
        <v>136</v>
      </c>
      <c r="F334" t="s">
        <v>137</v>
      </c>
      <c r="G334">
        <v>-10</v>
      </c>
      <c r="H334">
        <v>0</v>
      </c>
      <c r="I334">
        <v>0</v>
      </c>
      <c r="J334">
        <v>0.45</v>
      </c>
      <c r="K334">
        <v>-10</v>
      </c>
      <c r="L334">
        <v>0</v>
      </c>
      <c r="M334" s="26">
        <v>2.6969325153374299</v>
      </c>
      <c r="N334">
        <v>0</v>
      </c>
      <c r="O334" s="26">
        <v>0.38527607361963101</v>
      </c>
      <c r="P334"/>
      <c r="Q334" s="26">
        <v>3.8527607361963097E-2</v>
      </c>
      <c r="R334" s="26">
        <v>0.21178562264161899</v>
      </c>
      <c r="S334" s="3" t="str">
        <f>VLOOKUP($E334,'[1]Product Naming'!$A$1:$P$58,2)</f>
        <v>Shikimate</v>
      </c>
      <c r="T334" s="3" t="str">
        <f>VLOOKUP($E334,'[1]Product Naming'!$A$1:$P$58,3)</f>
        <v>Shikimate</v>
      </c>
      <c r="U334" s="3" t="str">
        <f>VLOOKUP($E334,'[1]Product Naming'!$A$1:$P$58,4)</f>
        <v>E</v>
      </c>
      <c r="V334" s="3" t="str">
        <f>VLOOKUP($E334,'[1]Product Naming'!$A$1:$P$58,5)</f>
        <v>C7H9O5</v>
      </c>
      <c r="W334" s="3">
        <f>VLOOKUP($E334,'[1]Product Naming'!$A$1:$P$58,6)</f>
        <v>7</v>
      </c>
      <c r="X334" s="3">
        <f>VLOOKUP($E334,'[1]Product Naming'!$A$1:$P$58,7)</f>
        <v>9</v>
      </c>
      <c r="Y334" s="3">
        <f>VLOOKUP($E334,'[1]Product Naming'!$A$1:$P$58,8)</f>
        <v>5</v>
      </c>
      <c r="Z334" s="3">
        <f>VLOOKUP($E334,'[1]Product Naming'!$A$1:$P$58,9)</f>
        <v>0</v>
      </c>
      <c r="AA334" s="3">
        <f>VLOOKUP($E334,'[1]Product Naming'!$A$1:$P$58,10)</f>
        <v>-1</v>
      </c>
      <c r="AB334" s="3">
        <f>VLOOKUP($E334,'[1]Product Naming'!$A$1:$P$58,11)</f>
        <v>3.8571428571428572</v>
      </c>
      <c r="AC334" s="3">
        <f>VLOOKUP($E334,'[1]Product Naming'!$A$1:$P$58,12)</f>
        <v>173.14046000000002</v>
      </c>
      <c r="AD334" s="3">
        <f>VLOOKUP($E334,'[1]Product Naming'!$A$1:$P$58,13)</f>
        <v>400.5</v>
      </c>
      <c r="AE334" s="3" t="str">
        <f>VLOOKUP($E334,'[1]Product Naming'!$A$1:$P$58,14)</f>
        <v>Aromatic + Alcohol + Carboxylate</v>
      </c>
      <c r="AF334" s="3" t="str">
        <f>VLOOKUP($E334,'[1]Product Naming'!$A$1:$P$58,15)</f>
        <v>PEP + E4P (Glyceraldehyde 3-P)</v>
      </c>
      <c r="AG334" s="3" t="str">
        <f>VLOOKUP($E334,'[1]Product Naming'!$A$1:$P$58,16)</f>
        <v>Proton symporter</v>
      </c>
      <c r="AH334" s="3" t="str">
        <f>VLOOKUP($E334,'[1]Product Naming'!$A$1:$Q$58,17)</f>
        <v>skm_c</v>
      </c>
    </row>
    <row r="335" spans="1:34" hidden="1" x14ac:dyDescent="0.2">
      <c r="A335" s="16" t="s">
        <v>63</v>
      </c>
      <c r="B335" s="17" t="s">
        <v>64</v>
      </c>
      <c r="C335" t="s">
        <v>73</v>
      </c>
      <c r="D335" s="18" t="s">
        <v>66</v>
      </c>
      <c r="E335" t="s">
        <v>136</v>
      </c>
      <c r="F335" t="s">
        <v>137</v>
      </c>
      <c r="G335">
        <v>-10</v>
      </c>
      <c r="H335">
        <v>0</v>
      </c>
      <c r="I335">
        <v>-20</v>
      </c>
      <c r="J335">
        <v>0.45</v>
      </c>
      <c r="K335">
        <v>-10</v>
      </c>
      <c r="L335">
        <v>0</v>
      </c>
      <c r="M335">
        <v>-15.835897435897399</v>
      </c>
      <c r="N335">
        <v>0</v>
      </c>
      <c r="O335">
        <v>0.59487179487179498</v>
      </c>
      <c r="P335"/>
      <c r="Q335">
        <v>5.9487179487179499E-2</v>
      </c>
      <c r="R335" s="19">
        <v>0.20921954001124601</v>
      </c>
      <c r="S335" s="1" t="s">
        <v>136</v>
      </c>
      <c r="T335" s="2" t="s">
        <v>136</v>
      </c>
      <c r="U335" s="3" t="s">
        <v>106</v>
      </c>
      <c r="V335" s="2" t="s">
        <v>138</v>
      </c>
      <c r="W335" s="3">
        <v>7</v>
      </c>
      <c r="X335" s="3">
        <v>9</v>
      </c>
      <c r="Y335" s="3">
        <v>5</v>
      </c>
      <c r="Z335" s="3">
        <v>0</v>
      </c>
      <c r="AA335" s="3">
        <v>-1</v>
      </c>
      <c r="AB335" s="12">
        <f>(W335*4+X335*1+Y335*-2+Z335*-3)/W335</f>
        <v>3.8571428571428572</v>
      </c>
      <c r="AC335" s="3">
        <f>W335*12.0107+X335*1.00784+Y335*15.999+Z335*14.0067</f>
        <v>173.14046000000002</v>
      </c>
      <c r="AD335" s="12">
        <v>400.5</v>
      </c>
      <c r="AE335" s="3" t="s">
        <v>139</v>
      </c>
      <c r="AF335" s="3" t="s">
        <v>140</v>
      </c>
      <c r="AG335" s="2" t="str">
        <f>IF(AD335&gt;37,"Proton symporter", "Diffusion")</f>
        <v>Proton symporter</v>
      </c>
      <c r="AH335" s="3" t="s">
        <v>141</v>
      </c>
    </row>
    <row r="336" spans="1:34" hidden="1" x14ac:dyDescent="0.2">
      <c r="A336" s="16" t="s">
        <v>63</v>
      </c>
      <c r="B336" s="17" t="s">
        <v>64</v>
      </c>
      <c r="C336" t="s">
        <v>65</v>
      </c>
      <c r="D336" s="18" t="s">
        <v>66</v>
      </c>
      <c r="E336" t="s">
        <v>136</v>
      </c>
      <c r="F336" t="s">
        <v>137</v>
      </c>
      <c r="G336">
        <v>-10</v>
      </c>
      <c r="H336">
        <v>0</v>
      </c>
      <c r="I336">
        <v>0</v>
      </c>
      <c r="J336">
        <v>0.45</v>
      </c>
      <c r="K336">
        <v>-10</v>
      </c>
      <c r="L336">
        <v>0</v>
      </c>
      <c r="M336">
        <v>0</v>
      </c>
      <c r="N336">
        <v>5</v>
      </c>
      <c r="O336">
        <v>0.30140845070422501</v>
      </c>
      <c r="P336"/>
      <c r="Q336">
        <v>3.0140845070422501E-2</v>
      </c>
      <c r="R336">
        <v>0.18631202357307</v>
      </c>
      <c r="S336" s="1" t="s">
        <v>136</v>
      </c>
      <c r="T336" s="2" t="s">
        <v>136</v>
      </c>
      <c r="U336" s="3" t="s">
        <v>106</v>
      </c>
      <c r="V336" s="2" t="s">
        <v>138</v>
      </c>
      <c r="W336" s="3">
        <v>7</v>
      </c>
      <c r="X336" s="3">
        <v>9</v>
      </c>
      <c r="Y336" s="3">
        <v>5</v>
      </c>
      <c r="Z336" s="3">
        <v>0</v>
      </c>
      <c r="AA336" s="3">
        <v>-1</v>
      </c>
      <c r="AB336" s="12">
        <f>(W336*4+X336*1+Y336*-2+Z336*-3)/W336</f>
        <v>3.8571428571428572</v>
      </c>
      <c r="AC336" s="3">
        <f>W336*12.0107+X336*1.00784+Y336*15.999+Z336*14.0067</f>
        <v>173.14046000000002</v>
      </c>
      <c r="AD336" s="12">
        <v>400.5</v>
      </c>
      <c r="AE336" s="3" t="s">
        <v>139</v>
      </c>
      <c r="AF336" s="3" t="s">
        <v>140</v>
      </c>
      <c r="AG336" s="2" t="str">
        <f>IF(AD336&gt;37,"Proton symporter", "Diffusion")</f>
        <v>Proton symporter</v>
      </c>
      <c r="AH336" s="3" t="s">
        <v>141</v>
      </c>
    </row>
    <row r="337" spans="1:34" hidden="1" x14ac:dyDescent="0.2">
      <c r="A337" s="16" t="s">
        <v>63</v>
      </c>
      <c r="B337" s="17" t="s">
        <v>64</v>
      </c>
      <c r="C337" t="s">
        <v>72</v>
      </c>
      <c r="D337" s="18" t="s">
        <v>66</v>
      </c>
      <c r="E337" t="s">
        <v>136</v>
      </c>
      <c r="F337" t="s">
        <v>137</v>
      </c>
      <c r="G337">
        <v>-10</v>
      </c>
      <c r="H337">
        <v>0</v>
      </c>
      <c r="I337">
        <v>-10</v>
      </c>
      <c r="J337">
        <v>0.45</v>
      </c>
      <c r="K337">
        <v>-10</v>
      </c>
      <c r="L337">
        <v>0</v>
      </c>
      <c r="M337">
        <v>-10</v>
      </c>
      <c r="N337">
        <v>0</v>
      </c>
      <c r="O337">
        <v>0.51267605633802804</v>
      </c>
      <c r="P337"/>
      <c r="Q337">
        <v>5.1267605633802803E-2</v>
      </c>
      <c r="R337">
        <v>0.184736123142237</v>
      </c>
      <c r="S337" s="1" t="s">
        <v>136</v>
      </c>
      <c r="T337" s="2" t="s">
        <v>136</v>
      </c>
      <c r="U337" s="3" t="s">
        <v>106</v>
      </c>
      <c r="V337" s="2" t="s">
        <v>138</v>
      </c>
      <c r="W337" s="3">
        <v>7</v>
      </c>
      <c r="X337" s="3">
        <v>9</v>
      </c>
      <c r="Y337" s="3">
        <v>5</v>
      </c>
      <c r="Z337" s="3">
        <v>0</v>
      </c>
      <c r="AA337" s="3">
        <v>-1</v>
      </c>
      <c r="AB337" s="12">
        <f>(W337*4+X337*1+Y337*-2+Z337*-3)/W337</f>
        <v>3.8571428571428572</v>
      </c>
      <c r="AC337" s="3">
        <f>W337*12.0107+X337*1.00784+Y337*15.999+Z337*14.0067</f>
        <v>173.14046000000002</v>
      </c>
      <c r="AD337" s="12">
        <v>400.5</v>
      </c>
      <c r="AE337" s="3" t="s">
        <v>139</v>
      </c>
      <c r="AF337" s="3" t="s">
        <v>140</v>
      </c>
      <c r="AG337" s="2" t="str">
        <f>IF(AD337&gt;37,"Proton symporter", "Diffusion")</f>
        <v>Proton symporter</v>
      </c>
      <c r="AH337" s="3" t="s">
        <v>141</v>
      </c>
    </row>
    <row r="338" spans="1:34" hidden="1" x14ac:dyDescent="0.2">
      <c r="A338" s="16" t="s">
        <v>63</v>
      </c>
      <c r="B338" s="17" t="s">
        <v>64</v>
      </c>
      <c r="C338" t="s">
        <v>71</v>
      </c>
      <c r="D338" s="18" t="s">
        <v>66</v>
      </c>
      <c r="E338" t="s">
        <v>136</v>
      </c>
      <c r="F338" t="s">
        <v>137</v>
      </c>
      <c r="G338">
        <v>-10</v>
      </c>
      <c r="H338">
        <v>0</v>
      </c>
      <c r="I338">
        <v>-5</v>
      </c>
      <c r="J338">
        <v>0.45</v>
      </c>
      <c r="K338">
        <v>-10</v>
      </c>
      <c r="L338">
        <v>0</v>
      </c>
      <c r="M338">
        <v>-5</v>
      </c>
      <c r="N338">
        <v>2.5</v>
      </c>
      <c r="O338">
        <v>0.407042253521127</v>
      </c>
      <c r="P338"/>
      <c r="Q338">
        <v>4.0704225352112697E-2</v>
      </c>
      <c r="R338">
        <v>0.14982160352997201</v>
      </c>
      <c r="S338" s="1" t="s">
        <v>136</v>
      </c>
      <c r="T338" s="2" t="s">
        <v>136</v>
      </c>
      <c r="U338" s="3" t="s">
        <v>106</v>
      </c>
      <c r="V338" s="2" t="s">
        <v>138</v>
      </c>
      <c r="W338" s="3">
        <v>7</v>
      </c>
      <c r="X338" s="3">
        <v>9</v>
      </c>
      <c r="Y338" s="3">
        <v>5</v>
      </c>
      <c r="Z338" s="3">
        <v>0</v>
      </c>
      <c r="AA338" s="3">
        <v>-1</v>
      </c>
      <c r="AB338" s="12">
        <f>(W338*4+X338*1+Y338*-2+Z338*-3)/W338</f>
        <v>3.8571428571428572</v>
      </c>
      <c r="AC338" s="3">
        <f>W338*12.0107+X338*1.00784+Y338*15.999+Z338*14.0067</f>
        <v>173.14046000000002</v>
      </c>
      <c r="AD338" s="12">
        <v>400.5</v>
      </c>
      <c r="AE338" s="3" t="s">
        <v>139</v>
      </c>
      <c r="AF338" s="3" t="s">
        <v>140</v>
      </c>
      <c r="AG338" s="2" t="str">
        <f>IF(AD338&gt;37,"Proton symporter", "Diffusion")</f>
        <v>Proton symporter</v>
      </c>
      <c r="AH338" s="3" t="s">
        <v>141</v>
      </c>
    </row>
    <row r="339" spans="1:34" hidden="1" x14ac:dyDescent="0.2">
      <c r="A339" s="8" t="s">
        <v>368</v>
      </c>
      <c r="B339" s="17" t="s">
        <v>64</v>
      </c>
      <c r="C339" t="s">
        <v>369</v>
      </c>
      <c r="D339" s="18" t="s">
        <v>66</v>
      </c>
      <c r="E339" t="s">
        <v>136</v>
      </c>
      <c r="F339" t="s">
        <v>137</v>
      </c>
      <c r="G339">
        <v>-10</v>
      </c>
      <c r="H339">
        <v>0</v>
      </c>
      <c r="I339">
        <v>-20</v>
      </c>
      <c r="J339">
        <v>0.45</v>
      </c>
      <c r="K339">
        <v>-9.9999999999999893</v>
      </c>
      <c r="L339">
        <v>0</v>
      </c>
      <c r="M339">
        <v>-20</v>
      </c>
      <c r="N339">
        <v>-9.9999999999999893</v>
      </c>
      <c r="O339">
        <v>0.37183098591549002</v>
      </c>
      <c r="P339"/>
      <c r="Q339">
        <v>3.7183098591549002E-2</v>
      </c>
      <c r="R339">
        <v>0.13400563661725401</v>
      </c>
      <c r="S339" s="1" t="str">
        <f>VLOOKUP($E339,'[1]Product Naming'!$A$1:$P$58,2)</f>
        <v>Shikimate</v>
      </c>
      <c r="T339" s="1" t="str">
        <f>VLOOKUP($E339,'[1]Product Naming'!$A$1:$P$58,3)</f>
        <v>Shikimate</v>
      </c>
      <c r="U339" s="1" t="str">
        <f>VLOOKUP($E339,'[1]Product Naming'!$A$1:$P$58,4)</f>
        <v>E</v>
      </c>
      <c r="V339" s="1" t="str">
        <f>VLOOKUP($E339,'[1]Product Naming'!$A$1:$P$58,5)</f>
        <v>C7H9O5</v>
      </c>
      <c r="W339" s="1">
        <f>VLOOKUP($E339,'[1]Product Naming'!$A$1:$P$58,6)</f>
        <v>7</v>
      </c>
      <c r="X339" s="1">
        <f>VLOOKUP($E339,'[1]Product Naming'!$A$1:$P$58,7)</f>
        <v>9</v>
      </c>
      <c r="Y339" s="1">
        <f>VLOOKUP($E339,'[1]Product Naming'!$A$1:$P$58,8)</f>
        <v>5</v>
      </c>
      <c r="Z339" s="1">
        <f>VLOOKUP($E339,'[1]Product Naming'!$A$1:$P$58,9)</f>
        <v>0</v>
      </c>
      <c r="AA339" s="1">
        <f>VLOOKUP($E339,'[1]Product Naming'!$A$1:$P$58,10)</f>
        <v>-1</v>
      </c>
      <c r="AB339" s="27">
        <f>VLOOKUP($E339,'[1]Product Naming'!$A$1:$P$58,11)</f>
        <v>3.8571428571428572</v>
      </c>
      <c r="AC339" s="3">
        <f>VLOOKUP($E339,'[1]Product Naming'!$A$1:$P$58,12)</f>
        <v>173.14046000000002</v>
      </c>
      <c r="AD339" s="1">
        <f>VLOOKUP($E339,'[1]Product Naming'!$A$1:$P$58,13)</f>
        <v>400.5</v>
      </c>
      <c r="AE339" s="1" t="str">
        <f>VLOOKUP($E339,'[1]Product Naming'!$A$1:$P$58,14)</f>
        <v>Aromatic + Alcohol + Carboxylate</v>
      </c>
      <c r="AF339" s="1" t="str">
        <f>VLOOKUP($E339,'[1]Product Naming'!$A$1:$P$58,15)</f>
        <v>PEP + E4P (Glyceraldehyde 3-P)</v>
      </c>
      <c r="AG339" s="28" t="str">
        <f>VLOOKUP($E339,'[1]Product Naming'!$A$1:$P$58,16)</f>
        <v>Proton symporter</v>
      </c>
      <c r="AH339" s="3" t="str">
        <f>VLOOKUP($E339,'[1]Product Naming'!$A$1:$Q$58,17)</f>
        <v>skm_c</v>
      </c>
    </row>
    <row r="340" spans="1:34" hidden="1" x14ac:dyDescent="0.2">
      <c r="A340" s="8" t="s">
        <v>34</v>
      </c>
      <c r="B340" s="9" t="s">
        <v>35</v>
      </c>
      <c r="C340" s="1" t="s">
        <v>50</v>
      </c>
      <c r="D340" s="13" t="s">
        <v>51</v>
      </c>
      <c r="E340" s="1" t="s">
        <v>136</v>
      </c>
      <c r="F340" s="1" t="s">
        <v>137</v>
      </c>
      <c r="G340" s="1">
        <v>-10</v>
      </c>
      <c r="H340" s="1">
        <v>-20</v>
      </c>
      <c r="I340" s="1" t="s">
        <v>40</v>
      </c>
      <c r="J340" s="1">
        <v>3.15</v>
      </c>
      <c r="K340" s="1">
        <v>-10</v>
      </c>
      <c r="L340" s="1">
        <v>-2.5781021897810201</v>
      </c>
      <c r="M340" s="1" t="s">
        <v>40</v>
      </c>
      <c r="N340" s="1">
        <v>7.5781021897810197</v>
      </c>
      <c r="O340" s="1">
        <v>0.34598540145985301</v>
      </c>
      <c r="Q340" s="1">
        <v>3.4598540145985401E-2</v>
      </c>
      <c r="R340" s="1">
        <v>0.13014249865748101</v>
      </c>
      <c r="S340" s="1" t="s">
        <v>136</v>
      </c>
      <c r="T340" s="2" t="s">
        <v>136</v>
      </c>
      <c r="U340" s="3" t="s">
        <v>106</v>
      </c>
      <c r="V340" s="2" t="s">
        <v>138</v>
      </c>
      <c r="W340" s="3">
        <v>7</v>
      </c>
      <c r="X340" s="3">
        <v>9</v>
      </c>
      <c r="Y340" s="3">
        <v>5</v>
      </c>
      <c r="Z340" s="3">
        <v>0</v>
      </c>
      <c r="AA340" s="3">
        <v>-1</v>
      </c>
      <c r="AB340" s="12">
        <f>(W340*4+X340*1+Y340*-2+Z340*-3)/W340</f>
        <v>3.8571428571428572</v>
      </c>
      <c r="AC340" s="3">
        <f>W340*12.0107+X340*1.00784+Y340*15.999+Z340*14.0067</f>
        <v>173.14046000000002</v>
      </c>
      <c r="AD340" s="12">
        <v>400.5</v>
      </c>
      <c r="AE340" s="3" t="s">
        <v>139</v>
      </c>
      <c r="AF340" s="3" t="s">
        <v>140</v>
      </c>
      <c r="AG340" s="2" t="str">
        <f>IF(AD340&gt;37,"Proton symporter", "Diffusion")</f>
        <v>Proton symporter</v>
      </c>
      <c r="AH340" s="3" t="s">
        <v>141</v>
      </c>
    </row>
    <row r="341" spans="1:34" hidden="1" x14ac:dyDescent="0.2">
      <c r="A341" s="16" t="s">
        <v>63</v>
      </c>
      <c r="B341" s="17" t="s">
        <v>64</v>
      </c>
      <c r="C341" t="s">
        <v>70</v>
      </c>
      <c r="D341" s="18" t="s">
        <v>66</v>
      </c>
      <c r="E341" t="s">
        <v>136</v>
      </c>
      <c r="F341" t="s">
        <v>137</v>
      </c>
      <c r="G341">
        <v>-10</v>
      </c>
      <c r="H341">
        <v>0</v>
      </c>
      <c r="I341">
        <v>0</v>
      </c>
      <c r="J341">
        <v>0.45</v>
      </c>
      <c r="K341">
        <v>-10</v>
      </c>
      <c r="L341">
        <v>0</v>
      </c>
      <c r="M341">
        <v>0</v>
      </c>
      <c r="N341">
        <v>5</v>
      </c>
      <c r="O341">
        <v>0.30140845070422601</v>
      </c>
      <c r="P341"/>
      <c r="Q341">
        <v>3.0140845070422601E-2</v>
      </c>
      <c r="R341">
        <v>0.11337486704819701</v>
      </c>
      <c r="S341" s="1" t="s">
        <v>136</v>
      </c>
      <c r="T341" s="2" t="s">
        <v>136</v>
      </c>
      <c r="U341" s="3" t="s">
        <v>106</v>
      </c>
      <c r="V341" s="2" t="s">
        <v>138</v>
      </c>
      <c r="W341" s="3">
        <v>7</v>
      </c>
      <c r="X341" s="3">
        <v>9</v>
      </c>
      <c r="Y341" s="3">
        <v>5</v>
      </c>
      <c r="Z341" s="3">
        <v>0</v>
      </c>
      <c r="AA341" s="3">
        <v>-1</v>
      </c>
      <c r="AB341" s="12">
        <f>(W341*4+X341*1+Y341*-2+Z341*-3)/W341</f>
        <v>3.8571428571428572</v>
      </c>
      <c r="AC341" s="3">
        <f>W341*12.0107+X341*1.00784+Y341*15.999+Z341*14.0067</f>
        <v>173.14046000000002</v>
      </c>
      <c r="AD341" s="12">
        <v>400.5</v>
      </c>
      <c r="AE341" s="3" t="s">
        <v>139</v>
      </c>
      <c r="AF341" s="3" t="s">
        <v>140</v>
      </c>
      <c r="AG341" s="2" t="str">
        <f>IF(AD341&gt;37,"Proton symporter", "Diffusion")</f>
        <v>Proton symporter</v>
      </c>
      <c r="AH341" s="3" t="s">
        <v>141</v>
      </c>
    </row>
    <row r="342" spans="1:34" hidden="1" x14ac:dyDescent="0.2">
      <c r="A342" s="8" t="s">
        <v>350</v>
      </c>
      <c r="B342" s="17" t="s">
        <v>64</v>
      </c>
      <c r="C342" t="s">
        <v>351</v>
      </c>
      <c r="D342" s="13" t="s">
        <v>51</v>
      </c>
      <c r="E342" t="s">
        <v>136</v>
      </c>
      <c r="F342" t="s">
        <v>137</v>
      </c>
      <c r="G342">
        <v>-10</v>
      </c>
      <c r="H342">
        <v>0</v>
      </c>
      <c r="I342">
        <v>0</v>
      </c>
      <c r="J342">
        <v>0.45</v>
      </c>
      <c r="K342">
        <v>-10</v>
      </c>
      <c r="L342">
        <v>0</v>
      </c>
      <c r="M342" s="26">
        <v>1.3505882352941101</v>
      </c>
      <c r="N342">
        <v>0</v>
      </c>
      <c r="O342" s="26">
        <v>0.19294117647058801</v>
      </c>
      <c r="P342"/>
      <c r="Q342" s="26">
        <v>1.9294117647058798E-2</v>
      </c>
      <c r="R342" s="26">
        <v>0.105153306367262</v>
      </c>
      <c r="S342" s="3" t="str">
        <f>VLOOKUP($E342,'[1]Product Naming'!$A$1:$P$58,2)</f>
        <v>Shikimate</v>
      </c>
      <c r="T342" s="3" t="str">
        <f>VLOOKUP($E342,'[1]Product Naming'!$A$1:$P$58,3)</f>
        <v>Shikimate</v>
      </c>
      <c r="U342" s="3" t="str">
        <f>VLOOKUP($E342,'[1]Product Naming'!$A$1:$P$58,4)</f>
        <v>E</v>
      </c>
      <c r="V342" s="3" t="str">
        <f>VLOOKUP($E342,'[1]Product Naming'!$A$1:$P$58,5)</f>
        <v>C7H9O5</v>
      </c>
      <c r="W342" s="3">
        <f>VLOOKUP($E342,'[1]Product Naming'!$A$1:$P$58,6)</f>
        <v>7</v>
      </c>
      <c r="X342" s="3">
        <f>VLOOKUP($E342,'[1]Product Naming'!$A$1:$P$58,7)</f>
        <v>9</v>
      </c>
      <c r="Y342" s="3">
        <f>VLOOKUP($E342,'[1]Product Naming'!$A$1:$P$58,8)</f>
        <v>5</v>
      </c>
      <c r="Z342" s="3">
        <f>VLOOKUP($E342,'[1]Product Naming'!$A$1:$P$58,9)</f>
        <v>0</v>
      </c>
      <c r="AA342" s="3">
        <f>VLOOKUP($E342,'[1]Product Naming'!$A$1:$P$58,10)</f>
        <v>-1</v>
      </c>
      <c r="AB342" s="3">
        <f>VLOOKUP($E342,'[1]Product Naming'!$A$1:$P$58,11)</f>
        <v>3.8571428571428572</v>
      </c>
      <c r="AC342" s="3">
        <f>VLOOKUP($E342,'[1]Product Naming'!$A$1:$P$58,12)</f>
        <v>173.14046000000002</v>
      </c>
      <c r="AD342" s="3">
        <f>VLOOKUP($E342,'[1]Product Naming'!$A$1:$P$58,13)</f>
        <v>400.5</v>
      </c>
      <c r="AE342" s="3" t="str">
        <f>VLOOKUP($E342,'[1]Product Naming'!$A$1:$P$58,14)</f>
        <v>Aromatic + Alcohol + Carboxylate</v>
      </c>
      <c r="AF342" s="3" t="str">
        <f>VLOOKUP($E342,'[1]Product Naming'!$A$1:$P$58,15)</f>
        <v>PEP + E4P (Glyceraldehyde 3-P)</v>
      </c>
      <c r="AG342" s="3" t="str">
        <f>VLOOKUP($E342,'[1]Product Naming'!$A$1:$P$58,16)</f>
        <v>Proton symporter</v>
      </c>
      <c r="AH342" s="3" t="str">
        <f>VLOOKUP($E342,'[1]Product Naming'!$A$1:$Q$58,17)</f>
        <v>skm_c</v>
      </c>
    </row>
    <row r="343" spans="1:34" hidden="1" x14ac:dyDescent="0.2">
      <c r="A343" s="8" t="s">
        <v>34</v>
      </c>
      <c r="B343" s="9" t="s">
        <v>35</v>
      </c>
      <c r="C343" s="1" t="s">
        <v>52</v>
      </c>
      <c r="D343" s="13" t="s">
        <v>51</v>
      </c>
      <c r="E343" s="1" t="s">
        <v>136</v>
      </c>
      <c r="F343" s="1" t="s">
        <v>137</v>
      </c>
      <c r="G343" s="1">
        <v>-10</v>
      </c>
      <c r="H343" s="1">
        <v>-20</v>
      </c>
      <c r="I343" s="1" t="s">
        <v>40</v>
      </c>
      <c r="J343" s="1">
        <v>3.15</v>
      </c>
      <c r="K343" s="1">
        <v>-10</v>
      </c>
      <c r="L343" s="1">
        <v>-3.2896907216494902</v>
      </c>
      <c r="M343" s="1" t="s">
        <v>40</v>
      </c>
      <c r="N343" s="1">
        <v>8.2896907216494906</v>
      </c>
      <c r="O343" s="1">
        <v>0.24432989690721801</v>
      </c>
      <c r="Q343" s="1">
        <v>2.4432989690721801E-2</v>
      </c>
      <c r="R343" s="1">
        <v>9.1904754206572001E-2</v>
      </c>
      <c r="S343" s="1" t="s">
        <v>136</v>
      </c>
      <c r="T343" s="2" t="s">
        <v>136</v>
      </c>
      <c r="U343" s="3" t="s">
        <v>106</v>
      </c>
      <c r="V343" s="2" t="s">
        <v>138</v>
      </c>
      <c r="W343" s="3">
        <v>7</v>
      </c>
      <c r="X343" s="3">
        <v>9</v>
      </c>
      <c r="Y343" s="3">
        <v>5</v>
      </c>
      <c r="Z343" s="3">
        <v>0</v>
      </c>
      <c r="AA343" s="3">
        <v>-1</v>
      </c>
      <c r="AB343" s="12">
        <f>(W343*4+X343*1+Y343*-2+Z343*-3)/W343</f>
        <v>3.8571428571428572</v>
      </c>
      <c r="AC343" s="3">
        <f>W343*12.0107+X343*1.00784+Y343*15.999+Z343*14.0067</f>
        <v>173.14046000000002</v>
      </c>
      <c r="AD343" s="12">
        <v>400.5</v>
      </c>
      <c r="AE343" s="3" t="s">
        <v>139</v>
      </c>
      <c r="AF343" s="3" t="s">
        <v>140</v>
      </c>
      <c r="AG343" s="2" t="str">
        <f>IF(AD343&gt;37,"Proton symporter", "Diffusion")</f>
        <v>Proton symporter</v>
      </c>
      <c r="AH343" s="3" t="s">
        <v>141</v>
      </c>
    </row>
    <row r="344" spans="1:34" hidden="1" x14ac:dyDescent="0.2">
      <c r="A344" s="8" t="s">
        <v>34</v>
      </c>
      <c r="B344" s="9" t="s">
        <v>35</v>
      </c>
      <c r="C344" s="1" t="s">
        <v>53</v>
      </c>
      <c r="D344" s="13" t="s">
        <v>51</v>
      </c>
      <c r="E344" s="1" t="s">
        <v>136</v>
      </c>
      <c r="F344" s="1" t="s">
        <v>137</v>
      </c>
      <c r="G344" s="1">
        <v>-10</v>
      </c>
      <c r="H344" s="1">
        <v>-20</v>
      </c>
      <c r="I344" s="1" t="s">
        <v>40</v>
      </c>
      <c r="J344" s="1">
        <v>3.15</v>
      </c>
      <c r="K344" s="1">
        <v>-10</v>
      </c>
      <c r="L344" s="1">
        <v>-4.1696696696696698</v>
      </c>
      <c r="M344" s="1" t="s">
        <v>40</v>
      </c>
      <c r="N344" s="1">
        <v>9.1696696696696698</v>
      </c>
      <c r="O344" s="1">
        <v>0.118618618618618</v>
      </c>
      <c r="Q344" s="1">
        <v>1.18618618618618E-2</v>
      </c>
      <c r="R344" s="1">
        <v>4.46184242144015E-2</v>
      </c>
      <c r="S344" s="1" t="s">
        <v>136</v>
      </c>
      <c r="T344" s="2" t="s">
        <v>136</v>
      </c>
      <c r="U344" s="3" t="s">
        <v>106</v>
      </c>
      <c r="V344" s="2" t="s">
        <v>138</v>
      </c>
      <c r="W344" s="3">
        <v>7</v>
      </c>
      <c r="X344" s="3">
        <v>9</v>
      </c>
      <c r="Y344" s="3">
        <v>5</v>
      </c>
      <c r="Z344" s="3">
        <v>0</v>
      </c>
      <c r="AA344" s="3">
        <v>-1</v>
      </c>
      <c r="AB344" s="12">
        <f>(W344*4+X344*1+Y344*-2+Z344*-3)/W344</f>
        <v>3.8571428571428572</v>
      </c>
      <c r="AC344" s="3">
        <f>W344*12.0107+X344*1.00784+Y344*15.999+Z344*14.0067</f>
        <v>173.14046000000002</v>
      </c>
      <c r="AD344" s="12">
        <v>400.5</v>
      </c>
      <c r="AE344" s="3" t="s">
        <v>139</v>
      </c>
      <c r="AF344" s="3" t="s">
        <v>140</v>
      </c>
      <c r="AG344" s="2" t="str">
        <f>IF(AD344&gt;37,"Proton symporter", "Diffusion")</f>
        <v>Proton symporter</v>
      </c>
      <c r="AH344" s="3" t="s">
        <v>141</v>
      </c>
    </row>
    <row r="345" spans="1:34" hidden="1" x14ac:dyDescent="0.2">
      <c r="A345" s="8" t="s">
        <v>34</v>
      </c>
      <c r="B345" s="9" t="s">
        <v>35</v>
      </c>
      <c r="C345" s="1" t="s">
        <v>49</v>
      </c>
      <c r="D345" s="10" t="s">
        <v>37</v>
      </c>
      <c r="E345" s="1" t="s">
        <v>142</v>
      </c>
      <c r="F345" s="1" t="s">
        <v>143</v>
      </c>
      <c r="G345" s="1">
        <v>-10</v>
      </c>
      <c r="H345" s="1">
        <v>-20</v>
      </c>
      <c r="I345" s="1" t="s">
        <v>40</v>
      </c>
      <c r="J345" s="1">
        <v>3.15</v>
      </c>
      <c r="K345" s="1">
        <v>-10</v>
      </c>
      <c r="L345" s="1">
        <v>-9.9310588235294102</v>
      </c>
      <c r="M345" s="1" t="s">
        <v>40</v>
      </c>
      <c r="N345" s="1">
        <v>1.47482352941176</v>
      </c>
      <c r="O345" s="1">
        <v>3.0875294117647099</v>
      </c>
      <c r="Q345" s="1">
        <v>0.30875294117647101</v>
      </c>
      <c r="R345" s="1">
        <v>0.96593983605212697</v>
      </c>
      <c r="S345" s="20" t="s">
        <v>142</v>
      </c>
      <c r="T345" s="3" t="s">
        <v>142</v>
      </c>
      <c r="U345" s="3" t="s">
        <v>106</v>
      </c>
      <c r="V345" s="3" t="s">
        <v>144</v>
      </c>
      <c r="W345" s="3">
        <v>6</v>
      </c>
      <c r="X345" s="3">
        <v>8</v>
      </c>
      <c r="Y345" s="3">
        <v>4</v>
      </c>
      <c r="Z345" s="3">
        <v>0</v>
      </c>
      <c r="AA345" s="3">
        <v>-2</v>
      </c>
      <c r="AB345" s="12">
        <f>(W345*4+X345*1+Y345*-2+Z345*-3)/W345</f>
        <v>4</v>
      </c>
      <c r="AC345" s="3">
        <f>W345*12.0107+X345*1.00784+Y345*15.999+Z345*14.0067</f>
        <v>144.12291999999999</v>
      </c>
      <c r="AD345" s="12">
        <v>337.5</v>
      </c>
      <c r="AE345" s="2" t="s">
        <v>43</v>
      </c>
      <c r="AF345" s="2" t="s">
        <v>98</v>
      </c>
      <c r="AG345" s="2" t="str">
        <f>IF(AD345&gt;37,"Proton symporter", "Diffusion")</f>
        <v>Proton symporter</v>
      </c>
      <c r="AH345" s="3" t="s">
        <v>145</v>
      </c>
    </row>
    <row r="346" spans="1:34" hidden="1" x14ac:dyDescent="0.2">
      <c r="A346" s="8" t="s">
        <v>34</v>
      </c>
      <c r="B346" s="9" t="s">
        <v>35</v>
      </c>
      <c r="C346" s="1" t="s">
        <v>36</v>
      </c>
      <c r="D346" s="10" t="s">
        <v>37</v>
      </c>
      <c r="E346" s="1" t="s">
        <v>142</v>
      </c>
      <c r="F346" s="1" t="s">
        <v>143</v>
      </c>
      <c r="G346" s="1">
        <v>-10</v>
      </c>
      <c r="H346" s="1">
        <v>-20</v>
      </c>
      <c r="I346" s="1" t="s">
        <v>40</v>
      </c>
      <c r="J346" s="1">
        <v>3.15</v>
      </c>
      <c r="K346" s="1">
        <v>-10</v>
      </c>
      <c r="L346" s="1">
        <v>-8.1428235294117695</v>
      </c>
      <c r="M346" s="1" t="s">
        <v>40</v>
      </c>
      <c r="N346" s="1">
        <v>4.4395294117647204</v>
      </c>
      <c r="O346" s="1">
        <v>2.5934117647058801</v>
      </c>
      <c r="Q346" s="1">
        <v>0.25934117647058802</v>
      </c>
      <c r="R346" s="1">
        <v>0.848479325892462</v>
      </c>
      <c r="S346" s="20" t="s">
        <v>142</v>
      </c>
      <c r="T346" s="3" t="s">
        <v>142</v>
      </c>
      <c r="U346" s="3" t="s">
        <v>106</v>
      </c>
      <c r="V346" s="3" t="s">
        <v>144</v>
      </c>
      <c r="W346" s="3">
        <v>6</v>
      </c>
      <c r="X346" s="3">
        <v>8</v>
      </c>
      <c r="Y346" s="3">
        <v>4</v>
      </c>
      <c r="Z346" s="3">
        <v>0</v>
      </c>
      <c r="AA346" s="3">
        <v>-2</v>
      </c>
      <c r="AB346" s="12">
        <f>(W346*4+X346*1+Y346*-2+Z346*-3)/W346</f>
        <v>4</v>
      </c>
      <c r="AC346" s="3">
        <f>W346*12.0107+X346*1.00784+Y346*15.999+Z346*14.0067</f>
        <v>144.12291999999999</v>
      </c>
      <c r="AD346" s="12">
        <v>337.5</v>
      </c>
      <c r="AE346" s="2" t="s">
        <v>43</v>
      </c>
      <c r="AF346" s="2" t="s">
        <v>98</v>
      </c>
      <c r="AG346" s="2" t="str">
        <f>IF(AD346&gt;37,"Proton symporter", "Diffusion")</f>
        <v>Proton symporter</v>
      </c>
      <c r="AH346" s="3" t="s">
        <v>145</v>
      </c>
    </row>
    <row r="347" spans="1:34" hidden="1" x14ac:dyDescent="0.2">
      <c r="A347" s="8" t="s">
        <v>34</v>
      </c>
      <c r="B347" s="9" t="s">
        <v>35</v>
      </c>
      <c r="C347" s="1" t="s">
        <v>60</v>
      </c>
      <c r="D347" s="13" t="s">
        <v>51</v>
      </c>
      <c r="E347" s="1" t="s">
        <v>142</v>
      </c>
      <c r="F347" s="1" t="s">
        <v>143</v>
      </c>
      <c r="G347" s="1">
        <v>-10</v>
      </c>
      <c r="H347" s="1">
        <v>-20</v>
      </c>
      <c r="I347" s="1" t="s">
        <v>40</v>
      </c>
      <c r="J347" s="1">
        <v>3.15</v>
      </c>
      <c r="K347" s="1">
        <v>-10</v>
      </c>
      <c r="L347" s="1">
        <v>-4.4273770491803299</v>
      </c>
      <c r="M347" s="1" t="s">
        <v>40</v>
      </c>
      <c r="N347" s="1">
        <v>0.24065573770491999</v>
      </c>
      <c r="O347" s="1">
        <v>1.6265573770491799</v>
      </c>
      <c r="Q347" s="1">
        <v>0.16265573770491801</v>
      </c>
      <c r="R347" s="1">
        <v>0.73163683950490099</v>
      </c>
      <c r="S347" s="20" t="s">
        <v>142</v>
      </c>
      <c r="T347" s="3" t="s">
        <v>142</v>
      </c>
      <c r="U347" s="3" t="s">
        <v>106</v>
      </c>
      <c r="V347" s="3" t="s">
        <v>144</v>
      </c>
      <c r="W347" s="3">
        <v>6</v>
      </c>
      <c r="X347" s="3">
        <v>8</v>
      </c>
      <c r="Y347" s="3">
        <v>4</v>
      </c>
      <c r="Z347" s="3">
        <v>0</v>
      </c>
      <c r="AA347" s="3">
        <v>-2</v>
      </c>
      <c r="AB347" s="12">
        <f>(W347*4+X347*1+Y347*-2+Z347*-3)/W347</f>
        <v>4</v>
      </c>
      <c r="AC347" s="3">
        <f>W347*12.0107+X347*1.00784+Y347*15.999+Z347*14.0067</f>
        <v>144.12291999999999</v>
      </c>
      <c r="AD347" s="12">
        <v>337.5</v>
      </c>
      <c r="AE347" s="2" t="s">
        <v>43</v>
      </c>
      <c r="AF347" s="2" t="s">
        <v>98</v>
      </c>
      <c r="AG347" s="2" t="str">
        <f>IF(AD347&gt;37,"Proton symporter", "Diffusion")</f>
        <v>Proton symporter</v>
      </c>
      <c r="AH347" s="3" t="s">
        <v>145</v>
      </c>
    </row>
    <row r="348" spans="1:34" hidden="1" x14ac:dyDescent="0.2">
      <c r="A348" s="8" t="s">
        <v>34</v>
      </c>
      <c r="B348" s="9" t="s">
        <v>35</v>
      </c>
      <c r="C348" s="1" t="s">
        <v>59</v>
      </c>
      <c r="D348" s="13" t="s">
        <v>51</v>
      </c>
      <c r="E348" s="1" t="s">
        <v>142</v>
      </c>
      <c r="F348" s="1" t="s">
        <v>143</v>
      </c>
      <c r="G348" s="1">
        <v>-10</v>
      </c>
      <c r="H348" s="1">
        <v>-20</v>
      </c>
      <c r="I348" s="1" t="s">
        <v>40</v>
      </c>
      <c r="J348" s="1">
        <v>3.15</v>
      </c>
      <c r="K348" s="1">
        <v>-10</v>
      </c>
      <c r="L348" s="1">
        <v>-4.4273770491803299</v>
      </c>
      <c r="M348" s="1" t="s">
        <v>40</v>
      </c>
      <c r="N348" s="1">
        <v>0.24065573770491699</v>
      </c>
      <c r="O348" s="1">
        <v>1.6265573770491799</v>
      </c>
      <c r="Q348" s="1">
        <v>0.16265573770491801</v>
      </c>
      <c r="R348" s="1">
        <v>0.73163683950489999</v>
      </c>
      <c r="S348" s="20" t="s">
        <v>142</v>
      </c>
      <c r="T348" s="3" t="s">
        <v>142</v>
      </c>
      <c r="U348" s="3" t="s">
        <v>106</v>
      </c>
      <c r="V348" s="3" t="s">
        <v>144</v>
      </c>
      <c r="W348" s="3">
        <v>6</v>
      </c>
      <c r="X348" s="3">
        <v>8</v>
      </c>
      <c r="Y348" s="3">
        <v>4</v>
      </c>
      <c r="Z348" s="3">
        <v>0</v>
      </c>
      <c r="AA348" s="3">
        <v>-2</v>
      </c>
      <c r="AB348" s="12">
        <f>(W348*4+X348*1+Y348*-2+Z348*-3)/W348</f>
        <v>4</v>
      </c>
      <c r="AC348" s="3">
        <f>W348*12.0107+X348*1.00784+Y348*15.999+Z348*14.0067</f>
        <v>144.12291999999999</v>
      </c>
      <c r="AD348" s="12">
        <v>337.5</v>
      </c>
      <c r="AE348" s="2" t="s">
        <v>43</v>
      </c>
      <c r="AF348" s="2" t="s">
        <v>98</v>
      </c>
      <c r="AG348" s="2" t="str">
        <f>IF(AD348&gt;37,"Proton symporter", "Diffusion")</f>
        <v>Proton symporter</v>
      </c>
      <c r="AH348" s="3" t="s">
        <v>145</v>
      </c>
    </row>
    <row r="349" spans="1:34" hidden="1" x14ac:dyDescent="0.2">
      <c r="A349" s="8" t="s">
        <v>34</v>
      </c>
      <c r="B349" s="9" t="s">
        <v>35</v>
      </c>
      <c r="C349" s="1" t="s">
        <v>56</v>
      </c>
      <c r="D349" s="14" t="s">
        <v>55</v>
      </c>
      <c r="E349" s="1" t="s">
        <v>142</v>
      </c>
      <c r="F349" s="1" t="s">
        <v>143</v>
      </c>
      <c r="G349" s="1">
        <v>-10</v>
      </c>
      <c r="H349" s="1">
        <v>-20</v>
      </c>
      <c r="I349" s="1" t="s">
        <v>40</v>
      </c>
      <c r="J349" s="1">
        <v>3.15</v>
      </c>
      <c r="K349" s="1">
        <v>-10</v>
      </c>
      <c r="L349" s="1">
        <v>-6.9214828897338503</v>
      </c>
      <c r="M349" s="1" t="s">
        <v>40</v>
      </c>
      <c r="N349" s="1">
        <v>4.0813688212927897</v>
      </c>
      <c r="O349" s="1">
        <v>4.3197718631178699</v>
      </c>
      <c r="Q349" s="1">
        <v>0.431977186311787</v>
      </c>
      <c r="R349" s="1">
        <v>0.67602596422473105</v>
      </c>
      <c r="S349" s="20" t="s">
        <v>142</v>
      </c>
      <c r="T349" s="3" t="s">
        <v>142</v>
      </c>
      <c r="U349" s="3" t="s">
        <v>106</v>
      </c>
      <c r="V349" s="3" t="s">
        <v>144</v>
      </c>
      <c r="W349" s="3">
        <v>6</v>
      </c>
      <c r="X349" s="3">
        <v>8</v>
      </c>
      <c r="Y349" s="3">
        <v>4</v>
      </c>
      <c r="Z349" s="3">
        <v>0</v>
      </c>
      <c r="AA349" s="3">
        <v>-2</v>
      </c>
      <c r="AB349" s="12">
        <f>(W349*4+X349*1+Y349*-2+Z349*-3)/W349</f>
        <v>4</v>
      </c>
      <c r="AC349" s="3">
        <f>W349*12.0107+X349*1.00784+Y349*15.999+Z349*14.0067</f>
        <v>144.12291999999999</v>
      </c>
      <c r="AD349" s="12">
        <v>337.5</v>
      </c>
      <c r="AE349" s="2" t="s">
        <v>43</v>
      </c>
      <c r="AF349" s="2" t="s">
        <v>98</v>
      </c>
      <c r="AG349" s="2" t="str">
        <f>IF(AD349&gt;37,"Proton symporter", "Diffusion")</f>
        <v>Proton symporter</v>
      </c>
      <c r="AH349" s="3" t="s">
        <v>145</v>
      </c>
    </row>
    <row r="350" spans="1:34" hidden="1" x14ac:dyDescent="0.2">
      <c r="A350" s="8" t="s">
        <v>34</v>
      </c>
      <c r="B350" s="9" t="s">
        <v>35</v>
      </c>
      <c r="C350" s="1" t="s">
        <v>54</v>
      </c>
      <c r="D350" s="14" t="s">
        <v>55</v>
      </c>
      <c r="E350" s="1" t="s">
        <v>142</v>
      </c>
      <c r="F350" s="1" t="s">
        <v>143</v>
      </c>
      <c r="G350" s="1">
        <v>-10</v>
      </c>
      <c r="H350" s="1">
        <v>-20</v>
      </c>
      <c r="I350" s="1" t="s">
        <v>40</v>
      </c>
      <c r="J350" s="1">
        <v>3.15</v>
      </c>
      <c r="K350" s="1">
        <v>-10</v>
      </c>
      <c r="L350" s="1">
        <v>-10.862096774193599</v>
      </c>
      <c r="M350" s="1" t="s">
        <v>40</v>
      </c>
      <c r="N350" s="1">
        <v>14.641935483871</v>
      </c>
      <c r="O350" s="1">
        <v>7.5596774193548404</v>
      </c>
      <c r="Q350" s="1">
        <v>0.75596774193548399</v>
      </c>
      <c r="R350" s="1">
        <v>0.604778792661122</v>
      </c>
      <c r="S350" s="20" t="s">
        <v>142</v>
      </c>
      <c r="T350" s="3" t="s">
        <v>142</v>
      </c>
      <c r="U350" s="3" t="s">
        <v>106</v>
      </c>
      <c r="V350" s="3" t="s">
        <v>144</v>
      </c>
      <c r="W350" s="3">
        <v>6</v>
      </c>
      <c r="X350" s="3">
        <v>8</v>
      </c>
      <c r="Y350" s="3">
        <v>4</v>
      </c>
      <c r="Z350" s="3">
        <v>0</v>
      </c>
      <c r="AA350" s="3">
        <v>-2</v>
      </c>
      <c r="AB350" s="12">
        <f>(W350*4+X350*1+Y350*-2+Z350*-3)/W350</f>
        <v>4</v>
      </c>
      <c r="AC350" s="3">
        <f>W350*12.0107+X350*1.00784+Y350*15.999+Z350*14.0067</f>
        <v>144.12291999999999</v>
      </c>
      <c r="AD350" s="12">
        <v>337.5</v>
      </c>
      <c r="AE350" s="2" t="s">
        <v>43</v>
      </c>
      <c r="AF350" s="2" t="s">
        <v>98</v>
      </c>
      <c r="AG350" s="2" t="str">
        <f>IF(AD350&gt;37,"Proton symporter", "Diffusion")</f>
        <v>Proton symporter</v>
      </c>
      <c r="AH350" s="3" t="s">
        <v>145</v>
      </c>
    </row>
    <row r="351" spans="1:34" hidden="1" x14ac:dyDescent="0.2">
      <c r="A351" s="8" t="s">
        <v>34</v>
      </c>
      <c r="B351" s="9" t="s">
        <v>35</v>
      </c>
      <c r="C351" s="1" t="s">
        <v>48</v>
      </c>
      <c r="D351" s="10" t="s">
        <v>37</v>
      </c>
      <c r="E351" s="1" t="s">
        <v>142</v>
      </c>
      <c r="F351" s="1" t="s">
        <v>143</v>
      </c>
      <c r="G351" s="1">
        <v>-10</v>
      </c>
      <c r="H351" s="1">
        <v>-20</v>
      </c>
      <c r="I351" s="1" t="s">
        <v>40</v>
      </c>
      <c r="J351" s="1">
        <v>3.15</v>
      </c>
      <c r="K351" s="1">
        <v>-10</v>
      </c>
      <c r="L351" s="1">
        <v>-8.1428235294117606</v>
      </c>
      <c r="M351" s="1" t="s">
        <v>40</v>
      </c>
      <c r="N351" s="1">
        <v>4.4395294117647</v>
      </c>
      <c r="O351" s="1">
        <v>2.5934117647058801</v>
      </c>
      <c r="Q351" s="1">
        <v>0.25934117647058802</v>
      </c>
      <c r="R351" s="1">
        <v>0.60221001426176601</v>
      </c>
      <c r="S351" s="20" t="s">
        <v>142</v>
      </c>
      <c r="T351" s="3" t="s">
        <v>142</v>
      </c>
      <c r="U351" s="3" t="s">
        <v>106</v>
      </c>
      <c r="V351" s="3" t="s">
        <v>144</v>
      </c>
      <c r="W351" s="3">
        <v>6</v>
      </c>
      <c r="X351" s="3">
        <v>8</v>
      </c>
      <c r="Y351" s="3">
        <v>4</v>
      </c>
      <c r="Z351" s="3">
        <v>0</v>
      </c>
      <c r="AA351" s="3">
        <v>-2</v>
      </c>
      <c r="AB351" s="12">
        <f>(W351*4+X351*1+Y351*-2+Z351*-3)/W351</f>
        <v>4</v>
      </c>
      <c r="AC351" s="3">
        <f>W351*12.0107+X351*1.00784+Y351*15.999+Z351*14.0067</f>
        <v>144.12291999999999</v>
      </c>
      <c r="AD351" s="12">
        <v>337.5</v>
      </c>
      <c r="AE351" s="2" t="s">
        <v>43</v>
      </c>
      <c r="AF351" s="2" t="s">
        <v>98</v>
      </c>
      <c r="AG351" s="2" t="str">
        <f>IF(AD351&gt;37,"Proton symporter", "Diffusion")</f>
        <v>Proton symporter</v>
      </c>
      <c r="AH351" s="3" t="s">
        <v>145</v>
      </c>
    </row>
    <row r="352" spans="1:34" hidden="1" x14ac:dyDescent="0.2">
      <c r="A352" s="8" t="s">
        <v>34</v>
      </c>
      <c r="B352" s="9" t="s">
        <v>35</v>
      </c>
      <c r="C352" s="1" t="s">
        <v>62</v>
      </c>
      <c r="D352" s="15" t="s">
        <v>55</v>
      </c>
      <c r="E352" s="1" t="s">
        <v>142</v>
      </c>
      <c r="F352" s="1" t="s">
        <v>143</v>
      </c>
      <c r="G352" s="1">
        <v>-10</v>
      </c>
      <c r="H352" s="1">
        <v>-20</v>
      </c>
      <c r="I352" s="1" t="s">
        <v>40</v>
      </c>
      <c r="J352" s="1">
        <v>3.15</v>
      </c>
      <c r="K352" s="1">
        <v>-10</v>
      </c>
      <c r="L352" s="1">
        <v>-9.3580821917808201</v>
      </c>
      <c r="M352" s="1" t="s">
        <v>40</v>
      </c>
      <c r="N352" s="1">
        <v>12.484383561643799</v>
      </c>
      <c r="O352" s="1">
        <v>6.2526027397260204</v>
      </c>
      <c r="Q352" s="1">
        <v>0.62526027397260198</v>
      </c>
      <c r="R352" s="1">
        <v>0.60024203320409897</v>
      </c>
      <c r="S352" s="20" t="s">
        <v>142</v>
      </c>
      <c r="T352" s="3" t="s">
        <v>142</v>
      </c>
      <c r="U352" s="3" t="s">
        <v>106</v>
      </c>
      <c r="V352" s="3" t="s">
        <v>144</v>
      </c>
      <c r="W352" s="3">
        <v>6</v>
      </c>
      <c r="X352" s="3">
        <v>8</v>
      </c>
      <c r="Y352" s="3">
        <v>4</v>
      </c>
      <c r="Z352" s="3">
        <v>0</v>
      </c>
      <c r="AA352" s="3">
        <v>-2</v>
      </c>
      <c r="AB352" s="12">
        <f>(W352*4+X352*1+Y352*-2+Z352*-3)/W352</f>
        <v>4</v>
      </c>
      <c r="AC352" s="3">
        <f>W352*12.0107+X352*1.00784+Y352*15.999+Z352*14.0067</f>
        <v>144.12291999999999</v>
      </c>
      <c r="AD352" s="12">
        <v>337.5</v>
      </c>
      <c r="AE352" s="2" t="s">
        <v>43</v>
      </c>
      <c r="AF352" s="2" t="s">
        <v>98</v>
      </c>
      <c r="AG352" s="2" t="str">
        <f>IF(AD352&gt;37,"Proton symporter", "Diffusion")</f>
        <v>Proton symporter</v>
      </c>
      <c r="AH352" s="3" t="s">
        <v>145</v>
      </c>
    </row>
    <row r="353" spans="1:34" hidden="1" x14ac:dyDescent="0.2">
      <c r="A353" s="8" t="s">
        <v>34</v>
      </c>
      <c r="B353" s="9" t="s">
        <v>35</v>
      </c>
      <c r="C353" s="1" t="s">
        <v>47</v>
      </c>
      <c r="D353" s="10" t="s">
        <v>37</v>
      </c>
      <c r="E353" s="1" t="s">
        <v>142</v>
      </c>
      <c r="F353" s="1" t="s">
        <v>143</v>
      </c>
      <c r="G353" s="1">
        <v>-10</v>
      </c>
      <c r="H353" s="1">
        <v>-20</v>
      </c>
      <c r="I353" s="1" t="s">
        <v>40</v>
      </c>
      <c r="J353" s="1">
        <v>3.15</v>
      </c>
      <c r="K353" s="1">
        <v>-10</v>
      </c>
      <c r="L353" s="1">
        <v>-9.5206840390879499</v>
      </c>
      <c r="M353" s="1" t="s">
        <v>40</v>
      </c>
      <c r="N353" s="1">
        <v>5.7114006514657998</v>
      </c>
      <c r="O353" s="1">
        <v>2.3814332247557002</v>
      </c>
      <c r="Q353" s="1">
        <v>0.23814332247556999</v>
      </c>
      <c r="R353" s="1">
        <v>0.55298697868219804</v>
      </c>
      <c r="S353" s="20" t="s">
        <v>142</v>
      </c>
      <c r="T353" s="3" t="s">
        <v>142</v>
      </c>
      <c r="U353" s="3" t="s">
        <v>106</v>
      </c>
      <c r="V353" s="3" t="s">
        <v>144</v>
      </c>
      <c r="W353" s="3">
        <v>6</v>
      </c>
      <c r="X353" s="3">
        <v>8</v>
      </c>
      <c r="Y353" s="3">
        <v>4</v>
      </c>
      <c r="Z353" s="3">
        <v>0</v>
      </c>
      <c r="AA353" s="3">
        <v>-2</v>
      </c>
      <c r="AB353" s="12">
        <f>(W353*4+X353*1+Y353*-2+Z353*-3)/W353</f>
        <v>4</v>
      </c>
      <c r="AC353" s="3">
        <f>W353*12.0107+X353*1.00784+Y353*15.999+Z353*14.0067</f>
        <v>144.12291999999999</v>
      </c>
      <c r="AD353" s="12">
        <v>337.5</v>
      </c>
      <c r="AE353" s="2" t="s">
        <v>43</v>
      </c>
      <c r="AF353" s="2" t="s">
        <v>98</v>
      </c>
      <c r="AG353" s="2" t="str">
        <f>IF(AD353&gt;37,"Proton symporter", "Diffusion")</f>
        <v>Proton symporter</v>
      </c>
      <c r="AH353" s="3" t="s">
        <v>145</v>
      </c>
    </row>
    <row r="354" spans="1:34" hidden="1" x14ac:dyDescent="0.2">
      <c r="A354" s="8" t="s">
        <v>34</v>
      </c>
      <c r="B354" s="9" t="s">
        <v>35</v>
      </c>
      <c r="C354" s="1" t="s">
        <v>58</v>
      </c>
      <c r="D354" s="10" t="s">
        <v>37</v>
      </c>
      <c r="E354" s="1" t="s">
        <v>142</v>
      </c>
      <c r="F354" s="1" t="s">
        <v>143</v>
      </c>
      <c r="G354" s="1">
        <v>-10</v>
      </c>
      <c r="H354" s="1">
        <v>-20</v>
      </c>
      <c r="I354" s="1" t="s">
        <v>40</v>
      </c>
      <c r="J354" s="1">
        <v>3.15</v>
      </c>
      <c r="K354" s="1">
        <v>-10</v>
      </c>
      <c r="L354" s="1">
        <v>-6.37455919395466</v>
      </c>
      <c r="M354" s="1" t="s">
        <v>40</v>
      </c>
      <c r="N354" s="1">
        <v>7.4226700251889204</v>
      </c>
      <c r="O354" s="1">
        <v>2.0962216624685102</v>
      </c>
      <c r="Q354" s="1">
        <v>0.20962216624685101</v>
      </c>
      <c r="R354" s="1">
        <v>0.50308663651871199</v>
      </c>
      <c r="S354" s="20" t="s">
        <v>142</v>
      </c>
      <c r="T354" s="3" t="s">
        <v>142</v>
      </c>
      <c r="U354" s="3" t="s">
        <v>106</v>
      </c>
      <c r="V354" s="3" t="s">
        <v>144</v>
      </c>
      <c r="W354" s="3">
        <v>6</v>
      </c>
      <c r="X354" s="3">
        <v>8</v>
      </c>
      <c r="Y354" s="3">
        <v>4</v>
      </c>
      <c r="Z354" s="3">
        <v>0</v>
      </c>
      <c r="AA354" s="3">
        <v>-2</v>
      </c>
      <c r="AB354" s="12">
        <f>(W354*4+X354*1+Y354*-2+Z354*-3)/W354</f>
        <v>4</v>
      </c>
      <c r="AC354" s="3">
        <f>W354*12.0107+X354*1.00784+Y354*15.999+Z354*14.0067</f>
        <v>144.12291999999999</v>
      </c>
      <c r="AD354" s="12">
        <v>337.5</v>
      </c>
      <c r="AE354" s="2" t="s">
        <v>43</v>
      </c>
      <c r="AF354" s="2" t="s">
        <v>98</v>
      </c>
      <c r="AG354" s="2" t="str">
        <f>IF(AD354&gt;37,"Proton symporter", "Diffusion")</f>
        <v>Proton symporter</v>
      </c>
      <c r="AH354" s="3" t="s">
        <v>145</v>
      </c>
    </row>
    <row r="355" spans="1:34" hidden="1" x14ac:dyDescent="0.2">
      <c r="A355" s="8" t="s">
        <v>34</v>
      </c>
      <c r="B355" s="9" t="s">
        <v>35</v>
      </c>
      <c r="C355" s="1" t="s">
        <v>61</v>
      </c>
      <c r="D355" s="13" t="s">
        <v>51</v>
      </c>
      <c r="E355" s="1" t="s">
        <v>142</v>
      </c>
      <c r="F355" s="1" t="s">
        <v>143</v>
      </c>
      <c r="G355" s="1">
        <v>-10</v>
      </c>
      <c r="H355" s="1">
        <v>-20</v>
      </c>
      <c r="I355" s="1" t="s">
        <v>40</v>
      </c>
      <c r="J355" s="1">
        <v>3.15</v>
      </c>
      <c r="K355" s="1">
        <v>-10</v>
      </c>
      <c r="L355" s="1">
        <v>-7.9112704918032701</v>
      </c>
      <c r="M355" s="1" t="s">
        <v>40</v>
      </c>
      <c r="N355" s="1">
        <v>3.4565573770491702</v>
      </c>
      <c r="O355" s="1">
        <v>1.0905737704917999</v>
      </c>
      <c r="Q355" s="1">
        <v>0.10905737704918</v>
      </c>
      <c r="R355" s="1">
        <v>0.49054767937979599</v>
      </c>
      <c r="S355" s="20" t="s">
        <v>142</v>
      </c>
      <c r="T355" s="3" t="s">
        <v>142</v>
      </c>
      <c r="U355" s="3" t="s">
        <v>106</v>
      </c>
      <c r="V355" s="3" t="s">
        <v>144</v>
      </c>
      <c r="W355" s="3">
        <v>6</v>
      </c>
      <c r="X355" s="3">
        <v>8</v>
      </c>
      <c r="Y355" s="3">
        <v>4</v>
      </c>
      <c r="Z355" s="3">
        <v>0</v>
      </c>
      <c r="AA355" s="3">
        <v>-2</v>
      </c>
      <c r="AB355" s="12">
        <f>(W355*4+X355*1+Y355*-2+Z355*-3)/W355</f>
        <v>4</v>
      </c>
      <c r="AC355" s="3">
        <f>W355*12.0107+X355*1.00784+Y355*15.999+Z355*14.0067</f>
        <v>144.12291999999999</v>
      </c>
      <c r="AD355" s="12">
        <v>337.5</v>
      </c>
      <c r="AE355" s="2" t="s">
        <v>43</v>
      </c>
      <c r="AF355" s="2" t="s">
        <v>98</v>
      </c>
      <c r="AG355" s="2" t="str">
        <f>IF(AD355&gt;37,"Proton symporter", "Diffusion")</f>
        <v>Proton symporter</v>
      </c>
      <c r="AH355" s="3" t="s">
        <v>145</v>
      </c>
    </row>
    <row r="356" spans="1:34" hidden="1" x14ac:dyDescent="0.2">
      <c r="A356" s="8" t="s">
        <v>34</v>
      </c>
      <c r="B356" s="9" t="s">
        <v>35</v>
      </c>
      <c r="C356" s="1" t="s">
        <v>57</v>
      </c>
      <c r="D356" s="10" t="s">
        <v>37</v>
      </c>
      <c r="E356" s="1" t="s">
        <v>142</v>
      </c>
      <c r="F356" s="1" t="s">
        <v>143</v>
      </c>
      <c r="G356" s="1">
        <v>-10</v>
      </c>
      <c r="H356" s="1">
        <v>-20</v>
      </c>
      <c r="I356" s="1" t="s">
        <v>40</v>
      </c>
      <c r="J356" s="1">
        <v>3.15</v>
      </c>
      <c r="K356" s="1">
        <v>-10</v>
      </c>
      <c r="L356" s="1">
        <v>-7.1902439024390201</v>
      </c>
      <c r="M356" s="1" t="s">
        <v>40</v>
      </c>
      <c r="N356" s="1">
        <v>8.1756097560975594</v>
      </c>
      <c r="O356" s="1">
        <v>1.97073170731707</v>
      </c>
      <c r="Q356" s="1">
        <v>0.19707317073170699</v>
      </c>
      <c r="R356" s="1">
        <v>0.47296944014374498</v>
      </c>
      <c r="S356" s="20" t="s">
        <v>142</v>
      </c>
      <c r="T356" s="3" t="s">
        <v>142</v>
      </c>
      <c r="U356" s="3" t="s">
        <v>106</v>
      </c>
      <c r="V356" s="3" t="s">
        <v>144</v>
      </c>
      <c r="W356" s="3">
        <v>6</v>
      </c>
      <c r="X356" s="3">
        <v>8</v>
      </c>
      <c r="Y356" s="3">
        <v>4</v>
      </c>
      <c r="Z356" s="3">
        <v>0</v>
      </c>
      <c r="AA356" s="3">
        <v>-2</v>
      </c>
      <c r="AB356" s="12">
        <f>(W356*4+X356*1+Y356*-2+Z356*-3)/W356</f>
        <v>4</v>
      </c>
      <c r="AC356" s="3">
        <f>W356*12.0107+X356*1.00784+Y356*15.999+Z356*14.0067</f>
        <v>144.12291999999999</v>
      </c>
      <c r="AD356" s="12">
        <v>337.5</v>
      </c>
      <c r="AE356" s="2" t="s">
        <v>43</v>
      </c>
      <c r="AF356" s="2" t="s">
        <v>98</v>
      </c>
      <c r="AG356" s="2" t="str">
        <f>IF(AD356&gt;37,"Proton symporter", "Diffusion")</f>
        <v>Proton symporter</v>
      </c>
      <c r="AH356" s="3" t="s">
        <v>145</v>
      </c>
    </row>
    <row r="357" spans="1:34" hidden="1" x14ac:dyDescent="0.2">
      <c r="A357" s="8" t="s">
        <v>34</v>
      </c>
      <c r="B357" s="9" t="s">
        <v>35</v>
      </c>
      <c r="C357" s="1" t="s">
        <v>46</v>
      </c>
      <c r="D357" s="10" t="s">
        <v>37</v>
      </c>
      <c r="E357" s="1" t="s">
        <v>142</v>
      </c>
      <c r="F357" s="1" t="s">
        <v>143</v>
      </c>
      <c r="G357" s="1">
        <v>-10</v>
      </c>
      <c r="H357" s="1">
        <v>-20</v>
      </c>
      <c r="I357" s="1" t="s">
        <v>40</v>
      </c>
      <c r="J357" s="1">
        <v>3.15</v>
      </c>
      <c r="K357" s="1">
        <v>-10</v>
      </c>
      <c r="L357" s="1">
        <v>-8.3392947103274597</v>
      </c>
      <c r="M357" s="1" t="s">
        <v>40</v>
      </c>
      <c r="N357" s="1">
        <v>9.2362720403022909</v>
      </c>
      <c r="O357" s="1">
        <v>1.7939546599496199</v>
      </c>
      <c r="Q357" s="1">
        <v>0.17939546599496201</v>
      </c>
      <c r="R357" s="1">
        <v>0.43790175678903898</v>
      </c>
      <c r="S357" s="20" t="s">
        <v>142</v>
      </c>
      <c r="T357" s="3" t="s">
        <v>142</v>
      </c>
      <c r="U357" s="3" t="s">
        <v>106</v>
      </c>
      <c r="V357" s="3" t="s">
        <v>144</v>
      </c>
      <c r="W357" s="3">
        <v>6</v>
      </c>
      <c r="X357" s="3">
        <v>8</v>
      </c>
      <c r="Y357" s="3">
        <v>4</v>
      </c>
      <c r="Z357" s="3">
        <v>0</v>
      </c>
      <c r="AA357" s="3">
        <v>-2</v>
      </c>
      <c r="AB357" s="12">
        <f>(W357*4+X357*1+Y357*-2+Z357*-3)/W357</f>
        <v>4</v>
      </c>
      <c r="AC357" s="3">
        <f>W357*12.0107+X357*1.00784+Y357*15.999+Z357*14.0067</f>
        <v>144.12291999999999</v>
      </c>
      <c r="AD357" s="12">
        <v>337.5</v>
      </c>
      <c r="AE357" s="2" t="s">
        <v>43</v>
      </c>
      <c r="AF357" s="2" t="s">
        <v>98</v>
      </c>
      <c r="AG357" s="2" t="str">
        <f>IF(AD357&gt;37,"Proton symporter", "Diffusion")</f>
        <v>Proton symporter</v>
      </c>
      <c r="AH357" s="3" t="s">
        <v>145</v>
      </c>
    </row>
    <row r="358" spans="1:34" hidden="1" x14ac:dyDescent="0.2">
      <c r="A358" s="8" t="s">
        <v>34</v>
      </c>
      <c r="B358" s="9" t="s">
        <v>35</v>
      </c>
      <c r="C358" s="1" t="s">
        <v>50</v>
      </c>
      <c r="D358" s="13" t="s">
        <v>51</v>
      </c>
      <c r="E358" s="1" t="s">
        <v>142</v>
      </c>
      <c r="F358" s="1" t="s">
        <v>143</v>
      </c>
      <c r="G358" s="1">
        <v>-10</v>
      </c>
      <c r="H358" s="1">
        <v>-20</v>
      </c>
      <c r="I358" s="1" t="s">
        <v>40</v>
      </c>
      <c r="J358" s="1">
        <v>3.15</v>
      </c>
      <c r="K358" s="1">
        <v>-10</v>
      </c>
      <c r="L358" s="1">
        <v>-2.9040816326530599</v>
      </c>
      <c r="M358" s="1" t="s">
        <v>40</v>
      </c>
      <c r="N358" s="1">
        <v>8.0653061224489804</v>
      </c>
      <c r="O358" s="1">
        <v>0.32244897959183699</v>
      </c>
      <c r="Q358" s="1">
        <v>3.2244897959183699E-2</v>
      </c>
      <c r="R358" s="1">
        <v>0.100961747418609</v>
      </c>
      <c r="S358" s="20" t="s">
        <v>142</v>
      </c>
      <c r="T358" s="3" t="s">
        <v>142</v>
      </c>
      <c r="U358" s="3" t="s">
        <v>106</v>
      </c>
      <c r="V358" s="3" t="s">
        <v>144</v>
      </c>
      <c r="W358" s="3">
        <v>6</v>
      </c>
      <c r="X358" s="3">
        <v>8</v>
      </c>
      <c r="Y358" s="3">
        <v>4</v>
      </c>
      <c r="Z358" s="3">
        <v>0</v>
      </c>
      <c r="AA358" s="3">
        <v>-2</v>
      </c>
      <c r="AB358" s="12">
        <f>(W358*4+X358*1+Y358*-2+Z358*-3)/W358</f>
        <v>4</v>
      </c>
      <c r="AC358" s="3">
        <f>W358*12.0107+X358*1.00784+Y358*15.999+Z358*14.0067</f>
        <v>144.12291999999999</v>
      </c>
      <c r="AD358" s="12">
        <v>337.5</v>
      </c>
      <c r="AE358" s="2" t="s">
        <v>43</v>
      </c>
      <c r="AF358" s="2" t="s">
        <v>98</v>
      </c>
      <c r="AG358" s="2" t="str">
        <f>IF(AD358&gt;37,"Proton symporter", "Diffusion")</f>
        <v>Proton symporter</v>
      </c>
      <c r="AH358" s="3" t="s">
        <v>145</v>
      </c>
    </row>
    <row r="359" spans="1:34" hidden="1" x14ac:dyDescent="0.2">
      <c r="A359" s="8" t="s">
        <v>34</v>
      </c>
      <c r="B359" s="9" t="s">
        <v>35</v>
      </c>
      <c r="C359" s="1" t="s">
        <v>52</v>
      </c>
      <c r="D359" s="13" t="s">
        <v>51</v>
      </c>
      <c r="E359" s="1" t="s">
        <v>142</v>
      </c>
      <c r="F359" s="1" t="s">
        <v>143</v>
      </c>
      <c r="G359" s="1">
        <v>-10</v>
      </c>
      <c r="H359" s="1">
        <v>-20</v>
      </c>
      <c r="I359" s="1" t="s">
        <v>40</v>
      </c>
      <c r="J359" s="1">
        <v>3.15</v>
      </c>
      <c r="K359" s="1">
        <v>-10</v>
      </c>
      <c r="L359" s="1">
        <v>-3.49707317073171</v>
      </c>
      <c r="M359" s="1" t="s">
        <v>40</v>
      </c>
      <c r="N359" s="1">
        <v>8.6126829268292706</v>
      </c>
      <c r="O359" s="1">
        <v>0.23121951219512299</v>
      </c>
      <c r="Q359" s="1">
        <v>2.3121951219512299E-2</v>
      </c>
      <c r="R359" s="1">
        <v>7.2396960344075903E-2</v>
      </c>
      <c r="S359" s="20" t="s">
        <v>142</v>
      </c>
      <c r="T359" s="3" t="s">
        <v>142</v>
      </c>
      <c r="U359" s="3" t="s">
        <v>106</v>
      </c>
      <c r="V359" s="3" t="s">
        <v>144</v>
      </c>
      <c r="W359" s="3">
        <v>6</v>
      </c>
      <c r="X359" s="3">
        <v>8</v>
      </c>
      <c r="Y359" s="3">
        <v>4</v>
      </c>
      <c r="Z359" s="3">
        <v>0</v>
      </c>
      <c r="AA359" s="3">
        <v>-2</v>
      </c>
      <c r="AB359" s="12">
        <f>(W359*4+X359*1+Y359*-2+Z359*-3)/W359</f>
        <v>4</v>
      </c>
      <c r="AC359" s="3">
        <f>W359*12.0107+X359*1.00784+Y359*15.999+Z359*14.0067</f>
        <v>144.12291999999999</v>
      </c>
      <c r="AD359" s="12">
        <v>337.5</v>
      </c>
      <c r="AE359" s="2" t="s">
        <v>43</v>
      </c>
      <c r="AF359" s="2" t="s">
        <v>98</v>
      </c>
      <c r="AG359" s="2" t="str">
        <f>IF(AD359&gt;37,"Proton symporter", "Diffusion")</f>
        <v>Proton symporter</v>
      </c>
      <c r="AH359" s="3" t="s">
        <v>145</v>
      </c>
    </row>
    <row r="360" spans="1:34" hidden="1" x14ac:dyDescent="0.2">
      <c r="A360" s="8" t="s">
        <v>34</v>
      </c>
      <c r="B360" s="9" t="s">
        <v>35</v>
      </c>
      <c r="C360" s="1" t="s">
        <v>53</v>
      </c>
      <c r="D360" s="13" t="s">
        <v>51</v>
      </c>
      <c r="E360" s="1" t="s">
        <v>142</v>
      </c>
      <c r="F360" s="1" t="s">
        <v>143</v>
      </c>
      <c r="G360" s="1">
        <v>-10</v>
      </c>
      <c r="H360" s="1">
        <v>-20</v>
      </c>
      <c r="I360" s="1" t="s">
        <v>40</v>
      </c>
      <c r="J360" s="1">
        <v>3.15</v>
      </c>
      <c r="K360" s="1">
        <v>-10</v>
      </c>
      <c r="L360" s="1">
        <v>-4.28114792347177</v>
      </c>
      <c r="M360" s="1" t="s">
        <v>40</v>
      </c>
      <c r="N360" s="1">
        <v>9.3364442370508698</v>
      </c>
      <c r="O360" s="1">
        <v>0.110592627158189</v>
      </c>
      <c r="Q360" s="1">
        <v>1.1059262715818899E-2</v>
      </c>
      <c r="R360" s="1">
        <v>3.4627570859858799E-2</v>
      </c>
      <c r="S360" s="20" t="s">
        <v>142</v>
      </c>
      <c r="T360" s="3" t="s">
        <v>142</v>
      </c>
      <c r="U360" s="3" t="s">
        <v>106</v>
      </c>
      <c r="V360" s="3" t="s">
        <v>144</v>
      </c>
      <c r="W360" s="3">
        <v>6</v>
      </c>
      <c r="X360" s="3">
        <v>8</v>
      </c>
      <c r="Y360" s="3">
        <v>4</v>
      </c>
      <c r="Z360" s="3">
        <v>0</v>
      </c>
      <c r="AA360" s="3">
        <v>-2</v>
      </c>
      <c r="AB360" s="12">
        <f>(W360*4+X360*1+Y360*-2+Z360*-3)/W360</f>
        <v>4</v>
      </c>
      <c r="AC360" s="3">
        <f>W360*12.0107+X360*1.00784+Y360*15.999+Z360*14.0067</f>
        <v>144.12291999999999</v>
      </c>
      <c r="AD360" s="12">
        <v>337.5</v>
      </c>
      <c r="AE360" s="2" t="s">
        <v>43</v>
      </c>
      <c r="AF360" s="2" t="s">
        <v>98</v>
      </c>
      <c r="AG360" s="2" t="str">
        <f>IF(AD360&gt;37,"Proton symporter", "Diffusion")</f>
        <v>Proton symporter</v>
      </c>
      <c r="AH360" s="3" t="s">
        <v>145</v>
      </c>
    </row>
    <row r="361" spans="1:34" hidden="1" x14ac:dyDescent="0.2">
      <c r="A361" s="8" t="s">
        <v>350</v>
      </c>
      <c r="B361" s="17" t="s">
        <v>64</v>
      </c>
      <c r="C361" t="s">
        <v>351</v>
      </c>
      <c r="D361" s="13" t="s">
        <v>51</v>
      </c>
      <c r="E361" t="s">
        <v>142</v>
      </c>
      <c r="F361" t="s">
        <v>143</v>
      </c>
      <c r="G361">
        <v>-10</v>
      </c>
      <c r="H361">
        <v>0</v>
      </c>
      <c r="I361">
        <v>0</v>
      </c>
      <c r="J361">
        <v>0.45</v>
      </c>
      <c r="K361">
        <v>-1.8</v>
      </c>
      <c r="L361">
        <v>0</v>
      </c>
      <c r="M361">
        <v>0</v>
      </c>
      <c r="N361">
        <v>0</v>
      </c>
      <c r="O361">
        <v>0</v>
      </c>
      <c r="P361"/>
      <c r="Q361">
        <v>0</v>
      </c>
      <c r="R361">
        <v>0</v>
      </c>
      <c r="S361" s="3" t="str">
        <f>VLOOKUP($E361,'[1]Product Naming'!$A$1:$P$58,2)</f>
        <v>Adipate</v>
      </c>
      <c r="T361" s="3" t="str">
        <f>VLOOKUP($E361,'[1]Product Naming'!$A$1:$P$58,3)</f>
        <v>Adipate</v>
      </c>
      <c r="U361" s="3" t="str">
        <f>VLOOKUP($E361,'[1]Product Naming'!$A$1:$P$58,4)</f>
        <v>E</v>
      </c>
      <c r="V361" s="3" t="str">
        <f>VLOOKUP($E361,'[1]Product Naming'!$A$1:$P$58,5)</f>
        <v>C6H8O4</v>
      </c>
      <c r="W361" s="3">
        <f>VLOOKUP($E361,'[1]Product Naming'!$A$1:$P$58,6)</f>
        <v>6</v>
      </c>
      <c r="X361" s="3">
        <f>VLOOKUP($E361,'[1]Product Naming'!$A$1:$P$58,7)</f>
        <v>8</v>
      </c>
      <c r="Y361" s="3">
        <f>VLOOKUP($E361,'[1]Product Naming'!$A$1:$P$58,8)</f>
        <v>4</v>
      </c>
      <c r="Z361" s="3">
        <f>VLOOKUP($E361,'[1]Product Naming'!$A$1:$P$58,9)</f>
        <v>0</v>
      </c>
      <c r="AA361" s="3">
        <f>VLOOKUP($E361,'[1]Product Naming'!$A$1:$P$58,10)</f>
        <v>-2</v>
      </c>
      <c r="AB361" s="3">
        <f>VLOOKUP($E361,'[1]Product Naming'!$A$1:$P$58,11)</f>
        <v>4</v>
      </c>
      <c r="AC361" s="3">
        <f>VLOOKUP($E361,'[1]Product Naming'!$A$1:$P$58,12)</f>
        <v>144.12291999999999</v>
      </c>
      <c r="AD361" s="3">
        <f>VLOOKUP($E361,'[1]Product Naming'!$A$1:$P$58,13)</f>
        <v>337.5</v>
      </c>
      <c r="AE361" s="3" t="str">
        <f>VLOOKUP($E361,'[1]Product Naming'!$A$1:$P$58,14)</f>
        <v>Dicarboxylate</v>
      </c>
      <c r="AF361" s="3" t="str">
        <f>VLOOKUP($E361,'[1]Product Naming'!$A$1:$P$58,15)</f>
        <v>Glyceraldehyde 3-P</v>
      </c>
      <c r="AG361" s="3" t="str">
        <f>VLOOKUP($E361,'[1]Product Naming'!$A$1:$P$58,16)</f>
        <v>Proton symporter</v>
      </c>
      <c r="AH361" s="3" t="str">
        <f>VLOOKUP($E361,'[1]Product Naming'!$A$1:$Q$58,17)</f>
        <v>adpac_c</v>
      </c>
    </row>
    <row r="362" spans="1:34" hidden="1" x14ac:dyDescent="0.2">
      <c r="A362" s="8" t="s">
        <v>350</v>
      </c>
      <c r="B362" s="17" t="s">
        <v>64</v>
      </c>
      <c r="C362" t="s">
        <v>352</v>
      </c>
      <c r="D362" s="13" t="s">
        <v>51</v>
      </c>
      <c r="E362" t="s">
        <v>142</v>
      </c>
      <c r="F362" t="s">
        <v>143</v>
      </c>
      <c r="G362">
        <v>-10</v>
      </c>
      <c r="H362">
        <v>0</v>
      </c>
      <c r="I362">
        <v>0</v>
      </c>
      <c r="J362">
        <v>0.45</v>
      </c>
      <c r="K362">
        <v>-1.02857142857142</v>
      </c>
      <c r="L362">
        <v>0</v>
      </c>
      <c r="M362">
        <v>0</v>
      </c>
      <c r="N362">
        <v>0</v>
      </c>
      <c r="O362">
        <v>0</v>
      </c>
      <c r="P362"/>
      <c r="Q362">
        <v>0</v>
      </c>
      <c r="R362">
        <v>0</v>
      </c>
      <c r="S362" s="3" t="str">
        <f>VLOOKUP($E362,'[1]Product Naming'!$A$1:$P$58,2)</f>
        <v>Adipate</v>
      </c>
      <c r="T362" s="3" t="str">
        <f>VLOOKUP($E362,'[1]Product Naming'!$A$1:$P$58,3)</f>
        <v>Adipate</v>
      </c>
      <c r="U362" s="3" t="str">
        <f>VLOOKUP($E362,'[1]Product Naming'!$A$1:$P$58,4)</f>
        <v>E</v>
      </c>
      <c r="V362" s="3" t="str">
        <f>VLOOKUP($E362,'[1]Product Naming'!$A$1:$P$58,5)</f>
        <v>C6H8O4</v>
      </c>
      <c r="W362" s="3">
        <f>VLOOKUP($E362,'[1]Product Naming'!$A$1:$P$58,6)</f>
        <v>6</v>
      </c>
      <c r="X362" s="3">
        <f>VLOOKUP($E362,'[1]Product Naming'!$A$1:$P$58,7)</f>
        <v>8</v>
      </c>
      <c r="Y362" s="3">
        <f>VLOOKUP($E362,'[1]Product Naming'!$A$1:$P$58,8)</f>
        <v>4</v>
      </c>
      <c r="Z362" s="3">
        <f>VLOOKUP($E362,'[1]Product Naming'!$A$1:$P$58,9)</f>
        <v>0</v>
      </c>
      <c r="AA362" s="3">
        <f>VLOOKUP($E362,'[1]Product Naming'!$A$1:$P$58,10)</f>
        <v>-2</v>
      </c>
      <c r="AB362" s="3">
        <f>VLOOKUP($E362,'[1]Product Naming'!$A$1:$P$58,11)</f>
        <v>4</v>
      </c>
      <c r="AC362" s="3">
        <f>VLOOKUP($E362,'[1]Product Naming'!$A$1:$P$58,12)</f>
        <v>144.12291999999999</v>
      </c>
      <c r="AD362" s="3">
        <f>VLOOKUP($E362,'[1]Product Naming'!$A$1:$P$58,13)</f>
        <v>337.5</v>
      </c>
      <c r="AE362" s="3" t="str">
        <f>VLOOKUP($E362,'[1]Product Naming'!$A$1:$P$58,14)</f>
        <v>Dicarboxylate</v>
      </c>
      <c r="AF362" s="3" t="str">
        <f>VLOOKUP($E362,'[1]Product Naming'!$A$1:$P$58,15)</f>
        <v>Glyceraldehyde 3-P</v>
      </c>
      <c r="AG362" s="3" t="str">
        <f>VLOOKUP($E362,'[1]Product Naming'!$A$1:$P$58,16)</f>
        <v>Proton symporter</v>
      </c>
      <c r="AH362" s="3" t="str">
        <f>VLOOKUP($E362,'[1]Product Naming'!$A$1:$Q$58,17)</f>
        <v>adpac_c</v>
      </c>
    </row>
    <row r="363" spans="1:34" hidden="1" x14ac:dyDescent="0.2">
      <c r="A363" s="8" t="s">
        <v>350</v>
      </c>
      <c r="B363" s="17" t="s">
        <v>64</v>
      </c>
      <c r="C363" t="s">
        <v>353</v>
      </c>
      <c r="D363" s="13" t="s">
        <v>51</v>
      </c>
      <c r="E363" t="s">
        <v>142</v>
      </c>
      <c r="F363" t="s">
        <v>143</v>
      </c>
      <c r="G363">
        <v>-10</v>
      </c>
      <c r="H363">
        <v>0</v>
      </c>
      <c r="I363">
        <v>0</v>
      </c>
      <c r="J363">
        <v>0.45</v>
      </c>
      <c r="K363">
        <v>-0.76595744680850997</v>
      </c>
      <c r="L363">
        <v>0</v>
      </c>
      <c r="M363">
        <v>0</v>
      </c>
      <c r="N363">
        <v>0</v>
      </c>
      <c r="O363">
        <v>0</v>
      </c>
      <c r="P363"/>
      <c r="Q363">
        <v>0</v>
      </c>
      <c r="R363">
        <v>0</v>
      </c>
      <c r="S363" s="3" t="str">
        <f>VLOOKUP($E363,'[1]Product Naming'!$A$1:$P$58,2)</f>
        <v>Adipate</v>
      </c>
      <c r="T363" s="3" t="str">
        <f>VLOOKUP($E363,'[1]Product Naming'!$A$1:$P$58,3)</f>
        <v>Adipate</v>
      </c>
      <c r="U363" s="3" t="str">
        <f>VLOOKUP($E363,'[1]Product Naming'!$A$1:$P$58,4)</f>
        <v>E</v>
      </c>
      <c r="V363" s="3" t="str">
        <f>VLOOKUP($E363,'[1]Product Naming'!$A$1:$P$58,5)</f>
        <v>C6H8O4</v>
      </c>
      <c r="W363" s="3">
        <f>VLOOKUP($E363,'[1]Product Naming'!$A$1:$P$58,6)</f>
        <v>6</v>
      </c>
      <c r="X363" s="3">
        <f>VLOOKUP($E363,'[1]Product Naming'!$A$1:$P$58,7)</f>
        <v>8</v>
      </c>
      <c r="Y363" s="3">
        <f>VLOOKUP($E363,'[1]Product Naming'!$A$1:$P$58,8)</f>
        <v>4</v>
      </c>
      <c r="Z363" s="3">
        <f>VLOOKUP($E363,'[1]Product Naming'!$A$1:$P$58,9)</f>
        <v>0</v>
      </c>
      <c r="AA363" s="3">
        <f>VLOOKUP($E363,'[1]Product Naming'!$A$1:$P$58,10)</f>
        <v>-2</v>
      </c>
      <c r="AB363" s="3">
        <f>VLOOKUP($E363,'[1]Product Naming'!$A$1:$P$58,11)</f>
        <v>4</v>
      </c>
      <c r="AC363" s="3">
        <f>VLOOKUP($E363,'[1]Product Naming'!$A$1:$P$58,12)</f>
        <v>144.12291999999999</v>
      </c>
      <c r="AD363" s="3">
        <f>VLOOKUP($E363,'[1]Product Naming'!$A$1:$P$58,13)</f>
        <v>337.5</v>
      </c>
      <c r="AE363" s="3" t="str">
        <f>VLOOKUP($E363,'[1]Product Naming'!$A$1:$P$58,14)</f>
        <v>Dicarboxylate</v>
      </c>
      <c r="AF363" s="3" t="str">
        <f>VLOOKUP($E363,'[1]Product Naming'!$A$1:$P$58,15)</f>
        <v>Glyceraldehyde 3-P</v>
      </c>
      <c r="AG363" s="3" t="str">
        <f>VLOOKUP($E363,'[1]Product Naming'!$A$1:$P$58,16)</f>
        <v>Proton symporter</v>
      </c>
      <c r="AH363" s="3" t="str">
        <f>VLOOKUP($E363,'[1]Product Naming'!$A$1:$Q$58,17)</f>
        <v>adpac_c</v>
      </c>
    </row>
    <row r="364" spans="1:34" hidden="1" x14ac:dyDescent="0.2">
      <c r="A364" s="8" t="s">
        <v>350</v>
      </c>
      <c r="B364" s="17" t="s">
        <v>64</v>
      </c>
      <c r="C364" t="s">
        <v>354</v>
      </c>
      <c r="D364" s="13" t="s">
        <v>51</v>
      </c>
      <c r="E364" t="s">
        <v>142</v>
      </c>
      <c r="F364" t="s">
        <v>143</v>
      </c>
      <c r="G364">
        <v>-10</v>
      </c>
      <c r="H364">
        <v>0</v>
      </c>
      <c r="I364">
        <v>0</v>
      </c>
      <c r="J364">
        <v>0.45</v>
      </c>
      <c r="K364">
        <v>-0.72</v>
      </c>
      <c r="L364">
        <v>0</v>
      </c>
      <c r="M364">
        <v>0</v>
      </c>
      <c r="N364">
        <v>0</v>
      </c>
      <c r="O364">
        <v>0</v>
      </c>
      <c r="P364"/>
      <c r="Q364">
        <v>0</v>
      </c>
      <c r="R364">
        <v>0</v>
      </c>
      <c r="S364" s="3" t="str">
        <f>VLOOKUP($E364,'[1]Product Naming'!$A$1:$P$58,2)</f>
        <v>Adipate</v>
      </c>
      <c r="T364" s="3" t="str">
        <f>VLOOKUP($E364,'[1]Product Naming'!$A$1:$P$58,3)</f>
        <v>Adipate</v>
      </c>
      <c r="U364" s="3" t="str">
        <f>VLOOKUP($E364,'[1]Product Naming'!$A$1:$P$58,4)</f>
        <v>E</v>
      </c>
      <c r="V364" s="3" t="str">
        <f>VLOOKUP($E364,'[1]Product Naming'!$A$1:$P$58,5)</f>
        <v>C6H8O4</v>
      </c>
      <c r="W364" s="3">
        <f>VLOOKUP($E364,'[1]Product Naming'!$A$1:$P$58,6)</f>
        <v>6</v>
      </c>
      <c r="X364" s="3">
        <f>VLOOKUP($E364,'[1]Product Naming'!$A$1:$P$58,7)</f>
        <v>8</v>
      </c>
      <c r="Y364" s="3">
        <f>VLOOKUP($E364,'[1]Product Naming'!$A$1:$P$58,8)</f>
        <v>4</v>
      </c>
      <c r="Z364" s="3">
        <f>VLOOKUP($E364,'[1]Product Naming'!$A$1:$P$58,9)</f>
        <v>0</v>
      </c>
      <c r="AA364" s="3">
        <f>VLOOKUP($E364,'[1]Product Naming'!$A$1:$P$58,10)</f>
        <v>-2</v>
      </c>
      <c r="AB364" s="3">
        <f>VLOOKUP($E364,'[1]Product Naming'!$A$1:$P$58,11)</f>
        <v>4</v>
      </c>
      <c r="AC364" s="3">
        <f>VLOOKUP($E364,'[1]Product Naming'!$A$1:$P$58,12)</f>
        <v>144.12291999999999</v>
      </c>
      <c r="AD364" s="3">
        <f>VLOOKUP($E364,'[1]Product Naming'!$A$1:$P$58,13)</f>
        <v>337.5</v>
      </c>
      <c r="AE364" s="3" t="str">
        <f>VLOOKUP($E364,'[1]Product Naming'!$A$1:$P$58,14)</f>
        <v>Dicarboxylate</v>
      </c>
      <c r="AF364" s="3" t="str">
        <f>VLOOKUP($E364,'[1]Product Naming'!$A$1:$P$58,15)</f>
        <v>Glyceraldehyde 3-P</v>
      </c>
      <c r="AG364" s="3" t="str">
        <f>VLOOKUP($E364,'[1]Product Naming'!$A$1:$P$58,16)</f>
        <v>Proton symporter</v>
      </c>
      <c r="AH364" s="3" t="str">
        <f>VLOOKUP($E364,'[1]Product Naming'!$A$1:$Q$58,17)</f>
        <v>adpac_c</v>
      </c>
    </row>
    <row r="365" spans="1:34" hidden="1" x14ac:dyDescent="0.2">
      <c r="A365" s="8" t="s">
        <v>368</v>
      </c>
      <c r="B365" s="17" t="s">
        <v>64</v>
      </c>
      <c r="C365" t="s">
        <v>369</v>
      </c>
      <c r="D365" s="18" t="s">
        <v>66</v>
      </c>
      <c r="E365" t="s">
        <v>142</v>
      </c>
      <c r="F365" t="s">
        <v>143</v>
      </c>
      <c r="G365">
        <v>-10</v>
      </c>
      <c r="H365">
        <v>0</v>
      </c>
      <c r="I365">
        <v>-20</v>
      </c>
      <c r="J365">
        <v>0.45</v>
      </c>
      <c r="K365">
        <v>-0.89999999999999902</v>
      </c>
      <c r="L365">
        <v>0</v>
      </c>
      <c r="M365">
        <v>-2.7</v>
      </c>
      <c r="N365">
        <v>-0.89999999999999902</v>
      </c>
      <c r="O365">
        <v>0</v>
      </c>
      <c r="P365"/>
      <c r="Q365">
        <v>0</v>
      </c>
      <c r="R365">
        <v>0</v>
      </c>
      <c r="S365" s="1" t="str">
        <f>VLOOKUP($E365,'[1]Product Naming'!$A$1:$P$58,2)</f>
        <v>Adipate</v>
      </c>
      <c r="T365" s="1" t="str">
        <f>VLOOKUP($E365,'[1]Product Naming'!$A$1:$P$58,3)</f>
        <v>Adipate</v>
      </c>
      <c r="U365" s="1" t="str">
        <f>VLOOKUP($E365,'[1]Product Naming'!$A$1:$P$58,4)</f>
        <v>E</v>
      </c>
      <c r="V365" s="1" t="str">
        <f>VLOOKUP($E365,'[1]Product Naming'!$A$1:$P$58,5)</f>
        <v>C6H8O4</v>
      </c>
      <c r="W365" s="1">
        <f>VLOOKUP($E365,'[1]Product Naming'!$A$1:$P$58,6)</f>
        <v>6</v>
      </c>
      <c r="X365" s="1">
        <f>VLOOKUP($E365,'[1]Product Naming'!$A$1:$P$58,7)</f>
        <v>8</v>
      </c>
      <c r="Y365" s="1">
        <f>VLOOKUP($E365,'[1]Product Naming'!$A$1:$P$58,8)</f>
        <v>4</v>
      </c>
      <c r="Z365" s="1">
        <f>VLOOKUP($E365,'[1]Product Naming'!$A$1:$P$58,9)</f>
        <v>0</v>
      </c>
      <c r="AA365" s="1">
        <f>VLOOKUP($E365,'[1]Product Naming'!$A$1:$P$58,10)</f>
        <v>-2</v>
      </c>
      <c r="AB365" s="27">
        <f>VLOOKUP($E365,'[1]Product Naming'!$A$1:$P$58,11)</f>
        <v>4</v>
      </c>
      <c r="AC365" s="3">
        <f>VLOOKUP($E365,'[1]Product Naming'!$A$1:$P$58,12)</f>
        <v>144.12291999999999</v>
      </c>
      <c r="AD365" s="1">
        <f>VLOOKUP($E365,'[1]Product Naming'!$A$1:$P$58,13)</f>
        <v>337.5</v>
      </c>
      <c r="AE365" s="1" t="str">
        <f>VLOOKUP($E365,'[1]Product Naming'!$A$1:$P$58,14)</f>
        <v>Dicarboxylate</v>
      </c>
      <c r="AF365" s="1" t="str">
        <f>VLOOKUP($E365,'[1]Product Naming'!$A$1:$P$58,15)</f>
        <v>Glyceraldehyde 3-P</v>
      </c>
      <c r="AG365" s="28" t="str">
        <f>VLOOKUP($E365,'[1]Product Naming'!$A$1:$P$58,16)</f>
        <v>Proton symporter</v>
      </c>
      <c r="AH365" s="3" t="str">
        <f>VLOOKUP($E365,'[1]Product Naming'!$A$1:$Q$58,17)</f>
        <v>adpac_c</v>
      </c>
    </row>
    <row r="366" spans="1:34" hidden="1" x14ac:dyDescent="0.2">
      <c r="A366" s="16" t="s">
        <v>74</v>
      </c>
      <c r="B366" s="9" t="s">
        <v>35</v>
      </c>
      <c r="C366" t="s">
        <v>49</v>
      </c>
      <c r="D366" s="10" t="s">
        <v>37</v>
      </c>
      <c r="E366" t="s">
        <v>194</v>
      </c>
      <c r="F366" t="s">
        <v>195</v>
      </c>
      <c r="G366">
        <v>-10</v>
      </c>
      <c r="H366">
        <v>-20</v>
      </c>
      <c r="I366" s="1" t="s">
        <v>40</v>
      </c>
      <c r="J366">
        <v>3.15</v>
      </c>
      <c r="K366">
        <v>-10</v>
      </c>
      <c r="L366">
        <v>-6.4661971830985898</v>
      </c>
      <c r="M366" s="1" t="s">
        <v>40</v>
      </c>
      <c r="N366">
        <v>-0.171830985915495</v>
      </c>
      <c r="O366">
        <v>3.3619718309859099</v>
      </c>
      <c r="P366"/>
      <c r="Q366">
        <v>0.33619718309859098</v>
      </c>
      <c r="R366">
        <v>1.0742064071992601</v>
      </c>
      <c r="S366" s="3" t="s">
        <v>194</v>
      </c>
      <c r="T366" s="2" t="s">
        <v>196</v>
      </c>
      <c r="U366" s="3" t="s">
        <v>35</v>
      </c>
      <c r="V366" s="3" t="s">
        <v>197</v>
      </c>
      <c r="W366" s="3">
        <v>6</v>
      </c>
      <c r="X366" s="3">
        <v>15</v>
      </c>
      <c r="Y366" s="3">
        <v>2</v>
      </c>
      <c r="Z366" s="3">
        <v>2</v>
      </c>
      <c r="AA366" s="3">
        <v>1</v>
      </c>
      <c r="AB366" s="12">
        <f>(W366*4+X366*1+Y366*-2+Z366*-3)/W366</f>
        <v>4.833333333333333</v>
      </c>
      <c r="AC366" s="3">
        <f>W366*12.0107+X366*1.00784+Y366*15.999+Z366*14.0067</f>
        <v>147.19319999999999</v>
      </c>
      <c r="AD366" s="12" t="s">
        <v>40</v>
      </c>
      <c r="AE366" s="3" t="s">
        <v>119</v>
      </c>
      <c r="AF366" s="3" t="s">
        <v>44</v>
      </c>
      <c r="AG366" s="2" t="s">
        <v>80</v>
      </c>
      <c r="AH366" s="2" t="s">
        <v>198</v>
      </c>
    </row>
    <row r="367" spans="1:34" hidden="1" x14ac:dyDescent="0.2">
      <c r="A367" s="8" t="s">
        <v>34</v>
      </c>
      <c r="B367" s="9" t="s">
        <v>35</v>
      </c>
      <c r="C367" s="1" t="s">
        <v>49</v>
      </c>
      <c r="D367" s="10" t="s">
        <v>37</v>
      </c>
      <c r="E367" s="1" t="s">
        <v>182</v>
      </c>
      <c r="F367" s="1" t="s">
        <v>183</v>
      </c>
      <c r="G367" s="1">
        <v>-10</v>
      </c>
      <c r="H367" s="1">
        <v>-20</v>
      </c>
      <c r="I367" s="1" t="s">
        <v>40</v>
      </c>
      <c r="J367" s="1">
        <v>3.15</v>
      </c>
      <c r="K367" s="1">
        <v>-10</v>
      </c>
      <c r="L367" s="1">
        <v>-1.9285714285714399</v>
      </c>
      <c r="M367" s="1" t="s">
        <v>40</v>
      </c>
      <c r="N367" s="1">
        <v>-2.4571428571428999</v>
      </c>
      <c r="O367" s="1">
        <v>5.6142857142856899</v>
      </c>
      <c r="Q367" s="1">
        <v>0.56142857142856895</v>
      </c>
      <c r="R367" s="1">
        <v>1.0614439005076</v>
      </c>
      <c r="S367" s="11" t="s">
        <v>182</v>
      </c>
      <c r="T367" s="2" t="s">
        <v>182</v>
      </c>
      <c r="U367" s="3" t="s">
        <v>41</v>
      </c>
      <c r="V367" s="2" t="s">
        <v>184</v>
      </c>
      <c r="W367" s="2">
        <v>4</v>
      </c>
      <c r="X367" s="2">
        <v>7</v>
      </c>
      <c r="Y367" s="2">
        <v>2</v>
      </c>
      <c r="Z367" s="2">
        <v>0</v>
      </c>
      <c r="AA367" s="2">
        <v>0</v>
      </c>
      <c r="AB367" s="12">
        <f>(W367*4+X367*1+Y367*-2+Z367*-3)/W367</f>
        <v>4.75</v>
      </c>
      <c r="AC367" s="3">
        <f>W367*12.0107+X367*1.00784+Y367*15.999+Z367*14.0067</f>
        <v>87.095680000000002</v>
      </c>
      <c r="AD367" s="12">
        <v>163.5</v>
      </c>
      <c r="AE367" s="2" t="s">
        <v>131</v>
      </c>
      <c r="AF367" s="2" t="s">
        <v>79</v>
      </c>
      <c r="AG367" s="2" t="str">
        <f>IF(AD367&gt;37,"Proton symporter", "Diffusion")</f>
        <v>Proton symporter</v>
      </c>
      <c r="AH367" s="3" t="s">
        <v>185</v>
      </c>
    </row>
    <row r="368" spans="1:34" hidden="1" x14ac:dyDescent="0.2">
      <c r="A368" s="8" t="s">
        <v>34</v>
      </c>
      <c r="B368" s="9" t="s">
        <v>35</v>
      </c>
      <c r="C368" s="1" t="s">
        <v>49</v>
      </c>
      <c r="D368" s="10" t="s">
        <v>37</v>
      </c>
      <c r="E368" s="1" t="s">
        <v>205</v>
      </c>
      <c r="F368" s="1" t="s">
        <v>206</v>
      </c>
      <c r="G368" s="1">
        <v>-10</v>
      </c>
      <c r="H368" s="1">
        <v>-20</v>
      </c>
      <c r="I368" s="1" t="s">
        <v>40</v>
      </c>
      <c r="J368" s="1">
        <v>3.15</v>
      </c>
      <c r="K368" s="1">
        <v>-10</v>
      </c>
      <c r="L368" s="1">
        <v>-2.5813953488372099</v>
      </c>
      <c r="M368" s="1" t="s">
        <v>40</v>
      </c>
      <c r="N368" s="1">
        <v>-1.9348837209302401</v>
      </c>
      <c r="O368" s="1">
        <v>5.48372093023257</v>
      </c>
      <c r="Q368" s="1">
        <v>0.54837209302325696</v>
      </c>
      <c r="R368" s="1">
        <v>1.04875616411757</v>
      </c>
      <c r="S368" s="20" t="s">
        <v>205</v>
      </c>
      <c r="T368" s="3" t="s">
        <v>207</v>
      </c>
      <c r="U368" s="3" t="s">
        <v>106</v>
      </c>
      <c r="V368" s="3" t="s">
        <v>208</v>
      </c>
      <c r="W368" s="3">
        <v>4</v>
      </c>
      <c r="X368" s="3">
        <v>8</v>
      </c>
      <c r="Y368" s="3">
        <v>2</v>
      </c>
      <c r="Z368" s="3">
        <v>0</v>
      </c>
      <c r="AA368" s="3">
        <v>0</v>
      </c>
      <c r="AB368" s="12">
        <f>(W368*4+X368*1+Y368*-2+Z368*-3)/W368</f>
        <v>5</v>
      </c>
      <c r="AC368" s="3">
        <f>W368*12.0107+X368*1.00784+Y368*15.999+Z368*14.0067</f>
        <v>88.103520000000003</v>
      </c>
      <c r="AD368" s="12">
        <v>77.099999999999994</v>
      </c>
      <c r="AE368" s="3" t="s">
        <v>209</v>
      </c>
      <c r="AF368" s="3" t="s">
        <v>79</v>
      </c>
      <c r="AG368" s="2" t="str">
        <f>IF(AD368&gt;37,"Proton symporter", "Diffusion")</f>
        <v>Proton symporter</v>
      </c>
      <c r="AH368" s="3" t="s">
        <v>210</v>
      </c>
    </row>
    <row r="369" spans="1:34" hidden="1" x14ac:dyDescent="0.2">
      <c r="A369" s="8" t="s">
        <v>34</v>
      </c>
      <c r="B369" s="9" t="s">
        <v>35</v>
      </c>
      <c r="C369" s="1" t="s">
        <v>49</v>
      </c>
      <c r="D369" s="10" t="s">
        <v>37</v>
      </c>
      <c r="E369" s="1" t="s">
        <v>240</v>
      </c>
      <c r="F369" s="1" t="s">
        <v>235</v>
      </c>
      <c r="G369" s="1">
        <v>-10</v>
      </c>
      <c r="H369" s="1">
        <v>-20</v>
      </c>
      <c r="I369" s="1" t="s">
        <v>40</v>
      </c>
      <c r="J369" s="1">
        <v>3.15</v>
      </c>
      <c r="K369" s="1">
        <v>-10</v>
      </c>
      <c r="L369" s="1">
        <v>-1.3919117647058801</v>
      </c>
      <c r="M369" s="1" t="s">
        <v>40</v>
      </c>
      <c r="N369" s="1">
        <v>-0.80588235294117905</v>
      </c>
      <c r="O369" s="1">
        <v>5.2014705882352903</v>
      </c>
      <c r="Q369" s="1">
        <v>0.52014705882352896</v>
      </c>
      <c r="R369" s="1">
        <v>1.01753509254105</v>
      </c>
      <c r="S369" s="20" t="s">
        <v>241</v>
      </c>
      <c r="T369" s="3" t="s">
        <v>242</v>
      </c>
      <c r="U369" s="3" t="s">
        <v>106</v>
      </c>
      <c r="V369" s="3" t="s">
        <v>238</v>
      </c>
      <c r="W369" s="3">
        <v>4</v>
      </c>
      <c r="X369" s="3">
        <v>10</v>
      </c>
      <c r="Y369" s="3">
        <v>2</v>
      </c>
      <c r="Z369" s="3">
        <v>0</v>
      </c>
      <c r="AA369" s="3">
        <v>0</v>
      </c>
      <c r="AB369" s="12">
        <f>(W369*4+X369*1+Y369*-2+Z369*-3)/W369</f>
        <v>5.5</v>
      </c>
      <c r="AC369" s="3">
        <f>W369*12.0107+X369*1.00784+Y369*15.999+Z369*14.0067</f>
        <v>90.119200000000006</v>
      </c>
      <c r="AD369" s="12">
        <v>207</v>
      </c>
      <c r="AE369" s="2" t="s">
        <v>220</v>
      </c>
      <c r="AF369" s="3" t="s">
        <v>243</v>
      </c>
      <c r="AG369" s="2" t="str">
        <f>IF(AD369&gt;37,"Proton symporter", "Diffusion")</f>
        <v>Proton symporter</v>
      </c>
      <c r="AH369" s="3" t="s">
        <v>239</v>
      </c>
    </row>
    <row r="370" spans="1:34" x14ac:dyDescent="0.2">
      <c r="A370" s="8" t="s">
        <v>34</v>
      </c>
      <c r="B370" s="9" t="s">
        <v>35</v>
      </c>
      <c r="C370" s="1" t="s">
        <v>49</v>
      </c>
      <c r="D370" s="10" t="s">
        <v>37</v>
      </c>
      <c r="E370" s="1" t="s">
        <v>216</v>
      </c>
      <c r="F370" s="1" t="s">
        <v>217</v>
      </c>
      <c r="G370" s="1">
        <v>-10</v>
      </c>
      <c r="H370" s="1">
        <v>-20</v>
      </c>
      <c r="I370" s="1" t="s">
        <v>40</v>
      </c>
      <c r="J370" s="1">
        <v>3.15</v>
      </c>
      <c r="K370" s="1">
        <v>-10</v>
      </c>
      <c r="L370" s="1">
        <v>-5.4470588235294199</v>
      </c>
      <c r="M370" s="1" t="s">
        <v>40</v>
      </c>
      <c r="N370" s="1">
        <v>1.5852941176470501</v>
      </c>
      <c r="O370" s="1">
        <v>6.1382352941176404</v>
      </c>
      <c r="Q370" s="1">
        <v>0.61382352941176399</v>
      </c>
      <c r="R370" s="1">
        <v>1.0138953528846899</v>
      </c>
      <c r="S370" s="11" t="s">
        <v>216</v>
      </c>
      <c r="T370" s="2" t="s">
        <v>218</v>
      </c>
      <c r="U370" s="3" t="s">
        <v>41</v>
      </c>
      <c r="V370" s="2" t="s">
        <v>219</v>
      </c>
      <c r="W370" s="2">
        <v>3</v>
      </c>
      <c r="X370" s="2">
        <v>8</v>
      </c>
      <c r="Y370" s="2">
        <v>2</v>
      </c>
      <c r="Z370" s="2">
        <v>0</v>
      </c>
      <c r="AA370" s="2">
        <v>0</v>
      </c>
      <c r="AB370" s="12">
        <f>(W370*4+X370*1+Y370*-2+Z370*-3)/W370</f>
        <v>5.333333333333333</v>
      </c>
      <c r="AC370" s="3">
        <f>W370*12.0107+X370*1.00784+Y370*15.999+Z370*14.0067</f>
        <v>76.092820000000003</v>
      </c>
      <c r="AD370" s="12">
        <v>213</v>
      </c>
      <c r="AE370" s="2" t="s">
        <v>220</v>
      </c>
      <c r="AF370" s="2" t="s">
        <v>98</v>
      </c>
      <c r="AG370" s="2" t="str">
        <f>IF(AD370&gt;37,"Proton symporter", "Diffusion")</f>
        <v>Proton symporter</v>
      </c>
      <c r="AH370" s="3" t="s">
        <v>221</v>
      </c>
    </row>
    <row r="371" spans="1:34" hidden="1" x14ac:dyDescent="0.2">
      <c r="A371" s="8" t="s">
        <v>34</v>
      </c>
      <c r="B371" s="9" t="s">
        <v>35</v>
      </c>
      <c r="C371" s="1" t="s">
        <v>49</v>
      </c>
      <c r="D371" s="10" t="s">
        <v>37</v>
      </c>
      <c r="E371" s="1" t="s">
        <v>234</v>
      </c>
      <c r="F371" s="1" t="s">
        <v>235</v>
      </c>
      <c r="G371" s="1">
        <v>-10</v>
      </c>
      <c r="H371" s="1">
        <v>-20</v>
      </c>
      <c r="I371" s="1" t="s">
        <v>40</v>
      </c>
      <c r="J371" s="1">
        <v>3.15</v>
      </c>
      <c r="K371" s="1">
        <v>-10</v>
      </c>
      <c r="L371" s="1">
        <v>-1.80652173913043</v>
      </c>
      <c r="M371" s="1" t="s">
        <v>40</v>
      </c>
      <c r="N371" s="1">
        <v>-0.50434782608695705</v>
      </c>
      <c r="O371" s="1">
        <v>5.12608695652174</v>
      </c>
      <c r="Q371" s="1">
        <v>0.51260869565217404</v>
      </c>
      <c r="R371" s="1">
        <v>1.0027882071419101</v>
      </c>
      <c r="S371" s="20" t="s">
        <v>236</v>
      </c>
      <c r="T371" s="3" t="s">
        <v>237</v>
      </c>
      <c r="U371" s="3" t="s">
        <v>106</v>
      </c>
      <c r="V371" s="3" t="s">
        <v>238</v>
      </c>
      <c r="W371" s="3">
        <v>4</v>
      </c>
      <c r="X371" s="3">
        <v>10</v>
      </c>
      <c r="Y371" s="3">
        <v>2</v>
      </c>
      <c r="Z371" s="3">
        <v>0</v>
      </c>
      <c r="AA371" s="3">
        <v>0</v>
      </c>
      <c r="AB371" s="12">
        <f>(W371*4+X371*1+Y371*-2+Z371*-3)/W371</f>
        <v>5.5</v>
      </c>
      <c r="AC371" s="3">
        <f>W371*12.0107+X371*1.00784+Y371*15.999+Z371*14.0067</f>
        <v>90.119200000000006</v>
      </c>
      <c r="AD371" s="12">
        <v>207</v>
      </c>
      <c r="AE371" s="2" t="s">
        <v>220</v>
      </c>
      <c r="AF371" s="3" t="s">
        <v>79</v>
      </c>
      <c r="AG371" s="2" t="str">
        <f>IF(AD371&gt;37,"Proton symporter", "Diffusion")</f>
        <v>Proton symporter</v>
      </c>
      <c r="AH371" s="3" t="s">
        <v>239</v>
      </c>
    </row>
    <row r="372" spans="1:34" hidden="1" x14ac:dyDescent="0.2">
      <c r="A372" s="8" t="s">
        <v>34</v>
      </c>
      <c r="B372" s="9" t="s">
        <v>35</v>
      </c>
      <c r="C372" s="1" t="s">
        <v>49</v>
      </c>
      <c r="D372" s="10" t="s">
        <v>37</v>
      </c>
      <c r="E372" s="1" t="s">
        <v>186</v>
      </c>
      <c r="F372" s="1" t="s">
        <v>187</v>
      </c>
      <c r="G372" s="1">
        <v>-10</v>
      </c>
      <c r="H372" s="1">
        <v>-20</v>
      </c>
      <c r="I372" s="1" t="s">
        <v>40</v>
      </c>
      <c r="J372" s="1">
        <v>3.15</v>
      </c>
      <c r="K372" s="1">
        <v>-10</v>
      </c>
      <c r="L372" s="1">
        <v>-3.6044776119402999</v>
      </c>
      <c r="M372" s="1" t="s">
        <v>40</v>
      </c>
      <c r="N372" s="1">
        <v>-1.1164179104477601</v>
      </c>
      <c r="O372" s="1">
        <v>5.2791044776119396</v>
      </c>
      <c r="Q372" s="1">
        <v>0.527910447761194</v>
      </c>
      <c r="R372" s="1">
        <v>0.99807411540267299</v>
      </c>
      <c r="S372" s="11" t="s">
        <v>186</v>
      </c>
      <c r="T372" s="2" t="s">
        <v>186</v>
      </c>
      <c r="U372" s="3" t="s">
        <v>41</v>
      </c>
      <c r="V372" s="2" t="s">
        <v>184</v>
      </c>
      <c r="W372" s="2">
        <v>4</v>
      </c>
      <c r="X372" s="2">
        <v>7</v>
      </c>
      <c r="Y372" s="2">
        <v>2</v>
      </c>
      <c r="Z372" s="2">
        <v>0</v>
      </c>
      <c r="AA372" s="2">
        <v>0</v>
      </c>
      <c r="AB372" s="12">
        <f>(W372*4+X372*1+Y372*-2+Z372*-3)/W372</f>
        <v>4.75</v>
      </c>
      <c r="AC372" s="3">
        <f>W372*12.0107+X372*1.00784+Y372*15.999+Z372*14.0067</f>
        <v>87.095680000000002</v>
      </c>
      <c r="AD372" s="12">
        <v>155</v>
      </c>
      <c r="AE372" s="2" t="s">
        <v>131</v>
      </c>
      <c r="AF372" s="2" t="s">
        <v>135</v>
      </c>
      <c r="AG372" s="2" t="str">
        <f>IF(AD372&gt;37,"Proton symporter", "Diffusion")</f>
        <v>Proton symporter</v>
      </c>
      <c r="AH372" s="3" t="s">
        <v>188</v>
      </c>
    </row>
    <row r="373" spans="1:34" hidden="1" x14ac:dyDescent="0.2">
      <c r="A373" s="8" t="s">
        <v>34</v>
      </c>
      <c r="B373" s="9" t="s">
        <v>35</v>
      </c>
      <c r="C373" s="1" t="s">
        <v>36</v>
      </c>
      <c r="D373" s="10" t="s">
        <v>37</v>
      </c>
      <c r="E373" s="1" t="s">
        <v>182</v>
      </c>
      <c r="F373" s="1" t="s">
        <v>183</v>
      </c>
      <c r="G373" s="1">
        <v>-10</v>
      </c>
      <c r="H373" s="1">
        <v>-20</v>
      </c>
      <c r="I373" s="1" t="s">
        <v>40</v>
      </c>
      <c r="J373" s="1">
        <v>3.15</v>
      </c>
      <c r="K373" s="1">
        <v>-10</v>
      </c>
      <c r="L373" s="1">
        <v>-3.0972904131273903E-32</v>
      </c>
      <c r="M373" s="1" t="s">
        <v>40</v>
      </c>
      <c r="N373" s="1">
        <v>5.11168517932136E-17</v>
      </c>
      <c r="O373" s="1">
        <v>5</v>
      </c>
      <c r="Q373" s="1">
        <v>0.5</v>
      </c>
      <c r="R373" s="1">
        <v>0.98856072946915197</v>
      </c>
      <c r="S373" s="11" t="s">
        <v>182</v>
      </c>
      <c r="T373" s="2" t="s">
        <v>182</v>
      </c>
      <c r="U373" s="3" t="s">
        <v>41</v>
      </c>
      <c r="V373" s="2" t="s">
        <v>184</v>
      </c>
      <c r="W373" s="2">
        <v>4</v>
      </c>
      <c r="X373" s="2">
        <v>7</v>
      </c>
      <c r="Y373" s="2">
        <v>2</v>
      </c>
      <c r="Z373" s="2">
        <v>0</v>
      </c>
      <c r="AA373" s="2">
        <v>0</v>
      </c>
      <c r="AB373" s="12">
        <f>(W373*4+X373*1+Y373*-2+Z373*-3)/W373</f>
        <v>4.75</v>
      </c>
      <c r="AC373" s="3">
        <f>W373*12.0107+X373*1.00784+Y373*15.999+Z373*14.0067</f>
        <v>87.095680000000002</v>
      </c>
      <c r="AD373" s="12">
        <v>163.5</v>
      </c>
      <c r="AE373" s="2" t="s">
        <v>131</v>
      </c>
      <c r="AF373" s="2" t="s">
        <v>79</v>
      </c>
      <c r="AG373" s="2" t="str">
        <f>IF(AD373&gt;37,"Proton symporter", "Diffusion")</f>
        <v>Proton symporter</v>
      </c>
      <c r="AH373" s="3" t="s">
        <v>185</v>
      </c>
    </row>
    <row r="374" spans="1:34" hidden="1" x14ac:dyDescent="0.2">
      <c r="A374" s="8" t="s">
        <v>34</v>
      </c>
      <c r="B374" s="9" t="s">
        <v>35</v>
      </c>
      <c r="C374" s="1" t="s">
        <v>49</v>
      </c>
      <c r="D374" s="10" t="s">
        <v>37</v>
      </c>
      <c r="E374" s="1" t="s">
        <v>249</v>
      </c>
      <c r="F374" s="1" t="s">
        <v>250</v>
      </c>
      <c r="G374" s="1">
        <v>-10</v>
      </c>
      <c r="H374" s="1">
        <v>-20</v>
      </c>
      <c r="I374" s="1" t="s">
        <v>40</v>
      </c>
      <c r="J374" s="1">
        <v>3.15</v>
      </c>
      <c r="K374" s="1">
        <v>-10</v>
      </c>
      <c r="L374" s="1">
        <v>-2.2092857142857101</v>
      </c>
      <c r="M374" s="1" t="s">
        <v>40</v>
      </c>
      <c r="N374" s="1">
        <v>-0.211428571428526</v>
      </c>
      <c r="O374" s="1">
        <v>5.0528571428571603</v>
      </c>
      <c r="Q374" s="1">
        <v>0.505285714285716</v>
      </c>
      <c r="R374" s="1">
        <v>0.98846266132559801</v>
      </c>
      <c r="S374" s="20" t="s">
        <v>251</v>
      </c>
      <c r="T374" s="3" t="s">
        <v>252</v>
      </c>
      <c r="U374" s="3" t="s">
        <v>106</v>
      </c>
      <c r="V374" s="3" t="s">
        <v>238</v>
      </c>
      <c r="W374" s="3">
        <v>4</v>
      </c>
      <c r="X374" s="3">
        <v>10</v>
      </c>
      <c r="Y374" s="3">
        <v>2</v>
      </c>
      <c r="Z374" s="3">
        <v>0</v>
      </c>
      <c r="AA374" s="3">
        <v>0</v>
      </c>
      <c r="AB374" s="12">
        <f>(W374*4+X374*1+Y374*-2+Z374*-3)/W374</f>
        <v>5.5</v>
      </c>
      <c r="AC374" s="3">
        <f>W374*12.0107+X374*1.00784+Y374*15.999+Z374*14.0067</f>
        <v>90.119200000000006</v>
      </c>
      <c r="AD374" s="12">
        <v>177</v>
      </c>
      <c r="AE374" s="3" t="s">
        <v>220</v>
      </c>
      <c r="AF374" s="3" t="s">
        <v>135</v>
      </c>
      <c r="AG374" s="2" t="str">
        <f>IF(AD374&gt;37,"Proton symporter", "Diffusion")</f>
        <v>Proton symporter</v>
      </c>
      <c r="AH374" s="3" t="s">
        <v>253</v>
      </c>
    </row>
    <row r="375" spans="1:34" hidden="1" x14ac:dyDescent="0.2">
      <c r="A375" s="8" t="s">
        <v>34</v>
      </c>
      <c r="B375" s="9" t="s">
        <v>35</v>
      </c>
      <c r="C375" s="1" t="s">
        <v>49</v>
      </c>
      <c r="D375" s="10" t="s">
        <v>37</v>
      </c>
      <c r="E375" s="1" t="s">
        <v>166</v>
      </c>
      <c r="F375" s="1" t="s">
        <v>167</v>
      </c>
      <c r="G375" s="1">
        <v>-10</v>
      </c>
      <c r="H375" s="1">
        <v>-20</v>
      </c>
      <c r="I375" s="1" t="s">
        <v>40</v>
      </c>
      <c r="J375" s="1">
        <v>3.15</v>
      </c>
      <c r="K375" s="1">
        <v>-10</v>
      </c>
      <c r="L375" s="1">
        <v>-6.2440298507462701</v>
      </c>
      <c r="M375" s="1" t="s">
        <v>40</v>
      </c>
      <c r="N375" s="1">
        <v>-1.1164179104477601</v>
      </c>
      <c r="O375" s="1">
        <v>5.2791044776119396</v>
      </c>
      <c r="Q375" s="1">
        <v>0.527910447761194</v>
      </c>
      <c r="R375" s="1">
        <v>0.98652475937872897</v>
      </c>
      <c r="S375" s="11" t="s">
        <v>166</v>
      </c>
      <c r="T375" s="2" t="s">
        <v>168</v>
      </c>
      <c r="U375" s="3" t="s">
        <v>41</v>
      </c>
      <c r="V375" s="2" t="s">
        <v>169</v>
      </c>
      <c r="W375" s="2">
        <v>4</v>
      </c>
      <c r="X375" s="2">
        <v>6</v>
      </c>
      <c r="Y375" s="2">
        <v>2</v>
      </c>
      <c r="Z375" s="2">
        <v>0</v>
      </c>
      <c r="AA375" s="2">
        <v>0</v>
      </c>
      <c r="AB375" s="12">
        <f>(W375*4+X375*1+Y375*-2+Z375*-3)/W375</f>
        <v>4.5</v>
      </c>
      <c r="AC375" s="3">
        <f>W375*12.0107+X375*1.00784+Y375*15.999+Z375*14.0067</f>
        <v>86.08784</v>
      </c>
      <c r="AD375" s="12">
        <v>204</v>
      </c>
      <c r="AE375" s="2" t="s">
        <v>170</v>
      </c>
      <c r="AF375" s="2" t="s">
        <v>120</v>
      </c>
      <c r="AG375" s="2" t="str">
        <f>IF(AD375&gt;37,"Proton symporter", "Diffusion")</f>
        <v>Proton symporter</v>
      </c>
      <c r="AH375" s="3" t="s">
        <v>171</v>
      </c>
    </row>
    <row r="376" spans="1:34" hidden="1" x14ac:dyDescent="0.2">
      <c r="A376" s="8" t="s">
        <v>34</v>
      </c>
      <c r="B376" s="9" t="s">
        <v>35</v>
      </c>
      <c r="C376" s="1" t="s">
        <v>36</v>
      </c>
      <c r="D376" s="10" t="s">
        <v>37</v>
      </c>
      <c r="E376" s="1" t="s">
        <v>205</v>
      </c>
      <c r="F376" s="1" t="s">
        <v>206</v>
      </c>
      <c r="G376" s="1">
        <v>-10</v>
      </c>
      <c r="H376" s="1">
        <v>-20</v>
      </c>
      <c r="I376" s="1" t="s">
        <v>40</v>
      </c>
      <c r="J376" s="1">
        <v>3.15</v>
      </c>
      <c r="K376" s="1">
        <v>-10</v>
      </c>
      <c r="L376" s="1">
        <v>-0.53521126760563398</v>
      </c>
      <c r="M376" s="1" t="s">
        <v>40</v>
      </c>
      <c r="N376" s="1">
        <v>0.42816901408450397</v>
      </c>
      <c r="O376" s="1">
        <v>4.8929577464788698</v>
      </c>
      <c r="Q376" s="1">
        <v>0.48929577464788698</v>
      </c>
      <c r="R376" s="1">
        <v>0.97859154929577397</v>
      </c>
      <c r="S376" s="20" t="s">
        <v>205</v>
      </c>
      <c r="T376" s="3" t="s">
        <v>207</v>
      </c>
      <c r="U376" s="3" t="s">
        <v>106</v>
      </c>
      <c r="V376" s="3" t="s">
        <v>208</v>
      </c>
      <c r="W376" s="3">
        <v>4</v>
      </c>
      <c r="X376" s="3">
        <v>8</v>
      </c>
      <c r="Y376" s="3">
        <v>2</v>
      </c>
      <c r="Z376" s="3">
        <v>0</v>
      </c>
      <c r="AA376" s="3">
        <v>0</v>
      </c>
      <c r="AB376" s="12">
        <f>(W376*4+X376*1+Y376*-2+Z376*-3)/W376</f>
        <v>5</v>
      </c>
      <c r="AC376" s="3">
        <f>W376*12.0107+X376*1.00784+Y376*15.999+Z376*14.0067</f>
        <v>88.103520000000003</v>
      </c>
      <c r="AD376" s="12">
        <v>77.099999999999994</v>
      </c>
      <c r="AE376" s="3" t="s">
        <v>209</v>
      </c>
      <c r="AF376" s="3" t="s">
        <v>79</v>
      </c>
      <c r="AG376" s="2" t="str">
        <f>IF(AD376&gt;37,"Proton symporter", "Diffusion")</f>
        <v>Proton symporter</v>
      </c>
      <c r="AH376" s="3" t="s">
        <v>210</v>
      </c>
    </row>
    <row r="377" spans="1:34" hidden="1" x14ac:dyDescent="0.2">
      <c r="A377" s="8" t="s">
        <v>34</v>
      </c>
      <c r="B377" s="9" t="s">
        <v>35</v>
      </c>
      <c r="C377" s="1" t="s">
        <v>49</v>
      </c>
      <c r="D377" s="10" t="s">
        <v>37</v>
      </c>
      <c r="E377" s="1" t="s">
        <v>273</v>
      </c>
      <c r="F377" s="1" t="s">
        <v>274</v>
      </c>
      <c r="G377" s="1">
        <v>-10</v>
      </c>
      <c r="H377" s="1">
        <v>-20</v>
      </c>
      <c r="I377" s="1" t="s">
        <v>40</v>
      </c>
      <c r="J377" s="1">
        <v>3.15</v>
      </c>
      <c r="K377" s="1">
        <v>-10</v>
      </c>
      <c r="L377" s="1">
        <v>-6.7121951219511997</v>
      </c>
      <c r="M377" s="1" t="s">
        <v>40</v>
      </c>
      <c r="N377" s="1">
        <v>2.53414634146344</v>
      </c>
      <c r="O377" s="1">
        <v>5.8219512195122096</v>
      </c>
      <c r="Q377" s="1">
        <v>0.58219512195122103</v>
      </c>
      <c r="R377" s="1">
        <v>0.96224344273123896</v>
      </c>
      <c r="S377" s="22" t="s">
        <v>273</v>
      </c>
      <c r="T377" s="3" t="s">
        <v>275</v>
      </c>
      <c r="U377" s="3" t="s">
        <v>41</v>
      </c>
      <c r="V377" s="2" t="s">
        <v>276</v>
      </c>
      <c r="W377" s="2">
        <v>3</v>
      </c>
      <c r="X377" s="2">
        <v>12</v>
      </c>
      <c r="Y377" s="2">
        <v>0</v>
      </c>
      <c r="Z377" s="2">
        <v>2</v>
      </c>
      <c r="AA377" s="2">
        <v>0</v>
      </c>
      <c r="AB377" s="12">
        <f>(W377*4+X377*1+Y377*-2+Z377*-3)/W377</f>
        <v>6</v>
      </c>
      <c r="AC377" s="3">
        <f>W377*12.0107+X377*1.00784+Y377*15.999+Z377*14.0067</f>
        <v>76.139580000000009</v>
      </c>
      <c r="AD377" s="12">
        <v>139.30000000000001</v>
      </c>
      <c r="AE377" s="2" t="s">
        <v>277</v>
      </c>
      <c r="AF377" s="2" t="s">
        <v>125</v>
      </c>
      <c r="AG377" s="2" t="str">
        <f>IF(AD377&gt;37,"Proton symporter", "Diffusion")</f>
        <v>Proton symporter</v>
      </c>
      <c r="AH377" s="3" t="s">
        <v>278</v>
      </c>
    </row>
    <row r="378" spans="1:34" hidden="1" x14ac:dyDescent="0.2">
      <c r="A378" s="8" t="s">
        <v>34</v>
      </c>
      <c r="B378" s="9" t="s">
        <v>35</v>
      </c>
      <c r="C378" s="1" t="s">
        <v>49</v>
      </c>
      <c r="D378" s="10" t="s">
        <v>37</v>
      </c>
      <c r="E378" s="1" t="s">
        <v>244</v>
      </c>
      <c r="F378" s="1" t="s">
        <v>245</v>
      </c>
      <c r="G378" s="1">
        <v>-10</v>
      </c>
      <c r="H378" s="1">
        <v>-20</v>
      </c>
      <c r="I378" s="1" t="s">
        <v>40</v>
      </c>
      <c r="J378" s="1">
        <v>3.15</v>
      </c>
      <c r="K378" s="1">
        <v>-10</v>
      </c>
      <c r="L378" s="1">
        <v>-3.3058139534883701</v>
      </c>
      <c r="M378" s="1" t="s">
        <v>40</v>
      </c>
      <c r="N378" s="1">
        <v>0.58604651162792298</v>
      </c>
      <c r="O378" s="1">
        <v>4.8534883720930297</v>
      </c>
      <c r="Q378" s="1">
        <v>0.485348837209303</v>
      </c>
      <c r="R378" s="1">
        <v>0.94946124486692995</v>
      </c>
      <c r="S378" s="20" t="s">
        <v>246</v>
      </c>
      <c r="T378" s="3" t="s">
        <v>247</v>
      </c>
      <c r="U378" s="3" t="s">
        <v>106</v>
      </c>
      <c r="V378" s="3" t="s">
        <v>238</v>
      </c>
      <c r="W378" s="3">
        <v>4</v>
      </c>
      <c r="X378" s="3">
        <v>10</v>
      </c>
      <c r="Y378" s="3">
        <v>2</v>
      </c>
      <c r="Z378" s="3">
        <v>0</v>
      </c>
      <c r="AA378" s="3">
        <v>0</v>
      </c>
      <c r="AB378" s="12">
        <f>(W378*4+X378*1+Y378*-2+Z378*-3)/W378</f>
        <v>5.5</v>
      </c>
      <c r="AC378" s="3">
        <f>W378*12.0107+X378*1.00784+Y378*15.999+Z378*14.0067</f>
        <v>90.119200000000006</v>
      </c>
      <c r="AD378" s="12">
        <v>230</v>
      </c>
      <c r="AE378" s="2" t="s">
        <v>220</v>
      </c>
      <c r="AF378" s="3" t="s">
        <v>120</v>
      </c>
      <c r="AG378" s="2" t="str">
        <f>IF(AD378&gt;37,"Proton symporter", "Diffusion")</f>
        <v>Proton symporter</v>
      </c>
      <c r="AH378" s="3" t="s">
        <v>248</v>
      </c>
    </row>
    <row r="379" spans="1:34" hidden="1" x14ac:dyDescent="0.2">
      <c r="A379" s="16" t="s">
        <v>74</v>
      </c>
      <c r="B379" s="9" t="s">
        <v>35</v>
      </c>
      <c r="C379" t="s">
        <v>36</v>
      </c>
      <c r="D379" s="10" t="s">
        <v>37</v>
      </c>
      <c r="E379" t="s">
        <v>194</v>
      </c>
      <c r="F379" t="s">
        <v>195</v>
      </c>
      <c r="G379">
        <v>-10</v>
      </c>
      <c r="H379">
        <v>-20</v>
      </c>
      <c r="I379" s="1" t="s">
        <v>40</v>
      </c>
      <c r="J379">
        <v>3.15</v>
      </c>
      <c r="K379">
        <v>-10</v>
      </c>
      <c r="L379">
        <v>-5.2169230769230799</v>
      </c>
      <c r="M379" s="1" t="s">
        <v>40</v>
      </c>
      <c r="N379">
        <v>3.0430769230769199</v>
      </c>
      <c r="O379">
        <v>2.8261538461538498</v>
      </c>
      <c r="P379"/>
      <c r="Q379">
        <v>0.28261538461538499</v>
      </c>
      <c r="R379">
        <v>0.94432237964542598</v>
      </c>
      <c r="S379" s="3" t="s">
        <v>194</v>
      </c>
      <c r="T379" s="2" t="s">
        <v>196</v>
      </c>
      <c r="U379" s="3" t="s">
        <v>35</v>
      </c>
      <c r="V379" s="3" t="s">
        <v>197</v>
      </c>
      <c r="W379" s="3">
        <v>6</v>
      </c>
      <c r="X379" s="3">
        <v>15</v>
      </c>
      <c r="Y379" s="3">
        <v>2</v>
      </c>
      <c r="Z379" s="3">
        <v>2</v>
      </c>
      <c r="AA379" s="3">
        <v>1</v>
      </c>
      <c r="AB379" s="12">
        <f>(W379*4+X379*1+Y379*-2+Z379*-3)/W379</f>
        <v>4.833333333333333</v>
      </c>
      <c r="AC379" s="3">
        <f>W379*12.0107+X379*1.00784+Y379*15.999+Z379*14.0067</f>
        <v>147.19319999999999</v>
      </c>
      <c r="AD379" s="12" t="s">
        <v>40</v>
      </c>
      <c r="AE379" s="3" t="s">
        <v>119</v>
      </c>
      <c r="AF379" s="3" t="s">
        <v>44</v>
      </c>
      <c r="AG379" s="2" t="s">
        <v>80</v>
      </c>
      <c r="AH379" s="2" t="s">
        <v>198</v>
      </c>
    </row>
    <row r="380" spans="1:34" hidden="1" x14ac:dyDescent="0.2">
      <c r="A380" s="8" t="s">
        <v>34</v>
      </c>
      <c r="B380" s="9" t="s">
        <v>35</v>
      </c>
      <c r="C380" s="1" t="s">
        <v>36</v>
      </c>
      <c r="D380" s="10" t="s">
        <v>37</v>
      </c>
      <c r="E380" s="1" t="s">
        <v>240</v>
      </c>
      <c r="F380" s="1" t="s">
        <v>235</v>
      </c>
      <c r="G380" s="1">
        <v>-10</v>
      </c>
      <c r="H380" s="1">
        <v>-20</v>
      </c>
      <c r="I380" s="1" t="s">
        <v>40</v>
      </c>
      <c r="J380" s="1">
        <v>3.15</v>
      </c>
      <c r="K380" s="1">
        <v>-10</v>
      </c>
      <c r="L380" s="1">
        <v>-0.53487179487179504</v>
      </c>
      <c r="M380" s="1" t="s">
        <v>40</v>
      </c>
      <c r="N380" s="1">
        <v>2.2071794871794901</v>
      </c>
      <c r="O380" s="1">
        <v>4.4482051282051298</v>
      </c>
      <c r="Q380" s="1">
        <v>0.44482051282051299</v>
      </c>
      <c r="R380" s="1">
        <v>0.90999471437632395</v>
      </c>
      <c r="S380" s="20" t="s">
        <v>241</v>
      </c>
      <c r="T380" s="3" t="s">
        <v>242</v>
      </c>
      <c r="U380" s="3" t="s">
        <v>106</v>
      </c>
      <c r="V380" s="3" t="s">
        <v>238</v>
      </c>
      <c r="W380" s="3">
        <v>4</v>
      </c>
      <c r="X380" s="3">
        <v>10</v>
      </c>
      <c r="Y380" s="3">
        <v>2</v>
      </c>
      <c r="Z380" s="3">
        <v>0</v>
      </c>
      <c r="AA380" s="3">
        <v>0</v>
      </c>
      <c r="AB380" s="12">
        <f>(W380*4+X380*1+Y380*-2+Z380*-3)/W380</f>
        <v>5.5</v>
      </c>
      <c r="AC380" s="3">
        <f>W380*12.0107+X380*1.00784+Y380*15.999+Z380*14.0067</f>
        <v>90.119200000000006</v>
      </c>
      <c r="AD380" s="12">
        <v>207</v>
      </c>
      <c r="AE380" s="2" t="s">
        <v>220</v>
      </c>
      <c r="AF380" s="3" t="s">
        <v>243</v>
      </c>
      <c r="AG380" s="2" t="str">
        <f>IF(AD380&gt;37,"Proton symporter", "Diffusion")</f>
        <v>Proton symporter</v>
      </c>
      <c r="AH380" s="3" t="s">
        <v>239</v>
      </c>
    </row>
    <row r="381" spans="1:34" hidden="1" x14ac:dyDescent="0.2">
      <c r="A381" s="8" t="s">
        <v>34</v>
      </c>
      <c r="B381" s="9" t="s">
        <v>35</v>
      </c>
      <c r="C381" s="1" t="s">
        <v>36</v>
      </c>
      <c r="D381" s="10" t="s">
        <v>37</v>
      </c>
      <c r="E381" s="1" t="s">
        <v>186</v>
      </c>
      <c r="F381" s="1" t="s">
        <v>187</v>
      </c>
      <c r="G381" s="1">
        <v>-10</v>
      </c>
      <c r="H381" s="1">
        <v>-20</v>
      </c>
      <c r="I381" s="1" t="s">
        <v>40</v>
      </c>
      <c r="J381" s="1">
        <v>3.15</v>
      </c>
      <c r="K381" s="1">
        <v>-10</v>
      </c>
      <c r="L381" s="1">
        <v>-2.0375000000000001</v>
      </c>
      <c r="M381" s="1" t="s">
        <v>40</v>
      </c>
      <c r="N381" s="1">
        <v>1.63</v>
      </c>
      <c r="O381" s="1">
        <v>4.5925000000000002</v>
      </c>
      <c r="Q381" s="1">
        <v>0.45924999999999999</v>
      </c>
      <c r="R381" s="1">
        <v>0.90799303001741605</v>
      </c>
      <c r="S381" s="11" t="s">
        <v>186</v>
      </c>
      <c r="T381" s="2" t="s">
        <v>186</v>
      </c>
      <c r="U381" s="3" t="s">
        <v>41</v>
      </c>
      <c r="V381" s="2" t="s">
        <v>184</v>
      </c>
      <c r="W381" s="2">
        <v>4</v>
      </c>
      <c r="X381" s="2">
        <v>7</v>
      </c>
      <c r="Y381" s="2">
        <v>2</v>
      </c>
      <c r="Z381" s="2">
        <v>0</v>
      </c>
      <c r="AA381" s="2">
        <v>0</v>
      </c>
      <c r="AB381" s="12">
        <f>(W381*4+X381*1+Y381*-2+Z381*-3)/W381</f>
        <v>4.75</v>
      </c>
      <c r="AC381" s="3">
        <f>W381*12.0107+X381*1.00784+Y381*15.999+Z381*14.0067</f>
        <v>87.095680000000002</v>
      </c>
      <c r="AD381" s="12">
        <v>155</v>
      </c>
      <c r="AE381" s="2" t="s">
        <v>131</v>
      </c>
      <c r="AF381" s="2" t="s">
        <v>135</v>
      </c>
      <c r="AG381" s="2" t="str">
        <f>IF(AD381&gt;37,"Proton symporter", "Diffusion")</f>
        <v>Proton symporter</v>
      </c>
      <c r="AH381" s="3" t="s">
        <v>188</v>
      </c>
    </row>
    <row r="382" spans="1:34" hidden="1" x14ac:dyDescent="0.2">
      <c r="A382" s="8" t="s">
        <v>34</v>
      </c>
      <c r="B382" s="9" t="s">
        <v>35</v>
      </c>
      <c r="C382" s="1" t="s">
        <v>36</v>
      </c>
      <c r="D382" s="10" t="s">
        <v>37</v>
      </c>
      <c r="E382" s="1" t="s">
        <v>166</v>
      </c>
      <c r="F382" s="1" t="s">
        <v>167</v>
      </c>
      <c r="G382" s="1">
        <v>-10</v>
      </c>
      <c r="H382" s="1">
        <v>-20</v>
      </c>
      <c r="I382" s="1" t="s">
        <v>40</v>
      </c>
      <c r="J382" s="1">
        <v>3.15</v>
      </c>
      <c r="K382" s="1">
        <v>-10</v>
      </c>
      <c r="L382" s="1">
        <v>-4.2464285714285701</v>
      </c>
      <c r="M382" s="1" t="s">
        <v>40</v>
      </c>
      <c r="N382" s="1">
        <v>1.55238095238097</v>
      </c>
      <c r="O382" s="1">
        <v>4.6119047619047704</v>
      </c>
      <c r="Q382" s="1">
        <v>0.46119047619047698</v>
      </c>
      <c r="R382" s="1">
        <v>0.90127822188738005</v>
      </c>
      <c r="S382" s="11" t="s">
        <v>166</v>
      </c>
      <c r="T382" s="2" t="s">
        <v>168</v>
      </c>
      <c r="U382" s="3" t="s">
        <v>41</v>
      </c>
      <c r="V382" s="2" t="s">
        <v>169</v>
      </c>
      <c r="W382" s="2">
        <v>4</v>
      </c>
      <c r="X382" s="2">
        <v>6</v>
      </c>
      <c r="Y382" s="2">
        <v>2</v>
      </c>
      <c r="Z382" s="2">
        <v>0</v>
      </c>
      <c r="AA382" s="2">
        <v>0</v>
      </c>
      <c r="AB382" s="12">
        <f>(W382*4+X382*1+Y382*-2+Z382*-3)/W382</f>
        <v>4.5</v>
      </c>
      <c r="AC382" s="3">
        <f>W382*12.0107+X382*1.00784+Y382*15.999+Z382*14.0067</f>
        <v>86.08784</v>
      </c>
      <c r="AD382" s="12">
        <v>204</v>
      </c>
      <c r="AE382" s="2" t="s">
        <v>170</v>
      </c>
      <c r="AF382" s="2" t="s">
        <v>120</v>
      </c>
      <c r="AG382" s="2" t="str">
        <f>IF(AD382&gt;37,"Proton symporter", "Diffusion")</f>
        <v>Proton symporter</v>
      </c>
      <c r="AH382" s="3" t="s">
        <v>171</v>
      </c>
    </row>
    <row r="383" spans="1:34" hidden="1" x14ac:dyDescent="0.2">
      <c r="A383" s="8" t="s">
        <v>34</v>
      </c>
      <c r="B383" s="9" t="s">
        <v>35</v>
      </c>
      <c r="C383" s="1" t="s">
        <v>36</v>
      </c>
      <c r="D383" s="10" t="s">
        <v>37</v>
      </c>
      <c r="E383" s="1" t="s">
        <v>234</v>
      </c>
      <c r="F383" s="1" t="s">
        <v>235</v>
      </c>
      <c r="G383" s="1">
        <v>-10</v>
      </c>
      <c r="H383" s="1">
        <v>-20</v>
      </c>
      <c r="I383" s="1" t="s">
        <v>40</v>
      </c>
      <c r="J383" s="1">
        <v>3.15</v>
      </c>
      <c r="K383" s="1">
        <v>-10</v>
      </c>
      <c r="L383" s="1">
        <v>-0.94404761904761503</v>
      </c>
      <c r="M383" s="1" t="s">
        <v>40</v>
      </c>
      <c r="N383" s="1">
        <v>2.5047619047618999</v>
      </c>
      <c r="O383" s="1">
        <v>4.3738095238095296</v>
      </c>
      <c r="Q383" s="1">
        <v>0.43738095238095298</v>
      </c>
      <c r="R383" s="1">
        <v>0.89477518091920805</v>
      </c>
      <c r="S383" s="20" t="s">
        <v>236</v>
      </c>
      <c r="T383" s="3" t="s">
        <v>237</v>
      </c>
      <c r="U383" s="3" t="s">
        <v>106</v>
      </c>
      <c r="V383" s="3" t="s">
        <v>238</v>
      </c>
      <c r="W383" s="3">
        <v>4</v>
      </c>
      <c r="X383" s="3">
        <v>10</v>
      </c>
      <c r="Y383" s="3">
        <v>2</v>
      </c>
      <c r="Z383" s="3">
        <v>0</v>
      </c>
      <c r="AA383" s="3">
        <v>0</v>
      </c>
      <c r="AB383" s="12">
        <f>(W383*4+X383*1+Y383*-2+Z383*-3)/W383</f>
        <v>5.5</v>
      </c>
      <c r="AC383" s="3">
        <f>W383*12.0107+X383*1.00784+Y383*15.999+Z383*14.0067</f>
        <v>90.119200000000006</v>
      </c>
      <c r="AD383" s="12">
        <v>207</v>
      </c>
      <c r="AE383" s="2" t="s">
        <v>220</v>
      </c>
      <c r="AF383" s="3" t="s">
        <v>79</v>
      </c>
      <c r="AG383" s="2" t="str">
        <f>IF(AD383&gt;37,"Proton symporter", "Diffusion")</f>
        <v>Proton symporter</v>
      </c>
      <c r="AH383" s="3" t="s">
        <v>239</v>
      </c>
    </row>
    <row r="384" spans="1:34" x14ac:dyDescent="0.2">
      <c r="A384" s="8" t="s">
        <v>34</v>
      </c>
      <c r="B384" s="9" t="s">
        <v>35</v>
      </c>
      <c r="C384" s="1" t="s">
        <v>36</v>
      </c>
      <c r="D384" s="10" t="s">
        <v>37</v>
      </c>
      <c r="E384" s="1" t="s">
        <v>216</v>
      </c>
      <c r="F384" s="1" t="s">
        <v>217</v>
      </c>
      <c r="G384" s="1">
        <v>-10</v>
      </c>
      <c r="H384" s="1">
        <v>-20</v>
      </c>
      <c r="I384" s="1" t="s">
        <v>40</v>
      </c>
      <c r="J384" s="1">
        <v>3.15</v>
      </c>
      <c r="K384" s="1">
        <v>-10</v>
      </c>
      <c r="L384" s="1">
        <v>-4.5647058823529401</v>
      </c>
      <c r="M384" s="1" t="s">
        <v>40</v>
      </c>
      <c r="N384" s="1">
        <v>4.6735294117647097</v>
      </c>
      <c r="O384" s="1">
        <v>5.1088235294117696</v>
      </c>
      <c r="Q384" s="1">
        <v>0.51088235294117701</v>
      </c>
      <c r="R384" s="1">
        <v>0.88247277574220495</v>
      </c>
      <c r="S384" s="11" t="s">
        <v>216</v>
      </c>
      <c r="T384" s="2" t="s">
        <v>218</v>
      </c>
      <c r="U384" s="3" t="s">
        <v>41</v>
      </c>
      <c r="V384" s="2" t="s">
        <v>219</v>
      </c>
      <c r="W384" s="2">
        <v>3</v>
      </c>
      <c r="X384" s="2">
        <v>8</v>
      </c>
      <c r="Y384" s="2">
        <v>2</v>
      </c>
      <c r="Z384" s="2">
        <v>0</v>
      </c>
      <c r="AA384" s="2">
        <v>0</v>
      </c>
      <c r="AB384" s="12">
        <f>(W384*4+X384*1+Y384*-2+Z384*-3)/W384</f>
        <v>5.333333333333333</v>
      </c>
      <c r="AC384" s="3">
        <f>W384*12.0107+X384*1.00784+Y384*15.999+Z384*14.0067</f>
        <v>76.092820000000003</v>
      </c>
      <c r="AD384" s="12">
        <v>213</v>
      </c>
      <c r="AE384" s="2" t="s">
        <v>220</v>
      </c>
      <c r="AF384" s="2" t="s">
        <v>98</v>
      </c>
      <c r="AG384" s="2" t="str">
        <f>IF(AD384&gt;37,"Proton symporter", "Diffusion")</f>
        <v>Proton symporter</v>
      </c>
      <c r="AH384" s="3" t="s">
        <v>221</v>
      </c>
    </row>
    <row r="385" spans="1:34" hidden="1" x14ac:dyDescent="0.2">
      <c r="A385" s="8" t="s">
        <v>34</v>
      </c>
      <c r="B385" s="9" t="s">
        <v>35</v>
      </c>
      <c r="C385" s="1" t="s">
        <v>36</v>
      </c>
      <c r="D385" s="10" t="s">
        <v>37</v>
      </c>
      <c r="E385" s="1" t="s">
        <v>249</v>
      </c>
      <c r="F385" s="1" t="s">
        <v>250</v>
      </c>
      <c r="G385" s="1">
        <v>-10</v>
      </c>
      <c r="H385" s="1">
        <v>-20</v>
      </c>
      <c r="I385" s="1" t="s">
        <v>40</v>
      </c>
      <c r="J385" s="1">
        <v>3.15</v>
      </c>
      <c r="K385" s="1">
        <v>-10</v>
      </c>
      <c r="L385" s="1">
        <v>-1.5034883720930201</v>
      </c>
      <c r="M385" s="1" t="s">
        <v>40</v>
      </c>
      <c r="N385" s="1">
        <v>2.9116279069767499</v>
      </c>
      <c r="O385" s="1">
        <v>4.2720930232558203</v>
      </c>
      <c r="Q385" s="1">
        <v>0.42720930232558202</v>
      </c>
      <c r="R385" s="1">
        <v>0.87396645578155197</v>
      </c>
      <c r="S385" s="20" t="s">
        <v>251</v>
      </c>
      <c r="T385" s="3" t="s">
        <v>252</v>
      </c>
      <c r="U385" s="3" t="s">
        <v>106</v>
      </c>
      <c r="V385" s="3" t="s">
        <v>238</v>
      </c>
      <c r="W385" s="3">
        <v>4</v>
      </c>
      <c r="X385" s="3">
        <v>10</v>
      </c>
      <c r="Y385" s="3">
        <v>2</v>
      </c>
      <c r="Z385" s="3">
        <v>0</v>
      </c>
      <c r="AA385" s="3">
        <v>0</v>
      </c>
      <c r="AB385" s="12">
        <f>(W385*4+X385*1+Y385*-2+Z385*-3)/W385</f>
        <v>5.5</v>
      </c>
      <c r="AC385" s="3">
        <f>W385*12.0107+X385*1.00784+Y385*15.999+Z385*14.0067</f>
        <v>90.119200000000006</v>
      </c>
      <c r="AD385" s="12">
        <v>177</v>
      </c>
      <c r="AE385" s="3" t="s">
        <v>220</v>
      </c>
      <c r="AF385" s="3" t="s">
        <v>135</v>
      </c>
      <c r="AG385" s="2" t="str">
        <f>IF(AD385&gt;37,"Proton symporter", "Diffusion")</f>
        <v>Proton symporter</v>
      </c>
      <c r="AH385" s="3" t="s">
        <v>253</v>
      </c>
    </row>
    <row r="386" spans="1:34" hidden="1" x14ac:dyDescent="0.2">
      <c r="A386" s="8" t="s">
        <v>34</v>
      </c>
      <c r="B386" s="9" t="s">
        <v>35</v>
      </c>
      <c r="C386" s="1" t="s">
        <v>49</v>
      </c>
      <c r="D386" s="10" t="s">
        <v>37</v>
      </c>
      <c r="E386" s="1" t="s">
        <v>189</v>
      </c>
      <c r="F386" s="1" t="s">
        <v>190</v>
      </c>
      <c r="G386" s="1">
        <v>-10</v>
      </c>
      <c r="H386" s="1">
        <v>-20</v>
      </c>
      <c r="I386" s="1" t="s">
        <v>40</v>
      </c>
      <c r="J386" s="1">
        <v>3.15</v>
      </c>
      <c r="K386" s="1">
        <v>-10</v>
      </c>
      <c r="L386" s="1">
        <v>-9.5399999999999991</v>
      </c>
      <c r="M386" s="1" t="s">
        <v>40</v>
      </c>
      <c r="N386" s="1">
        <v>2.9500000000000099</v>
      </c>
      <c r="O386" s="1">
        <v>3.41</v>
      </c>
      <c r="Q386" s="1">
        <v>0.34100000000000003</v>
      </c>
      <c r="R386" s="1">
        <v>0.86712554550459098</v>
      </c>
      <c r="S386" s="11" t="s">
        <v>189</v>
      </c>
      <c r="T386" s="2" t="s">
        <v>189</v>
      </c>
      <c r="U386" s="3" t="s">
        <v>41</v>
      </c>
      <c r="V386" s="2" t="s">
        <v>191</v>
      </c>
      <c r="W386" s="2">
        <v>5</v>
      </c>
      <c r="X386" s="2">
        <v>11</v>
      </c>
      <c r="Y386" s="2">
        <v>2</v>
      </c>
      <c r="Z386" s="2">
        <v>1</v>
      </c>
      <c r="AA386" s="2">
        <v>0</v>
      </c>
      <c r="AB386" s="12">
        <f>(W386*4+X386*1+Y386*-2+Z386*-3)/W386</f>
        <v>4.8</v>
      </c>
      <c r="AC386" s="3">
        <f>W386*12.0107+X386*1.00784+Y386*15.999+Z386*14.0067</f>
        <v>117.14444</v>
      </c>
      <c r="AD386" s="12">
        <v>247.5</v>
      </c>
      <c r="AE386" s="2" t="s">
        <v>192</v>
      </c>
      <c r="AF386" s="2" t="s">
        <v>44</v>
      </c>
      <c r="AG386" s="2" t="str">
        <f>IF(AD386&gt;37,"Proton symporter", "Diffusion")</f>
        <v>Proton symporter</v>
      </c>
      <c r="AH386" s="3" t="s">
        <v>193</v>
      </c>
    </row>
    <row r="387" spans="1:34" hidden="1" x14ac:dyDescent="0.2">
      <c r="A387" s="8" t="s">
        <v>34</v>
      </c>
      <c r="B387" s="9" t="s">
        <v>35</v>
      </c>
      <c r="C387" s="1" t="s">
        <v>49</v>
      </c>
      <c r="D387" s="10" t="s">
        <v>37</v>
      </c>
      <c r="E387" s="1" t="s">
        <v>259</v>
      </c>
      <c r="F387" s="1" t="s">
        <v>260</v>
      </c>
      <c r="G387" s="1">
        <v>-10</v>
      </c>
      <c r="H387" s="1">
        <v>-20</v>
      </c>
      <c r="I387" s="1" t="s">
        <v>40</v>
      </c>
      <c r="J387" s="1">
        <v>3.15</v>
      </c>
      <c r="K387" s="1">
        <v>-10</v>
      </c>
      <c r="L387" s="1">
        <v>-2.3747368421052601</v>
      </c>
      <c r="M387" s="1" t="s">
        <v>40</v>
      </c>
      <c r="N387" s="1">
        <v>1.5831578947368601</v>
      </c>
      <c r="O387" s="1">
        <v>4.6042105263158</v>
      </c>
      <c r="Q387" s="1">
        <v>0.46042105263158001</v>
      </c>
      <c r="R387" s="1">
        <v>0.86083532408367702</v>
      </c>
      <c r="S387" s="20" t="s">
        <v>259</v>
      </c>
      <c r="T387" s="3" t="s">
        <v>259</v>
      </c>
      <c r="U387" s="3" t="s">
        <v>106</v>
      </c>
      <c r="V387" s="3" t="s">
        <v>261</v>
      </c>
      <c r="W387" s="3">
        <v>5</v>
      </c>
      <c r="X387" s="3">
        <v>10</v>
      </c>
      <c r="Y387" s="3">
        <v>1</v>
      </c>
      <c r="Z387" s="3">
        <v>0</v>
      </c>
      <c r="AA387" s="3">
        <v>0</v>
      </c>
      <c r="AB387" s="12">
        <f>(W387*4+X387*1+Y387*-2+Z387*-3)/W387+0.02</f>
        <v>5.6199999999999992</v>
      </c>
      <c r="AC387" s="3">
        <f>W387*12.0107+X387*1.00784+Y387*15.999+Z387*14.0067</f>
        <v>86.130899999999997</v>
      </c>
      <c r="AD387" s="12">
        <v>108</v>
      </c>
      <c r="AE387" s="3" t="s">
        <v>262</v>
      </c>
      <c r="AF387" s="3" t="s">
        <v>135</v>
      </c>
      <c r="AG387" s="2" t="str">
        <f>IF(AD387&gt;37,"Proton symporter", "Diffusion")</f>
        <v>Proton symporter</v>
      </c>
      <c r="AH387" s="3" t="s">
        <v>263</v>
      </c>
    </row>
    <row r="388" spans="1:34" hidden="1" x14ac:dyDescent="0.2">
      <c r="A388" s="8" t="s">
        <v>34</v>
      </c>
      <c r="B388" s="9" t="s">
        <v>35</v>
      </c>
      <c r="C388" s="1" t="s">
        <v>36</v>
      </c>
      <c r="D388" s="10" t="s">
        <v>37</v>
      </c>
      <c r="E388" s="1" t="s">
        <v>273</v>
      </c>
      <c r="F388" s="1" t="s">
        <v>274</v>
      </c>
      <c r="G388" s="1">
        <v>-10</v>
      </c>
      <c r="H388" s="1">
        <v>-20</v>
      </c>
      <c r="I388" s="1" t="s">
        <v>40</v>
      </c>
      <c r="J388" s="1">
        <v>3.15</v>
      </c>
      <c r="K388" s="1">
        <v>-10</v>
      </c>
      <c r="L388" s="1">
        <v>-5.1405405405405498</v>
      </c>
      <c r="M388" s="1" t="s">
        <v>40</v>
      </c>
      <c r="N388" s="1">
        <v>5.1054054054054196</v>
      </c>
      <c r="O388" s="1">
        <v>4.9648648648648699</v>
      </c>
      <c r="Q388" s="1">
        <v>0.49648648648648702</v>
      </c>
      <c r="R388" s="1">
        <v>0.85813308155580603</v>
      </c>
      <c r="S388" s="22" t="s">
        <v>273</v>
      </c>
      <c r="T388" s="3" t="s">
        <v>275</v>
      </c>
      <c r="U388" s="3" t="s">
        <v>41</v>
      </c>
      <c r="V388" s="2" t="s">
        <v>276</v>
      </c>
      <c r="W388" s="2">
        <v>3</v>
      </c>
      <c r="X388" s="2">
        <v>12</v>
      </c>
      <c r="Y388" s="2">
        <v>0</v>
      </c>
      <c r="Z388" s="2">
        <v>2</v>
      </c>
      <c r="AA388" s="2">
        <v>0</v>
      </c>
      <c r="AB388" s="12">
        <f>(W388*4+X388*1+Y388*-2+Z388*-3)/W388</f>
        <v>6</v>
      </c>
      <c r="AC388" s="3">
        <f>W388*12.0107+X388*1.00784+Y388*15.999+Z388*14.0067</f>
        <v>76.139580000000009</v>
      </c>
      <c r="AD388" s="12">
        <v>139.30000000000001</v>
      </c>
      <c r="AE388" s="2" t="s">
        <v>277</v>
      </c>
      <c r="AF388" s="2" t="s">
        <v>125</v>
      </c>
      <c r="AG388" s="2" t="str">
        <f>IF(AD388&gt;37,"Proton symporter", "Diffusion")</f>
        <v>Proton symporter</v>
      </c>
      <c r="AH388" s="3" t="s">
        <v>278</v>
      </c>
    </row>
    <row r="389" spans="1:34" hidden="1" x14ac:dyDescent="0.2">
      <c r="A389" s="8" t="s">
        <v>34</v>
      </c>
      <c r="B389" s="9" t="s">
        <v>35</v>
      </c>
      <c r="C389" s="1" t="s">
        <v>49</v>
      </c>
      <c r="D389" s="10" t="s">
        <v>37</v>
      </c>
      <c r="E389" s="1" t="s">
        <v>161</v>
      </c>
      <c r="F389" s="1" t="s">
        <v>162</v>
      </c>
      <c r="G389" s="1">
        <v>-10</v>
      </c>
      <c r="H389" s="1">
        <v>-20</v>
      </c>
      <c r="I389" s="1" t="s">
        <v>40</v>
      </c>
      <c r="J389" s="1">
        <v>3.15</v>
      </c>
      <c r="K389" s="1">
        <v>-10</v>
      </c>
      <c r="L389" s="1">
        <v>-7.3758620689655299</v>
      </c>
      <c r="M389" s="1" t="s">
        <v>40</v>
      </c>
      <c r="N389" s="1">
        <v>-0.88381962864721897</v>
      </c>
      <c r="O389" s="1">
        <v>3.4806366047745301</v>
      </c>
      <c r="Q389" s="1">
        <v>0.34806366047745302</v>
      </c>
      <c r="R389" s="1">
        <v>0.83193303397780305</v>
      </c>
      <c r="S389" s="20" t="s">
        <v>161</v>
      </c>
      <c r="T389" s="3" t="s">
        <v>161</v>
      </c>
      <c r="U389" s="3" t="s">
        <v>106</v>
      </c>
      <c r="V389" s="20" t="s">
        <v>163</v>
      </c>
      <c r="W389" s="3">
        <v>6</v>
      </c>
      <c r="X389" s="3">
        <v>6</v>
      </c>
      <c r="Y389" s="3">
        <v>2</v>
      </c>
      <c r="Z389" s="3">
        <v>0</v>
      </c>
      <c r="AA389" s="3">
        <v>0</v>
      </c>
      <c r="AB389" s="12">
        <f>(W389*4+X389*1+Y389*-2+Z389*-3)/W389</f>
        <v>4.333333333333333</v>
      </c>
      <c r="AC389" s="3">
        <f>W389*12.0107+X389*1.00784+Y389*15.999+Z389*14.0067</f>
        <v>110.10924</v>
      </c>
      <c r="AD389" s="12">
        <v>245</v>
      </c>
      <c r="AE389" s="3" t="s">
        <v>164</v>
      </c>
      <c r="AF389" s="2" t="s">
        <v>98</v>
      </c>
      <c r="AG389" s="2" t="str">
        <f>IF(AD389&gt;37,"Proton symporter", "Diffusion")</f>
        <v>Proton symporter</v>
      </c>
      <c r="AH389" s="3" t="s">
        <v>165</v>
      </c>
    </row>
    <row r="390" spans="1:34" x14ac:dyDescent="0.2">
      <c r="A390" s="8" t="s">
        <v>34</v>
      </c>
      <c r="B390" s="9" t="s">
        <v>35</v>
      </c>
      <c r="C390" s="1" t="s">
        <v>60</v>
      </c>
      <c r="D390" s="13" t="s">
        <v>51</v>
      </c>
      <c r="E390" s="1" t="s">
        <v>216</v>
      </c>
      <c r="F390" s="1" t="s">
        <v>217</v>
      </c>
      <c r="G390" s="1">
        <v>-10</v>
      </c>
      <c r="H390" s="1">
        <v>-20</v>
      </c>
      <c r="I390" s="1" t="s">
        <v>40</v>
      </c>
      <c r="J390" s="1">
        <v>3.15</v>
      </c>
      <c r="K390" s="1">
        <v>-10</v>
      </c>
      <c r="L390" s="1">
        <v>-1.01992337164751</v>
      </c>
      <c r="M390" s="1" t="s">
        <v>40</v>
      </c>
      <c r="N390" s="1">
        <v>-0.48505747126437099</v>
      </c>
      <c r="O390" s="1">
        <v>3.4950191570881199</v>
      </c>
      <c r="Q390" s="1">
        <v>0.34950191570881201</v>
      </c>
      <c r="R390" s="1">
        <v>0.83001580976677503</v>
      </c>
      <c r="S390" s="11" t="s">
        <v>216</v>
      </c>
      <c r="T390" s="2" t="s">
        <v>218</v>
      </c>
      <c r="U390" s="3" t="s">
        <v>41</v>
      </c>
      <c r="V390" s="2" t="s">
        <v>219</v>
      </c>
      <c r="W390" s="2">
        <v>3</v>
      </c>
      <c r="X390" s="2">
        <v>8</v>
      </c>
      <c r="Y390" s="2">
        <v>2</v>
      </c>
      <c r="Z390" s="2">
        <v>0</v>
      </c>
      <c r="AA390" s="2">
        <v>0</v>
      </c>
      <c r="AB390" s="12">
        <f>(W390*4+X390*1+Y390*-2+Z390*-3)/W390</f>
        <v>5.333333333333333</v>
      </c>
      <c r="AC390" s="3">
        <f>W390*12.0107+X390*1.00784+Y390*15.999+Z390*14.0067</f>
        <v>76.092820000000003</v>
      </c>
      <c r="AD390" s="12">
        <v>213</v>
      </c>
      <c r="AE390" s="2" t="s">
        <v>220</v>
      </c>
      <c r="AF390" s="2" t="s">
        <v>98</v>
      </c>
      <c r="AG390" s="2" t="str">
        <f>IF(AD390&gt;37,"Proton symporter", "Diffusion")</f>
        <v>Proton symporter</v>
      </c>
      <c r="AH390" s="3" t="s">
        <v>221</v>
      </c>
    </row>
    <row r="391" spans="1:34" x14ac:dyDescent="0.2">
      <c r="A391" s="8" t="s">
        <v>34</v>
      </c>
      <c r="B391" s="9" t="s">
        <v>35</v>
      </c>
      <c r="C391" s="1" t="s">
        <v>59</v>
      </c>
      <c r="D391" s="13" t="s">
        <v>51</v>
      </c>
      <c r="E391" s="1" t="s">
        <v>216</v>
      </c>
      <c r="F391" s="1" t="s">
        <v>217</v>
      </c>
      <c r="G391" s="1">
        <v>-10</v>
      </c>
      <c r="H391" s="1">
        <v>-20</v>
      </c>
      <c r="I391" s="1" t="s">
        <v>40</v>
      </c>
      <c r="J391" s="1">
        <v>3.15</v>
      </c>
      <c r="K391" s="1">
        <v>-10</v>
      </c>
      <c r="L391" s="1">
        <v>-1.01992337164751</v>
      </c>
      <c r="M391" s="1" t="s">
        <v>40</v>
      </c>
      <c r="N391" s="1">
        <v>-0.48505747126437398</v>
      </c>
      <c r="O391" s="1">
        <v>3.4950191570881199</v>
      </c>
      <c r="Q391" s="1">
        <v>0.34950191570881201</v>
      </c>
      <c r="R391" s="1">
        <v>0.83001580976677403</v>
      </c>
      <c r="S391" s="11" t="s">
        <v>216</v>
      </c>
      <c r="T391" s="2" t="s">
        <v>218</v>
      </c>
      <c r="U391" s="3" t="s">
        <v>41</v>
      </c>
      <c r="V391" s="2" t="s">
        <v>219</v>
      </c>
      <c r="W391" s="2">
        <v>3</v>
      </c>
      <c r="X391" s="2">
        <v>8</v>
      </c>
      <c r="Y391" s="2">
        <v>2</v>
      </c>
      <c r="Z391" s="2">
        <v>0</v>
      </c>
      <c r="AA391" s="2">
        <v>0</v>
      </c>
      <c r="AB391" s="12">
        <f>(W391*4+X391*1+Y391*-2+Z391*-3)/W391</f>
        <v>5.333333333333333</v>
      </c>
      <c r="AC391" s="3">
        <f>W391*12.0107+X391*1.00784+Y391*15.999+Z391*14.0067</f>
        <v>76.092820000000003</v>
      </c>
      <c r="AD391" s="12">
        <v>213</v>
      </c>
      <c r="AE391" s="2" t="s">
        <v>220</v>
      </c>
      <c r="AF391" s="2" t="s">
        <v>98</v>
      </c>
      <c r="AG391" s="2" t="str">
        <f>IF(AD391&gt;37,"Proton symporter", "Diffusion")</f>
        <v>Proton symporter</v>
      </c>
      <c r="AH391" s="3" t="s">
        <v>221</v>
      </c>
    </row>
    <row r="392" spans="1:34" hidden="1" x14ac:dyDescent="0.2">
      <c r="A392" s="8" t="s">
        <v>34</v>
      </c>
      <c r="B392" s="9" t="s">
        <v>35</v>
      </c>
      <c r="C392" s="1" t="s">
        <v>36</v>
      </c>
      <c r="D392" s="10" t="s">
        <v>37</v>
      </c>
      <c r="E392" s="1" t="s">
        <v>244</v>
      </c>
      <c r="F392" s="1" t="s">
        <v>245</v>
      </c>
      <c r="G392" s="1">
        <v>-10</v>
      </c>
      <c r="H392" s="1">
        <v>-20</v>
      </c>
      <c r="I392" s="1" t="s">
        <v>40</v>
      </c>
      <c r="J392" s="1">
        <v>3.15</v>
      </c>
      <c r="K392" s="1">
        <v>-10</v>
      </c>
      <c r="L392" s="1">
        <v>-2.78255813953488</v>
      </c>
      <c r="M392" s="1" t="s">
        <v>40</v>
      </c>
      <c r="N392" s="1">
        <v>3.84186046511627</v>
      </c>
      <c r="O392" s="1">
        <v>4.0395348837209299</v>
      </c>
      <c r="Q392" s="1">
        <v>0.40395348837209299</v>
      </c>
      <c r="R392" s="1">
        <v>0.82639070968565798</v>
      </c>
      <c r="S392" s="20" t="s">
        <v>246</v>
      </c>
      <c r="T392" s="3" t="s">
        <v>247</v>
      </c>
      <c r="U392" s="3" t="s">
        <v>106</v>
      </c>
      <c r="V392" s="3" t="s">
        <v>238</v>
      </c>
      <c r="W392" s="3">
        <v>4</v>
      </c>
      <c r="X392" s="3">
        <v>10</v>
      </c>
      <c r="Y392" s="3">
        <v>2</v>
      </c>
      <c r="Z392" s="3">
        <v>0</v>
      </c>
      <c r="AA392" s="3">
        <v>0</v>
      </c>
      <c r="AB392" s="12">
        <f>(W392*4+X392*1+Y392*-2+Z392*-3)/W392</f>
        <v>5.5</v>
      </c>
      <c r="AC392" s="3">
        <f>W392*12.0107+X392*1.00784+Y392*15.999+Z392*14.0067</f>
        <v>90.119200000000006</v>
      </c>
      <c r="AD392" s="12">
        <v>230</v>
      </c>
      <c r="AE392" s="2" t="s">
        <v>220</v>
      </c>
      <c r="AF392" s="3" t="s">
        <v>120</v>
      </c>
      <c r="AG392" s="2" t="str">
        <f>IF(AD392&gt;37,"Proton symporter", "Diffusion")</f>
        <v>Proton symporter</v>
      </c>
      <c r="AH392" s="3" t="s">
        <v>248</v>
      </c>
    </row>
    <row r="393" spans="1:34" hidden="1" x14ac:dyDescent="0.2">
      <c r="A393" s="8" t="s">
        <v>34</v>
      </c>
      <c r="B393" s="9" t="s">
        <v>35</v>
      </c>
      <c r="C393" s="1" t="s">
        <v>49</v>
      </c>
      <c r="D393" s="10" t="s">
        <v>37</v>
      </c>
      <c r="E393" s="1" t="s">
        <v>146</v>
      </c>
      <c r="F393" s="1" t="s">
        <v>147</v>
      </c>
      <c r="G393" s="1">
        <v>-10</v>
      </c>
      <c r="H393" s="1">
        <v>-20</v>
      </c>
      <c r="I393" s="1" t="s">
        <v>40</v>
      </c>
      <c r="J393" s="1">
        <v>3.15</v>
      </c>
      <c r="K393" s="1">
        <v>-10</v>
      </c>
      <c r="L393" s="1">
        <v>-8.0915641476274196</v>
      </c>
      <c r="M393" s="1" t="s">
        <v>40</v>
      </c>
      <c r="N393" s="1">
        <v>-0.75536028119507403</v>
      </c>
      <c r="O393" s="1">
        <v>2.3061511423550098</v>
      </c>
      <c r="Q393" s="1">
        <v>0.23061511423550099</v>
      </c>
      <c r="R393" s="1">
        <v>0.81672513532364899</v>
      </c>
      <c r="S393" s="20" t="s">
        <v>148</v>
      </c>
      <c r="T393" s="3" t="s">
        <v>148</v>
      </c>
      <c r="U393" s="3" t="s">
        <v>106</v>
      </c>
      <c r="V393" s="3" t="s">
        <v>149</v>
      </c>
      <c r="W393" s="3">
        <v>9</v>
      </c>
      <c r="X393" s="3">
        <v>7</v>
      </c>
      <c r="Y393" s="3">
        <v>3</v>
      </c>
      <c r="Z393" s="3">
        <v>0</v>
      </c>
      <c r="AA393" s="3">
        <v>-1</v>
      </c>
      <c r="AB393" s="12">
        <f>(W393*4+X393*1+Y393*-2+Z393*-3)/W393</f>
        <v>4.1111111111111107</v>
      </c>
      <c r="AC393" s="3">
        <f>W393*12.0107+X393*1.00784+Y393*15.999+Z393*14.0067</f>
        <v>163.14818</v>
      </c>
      <c r="AD393" s="12">
        <v>346</v>
      </c>
      <c r="AE393" s="22" t="s">
        <v>139</v>
      </c>
      <c r="AF393" s="2" t="s">
        <v>150</v>
      </c>
      <c r="AG393" s="2" t="str">
        <f>IF(AD393&gt;37,"Proton symporter", "Diffusion")</f>
        <v>Proton symporter</v>
      </c>
      <c r="AH393" s="3" t="s">
        <v>151</v>
      </c>
    </row>
    <row r="394" spans="1:34" x14ac:dyDescent="0.2">
      <c r="A394" s="8" t="s">
        <v>350</v>
      </c>
      <c r="B394" s="17" t="s">
        <v>64</v>
      </c>
      <c r="C394" t="s">
        <v>352</v>
      </c>
      <c r="D394" s="13" t="s">
        <v>51</v>
      </c>
      <c r="E394" t="s">
        <v>216</v>
      </c>
      <c r="F394" t="s">
        <v>217</v>
      </c>
      <c r="G394">
        <v>-10</v>
      </c>
      <c r="H394">
        <v>0</v>
      </c>
      <c r="I394">
        <v>0</v>
      </c>
      <c r="J394">
        <v>0.45</v>
      </c>
      <c r="K394">
        <v>-10</v>
      </c>
      <c r="L394">
        <v>0</v>
      </c>
      <c r="M394" s="26">
        <v>3.3333333333333299</v>
      </c>
      <c r="N394">
        <v>0</v>
      </c>
      <c r="O394" s="26">
        <v>3.3333333333333299</v>
      </c>
      <c r="P394"/>
      <c r="Q394" s="26">
        <v>0.33333333333333298</v>
      </c>
      <c r="R394">
        <v>0.80857613627355596</v>
      </c>
      <c r="S394" s="3" t="str">
        <f>VLOOKUP($E394,'[1]Product Naming'!$A$1:$P$58,2)</f>
        <v>1-3-Propanediol</v>
      </c>
      <c r="T394" s="3" t="str">
        <f>VLOOKUP($E394,'[1]Product Naming'!$A$1:$P$58,3)</f>
        <v>1,3-Propanediol</v>
      </c>
      <c r="U394" s="3" t="str">
        <f>VLOOKUP($E394,'[1]Product Naming'!$A$1:$P$58,4)</f>
        <v>A</v>
      </c>
      <c r="V394" s="3" t="str">
        <f>VLOOKUP($E394,'[1]Product Naming'!$A$1:$P$58,5)</f>
        <v>C3H8O2</v>
      </c>
      <c r="W394" s="3">
        <f>VLOOKUP($E394,'[1]Product Naming'!$A$1:$P$58,6)</f>
        <v>3</v>
      </c>
      <c r="X394" s="3">
        <f>VLOOKUP($E394,'[1]Product Naming'!$A$1:$P$58,7)</f>
        <v>8</v>
      </c>
      <c r="Y394" s="3">
        <f>VLOOKUP($E394,'[1]Product Naming'!$A$1:$P$58,8)</f>
        <v>2</v>
      </c>
      <c r="Z394" s="3">
        <f>VLOOKUP($E394,'[1]Product Naming'!$A$1:$P$58,9)</f>
        <v>0</v>
      </c>
      <c r="AA394" s="3">
        <f>VLOOKUP($E394,'[1]Product Naming'!$A$1:$P$58,10)</f>
        <v>0</v>
      </c>
      <c r="AB394" s="3">
        <f>VLOOKUP($E394,'[1]Product Naming'!$A$1:$P$58,11)</f>
        <v>5.333333333333333</v>
      </c>
      <c r="AC394" s="3">
        <f>VLOOKUP($E394,'[1]Product Naming'!$A$1:$P$58,12)</f>
        <v>76.092820000000003</v>
      </c>
      <c r="AD394" s="3">
        <f>VLOOKUP($E394,'[1]Product Naming'!$A$1:$P$58,13)</f>
        <v>213</v>
      </c>
      <c r="AE394" s="3" t="str">
        <f>VLOOKUP($E394,'[1]Product Naming'!$A$1:$P$58,14)</f>
        <v>Diol</v>
      </c>
      <c r="AF394" s="3" t="str">
        <f>VLOOKUP($E394,'[1]Product Naming'!$A$1:$P$58,15)</f>
        <v>Glyceraldehyde 3-P</v>
      </c>
      <c r="AG394" s="3" t="str">
        <f>VLOOKUP($E394,'[1]Product Naming'!$A$1:$P$58,16)</f>
        <v>Proton symporter</v>
      </c>
      <c r="AH394" s="3" t="str">
        <f>VLOOKUP($E394,'[1]Product Naming'!$A$1:$Q$58,17)</f>
        <v>13ppd_c</v>
      </c>
    </row>
    <row r="395" spans="1:34" x14ac:dyDescent="0.2">
      <c r="A395" s="8" t="s">
        <v>350</v>
      </c>
      <c r="B395" s="17" t="s">
        <v>64</v>
      </c>
      <c r="C395" t="s">
        <v>354</v>
      </c>
      <c r="D395" s="13" t="s">
        <v>51</v>
      </c>
      <c r="E395" t="s">
        <v>216</v>
      </c>
      <c r="F395" t="s">
        <v>217</v>
      </c>
      <c r="G395">
        <v>-10</v>
      </c>
      <c r="H395">
        <v>0</v>
      </c>
      <c r="I395">
        <v>0</v>
      </c>
      <c r="J395">
        <v>0.45</v>
      </c>
      <c r="K395">
        <v>-10</v>
      </c>
      <c r="L395">
        <v>0</v>
      </c>
      <c r="M395" s="26">
        <v>3.3333333333333202</v>
      </c>
      <c r="N395">
        <v>0</v>
      </c>
      <c r="O395" s="26">
        <v>3.3333333333333299</v>
      </c>
      <c r="P395"/>
      <c r="Q395" s="26">
        <v>0.33333333333333298</v>
      </c>
      <c r="R395" s="26">
        <v>0.80857613627355596</v>
      </c>
      <c r="S395" s="3" t="str">
        <f>VLOOKUP($E395,'[1]Product Naming'!$A$1:$P$58,2)</f>
        <v>1-3-Propanediol</v>
      </c>
      <c r="T395" s="3" t="str">
        <f>VLOOKUP($E395,'[1]Product Naming'!$A$1:$P$58,3)</f>
        <v>1,3-Propanediol</v>
      </c>
      <c r="U395" s="3" t="str">
        <f>VLOOKUP($E395,'[1]Product Naming'!$A$1:$P$58,4)</f>
        <v>A</v>
      </c>
      <c r="V395" s="3" t="str">
        <f>VLOOKUP($E395,'[1]Product Naming'!$A$1:$P$58,5)</f>
        <v>C3H8O2</v>
      </c>
      <c r="W395" s="3">
        <f>VLOOKUP($E395,'[1]Product Naming'!$A$1:$P$58,6)</f>
        <v>3</v>
      </c>
      <c r="X395" s="3">
        <f>VLOOKUP($E395,'[1]Product Naming'!$A$1:$P$58,7)</f>
        <v>8</v>
      </c>
      <c r="Y395" s="3">
        <f>VLOOKUP($E395,'[1]Product Naming'!$A$1:$P$58,8)</f>
        <v>2</v>
      </c>
      <c r="Z395" s="3">
        <f>VLOOKUP($E395,'[1]Product Naming'!$A$1:$P$58,9)</f>
        <v>0</v>
      </c>
      <c r="AA395" s="3">
        <f>VLOOKUP($E395,'[1]Product Naming'!$A$1:$P$58,10)</f>
        <v>0</v>
      </c>
      <c r="AB395" s="3">
        <f>VLOOKUP($E395,'[1]Product Naming'!$A$1:$P$58,11)</f>
        <v>5.333333333333333</v>
      </c>
      <c r="AC395" s="3">
        <f>VLOOKUP($E395,'[1]Product Naming'!$A$1:$P$58,12)</f>
        <v>76.092820000000003</v>
      </c>
      <c r="AD395" s="3">
        <f>VLOOKUP($E395,'[1]Product Naming'!$A$1:$P$58,13)</f>
        <v>213</v>
      </c>
      <c r="AE395" s="3" t="str">
        <f>VLOOKUP($E395,'[1]Product Naming'!$A$1:$P$58,14)</f>
        <v>Diol</v>
      </c>
      <c r="AF395" s="3" t="str">
        <f>VLOOKUP($E395,'[1]Product Naming'!$A$1:$P$58,15)</f>
        <v>Glyceraldehyde 3-P</v>
      </c>
      <c r="AG395" s="3" t="str">
        <f>VLOOKUP($E395,'[1]Product Naming'!$A$1:$P$58,16)</f>
        <v>Proton symporter</v>
      </c>
      <c r="AH395" s="3" t="str">
        <f>VLOOKUP($E395,'[1]Product Naming'!$A$1:$Q$58,17)</f>
        <v>13ppd_c</v>
      </c>
    </row>
    <row r="396" spans="1:34" x14ac:dyDescent="0.2">
      <c r="A396" s="8" t="s">
        <v>350</v>
      </c>
      <c r="B396" s="17" t="s">
        <v>64</v>
      </c>
      <c r="C396" t="s">
        <v>351</v>
      </c>
      <c r="D396" s="13" t="s">
        <v>51</v>
      </c>
      <c r="E396" t="s">
        <v>216</v>
      </c>
      <c r="F396" t="s">
        <v>217</v>
      </c>
      <c r="G396">
        <v>-10</v>
      </c>
      <c r="H396">
        <v>0</v>
      </c>
      <c r="I396">
        <v>0</v>
      </c>
      <c r="J396">
        <v>0.45</v>
      </c>
      <c r="K396">
        <v>-10</v>
      </c>
      <c r="L396">
        <v>0</v>
      </c>
      <c r="M396" s="26">
        <v>3.3333333333333202</v>
      </c>
      <c r="N396">
        <v>0</v>
      </c>
      <c r="O396" s="26">
        <v>3.3333333333333299</v>
      </c>
      <c r="P396"/>
      <c r="Q396" s="26">
        <v>0.33333333333333298</v>
      </c>
      <c r="R396" s="26">
        <v>0.80857613627355496</v>
      </c>
      <c r="S396" s="3" t="str">
        <f>VLOOKUP($E396,'[1]Product Naming'!$A$1:$P$58,2)</f>
        <v>1-3-Propanediol</v>
      </c>
      <c r="T396" s="3" t="str">
        <f>VLOOKUP($E396,'[1]Product Naming'!$A$1:$P$58,3)</f>
        <v>1,3-Propanediol</v>
      </c>
      <c r="U396" s="3" t="str">
        <f>VLOOKUP($E396,'[1]Product Naming'!$A$1:$P$58,4)</f>
        <v>A</v>
      </c>
      <c r="V396" s="3" t="str">
        <f>VLOOKUP($E396,'[1]Product Naming'!$A$1:$P$58,5)</f>
        <v>C3H8O2</v>
      </c>
      <c r="W396" s="3">
        <f>VLOOKUP($E396,'[1]Product Naming'!$A$1:$P$58,6)</f>
        <v>3</v>
      </c>
      <c r="X396" s="3">
        <f>VLOOKUP($E396,'[1]Product Naming'!$A$1:$P$58,7)</f>
        <v>8</v>
      </c>
      <c r="Y396" s="3">
        <f>VLOOKUP($E396,'[1]Product Naming'!$A$1:$P$58,8)</f>
        <v>2</v>
      </c>
      <c r="Z396" s="3">
        <f>VLOOKUP($E396,'[1]Product Naming'!$A$1:$P$58,9)</f>
        <v>0</v>
      </c>
      <c r="AA396" s="3">
        <f>VLOOKUP($E396,'[1]Product Naming'!$A$1:$P$58,10)</f>
        <v>0</v>
      </c>
      <c r="AB396" s="3">
        <f>VLOOKUP($E396,'[1]Product Naming'!$A$1:$P$58,11)</f>
        <v>5.333333333333333</v>
      </c>
      <c r="AC396" s="3">
        <f>VLOOKUP($E396,'[1]Product Naming'!$A$1:$P$58,12)</f>
        <v>76.092820000000003</v>
      </c>
      <c r="AD396" s="3">
        <f>VLOOKUP($E396,'[1]Product Naming'!$A$1:$P$58,13)</f>
        <v>213</v>
      </c>
      <c r="AE396" s="3" t="str">
        <f>VLOOKUP($E396,'[1]Product Naming'!$A$1:$P$58,14)</f>
        <v>Diol</v>
      </c>
      <c r="AF396" s="3" t="str">
        <f>VLOOKUP($E396,'[1]Product Naming'!$A$1:$P$58,15)</f>
        <v>Glyceraldehyde 3-P</v>
      </c>
      <c r="AG396" s="3" t="str">
        <f>VLOOKUP($E396,'[1]Product Naming'!$A$1:$P$58,16)</f>
        <v>Proton symporter</v>
      </c>
      <c r="AH396" s="3" t="str">
        <f>VLOOKUP($E396,'[1]Product Naming'!$A$1:$Q$58,17)</f>
        <v>13ppd_c</v>
      </c>
    </row>
    <row r="397" spans="1:34" x14ac:dyDescent="0.2">
      <c r="A397" s="8" t="s">
        <v>350</v>
      </c>
      <c r="B397" s="17" t="s">
        <v>64</v>
      </c>
      <c r="C397" t="s">
        <v>353</v>
      </c>
      <c r="D397" s="13" t="s">
        <v>51</v>
      </c>
      <c r="E397" t="s">
        <v>216</v>
      </c>
      <c r="F397" t="s">
        <v>217</v>
      </c>
      <c r="G397">
        <v>-10</v>
      </c>
      <c r="H397">
        <v>0</v>
      </c>
      <c r="I397">
        <v>0</v>
      </c>
      <c r="J397">
        <v>0.45</v>
      </c>
      <c r="K397">
        <v>-10</v>
      </c>
      <c r="L397">
        <v>0</v>
      </c>
      <c r="M397" s="26">
        <v>3.3333333333333299</v>
      </c>
      <c r="N397">
        <v>0</v>
      </c>
      <c r="O397" s="26">
        <v>3.3333333333333299</v>
      </c>
      <c r="P397"/>
      <c r="Q397" s="26">
        <v>0.33333333333333298</v>
      </c>
      <c r="R397" s="26">
        <v>0.80857613627355496</v>
      </c>
      <c r="S397" s="3" t="str">
        <f>VLOOKUP($E397,'[1]Product Naming'!$A$1:$P$58,2)</f>
        <v>1-3-Propanediol</v>
      </c>
      <c r="T397" s="3" t="str">
        <f>VLOOKUP($E397,'[1]Product Naming'!$A$1:$P$58,3)</f>
        <v>1,3-Propanediol</v>
      </c>
      <c r="U397" s="3" t="str">
        <f>VLOOKUP($E397,'[1]Product Naming'!$A$1:$P$58,4)</f>
        <v>A</v>
      </c>
      <c r="V397" s="3" t="str">
        <f>VLOOKUP($E397,'[1]Product Naming'!$A$1:$P$58,5)</f>
        <v>C3H8O2</v>
      </c>
      <c r="W397" s="3">
        <f>VLOOKUP($E397,'[1]Product Naming'!$A$1:$P$58,6)</f>
        <v>3</v>
      </c>
      <c r="X397" s="3">
        <f>VLOOKUP($E397,'[1]Product Naming'!$A$1:$P$58,7)</f>
        <v>8</v>
      </c>
      <c r="Y397" s="3">
        <f>VLOOKUP($E397,'[1]Product Naming'!$A$1:$P$58,8)</f>
        <v>2</v>
      </c>
      <c r="Z397" s="3">
        <f>VLOOKUP($E397,'[1]Product Naming'!$A$1:$P$58,9)</f>
        <v>0</v>
      </c>
      <c r="AA397" s="3">
        <f>VLOOKUP($E397,'[1]Product Naming'!$A$1:$P$58,10)</f>
        <v>0</v>
      </c>
      <c r="AB397" s="3">
        <f>VLOOKUP($E397,'[1]Product Naming'!$A$1:$P$58,11)</f>
        <v>5.333333333333333</v>
      </c>
      <c r="AC397" s="3">
        <f>VLOOKUP($E397,'[1]Product Naming'!$A$1:$P$58,12)</f>
        <v>76.092820000000003</v>
      </c>
      <c r="AD397" s="3">
        <f>VLOOKUP($E397,'[1]Product Naming'!$A$1:$P$58,13)</f>
        <v>213</v>
      </c>
      <c r="AE397" s="3" t="str">
        <f>VLOOKUP($E397,'[1]Product Naming'!$A$1:$P$58,14)</f>
        <v>Diol</v>
      </c>
      <c r="AF397" s="3" t="str">
        <f>VLOOKUP($E397,'[1]Product Naming'!$A$1:$P$58,15)</f>
        <v>Glyceraldehyde 3-P</v>
      </c>
      <c r="AG397" s="3" t="str">
        <f>VLOOKUP($E397,'[1]Product Naming'!$A$1:$P$58,16)</f>
        <v>Proton symporter</v>
      </c>
      <c r="AH397" s="3" t="str">
        <f>VLOOKUP($E397,'[1]Product Naming'!$A$1:$Q$58,17)</f>
        <v>13ppd_c</v>
      </c>
    </row>
    <row r="398" spans="1:34" x14ac:dyDescent="0.2">
      <c r="A398" s="16" t="s">
        <v>63</v>
      </c>
      <c r="B398" s="17" t="s">
        <v>64</v>
      </c>
      <c r="C398" t="s">
        <v>69</v>
      </c>
      <c r="D398" s="18" t="s">
        <v>66</v>
      </c>
      <c r="E398" t="s">
        <v>216</v>
      </c>
      <c r="F398" t="s">
        <v>217</v>
      </c>
      <c r="G398">
        <v>-10</v>
      </c>
      <c r="H398">
        <v>0</v>
      </c>
      <c r="I398">
        <v>-20</v>
      </c>
      <c r="J398">
        <v>0.45</v>
      </c>
      <c r="K398">
        <v>-10</v>
      </c>
      <c r="L398">
        <v>0</v>
      </c>
      <c r="M398">
        <v>-16.6666666666667</v>
      </c>
      <c r="N398">
        <v>0</v>
      </c>
      <c r="O398">
        <v>3.3333333333333299</v>
      </c>
      <c r="P398"/>
      <c r="Q398">
        <v>0.33333333333333298</v>
      </c>
      <c r="R398" s="19">
        <v>0.80838011261021903</v>
      </c>
      <c r="S398" s="11" t="s">
        <v>216</v>
      </c>
      <c r="T398" s="2" t="s">
        <v>218</v>
      </c>
      <c r="U398" s="3" t="s">
        <v>41</v>
      </c>
      <c r="V398" s="2" t="s">
        <v>219</v>
      </c>
      <c r="W398" s="2">
        <v>3</v>
      </c>
      <c r="X398" s="2">
        <v>8</v>
      </c>
      <c r="Y398" s="2">
        <v>2</v>
      </c>
      <c r="Z398" s="2">
        <v>0</v>
      </c>
      <c r="AA398" s="2">
        <v>0</v>
      </c>
      <c r="AB398" s="12">
        <f>(W398*4+X398*1+Y398*-2+Z398*-3)/W398</f>
        <v>5.333333333333333</v>
      </c>
      <c r="AC398" s="3">
        <f>W398*12.0107+X398*1.00784+Y398*15.999+Z398*14.0067</f>
        <v>76.092820000000003</v>
      </c>
      <c r="AD398" s="12">
        <v>213</v>
      </c>
      <c r="AE398" s="2" t="s">
        <v>220</v>
      </c>
      <c r="AF398" s="2" t="s">
        <v>98</v>
      </c>
      <c r="AG398" s="2" t="str">
        <f>IF(AD398&gt;37,"Proton symporter", "Diffusion")</f>
        <v>Proton symporter</v>
      </c>
      <c r="AH398" s="3" t="s">
        <v>221</v>
      </c>
    </row>
    <row r="399" spans="1:34" hidden="1" x14ac:dyDescent="0.2">
      <c r="A399" s="8" t="s">
        <v>34</v>
      </c>
      <c r="B399" s="9" t="s">
        <v>35</v>
      </c>
      <c r="C399" s="1" t="s">
        <v>49</v>
      </c>
      <c r="D399" s="10" t="s">
        <v>37</v>
      </c>
      <c r="E399" s="1" t="s">
        <v>222</v>
      </c>
      <c r="F399" s="1" t="s">
        <v>223</v>
      </c>
      <c r="G399" s="1">
        <v>-10</v>
      </c>
      <c r="H399" s="1">
        <v>-20</v>
      </c>
      <c r="I399" s="1" t="s">
        <v>40</v>
      </c>
      <c r="J399" s="1">
        <v>3.15</v>
      </c>
      <c r="K399" s="1">
        <v>-10</v>
      </c>
      <c r="L399" s="1">
        <v>-4.50810810810811</v>
      </c>
      <c r="M399" s="1" t="s">
        <v>40</v>
      </c>
      <c r="N399" s="1">
        <v>0.88108108108104599</v>
      </c>
      <c r="O399" s="1">
        <v>6.3729729729729696</v>
      </c>
      <c r="Q399" s="1">
        <v>0.63729729729729701</v>
      </c>
      <c r="R399" s="1">
        <v>0.803453407744256</v>
      </c>
      <c r="S399" s="11" t="s">
        <v>222</v>
      </c>
      <c r="T399" s="2" t="s">
        <v>222</v>
      </c>
      <c r="U399" s="3" t="s">
        <v>41</v>
      </c>
      <c r="V399" s="2" t="s">
        <v>224</v>
      </c>
      <c r="W399" s="2">
        <v>3</v>
      </c>
      <c r="X399" s="2">
        <v>6</v>
      </c>
      <c r="Y399" s="2">
        <v>1</v>
      </c>
      <c r="Z399" s="2">
        <v>0</v>
      </c>
      <c r="AA399" s="2">
        <v>0</v>
      </c>
      <c r="AB399" s="12">
        <f>(W399*4+X399*1+Y399*-2+Z399*-3)/W399</f>
        <v>5.333333333333333</v>
      </c>
      <c r="AC399" s="3">
        <f>W399*12.0107+X399*1.00784+Y399*15.999+Z399*14.0067</f>
        <v>58.078140000000005</v>
      </c>
      <c r="AD399" s="12">
        <v>56</v>
      </c>
      <c r="AE399" s="2" t="s">
        <v>225</v>
      </c>
      <c r="AF399" s="2" t="s">
        <v>79</v>
      </c>
      <c r="AG399" s="2" t="str">
        <f>IF(AD399&gt;37,"Proton symporter", "Diffusion")</f>
        <v>Proton symporter</v>
      </c>
      <c r="AH399" s="3" t="s">
        <v>226</v>
      </c>
    </row>
    <row r="400" spans="1:34" hidden="1" x14ac:dyDescent="0.2">
      <c r="A400" s="16" t="s">
        <v>74</v>
      </c>
      <c r="B400" s="9" t="s">
        <v>35</v>
      </c>
      <c r="C400" t="s">
        <v>59</v>
      </c>
      <c r="D400" s="13" t="s">
        <v>51</v>
      </c>
      <c r="E400" t="s">
        <v>194</v>
      </c>
      <c r="F400" t="s">
        <v>195</v>
      </c>
      <c r="G400">
        <v>-10</v>
      </c>
      <c r="H400">
        <v>-20</v>
      </c>
      <c r="I400" s="1" t="s">
        <v>40</v>
      </c>
      <c r="J400">
        <v>3.15</v>
      </c>
      <c r="K400">
        <v>-10</v>
      </c>
      <c r="L400">
        <v>-2.9064393939393902</v>
      </c>
      <c r="M400" s="1" t="s">
        <v>40</v>
      </c>
      <c r="N400">
        <v>-0.36590909090909501</v>
      </c>
      <c r="O400">
        <v>1.7276515151515099</v>
      </c>
      <c r="P400"/>
      <c r="Q400">
        <v>0.17276515151515101</v>
      </c>
      <c r="R400">
        <v>0.793664613467844</v>
      </c>
      <c r="S400" s="3" t="s">
        <v>194</v>
      </c>
      <c r="T400" s="2" t="s">
        <v>196</v>
      </c>
      <c r="U400" s="3" t="s">
        <v>35</v>
      </c>
      <c r="V400" s="3" t="s">
        <v>197</v>
      </c>
      <c r="W400" s="3">
        <v>6</v>
      </c>
      <c r="X400" s="3">
        <v>15</v>
      </c>
      <c r="Y400" s="3">
        <v>2</v>
      </c>
      <c r="Z400" s="3">
        <v>2</v>
      </c>
      <c r="AA400" s="3">
        <v>1</v>
      </c>
      <c r="AB400" s="12">
        <f>(W400*4+X400*1+Y400*-2+Z400*-3)/W400</f>
        <v>4.833333333333333</v>
      </c>
      <c r="AC400" s="3">
        <f>W400*12.0107+X400*1.00784+Y400*15.999+Z400*14.0067</f>
        <v>147.19319999999999</v>
      </c>
      <c r="AD400" s="12" t="s">
        <v>40</v>
      </c>
      <c r="AE400" s="3" t="s">
        <v>119</v>
      </c>
      <c r="AF400" s="3" t="s">
        <v>44</v>
      </c>
      <c r="AG400" s="2" t="s">
        <v>80</v>
      </c>
      <c r="AH400" s="2" t="s">
        <v>198</v>
      </c>
    </row>
    <row r="401" spans="1:34" hidden="1" x14ac:dyDescent="0.2">
      <c r="A401" s="16" t="s">
        <v>74</v>
      </c>
      <c r="B401" s="9" t="s">
        <v>35</v>
      </c>
      <c r="C401" t="s">
        <v>60</v>
      </c>
      <c r="D401" s="13" t="s">
        <v>51</v>
      </c>
      <c r="E401" t="s">
        <v>194</v>
      </c>
      <c r="F401" t="s">
        <v>195</v>
      </c>
      <c r="G401">
        <v>-10</v>
      </c>
      <c r="H401">
        <v>-20</v>
      </c>
      <c r="I401" s="1" t="s">
        <v>40</v>
      </c>
      <c r="J401">
        <v>3.15</v>
      </c>
      <c r="K401">
        <v>-10</v>
      </c>
      <c r="L401">
        <v>-2.9064393939393902</v>
      </c>
      <c r="M401" s="1" t="s">
        <v>40</v>
      </c>
      <c r="N401">
        <v>-0.36590909090909002</v>
      </c>
      <c r="O401">
        <v>1.7276515151515099</v>
      </c>
      <c r="P401"/>
      <c r="Q401">
        <v>0.17276515151515101</v>
      </c>
      <c r="R401">
        <v>0.793664613467844</v>
      </c>
      <c r="S401" s="3" t="s">
        <v>194</v>
      </c>
      <c r="T401" s="2" t="s">
        <v>196</v>
      </c>
      <c r="U401" s="3" t="s">
        <v>35</v>
      </c>
      <c r="V401" s="3" t="s">
        <v>197</v>
      </c>
      <c r="W401" s="3">
        <v>6</v>
      </c>
      <c r="X401" s="3">
        <v>15</v>
      </c>
      <c r="Y401" s="3">
        <v>2</v>
      </c>
      <c r="Z401" s="3">
        <v>2</v>
      </c>
      <c r="AA401" s="3">
        <v>1</v>
      </c>
      <c r="AB401" s="12">
        <f>(W401*4+X401*1+Y401*-2+Z401*-3)/W401</f>
        <v>4.833333333333333</v>
      </c>
      <c r="AC401" s="3">
        <f>W401*12.0107+X401*1.00784+Y401*15.999+Z401*14.0067</f>
        <v>147.19319999999999</v>
      </c>
      <c r="AD401" s="12" t="s">
        <v>40</v>
      </c>
      <c r="AE401" s="3" t="s">
        <v>119</v>
      </c>
      <c r="AF401" s="3" t="s">
        <v>44</v>
      </c>
      <c r="AG401" s="2" t="s">
        <v>80</v>
      </c>
      <c r="AH401" s="2" t="s">
        <v>198</v>
      </c>
    </row>
    <row r="402" spans="1:34" hidden="1" x14ac:dyDescent="0.2">
      <c r="A402" s="8" t="s">
        <v>34</v>
      </c>
      <c r="B402" s="9" t="s">
        <v>35</v>
      </c>
      <c r="C402" s="1" t="s">
        <v>49</v>
      </c>
      <c r="D402" s="10" t="s">
        <v>37</v>
      </c>
      <c r="E402" s="1" t="s">
        <v>300</v>
      </c>
      <c r="F402" s="1" t="s">
        <v>301</v>
      </c>
      <c r="G402" s="1">
        <v>-10</v>
      </c>
      <c r="H402" s="1">
        <v>-20</v>
      </c>
      <c r="I402" s="1" t="s">
        <v>40</v>
      </c>
      <c r="J402" s="1">
        <v>3.15</v>
      </c>
      <c r="K402" s="1">
        <v>-10</v>
      </c>
      <c r="L402" s="1">
        <v>-0.53647058823529603</v>
      </c>
      <c r="M402" s="1" t="s">
        <v>40</v>
      </c>
      <c r="N402" s="1">
        <v>0.35764705882352998</v>
      </c>
      <c r="O402" s="1">
        <v>4.9105882352941199</v>
      </c>
      <c r="Q402" s="1">
        <v>0.49105882352941199</v>
      </c>
      <c r="R402" s="1">
        <v>0.79008901323287595</v>
      </c>
      <c r="S402" s="20" t="s">
        <v>300</v>
      </c>
      <c r="T402" s="3" t="s">
        <v>302</v>
      </c>
      <c r="U402" s="3" t="s">
        <v>106</v>
      </c>
      <c r="V402" s="3" t="s">
        <v>303</v>
      </c>
      <c r="W402" s="3">
        <v>4</v>
      </c>
      <c r="X402" s="3">
        <v>10</v>
      </c>
      <c r="Y402" s="3">
        <v>1</v>
      </c>
      <c r="Z402" s="3">
        <v>0</v>
      </c>
      <c r="AA402" s="3">
        <v>0</v>
      </c>
      <c r="AB402" s="12">
        <f>(W402*4+X402*1+Y402*-2+Z402*-3)/W402</f>
        <v>6</v>
      </c>
      <c r="AC402" s="3">
        <f>W402*12.0107+X402*1.00784+Y402*15.999+Z402*14.0067</f>
        <v>74.120199999999997</v>
      </c>
      <c r="AD402" s="12">
        <v>117.7</v>
      </c>
      <c r="AE402" s="3" t="s">
        <v>262</v>
      </c>
      <c r="AF402" s="2" t="s">
        <v>79</v>
      </c>
      <c r="AG402" s="2" t="str">
        <f>IF(AD402&gt;37,"Proton symporter", "Diffusion")</f>
        <v>Proton symporter</v>
      </c>
      <c r="AH402" s="3" t="s">
        <v>304</v>
      </c>
    </row>
    <row r="403" spans="1:34" hidden="1" x14ac:dyDescent="0.2">
      <c r="A403" s="8" t="s">
        <v>34</v>
      </c>
      <c r="B403" s="9" t="s">
        <v>35</v>
      </c>
      <c r="C403" s="1" t="s">
        <v>49</v>
      </c>
      <c r="D403" s="10" t="s">
        <v>37</v>
      </c>
      <c r="E403" s="1" t="s">
        <v>307</v>
      </c>
      <c r="F403" s="1" t="s">
        <v>308</v>
      </c>
      <c r="G403" s="1">
        <v>-10</v>
      </c>
      <c r="H403" s="1">
        <v>-20</v>
      </c>
      <c r="I403" s="1" t="s">
        <v>40</v>
      </c>
      <c r="J403" s="1">
        <v>3.15</v>
      </c>
      <c r="K403" s="1">
        <v>-10</v>
      </c>
      <c r="L403" s="1">
        <v>-3.4725000000000001</v>
      </c>
      <c r="M403" s="1" t="s">
        <v>40</v>
      </c>
      <c r="N403" s="1">
        <v>2.3149999999999999</v>
      </c>
      <c r="O403" s="1">
        <v>5.8949999999999996</v>
      </c>
      <c r="Q403" s="1">
        <v>0.58950000000000002</v>
      </c>
      <c r="R403" s="1">
        <v>0.76898796395024305</v>
      </c>
      <c r="S403" s="11" t="s">
        <v>307</v>
      </c>
      <c r="T403" s="2" t="s">
        <v>307</v>
      </c>
      <c r="U403" s="3" t="s">
        <v>41</v>
      </c>
      <c r="V403" s="2" t="s">
        <v>283</v>
      </c>
      <c r="W403" s="2">
        <v>3</v>
      </c>
      <c r="X403" s="2">
        <v>8</v>
      </c>
      <c r="Y403" s="2">
        <v>1</v>
      </c>
      <c r="Z403" s="2">
        <v>0</v>
      </c>
      <c r="AA403" s="2">
        <v>0</v>
      </c>
      <c r="AB403" s="12">
        <f>(W403*4+X403*1+Y403*-2+Z403*-3)/W403</f>
        <v>6</v>
      </c>
      <c r="AC403" s="3">
        <f>W403*12.0107+X403*1.00784+Y403*15.999+Z403*14.0067</f>
        <v>60.093820000000001</v>
      </c>
      <c r="AD403" s="12">
        <v>82.5</v>
      </c>
      <c r="AE403" s="2" t="s">
        <v>262</v>
      </c>
      <c r="AF403" s="2" t="s">
        <v>79</v>
      </c>
      <c r="AG403" s="2" t="str">
        <f>IF(AD403&gt;37,"Proton symporter", "Diffusion")</f>
        <v>Proton symporter</v>
      </c>
      <c r="AH403" s="3" t="s">
        <v>309</v>
      </c>
    </row>
    <row r="404" spans="1:34" hidden="1" x14ac:dyDescent="0.2">
      <c r="A404" s="8" t="s">
        <v>34</v>
      </c>
      <c r="B404" s="9" t="s">
        <v>35</v>
      </c>
      <c r="C404" s="1" t="s">
        <v>36</v>
      </c>
      <c r="D404" s="10" t="s">
        <v>37</v>
      </c>
      <c r="E404" s="1" t="s">
        <v>189</v>
      </c>
      <c r="F404" s="1" t="s">
        <v>190</v>
      </c>
      <c r="G404" s="1">
        <v>-10</v>
      </c>
      <c r="H404" s="1">
        <v>-20</v>
      </c>
      <c r="I404" s="1" t="s">
        <v>40</v>
      </c>
      <c r="J404" s="1">
        <v>3.15</v>
      </c>
      <c r="K404" s="1">
        <v>-10</v>
      </c>
      <c r="L404" s="1">
        <v>-7.7781250000000002</v>
      </c>
      <c r="M404" s="1" t="s">
        <v>40</v>
      </c>
      <c r="N404" s="1">
        <v>5.6484374999999796</v>
      </c>
      <c r="O404" s="1">
        <v>2.87031250000001</v>
      </c>
      <c r="Q404" s="1">
        <v>0.28703125000000101</v>
      </c>
      <c r="R404" s="1">
        <v>0.76328653029413895</v>
      </c>
      <c r="S404" s="11" t="s">
        <v>189</v>
      </c>
      <c r="T404" s="2" t="s">
        <v>189</v>
      </c>
      <c r="U404" s="3" t="s">
        <v>41</v>
      </c>
      <c r="V404" s="2" t="s">
        <v>191</v>
      </c>
      <c r="W404" s="2">
        <v>5</v>
      </c>
      <c r="X404" s="2">
        <v>11</v>
      </c>
      <c r="Y404" s="2">
        <v>2</v>
      </c>
      <c r="Z404" s="2">
        <v>1</v>
      </c>
      <c r="AA404" s="2">
        <v>0</v>
      </c>
      <c r="AB404" s="12">
        <f>(W404*4+X404*1+Y404*-2+Z404*-3)/W404</f>
        <v>4.8</v>
      </c>
      <c r="AC404" s="3">
        <f>W404*12.0107+X404*1.00784+Y404*15.999+Z404*14.0067</f>
        <v>117.14444</v>
      </c>
      <c r="AD404" s="12">
        <v>247.5</v>
      </c>
      <c r="AE404" s="2" t="s">
        <v>192</v>
      </c>
      <c r="AF404" s="2" t="s">
        <v>44</v>
      </c>
      <c r="AG404" s="2" t="str">
        <f>IF(AD404&gt;37,"Proton symporter", "Diffusion")</f>
        <v>Proton symporter</v>
      </c>
      <c r="AH404" s="3" t="s">
        <v>193</v>
      </c>
    </row>
    <row r="405" spans="1:34" hidden="1" x14ac:dyDescent="0.2">
      <c r="A405" s="8" t="s">
        <v>34</v>
      </c>
      <c r="B405" s="9" t="s">
        <v>35</v>
      </c>
      <c r="C405" s="1" t="s">
        <v>36</v>
      </c>
      <c r="D405" s="10" t="s">
        <v>37</v>
      </c>
      <c r="E405" s="1" t="s">
        <v>222</v>
      </c>
      <c r="F405" s="1" t="s">
        <v>223</v>
      </c>
      <c r="G405" s="1">
        <v>-10</v>
      </c>
      <c r="H405" s="1">
        <v>-20</v>
      </c>
      <c r="I405" s="1" t="s">
        <v>40</v>
      </c>
      <c r="J405" s="1">
        <v>3.15</v>
      </c>
      <c r="K405" s="1">
        <v>-10</v>
      </c>
      <c r="L405" s="1">
        <v>-2.0306306306306299</v>
      </c>
      <c r="M405" s="1" t="s">
        <v>40</v>
      </c>
      <c r="N405" s="1">
        <v>2.7729729729729802</v>
      </c>
      <c r="O405" s="1">
        <v>5.7423423423423401</v>
      </c>
      <c r="Q405" s="1">
        <v>0.57423423423423403</v>
      </c>
      <c r="R405" s="1">
        <v>0.75707432004189301</v>
      </c>
      <c r="S405" s="11" t="s">
        <v>222</v>
      </c>
      <c r="T405" s="2" t="s">
        <v>222</v>
      </c>
      <c r="U405" s="3" t="s">
        <v>41</v>
      </c>
      <c r="V405" s="2" t="s">
        <v>224</v>
      </c>
      <c r="W405" s="2">
        <v>3</v>
      </c>
      <c r="X405" s="2">
        <v>6</v>
      </c>
      <c r="Y405" s="2">
        <v>1</v>
      </c>
      <c r="Z405" s="2">
        <v>0</v>
      </c>
      <c r="AA405" s="2">
        <v>0</v>
      </c>
      <c r="AB405" s="12">
        <f>(W405*4+X405*1+Y405*-2+Z405*-3)/W405</f>
        <v>5.333333333333333</v>
      </c>
      <c r="AC405" s="3">
        <f>W405*12.0107+X405*1.00784+Y405*15.999+Z405*14.0067</f>
        <v>58.078140000000005</v>
      </c>
      <c r="AD405" s="12">
        <v>56</v>
      </c>
      <c r="AE405" s="2" t="s">
        <v>225</v>
      </c>
      <c r="AF405" s="2" t="s">
        <v>79</v>
      </c>
      <c r="AG405" s="2" t="str">
        <f>IF(AD405&gt;37,"Proton symporter", "Diffusion")</f>
        <v>Proton symporter</v>
      </c>
      <c r="AH405" s="3" t="s">
        <v>226</v>
      </c>
    </row>
    <row r="406" spans="1:34" hidden="1" x14ac:dyDescent="0.2">
      <c r="A406" s="8" t="s">
        <v>34</v>
      </c>
      <c r="B406" s="9" t="s">
        <v>35</v>
      </c>
      <c r="C406" s="1" t="s">
        <v>36</v>
      </c>
      <c r="D406" s="10" t="s">
        <v>37</v>
      </c>
      <c r="E406" s="1" t="s">
        <v>259</v>
      </c>
      <c r="F406" s="1" t="s">
        <v>260</v>
      </c>
      <c r="G406" s="1">
        <v>-10</v>
      </c>
      <c r="H406" s="1">
        <v>-20</v>
      </c>
      <c r="I406" s="1" t="s">
        <v>40</v>
      </c>
      <c r="J406" s="1">
        <v>3.15</v>
      </c>
      <c r="K406" s="1">
        <v>-10</v>
      </c>
      <c r="L406" s="1">
        <v>-1.7957894736842099</v>
      </c>
      <c r="M406" s="1" t="s">
        <v>40</v>
      </c>
      <c r="N406" s="1">
        <v>4.5305263157894702</v>
      </c>
      <c r="O406" s="1">
        <v>3.86736842105263</v>
      </c>
      <c r="Q406" s="1">
        <v>0.38673684210526299</v>
      </c>
      <c r="R406" s="1">
        <v>0.75615576480222801</v>
      </c>
      <c r="S406" s="20" t="s">
        <v>259</v>
      </c>
      <c r="T406" s="3" t="s">
        <v>259</v>
      </c>
      <c r="U406" s="3" t="s">
        <v>106</v>
      </c>
      <c r="V406" s="3" t="s">
        <v>261</v>
      </c>
      <c r="W406" s="3">
        <v>5</v>
      </c>
      <c r="X406" s="3">
        <v>10</v>
      </c>
      <c r="Y406" s="3">
        <v>1</v>
      </c>
      <c r="Z406" s="3">
        <v>0</v>
      </c>
      <c r="AA406" s="3">
        <v>0</v>
      </c>
      <c r="AB406" s="12">
        <f>(W406*4+X406*1+Y406*-2+Z406*-3)/W406+0.02</f>
        <v>5.6199999999999992</v>
      </c>
      <c r="AC406" s="3">
        <f>W406*12.0107+X406*1.00784+Y406*15.999+Z406*14.0067</f>
        <v>86.130899999999997</v>
      </c>
      <c r="AD406" s="12">
        <v>108</v>
      </c>
      <c r="AE406" s="3" t="s">
        <v>262</v>
      </c>
      <c r="AF406" s="3" t="s">
        <v>135</v>
      </c>
      <c r="AG406" s="2" t="str">
        <f>IF(AD406&gt;37,"Proton symporter", "Diffusion")</f>
        <v>Proton symporter</v>
      </c>
      <c r="AH406" s="3" t="s">
        <v>263</v>
      </c>
    </row>
    <row r="407" spans="1:34" hidden="1" x14ac:dyDescent="0.2">
      <c r="A407" s="8" t="s">
        <v>34</v>
      </c>
      <c r="B407" s="9" t="s">
        <v>35</v>
      </c>
      <c r="C407" s="1" t="s">
        <v>60</v>
      </c>
      <c r="D407" s="13" t="s">
        <v>51</v>
      </c>
      <c r="E407" s="1" t="s">
        <v>273</v>
      </c>
      <c r="F407" s="1" t="s">
        <v>274</v>
      </c>
      <c r="G407" s="1">
        <v>-10</v>
      </c>
      <c r="H407" s="1">
        <v>-20</v>
      </c>
      <c r="I407" s="1" t="s">
        <v>40</v>
      </c>
      <c r="J407" s="1">
        <v>3.15</v>
      </c>
      <c r="K407" s="1">
        <v>-10</v>
      </c>
      <c r="L407" s="1">
        <v>-2.6675324675324701</v>
      </c>
      <c r="M407" s="1" t="s">
        <v>40</v>
      </c>
      <c r="N407" s="1">
        <v>0.75064935064937199</v>
      </c>
      <c r="O407" s="1">
        <v>3.0831168831168898</v>
      </c>
      <c r="Q407" s="1">
        <v>0.30831168831168898</v>
      </c>
      <c r="R407" s="1">
        <v>0.73264500166794999</v>
      </c>
      <c r="S407" s="22" t="s">
        <v>273</v>
      </c>
      <c r="T407" s="3" t="s">
        <v>275</v>
      </c>
      <c r="U407" s="3" t="s">
        <v>41</v>
      </c>
      <c r="V407" s="2" t="s">
        <v>276</v>
      </c>
      <c r="W407" s="2">
        <v>3</v>
      </c>
      <c r="X407" s="2">
        <v>12</v>
      </c>
      <c r="Y407" s="2">
        <v>0</v>
      </c>
      <c r="Z407" s="2">
        <v>2</v>
      </c>
      <c r="AA407" s="2">
        <v>0</v>
      </c>
      <c r="AB407" s="12">
        <f>(W407*4+X407*1+Y407*-2+Z407*-3)/W407</f>
        <v>6</v>
      </c>
      <c r="AC407" s="3">
        <f>W407*12.0107+X407*1.00784+Y407*15.999+Z407*14.0067</f>
        <v>76.139580000000009</v>
      </c>
      <c r="AD407" s="12">
        <v>139.30000000000001</v>
      </c>
      <c r="AE407" s="2" t="s">
        <v>277</v>
      </c>
      <c r="AF407" s="2" t="s">
        <v>125</v>
      </c>
      <c r="AG407" s="2" t="str">
        <f>IF(AD407&gt;37,"Proton symporter", "Diffusion")</f>
        <v>Proton symporter</v>
      </c>
      <c r="AH407" s="3" t="s">
        <v>278</v>
      </c>
    </row>
    <row r="408" spans="1:34" hidden="1" x14ac:dyDescent="0.2">
      <c r="A408" s="8" t="s">
        <v>34</v>
      </c>
      <c r="B408" s="9" t="s">
        <v>35</v>
      </c>
      <c r="C408" s="1" t="s">
        <v>59</v>
      </c>
      <c r="D408" s="13" t="s">
        <v>51</v>
      </c>
      <c r="E408" s="1" t="s">
        <v>273</v>
      </c>
      <c r="F408" s="1" t="s">
        <v>274</v>
      </c>
      <c r="G408" s="1">
        <v>-10</v>
      </c>
      <c r="H408" s="1">
        <v>-20</v>
      </c>
      <c r="I408" s="1" t="s">
        <v>40</v>
      </c>
      <c r="J408" s="1">
        <v>3.15</v>
      </c>
      <c r="K408" s="1">
        <v>-10</v>
      </c>
      <c r="L408" s="1">
        <v>-2.6675324675324701</v>
      </c>
      <c r="M408" s="1" t="s">
        <v>40</v>
      </c>
      <c r="N408" s="1">
        <v>0.75064935064935201</v>
      </c>
      <c r="O408" s="1">
        <v>3.08311688311688</v>
      </c>
      <c r="Q408" s="1">
        <v>0.30831168831168798</v>
      </c>
      <c r="R408" s="1">
        <v>0.73264500166794899</v>
      </c>
      <c r="S408" s="22" t="s">
        <v>273</v>
      </c>
      <c r="T408" s="3" t="s">
        <v>275</v>
      </c>
      <c r="U408" s="3" t="s">
        <v>41</v>
      </c>
      <c r="V408" s="2" t="s">
        <v>276</v>
      </c>
      <c r="W408" s="2">
        <v>3</v>
      </c>
      <c r="X408" s="2">
        <v>12</v>
      </c>
      <c r="Y408" s="2">
        <v>0</v>
      </c>
      <c r="Z408" s="2">
        <v>2</v>
      </c>
      <c r="AA408" s="2">
        <v>0</v>
      </c>
      <c r="AB408" s="12">
        <f>(W408*4+X408*1+Y408*-2+Z408*-3)/W408</f>
        <v>6</v>
      </c>
      <c r="AC408" s="3">
        <f>W408*12.0107+X408*1.00784+Y408*15.999+Z408*14.0067</f>
        <v>76.139580000000009</v>
      </c>
      <c r="AD408" s="12">
        <v>139.30000000000001</v>
      </c>
      <c r="AE408" s="2" t="s">
        <v>277</v>
      </c>
      <c r="AF408" s="2" t="s">
        <v>125</v>
      </c>
      <c r="AG408" s="2" t="str">
        <f>IF(AD408&gt;37,"Proton symporter", "Diffusion")</f>
        <v>Proton symporter</v>
      </c>
      <c r="AH408" s="3" t="s">
        <v>278</v>
      </c>
    </row>
    <row r="409" spans="1:34" hidden="1" x14ac:dyDescent="0.2">
      <c r="A409" s="8" t="s">
        <v>34</v>
      </c>
      <c r="B409" s="9" t="s">
        <v>35</v>
      </c>
      <c r="C409" s="1" t="s">
        <v>36</v>
      </c>
      <c r="D409" s="10" t="s">
        <v>37</v>
      </c>
      <c r="E409" s="1" t="s">
        <v>161</v>
      </c>
      <c r="F409" s="1" t="s">
        <v>162</v>
      </c>
      <c r="G409" s="1">
        <v>-10</v>
      </c>
      <c r="H409" s="1">
        <v>-20</v>
      </c>
      <c r="I409" s="1" t="s">
        <v>40</v>
      </c>
      <c r="J409" s="1">
        <v>3.15</v>
      </c>
      <c r="K409" s="1">
        <v>-10</v>
      </c>
      <c r="L409" s="1">
        <v>-5.9965517241379303</v>
      </c>
      <c r="M409" s="1" t="s">
        <v>40</v>
      </c>
      <c r="N409" s="1">
        <v>2.4583554376657801</v>
      </c>
      <c r="O409" s="1">
        <v>2.9236074270557002</v>
      </c>
      <c r="Q409" s="1">
        <v>0.29236074270557</v>
      </c>
      <c r="R409" s="1">
        <v>0.73076805978117199</v>
      </c>
      <c r="S409" s="20" t="s">
        <v>161</v>
      </c>
      <c r="T409" s="3" t="s">
        <v>161</v>
      </c>
      <c r="U409" s="3" t="s">
        <v>106</v>
      </c>
      <c r="V409" s="20" t="s">
        <v>163</v>
      </c>
      <c r="W409" s="3">
        <v>6</v>
      </c>
      <c r="X409" s="3">
        <v>6</v>
      </c>
      <c r="Y409" s="3">
        <v>2</v>
      </c>
      <c r="Z409" s="3">
        <v>0</v>
      </c>
      <c r="AA409" s="3">
        <v>0</v>
      </c>
      <c r="AB409" s="12">
        <f>(W409*4+X409*1+Y409*-2+Z409*-3)/W409</f>
        <v>4.333333333333333</v>
      </c>
      <c r="AC409" s="3">
        <f>W409*12.0107+X409*1.00784+Y409*15.999+Z409*14.0067</f>
        <v>110.10924</v>
      </c>
      <c r="AD409" s="12">
        <v>245</v>
      </c>
      <c r="AE409" s="3" t="s">
        <v>164</v>
      </c>
      <c r="AF409" s="2" t="s">
        <v>98</v>
      </c>
      <c r="AG409" s="2" t="str">
        <f>IF(AD409&gt;37,"Proton symporter", "Diffusion")</f>
        <v>Proton symporter</v>
      </c>
      <c r="AH409" s="3" t="s">
        <v>165</v>
      </c>
    </row>
    <row r="410" spans="1:34" hidden="1" x14ac:dyDescent="0.2">
      <c r="A410" s="8" t="s">
        <v>34</v>
      </c>
      <c r="B410" s="9" t="s">
        <v>35</v>
      </c>
      <c r="C410" s="1" t="s">
        <v>36</v>
      </c>
      <c r="D410" s="10" t="s">
        <v>37</v>
      </c>
      <c r="E410" s="1" t="s">
        <v>307</v>
      </c>
      <c r="F410" s="1" t="s">
        <v>308</v>
      </c>
      <c r="G410" s="1">
        <v>-10</v>
      </c>
      <c r="H410" s="1">
        <v>-20</v>
      </c>
      <c r="I410" s="1" t="s">
        <v>40</v>
      </c>
      <c r="J410" s="1">
        <v>3.15</v>
      </c>
      <c r="K410" s="1">
        <v>-10</v>
      </c>
      <c r="L410" s="1">
        <v>-1.0974999999999999</v>
      </c>
      <c r="M410" s="1" t="s">
        <v>40</v>
      </c>
      <c r="N410" s="1">
        <v>4.0649999999999897</v>
      </c>
      <c r="O410" s="1">
        <v>5.3116666666666701</v>
      </c>
      <c r="Q410" s="1">
        <v>0.53116666666666601</v>
      </c>
      <c r="R410" s="1">
        <v>0.72459838282662603</v>
      </c>
      <c r="S410" s="11" t="s">
        <v>307</v>
      </c>
      <c r="T410" s="2" t="s">
        <v>307</v>
      </c>
      <c r="U410" s="3" t="s">
        <v>41</v>
      </c>
      <c r="V410" s="2" t="s">
        <v>283</v>
      </c>
      <c r="W410" s="2">
        <v>3</v>
      </c>
      <c r="X410" s="2">
        <v>8</v>
      </c>
      <c r="Y410" s="2">
        <v>1</v>
      </c>
      <c r="Z410" s="2">
        <v>0</v>
      </c>
      <c r="AA410" s="2">
        <v>0</v>
      </c>
      <c r="AB410" s="12">
        <f>(W410*4+X410*1+Y410*-2+Z410*-3)/W410</f>
        <v>6</v>
      </c>
      <c r="AC410" s="3">
        <f>W410*12.0107+X410*1.00784+Y410*15.999+Z410*14.0067</f>
        <v>60.093820000000001</v>
      </c>
      <c r="AD410" s="12">
        <v>82.5</v>
      </c>
      <c r="AE410" s="2" t="s">
        <v>262</v>
      </c>
      <c r="AF410" s="2" t="s">
        <v>79</v>
      </c>
      <c r="AG410" s="2" t="str">
        <f>IF(AD410&gt;37,"Proton symporter", "Diffusion")</f>
        <v>Proton symporter</v>
      </c>
      <c r="AH410" s="3" t="s">
        <v>309</v>
      </c>
    </row>
    <row r="411" spans="1:34" hidden="1" x14ac:dyDescent="0.2">
      <c r="A411" s="16" t="s">
        <v>74</v>
      </c>
      <c r="B411" s="9" t="s">
        <v>35</v>
      </c>
      <c r="C411" t="s">
        <v>56</v>
      </c>
      <c r="D411" s="14" t="s">
        <v>55</v>
      </c>
      <c r="E411" t="s">
        <v>194</v>
      </c>
      <c r="F411" t="s">
        <v>195</v>
      </c>
      <c r="G411">
        <v>-10</v>
      </c>
      <c r="H411">
        <v>-20</v>
      </c>
      <c r="I411" s="1" t="s">
        <v>40</v>
      </c>
      <c r="J411">
        <v>3.15</v>
      </c>
      <c r="K411">
        <v>-10</v>
      </c>
      <c r="L411">
        <v>-3.3196969696969698</v>
      </c>
      <c r="M411" s="1" t="s">
        <v>40</v>
      </c>
      <c r="N411">
        <v>2.8454545454545399</v>
      </c>
      <c r="O411">
        <v>4.5257575757575799</v>
      </c>
      <c r="P411"/>
      <c r="Q411">
        <v>0.45257575757575702</v>
      </c>
      <c r="R411">
        <v>0.72335010101654995</v>
      </c>
      <c r="S411" s="3" t="s">
        <v>194</v>
      </c>
      <c r="T411" s="2" t="s">
        <v>196</v>
      </c>
      <c r="U411" s="3" t="s">
        <v>35</v>
      </c>
      <c r="V411" s="3" t="s">
        <v>197</v>
      </c>
      <c r="W411" s="3">
        <v>6</v>
      </c>
      <c r="X411" s="3">
        <v>15</v>
      </c>
      <c r="Y411" s="3">
        <v>2</v>
      </c>
      <c r="Z411" s="3">
        <v>2</v>
      </c>
      <c r="AA411" s="3">
        <v>1</v>
      </c>
      <c r="AB411" s="12">
        <f>(W411*4+X411*1+Y411*-2+Z411*-3)/W411</f>
        <v>4.833333333333333</v>
      </c>
      <c r="AC411" s="3">
        <f>W411*12.0107+X411*1.00784+Y411*15.999+Z411*14.0067</f>
        <v>147.19319999999999</v>
      </c>
      <c r="AD411" s="12" t="s">
        <v>40</v>
      </c>
      <c r="AE411" s="3" t="s">
        <v>119</v>
      </c>
      <c r="AF411" s="3" t="s">
        <v>44</v>
      </c>
      <c r="AG411" s="2" t="s">
        <v>80</v>
      </c>
      <c r="AH411" s="2" t="s">
        <v>198</v>
      </c>
    </row>
    <row r="412" spans="1:34" hidden="1" x14ac:dyDescent="0.2">
      <c r="A412" s="8" t="s">
        <v>34</v>
      </c>
      <c r="B412" s="9" t="s">
        <v>35</v>
      </c>
      <c r="C412" s="1" t="s">
        <v>49</v>
      </c>
      <c r="D412" s="10" t="s">
        <v>37</v>
      </c>
      <c r="E412" s="1" t="s">
        <v>279</v>
      </c>
      <c r="F412" s="1" t="s">
        <v>280</v>
      </c>
      <c r="G412" s="1">
        <v>-10</v>
      </c>
      <c r="H412" s="1">
        <v>-20</v>
      </c>
      <c r="I412" s="1" t="s">
        <v>40</v>
      </c>
      <c r="J412" s="1">
        <v>3.15</v>
      </c>
      <c r="K412" s="1">
        <v>-10</v>
      </c>
      <c r="L412" s="1">
        <v>-5.0848101265822798</v>
      </c>
      <c r="M412" s="1" t="s">
        <v>40</v>
      </c>
      <c r="N412" s="1">
        <v>3.3898734177215202</v>
      </c>
      <c r="O412" s="1">
        <v>5.5367088607594903</v>
      </c>
      <c r="Q412" s="1">
        <v>0.55367088607594905</v>
      </c>
      <c r="R412" s="1">
        <v>0.72224978351496405</v>
      </c>
      <c r="S412" s="20" t="s">
        <v>281</v>
      </c>
      <c r="T412" s="3" t="s">
        <v>282</v>
      </c>
      <c r="U412" s="3" t="s">
        <v>174</v>
      </c>
      <c r="V412" s="3" t="s">
        <v>283</v>
      </c>
      <c r="W412" s="3">
        <v>3</v>
      </c>
      <c r="X412" s="3">
        <v>8</v>
      </c>
      <c r="Y412" s="3">
        <v>1</v>
      </c>
      <c r="Z412" s="3">
        <v>0</v>
      </c>
      <c r="AA412" s="3">
        <v>0</v>
      </c>
      <c r="AB412" s="12">
        <f>(W412*4+X412*1+Y412*-2+Z412*-3)/W412</f>
        <v>6</v>
      </c>
      <c r="AC412" s="3">
        <f>W412*12.0107+X412*1.00784+Y412*15.999+Z412*14.0067</f>
        <v>60.093820000000001</v>
      </c>
      <c r="AD412" s="12">
        <v>97</v>
      </c>
      <c r="AE412" s="2" t="s">
        <v>262</v>
      </c>
      <c r="AF412" s="2" t="s">
        <v>284</v>
      </c>
      <c r="AG412" s="2" t="str">
        <f>IF(AD412&gt;37,"Proton symporter", "Diffusion")</f>
        <v>Proton symporter</v>
      </c>
      <c r="AH412" s="3" t="s">
        <v>285</v>
      </c>
    </row>
    <row r="413" spans="1:34" hidden="1" x14ac:dyDescent="0.2">
      <c r="A413" s="8" t="s">
        <v>34</v>
      </c>
      <c r="B413" s="9" t="s">
        <v>35</v>
      </c>
      <c r="C413" s="1" t="s">
        <v>56</v>
      </c>
      <c r="D413" s="14" t="s">
        <v>55</v>
      </c>
      <c r="E413" s="1" t="s">
        <v>216</v>
      </c>
      <c r="F413" s="1" t="s">
        <v>217</v>
      </c>
      <c r="G413" s="1">
        <v>-10</v>
      </c>
      <c r="H413" s="1">
        <v>-20</v>
      </c>
      <c r="I413" s="1" t="s">
        <v>40</v>
      </c>
      <c r="J413" s="1">
        <v>3.15</v>
      </c>
      <c r="K413" s="1">
        <v>-10</v>
      </c>
      <c r="L413" s="1">
        <v>-0.162105263157895</v>
      </c>
      <c r="M413" s="1" t="s">
        <v>40</v>
      </c>
      <c r="N413" s="1">
        <v>3.8715789473684201</v>
      </c>
      <c r="O413" s="1">
        <v>8.7094736842105291</v>
      </c>
      <c r="Q413" s="1">
        <v>0.87094736842105303</v>
      </c>
      <c r="R413" s="1">
        <v>0.71962311189542205</v>
      </c>
      <c r="S413" s="11" t="s">
        <v>216</v>
      </c>
      <c r="T413" s="2" t="s">
        <v>218</v>
      </c>
      <c r="U413" s="3" t="s">
        <v>41</v>
      </c>
      <c r="V413" s="2" t="s">
        <v>219</v>
      </c>
      <c r="W413" s="2">
        <v>3</v>
      </c>
      <c r="X413" s="2">
        <v>8</v>
      </c>
      <c r="Y413" s="2">
        <v>2</v>
      </c>
      <c r="Z413" s="2">
        <v>0</v>
      </c>
      <c r="AA413" s="2">
        <v>0</v>
      </c>
      <c r="AB413" s="12">
        <f>(W413*4+X413*1+Y413*-2+Z413*-3)/W413</f>
        <v>5.333333333333333</v>
      </c>
      <c r="AC413" s="3">
        <f>W413*12.0107+X413*1.00784+Y413*15.999+Z413*14.0067</f>
        <v>76.092820000000003</v>
      </c>
      <c r="AD413" s="12">
        <v>213</v>
      </c>
      <c r="AE413" s="2" t="s">
        <v>220</v>
      </c>
      <c r="AF413" s="2" t="s">
        <v>98</v>
      </c>
      <c r="AG413" s="2" t="str">
        <f>IF(AD413&gt;37,"Proton symporter", "Diffusion")</f>
        <v>Proton symporter</v>
      </c>
      <c r="AH413" s="3" t="s">
        <v>221</v>
      </c>
    </row>
    <row r="414" spans="1:34" hidden="1" x14ac:dyDescent="0.2">
      <c r="A414" s="8" t="s">
        <v>34</v>
      </c>
      <c r="B414" s="9" t="s">
        <v>35</v>
      </c>
      <c r="C414" s="1" t="s">
        <v>36</v>
      </c>
      <c r="D414" s="10" t="s">
        <v>37</v>
      </c>
      <c r="E414" s="1" t="s">
        <v>146</v>
      </c>
      <c r="F414" s="1" t="s">
        <v>147</v>
      </c>
      <c r="G414" s="1">
        <v>-10</v>
      </c>
      <c r="H414" s="1">
        <v>-20</v>
      </c>
      <c r="I414" s="1" t="s">
        <v>40</v>
      </c>
      <c r="J414" s="1">
        <v>3.15</v>
      </c>
      <c r="K414" s="1">
        <v>-10</v>
      </c>
      <c r="L414" s="1">
        <v>-6.5977152899824301</v>
      </c>
      <c r="M414" s="1" t="s">
        <v>40</v>
      </c>
      <c r="N414" s="1">
        <v>2.5662565905096599</v>
      </c>
      <c r="O414" s="1">
        <v>1.9370826010544799</v>
      </c>
      <c r="Q414" s="1">
        <v>0.193708260105448</v>
      </c>
      <c r="R414" s="1">
        <v>0.71740947665134003</v>
      </c>
      <c r="S414" s="20" t="s">
        <v>148</v>
      </c>
      <c r="T414" s="3" t="s">
        <v>148</v>
      </c>
      <c r="U414" s="3" t="s">
        <v>106</v>
      </c>
      <c r="V414" s="3" t="s">
        <v>149</v>
      </c>
      <c r="W414" s="3">
        <v>9</v>
      </c>
      <c r="X414" s="3">
        <v>7</v>
      </c>
      <c r="Y414" s="3">
        <v>3</v>
      </c>
      <c r="Z414" s="3">
        <v>0</v>
      </c>
      <c r="AA414" s="3">
        <v>-1</v>
      </c>
      <c r="AB414" s="12">
        <f>(W414*4+X414*1+Y414*-2+Z414*-3)/W414</f>
        <v>4.1111111111111107</v>
      </c>
      <c r="AC414" s="3">
        <f>W414*12.0107+X414*1.00784+Y414*15.999+Z414*14.0067</f>
        <v>163.14818</v>
      </c>
      <c r="AD414" s="12">
        <v>346</v>
      </c>
      <c r="AE414" s="22" t="s">
        <v>139</v>
      </c>
      <c r="AF414" s="2" t="s">
        <v>150</v>
      </c>
      <c r="AG414" s="2" t="str">
        <f>IF(AD414&gt;37,"Proton symporter", "Diffusion")</f>
        <v>Proton symporter</v>
      </c>
      <c r="AH414" s="3" t="s">
        <v>151</v>
      </c>
    </row>
    <row r="415" spans="1:34" hidden="1" x14ac:dyDescent="0.2">
      <c r="A415" s="8" t="s">
        <v>350</v>
      </c>
      <c r="B415" s="17" t="s">
        <v>64</v>
      </c>
      <c r="C415" t="s">
        <v>352</v>
      </c>
      <c r="D415" s="13" t="s">
        <v>51</v>
      </c>
      <c r="E415" t="s">
        <v>234</v>
      </c>
      <c r="F415" t="s">
        <v>235</v>
      </c>
      <c r="G415">
        <v>-10</v>
      </c>
      <c r="H415">
        <v>0</v>
      </c>
      <c r="I415">
        <v>0</v>
      </c>
      <c r="J415">
        <v>0.45</v>
      </c>
      <c r="K415">
        <v>-10</v>
      </c>
      <c r="L415">
        <v>0</v>
      </c>
      <c r="M415">
        <v>2.5</v>
      </c>
      <c r="N415">
        <v>0</v>
      </c>
      <c r="O415">
        <v>2.5</v>
      </c>
      <c r="P415"/>
      <c r="Q415">
        <v>0.25</v>
      </c>
      <c r="R415" s="26">
        <v>0.714391259045706</v>
      </c>
      <c r="S415" s="3" t="str">
        <f>VLOOKUP($E415,'[1]Product Naming'!$A$1:$P$58,2)</f>
        <v>1-3-butanediol-PW1</v>
      </c>
      <c r="T415" s="3" t="str">
        <f>VLOOKUP($E415,'[1]Product Naming'!$A$1:$P$58,3)</f>
        <v>1,3-Butanediol (PW1)</v>
      </c>
      <c r="U415" s="3" t="str">
        <f>VLOOKUP($E415,'[1]Product Naming'!$A$1:$P$58,4)</f>
        <v>E</v>
      </c>
      <c r="V415" s="3" t="str">
        <f>VLOOKUP($E415,'[1]Product Naming'!$A$1:$P$58,5)</f>
        <v>C4H10O2</v>
      </c>
      <c r="W415" s="3">
        <f>VLOOKUP($E415,'[1]Product Naming'!$A$1:$P$58,6)</f>
        <v>4</v>
      </c>
      <c r="X415" s="3">
        <f>VLOOKUP($E415,'[1]Product Naming'!$A$1:$P$58,7)</f>
        <v>10</v>
      </c>
      <c r="Y415" s="3">
        <f>VLOOKUP($E415,'[1]Product Naming'!$A$1:$P$58,8)</f>
        <v>2</v>
      </c>
      <c r="Z415" s="3">
        <f>VLOOKUP($E415,'[1]Product Naming'!$A$1:$P$58,9)</f>
        <v>0</v>
      </c>
      <c r="AA415" s="3">
        <f>VLOOKUP($E415,'[1]Product Naming'!$A$1:$P$58,10)</f>
        <v>0</v>
      </c>
      <c r="AB415" s="3">
        <f>VLOOKUP($E415,'[1]Product Naming'!$A$1:$P$58,11)</f>
        <v>5.5</v>
      </c>
      <c r="AC415" s="3">
        <f>VLOOKUP($E415,'[1]Product Naming'!$A$1:$P$58,12)</f>
        <v>90.119200000000006</v>
      </c>
      <c r="AD415" s="3">
        <f>VLOOKUP($E415,'[1]Product Naming'!$A$1:$P$58,13)</f>
        <v>207</v>
      </c>
      <c r="AE415" s="3" t="str">
        <f>VLOOKUP($E415,'[1]Product Naming'!$A$1:$P$58,14)</f>
        <v>Diol</v>
      </c>
      <c r="AF415" s="3" t="str">
        <f>VLOOKUP($E415,'[1]Product Naming'!$A$1:$P$58,15)</f>
        <v>Acetyl-CoA</v>
      </c>
      <c r="AG415" s="3" t="str">
        <f>VLOOKUP($E415,'[1]Product Naming'!$A$1:$P$58,16)</f>
        <v>Proton symporter</v>
      </c>
      <c r="AH415" s="3" t="str">
        <f>VLOOKUP($E415,'[1]Product Naming'!$A$1:$Q$58,17)</f>
        <v>13bdo__R_c</v>
      </c>
    </row>
    <row r="416" spans="1:34" hidden="1" x14ac:dyDescent="0.2">
      <c r="A416" s="8" t="s">
        <v>350</v>
      </c>
      <c r="B416" s="17" t="s">
        <v>64</v>
      </c>
      <c r="C416" t="s">
        <v>353</v>
      </c>
      <c r="D416" s="13" t="s">
        <v>51</v>
      </c>
      <c r="E416" t="s">
        <v>234</v>
      </c>
      <c r="F416" t="s">
        <v>235</v>
      </c>
      <c r="G416">
        <v>-10</v>
      </c>
      <c r="H416">
        <v>0</v>
      </c>
      <c r="I416">
        <v>0</v>
      </c>
      <c r="J416">
        <v>0.45</v>
      </c>
      <c r="K416">
        <v>-10</v>
      </c>
      <c r="L416">
        <v>0</v>
      </c>
      <c r="M416">
        <v>2.5</v>
      </c>
      <c r="N416">
        <v>0</v>
      </c>
      <c r="O416">
        <v>2.5</v>
      </c>
      <c r="P416"/>
      <c r="Q416">
        <v>0.25</v>
      </c>
      <c r="R416" s="26">
        <v>0.714391259045706</v>
      </c>
      <c r="S416" s="3" t="str">
        <f>VLOOKUP($E416,'[1]Product Naming'!$A$1:$P$58,2)</f>
        <v>1-3-butanediol-PW1</v>
      </c>
      <c r="T416" s="3" t="str">
        <f>VLOOKUP($E416,'[1]Product Naming'!$A$1:$P$58,3)</f>
        <v>1,3-Butanediol (PW1)</v>
      </c>
      <c r="U416" s="3" t="str">
        <f>VLOOKUP($E416,'[1]Product Naming'!$A$1:$P$58,4)</f>
        <v>E</v>
      </c>
      <c r="V416" s="3" t="str">
        <f>VLOOKUP($E416,'[1]Product Naming'!$A$1:$P$58,5)</f>
        <v>C4H10O2</v>
      </c>
      <c r="W416" s="3">
        <f>VLOOKUP($E416,'[1]Product Naming'!$A$1:$P$58,6)</f>
        <v>4</v>
      </c>
      <c r="X416" s="3">
        <f>VLOOKUP($E416,'[1]Product Naming'!$A$1:$P$58,7)</f>
        <v>10</v>
      </c>
      <c r="Y416" s="3">
        <f>VLOOKUP($E416,'[1]Product Naming'!$A$1:$P$58,8)</f>
        <v>2</v>
      </c>
      <c r="Z416" s="3">
        <f>VLOOKUP($E416,'[1]Product Naming'!$A$1:$P$58,9)</f>
        <v>0</v>
      </c>
      <c r="AA416" s="3">
        <f>VLOOKUP($E416,'[1]Product Naming'!$A$1:$P$58,10)</f>
        <v>0</v>
      </c>
      <c r="AB416" s="3">
        <f>VLOOKUP($E416,'[1]Product Naming'!$A$1:$P$58,11)</f>
        <v>5.5</v>
      </c>
      <c r="AC416" s="3">
        <f>VLOOKUP($E416,'[1]Product Naming'!$A$1:$P$58,12)</f>
        <v>90.119200000000006</v>
      </c>
      <c r="AD416" s="3">
        <f>VLOOKUP($E416,'[1]Product Naming'!$A$1:$P$58,13)</f>
        <v>207</v>
      </c>
      <c r="AE416" s="3" t="str">
        <f>VLOOKUP($E416,'[1]Product Naming'!$A$1:$P$58,14)</f>
        <v>Diol</v>
      </c>
      <c r="AF416" s="3" t="str">
        <f>VLOOKUP($E416,'[1]Product Naming'!$A$1:$P$58,15)</f>
        <v>Acetyl-CoA</v>
      </c>
      <c r="AG416" s="3" t="str">
        <f>VLOOKUP($E416,'[1]Product Naming'!$A$1:$P$58,16)</f>
        <v>Proton symporter</v>
      </c>
      <c r="AH416" s="3" t="str">
        <f>VLOOKUP($E416,'[1]Product Naming'!$A$1:$Q$58,17)</f>
        <v>13bdo__R_c</v>
      </c>
    </row>
    <row r="417" spans="1:34" hidden="1" x14ac:dyDescent="0.2">
      <c r="A417" s="8" t="s">
        <v>350</v>
      </c>
      <c r="B417" s="17" t="s">
        <v>64</v>
      </c>
      <c r="C417" t="s">
        <v>354</v>
      </c>
      <c r="D417" s="13" t="s">
        <v>51</v>
      </c>
      <c r="E417" t="s">
        <v>234</v>
      </c>
      <c r="F417" t="s">
        <v>235</v>
      </c>
      <c r="G417">
        <v>-10</v>
      </c>
      <c r="H417">
        <v>0</v>
      </c>
      <c r="I417">
        <v>0</v>
      </c>
      <c r="J417">
        <v>0.45</v>
      </c>
      <c r="K417">
        <v>-10</v>
      </c>
      <c r="L417">
        <v>0</v>
      </c>
      <c r="M417">
        <v>2.5</v>
      </c>
      <c r="N417">
        <v>0</v>
      </c>
      <c r="O417">
        <v>2.5</v>
      </c>
      <c r="P417"/>
      <c r="Q417">
        <v>0.25</v>
      </c>
      <c r="R417" s="26">
        <v>0.714391259045706</v>
      </c>
      <c r="S417" s="3" t="str">
        <f>VLOOKUP($E417,'[1]Product Naming'!$A$1:$P$58,2)</f>
        <v>1-3-butanediol-PW1</v>
      </c>
      <c r="T417" s="3" t="str">
        <f>VLOOKUP($E417,'[1]Product Naming'!$A$1:$P$58,3)</f>
        <v>1,3-Butanediol (PW1)</v>
      </c>
      <c r="U417" s="3" t="str">
        <f>VLOOKUP($E417,'[1]Product Naming'!$A$1:$P$58,4)</f>
        <v>E</v>
      </c>
      <c r="V417" s="3" t="str">
        <f>VLOOKUP($E417,'[1]Product Naming'!$A$1:$P$58,5)</f>
        <v>C4H10O2</v>
      </c>
      <c r="W417" s="3">
        <f>VLOOKUP($E417,'[1]Product Naming'!$A$1:$P$58,6)</f>
        <v>4</v>
      </c>
      <c r="X417" s="3">
        <f>VLOOKUP($E417,'[1]Product Naming'!$A$1:$P$58,7)</f>
        <v>10</v>
      </c>
      <c r="Y417" s="3">
        <f>VLOOKUP($E417,'[1]Product Naming'!$A$1:$P$58,8)</f>
        <v>2</v>
      </c>
      <c r="Z417" s="3">
        <f>VLOOKUP($E417,'[1]Product Naming'!$A$1:$P$58,9)</f>
        <v>0</v>
      </c>
      <c r="AA417" s="3">
        <f>VLOOKUP($E417,'[1]Product Naming'!$A$1:$P$58,10)</f>
        <v>0</v>
      </c>
      <c r="AB417" s="3">
        <f>VLOOKUP($E417,'[1]Product Naming'!$A$1:$P$58,11)</f>
        <v>5.5</v>
      </c>
      <c r="AC417" s="3">
        <f>VLOOKUP($E417,'[1]Product Naming'!$A$1:$P$58,12)</f>
        <v>90.119200000000006</v>
      </c>
      <c r="AD417" s="3">
        <f>VLOOKUP($E417,'[1]Product Naming'!$A$1:$P$58,13)</f>
        <v>207</v>
      </c>
      <c r="AE417" s="3" t="str">
        <f>VLOOKUP($E417,'[1]Product Naming'!$A$1:$P$58,14)</f>
        <v>Diol</v>
      </c>
      <c r="AF417" s="3" t="str">
        <f>VLOOKUP($E417,'[1]Product Naming'!$A$1:$P$58,15)</f>
        <v>Acetyl-CoA</v>
      </c>
      <c r="AG417" s="3" t="str">
        <f>VLOOKUP($E417,'[1]Product Naming'!$A$1:$P$58,16)</f>
        <v>Proton symporter</v>
      </c>
      <c r="AH417" s="3" t="str">
        <f>VLOOKUP($E417,'[1]Product Naming'!$A$1:$Q$58,17)</f>
        <v>13bdo__R_c</v>
      </c>
    </row>
    <row r="418" spans="1:34" hidden="1" x14ac:dyDescent="0.2">
      <c r="A418" s="8" t="s">
        <v>350</v>
      </c>
      <c r="B418" s="17" t="s">
        <v>64</v>
      </c>
      <c r="C418" t="s">
        <v>351</v>
      </c>
      <c r="D418" s="13" t="s">
        <v>51</v>
      </c>
      <c r="E418" t="s">
        <v>240</v>
      </c>
      <c r="F418" t="s">
        <v>235</v>
      </c>
      <c r="G418">
        <v>-10</v>
      </c>
      <c r="H418">
        <v>0</v>
      </c>
      <c r="I418">
        <v>0</v>
      </c>
      <c r="J418">
        <v>0.45</v>
      </c>
      <c r="K418">
        <v>-10</v>
      </c>
      <c r="L418">
        <v>0</v>
      </c>
      <c r="M418">
        <v>2.5</v>
      </c>
      <c r="N418">
        <v>0</v>
      </c>
      <c r="O418">
        <v>2.5</v>
      </c>
      <c r="P418"/>
      <c r="Q418">
        <v>0.25</v>
      </c>
      <c r="R418" s="26">
        <v>0.714391259045706</v>
      </c>
      <c r="S418" s="3" t="str">
        <f>VLOOKUP($E418,'[1]Product Naming'!$A$1:$P$58,2)</f>
        <v>1-3-butanediol-PW2</v>
      </c>
      <c r="T418" s="3" t="str">
        <f>VLOOKUP($E418,'[1]Product Naming'!$A$1:$P$58,3)</f>
        <v>1,3-Butanediol (PW2)</v>
      </c>
      <c r="U418" s="3" t="str">
        <f>VLOOKUP($E418,'[1]Product Naming'!$A$1:$P$58,4)</f>
        <v>E</v>
      </c>
      <c r="V418" s="3" t="str">
        <f>VLOOKUP($E418,'[1]Product Naming'!$A$1:$P$58,5)</f>
        <v>C4H10O2</v>
      </c>
      <c r="W418" s="3">
        <f>VLOOKUP($E418,'[1]Product Naming'!$A$1:$P$58,6)</f>
        <v>4</v>
      </c>
      <c r="X418" s="3">
        <f>VLOOKUP($E418,'[1]Product Naming'!$A$1:$P$58,7)</f>
        <v>10</v>
      </c>
      <c r="Y418" s="3">
        <f>VLOOKUP($E418,'[1]Product Naming'!$A$1:$P$58,8)</f>
        <v>2</v>
      </c>
      <c r="Z418" s="3">
        <f>VLOOKUP($E418,'[1]Product Naming'!$A$1:$P$58,9)</f>
        <v>0</v>
      </c>
      <c r="AA418" s="3">
        <f>VLOOKUP($E418,'[1]Product Naming'!$A$1:$P$58,10)</f>
        <v>0</v>
      </c>
      <c r="AB418" s="3">
        <f>VLOOKUP($E418,'[1]Product Naming'!$A$1:$P$58,11)</f>
        <v>5.5</v>
      </c>
      <c r="AC418" s="3">
        <f>VLOOKUP($E418,'[1]Product Naming'!$A$1:$P$58,12)</f>
        <v>90.119200000000006</v>
      </c>
      <c r="AD418" s="3">
        <f>VLOOKUP($E418,'[1]Product Naming'!$A$1:$P$58,13)</f>
        <v>207</v>
      </c>
      <c r="AE418" s="3" t="str">
        <f>VLOOKUP($E418,'[1]Product Naming'!$A$1:$P$58,14)</f>
        <v>Diol</v>
      </c>
      <c r="AF418" s="3" t="str">
        <f>VLOOKUP($E418,'[1]Product Naming'!$A$1:$P$58,15)</f>
        <v>Pyruvate (acetalehyde)</v>
      </c>
      <c r="AG418" s="3" t="str">
        <f>VLOOKUP($E418,'[1]Product Naming'!$A$1:$P$58,16)</f>
        <v>Proton symporter</v>
      </c>
      <c r="AH418" s="3" t="str">
        <f>VLOOKUP($E418,'[1]Product Naming'!$A$1:$Q$58,17)</f>
        <v>13bdo__R_c</v>
      </c>
    </row>
    <row r="419" spans="1:34" hidden="1" x14ac:dyDescent="0.2">
      <c r="A419" s="8" t="s">
        <v>350</v>
      </c>
      <c r="B419" s="17" t="s">
        <v>64</v>
      </c>
      <c r="C419" t="s">
        <v>352</v>
      </c>
      <c r="D419" s="13" t="s">
        <v>51</v>
      </c>
      <c r="E419" t="s">
        <v>240</v>
      </c>
      <c r="F419" t="s">
        <v>235</v>
      </c>
      <c r="G419">
        <v>-10</v>
      </c>
      <c r="H419">
        <v>0</v>
      </c>
      <c r="I419">
        <v>0</v>
      </c>
      <c r="J419">
        <v>0.45</v>
      </c>
      <c r="K419">
        <v>-10</v>
      </c>
      <c r="L419">
        <v>0</v>
      </c>
      <c r="M419">
        <v>2.5</v>
      </c>
      <c r="N419">
        <v>0</v>
      </c>
      <c r="O419">
        <v>2.5</v>
      </c>
      <c r="P419"/>
      <c r="Q419">
        <v>0.25</v>
      </c>
      <c r="R419" s="26">
        <v>0.714391259045706</v>
      </c>
      <c r="S419" s="3" t="str">
        <f>VLOOKUP($E419,'[1]Product Naming'!$A$1:$P$58,2)</f>
        <v>1-3-butanediol-PW2</v>
      </c>
      <c r="T419" s="3" t="str">
        <f>VLOOKUP($E419,'[1]Product Naming'!$A$1:$P$58,3)</f>
        <v>1,3-Butanediol (PW2)</v>
      </c>
      <c r="U419" s="3" t="str">
        <f>VLOOKUP($E419,'[1]Product Naming'!$A$1:$P$58,4)</f>
        <v>E</v>
      </c>
      <c r="V419" s="3" t="str">
        <f>VLOOKUP($E419,'[1]Product Naming'!$A$1:$P$58,5)</f>
        <v>C4H10O2</v>
      </c>
      <c r="W419" s="3">
        <f>VLOOKUP($E419,'[1]Product Naming'!$A$1:$P$58,6)</f>
        <v>4</v>
      </c>
      <c r="X419" s="3">
        <f>VLOOKUP($E419,'[1]Product Naming'!$A$1:$P$58,7)</f>
        <v>10</v>
      </c>
      <c r="Y419" s="3">
        <f>VLOOKUP($E419,'[1]Product Naming'!$A$1:$P$58,8)</f>
        <v>2</v>
      </c>
      <c r="Z419" s="3">
        <f>VLOOKUP($E419,'[1]Product Naming'!$A$1:$P$58,9)</f>
        <v>0</v>
      </c>
      <c r="AA419" s="3">
        <f>VLOOKUP($E419,'[1]Product Naming'!$A$1:$P$58,10)</f>
        <v>0</v>
      </c>
      <c r="AB419" s="3">
        <f>VLOOKUP($E419,'[1]Product Naming'!$A$1:$P$58,11)</f>
        <v>5.5</v>
      </c>
      <c r="AC419" s="3">
        <f>VLOOKUP($E419,'[1]Product Naming'!$A$1:$P$58,12)</f>
        <v>90.119200000000006</v>
      </c>
      <c r="AD419" s="3">
        <f>VLOOKUP($E419,'[1]Product Naming'!$A$1:$P$58,13)</f>
        <v>207</v>
      </c>
      <c r="AE419" s="3" t="str">
        <f>VLOOKUP($E419,'[1]Product Naming'!$A$1:$P$58,14)</f>
        <v>Diol</v>
      </c>
      <c r="AF419" s="3" t="str">
        <f>VLOOKUP($E419,'[1]Product Naming'!$A$1:$P$58,15)</f>
        <v>Pyruvate (acetalehyde)</v>
      </c>
      <c r="AG419" s="3" t="str">
        <f>VLOOKUP($E419,'[1]Product Naming'!$A$1:$P$58,16)</f>
        <v>Proton symporter</v>
      </c>
      <c r="AH419" s="3" t="str">
        <f>VLOOKUP($E419,'[1]Product Naming'!$A$1:$Q$58,17)</f>
        <v>13bdo__R_c</v>
      </c>
    </row>
    <row r="420" spans="1:34" hidden="1" x14ac:dyDescent="0.2">
      <c r="A420" s="8" t="s">
        <v>350</v>
      </c>
      <c r="B420" s="17" t="s">
        <v>64</v>
      </c>
      <c r="C420" t="s">
        <v>353</v>
      </c>
      <c r="D420" s="13" t="s">
        <v>51</v>
      </c>
      <c r="E420" t="s">
        <v>240</v>
      </c>
      <c r="F420" t="s">
        <v>235</v>
      </c>
      <c r="G420">
        <v>-10</v>
      </c>
      <c r="H420">
        <v>0</v>
      </c>
      <c r="I420">
        <v>0</v>
      </c>
      <c r="J420">
        <v>0.45</v>
      </c>
      <c r="K420">
        <v>-10</v>
      </c>
      <c r="L420">
        <v>0</v>
      </c>
      <c r="M420">
        <v>2.5</v>
      </c>
      <c r="N420">
        <v>0</v>
      </c>
      <c r="O420">
        <v>2.5</v>
      </c>
      <c r="P420"/>
      <c r="Q420">
        <v>0.25</v>
      </c>
      <c r="R420" s="26">
        <v>0.714391259045706</v>
      </c>
      <c r="S420" s="3" t="str">
        <f>VLOOKUP($E420,'[1]Product Naming'!$A$1:$P$58,2)</f>
        <v>1-3-butanediol-PW2</v>
      </c>
      <c r="T420" s="3" t="str">
        <f>VLOOKUP($E420,'[1]Product Naming'!$A$1:$P$58,3)</f>
        <v>1,3-Butanediol (PW2)</v>
      </c>
      <c r="U420" s="3" t="str">
        <f>VLOOKUP($E420,'[1]Product Naming'!$A$1:$P$58,4)</f>
        <v>E</v>
      </c>
      <c r="V420" s="3" t="str">
        <f>VLOOKUP($E420,'[1]Product Naming'!$A$1:$P$58,5)</f>
        <v>C4H10O2</v>
      </c>
      <c r="W420" s="3">
        <f>VLOOKUP($E420,'[1]Product Naming'!$A$1:$P$58,6)</f>
        <v>4</v>
      </c>
      <c r="X420" s="3">
        <f>VLOOKUP($E420,'[1]Product Naming'!$A$1:$P$58,7)</f>
        <v>10</v>
      </c>
      <c r="Y420" s="3">
        <f>VLOOKUP($E420,'[1]Product Naming'!$A$1:$P$58,8)</f>
        <v>2</v>
      </c>
      <c r="Z420" s="3">
        <f>VLOOKUP($E420,'[1]Product Naming'!$A$1:$P$58,9)</f>
        <v>0</v>
      </c>
      <c r="AA420" s="3">
        <f>VLOOKUP($E420,'[1]Product Naming'!$A$1:$P$58,10)</f>
        <v>0</v>
      </c>
      <c r="AB420" s="3">
        <f>VLOOKUP($E420,'[1]Product Naming'!$A$1:$P$58,11)</f>
        <v>5.5</v>
      </c>
      <c r="AC420" s="3">
        <f>VLOOKUP($E420,'[1]Product Naming'!$A$1:$P$58,12)</f>
        <v>90.119200000000006</v>
      </c>
      <c r="AD420" s="3">
        <f>VLOOKUP($E420,'[1]Product Naming'!$A$1:$P$58,13)</f>
        <v>207</v>
      </c>
      <c r="AE420" s="3" t="str">
        <f>VLOOKUP($E420,'[1]Product Naming'!$A$1:$P$58,14)</f>
        <v>Diol</v>
      </c>
      <c r="AF420" s="3" t="str">
        <f>VLOOKUP($E420,'[1]Product Naming'!$A$1:$P$58,15)</f>
        <v>Pyruvate (acetalehyde)</v>
      </c>
      <c r="AG420" s="3" t="str">
        <f>VLOOKUP($E420,'[1]Product Naming'!$A$1:$P$58,16)</f>
        <v>Proton symporter</v>
      </c>
      <c r="AH420" s="3" t="str">
        <f>VLOOKUP($E420,'[1]Product Naming'!$A$1:$Q$58,17)</f>
        <v>13bdo__R_c</v>
      </c>
    </row>
    <row r="421" spans="1:34" hidden="1" x14ac:dyDescent="0.2">
      <c r="A421" s="8" t="s">
        <v>350</v>
      </c>
      <c r="B421" s="17" t="s">
        <v>64</v>
      </c>
      <c r="C421" t="s">
        <v>354</v>
      </c>
      <c r="D421" s="13" t="s">
        <v>51</v>
      </c>
      <c r="E421" t="s">
        <v>240</v>
      </c>
      <c r="F421" t="s">
        <v>235</v>
      </c>
      <c r="G421">
        <v>-10</v>
      </c>
      <c r="H421">
        <v>0</v>
      </c>
      <c r="I421">
        <v>0</v>
      </c>
      <c r="J421">
        <v>0.45</v>
      </c>
      <c r="K421">
        <v>-10</v>
      </c>
      <c r="L421">
        <v>0</v>
      </c>
      <c r="M421">
        <v>2.5</v>
      </c>
      <c r="N421">
        <v>0</v>
      </c>
      <c r="O421">
        <v>2.5</v>
      </c>
      <c r="P421"/>
      <c r="Q421">
        <v>0.25</v>
      </c>
      <c r="R421" s="26">
        <v>0.714391259045706</v>
      </c>
      <c r="S421" s="3" t="str">
        <f>VLOOKUP($E421,'[1]Product Naming'!$A$1:$P$58,2)</f>
        <v>1-3-butanediol-PW2</v>
      </c>
      <c r="T421" s="3" t="str">
        <f>VLOOKUP($E421,'[1]Product Naming'!$A$1:$P$58,3)</f>
        <v>1,3-Butanediol (PW2)</v>
      </c>
      <c r="U421" s="3" t="str">
        <f>VLOOKUP($E421,'[1]Product Naming'!$A$1:$P$58,4)</f>
        <v>E</v>
      </c>
      <c r="V421" s="3" t="str">
        <f>VLOOKUP($E421,'[1]Product Naming'!$A$1:$P$58,5)</f>
        <v>C4H10O2</v>
      </c>
      <c r="W421" s="3">
        <f>VLOOKUP($E421,'[1]Product Naming'!$A$1:$P$58,6)</f>
        <v>4</v>
      </c>
      <c r="X421" s="3">
        <f>VLOOKUP($E421,'[1]Product Naming'!$A$1:$P$58,7)</f>
        <v>10</v>
      </c>
      <c r="Y421" s="3">
        <f>VLOOKUP($E421,'[1]Product Naming'!$A$1:$P$58,8)</f>
        <v>2</v>
      </c>
      <c r="Z421" s="3">
        <f>VLOOKUP($E421,'[1]Product Naming'!$A$1:$P$58,9)</f>
        <v>0</v>
      </c>
      <c r="AA421" s="3">
        <f>VLOOKUP($E421,'[1]Product Naming'!$A$1:$P$58,10)</f>
        <v>0</v>
      </c>
      <c r="AB421" s="3">
        <f>VLOOKUP($E421,'[1]Product Naming'!$A$1:$P$58,11)</f>
        <v>5.5</v>
      </c>
      <c r="AC421" s="3">
        <f>VLOOKUP($E421,'[1]Product Naming'!$A$1:$P$58,12)</f>
        <v>90.119200000000006</v>
      </c>
      <c r="AD421" s="3">
        <f>VLOOKUP($E421,'[1]Product Naming'!$A$1:$P$58,13)</f>
        <v>207</v>
      </c>
      <c r="AE421" s="3" t="str">
        <f>VLOOKUP($E421,'[1]Product Naming'!$A$1:$P$58,14)</f>
        <v>Diol</v>
      </c>
      <c r="AF421" s="3" t="str">
        <f>VLOOKUP($E421,'[1]Product Naming'!$A$1:$P$58,15)</f>
        <v>Pyruvate (acetalehyde)</v>
      </c>
      <c r="AG421" s="3" t="str">
        <f>VLOOKUP($E421,'[1]Product Naming'!$A$1:$P$58,16)</f>
        <v>Proton symporter</v>
      </c>
      <c r="AH421" s="3" t="str">
        <f>VLOOKUP($E421,'[1]Product Naming'!$A$1:$Q$58,17)</f>
        <v>13bdo__R_c</v>
      </c>
    </row>
    <row r="422" spans="1:34" hidden="1" x14ac:dyDescent="0.2">
      <c r="A422" s="8" t="s">
        <v>350</v>
      </c>
      <c r="B422" s="17" t="s">
        <v>64</v>
      </c>
      <c r="C422" t="s">
        <v>351</v>
      </c>
      <c r="D422" s="13" t="s">
        <v>51</v>
      </c>
      <c r="E422" t="s">
        <v>249</v>
      </c>
      <c r="F422" t="s">
        <v>250</v>
      </c>
      <c r="G422">
        <v>-10</v>
      </c>
      <c r="H422">
        <v>0</v>
      </c>
      <c r="I422">
        <v>0</v>
      </c>
      <c r="J422">
        <v>0.45</v>
      </c>
      <c r="K422">
        <v>-10</v>
      </c>
      <c r="L422">
        <v>0</v>
      </c>
      <c r="M422">
        <v>2.5</v>
      </c>
      <c r="N422">
        <v>0</v>
      </c>
      <c r="O422">
        <v>2.5</v>
      </c>
      <c r="P422"/>
      <c r="Q422">
        <v>0.25</v>
      </c>
      <c r="R422" s="26">
        <v>0.714391259045706</v>
      </c>
      <c r="S422" s="3" t="str">
        <f>VLOOKUP($E422,'[1]Product Naming'!$A$1:$P$58,2)</f>
        <v>2-3-butanediol</v>
      </c>
      <c r="T422" s="3" t="str">
        <f>VLOOKUP($E422,'[1]Product Naming'!$A$1:$P$58,3)</f>
        <v>2,3-Butanediol</v>
      </c>
      <c r="U422" s="3" t="str">
        <f>VLOOKUP($E422,'[1]Product Naming'!$A$1:$P$58,4)</f>
        <v>E</v>
      </c>
      <c r="V422" s="3" t="str">
        <f>VLOOKUP($E422,'[1]Product Naming'!$A$1:$P$58,5)</f>
        <v>C4H10O2</v>
      </c>
      <c r="W422" s="3">
        <f>VLOOKUP($E422,'[1]Product Naming'!$A$1:$P$58,6)</f>
        <v>4</v>
      </c>
      <c r="X422" s="3">
        <f>VLOOKUP($E422,'[1]Product Naming'!$A$1:$P$58,7)</f>
        <v>10</v>
      </c>
      <c r="Y422" s="3">
        <f>VLOOKUP($E422,'[1]Product Naming'!$A$1:$P$58,8)</f>
        <v>2</v>
      </c>
      <c r="Z422" s="3">
        <f>VLOOKUP($E422,'[1]Product Naming'!$A$1:$P$58,9)</f>
        <v>0</v>
      </c>
      <c r="AA422" s="3">
        <f>VLOOKUP($E422,'[1]Product Naming'!$A$1:$P$58,10)</f>
        <v>0</v>
      </c>
      <c r="AB422" s="3">
        <f>VLOOKUP($E422,'[1]Product Naming'!$A$1:$P$58,11)</f>
        <v>5.5</v>
      </c>
      <c r="AC422" s="3">
        <f>VLOOKUP($E422,'[1]Product Naming'!$A$1:$P$58,12)</f>
        <v>90.119200000000006</v>
      </c>
      <c r="AD422" s="3">
        <f>VLOOKUP($E422,'[1]Product Naming'!$A$1:$P$58,13)</f>
        <v>177</v>
      </c>
      <c r="AE422" s="3" t="str">
        <f>VLOOKUP($E422,'[1]Product Naming'!$A$1:$P$58,14)</f>
        <v>Diol</v>
      </c>
      <c r="AF422" s="3" t="str">
        <f>VLOOKUP($E422,'[1]Product Naming'!$A$1:$P$58,15)</f>
        <v>Pyruvate</v>
      </c>
      <c r="AG422" s="3" t="str">
        <f>VLOOKUP($E422,'[1]Product Naming'!$A$1:$P$58,16)</f>
        <v>Proton symporter</v>
      </c>
      <c r="AH422" s="3" t="str">
        <f>VLOOKUP($E422,'[1]Product Naming'!$A$1:$Q$58,17)</f>
        <v>btd_RR_c</v>
      </c>
    </row>
    <row r="423" spans="1:34" hidden="1" x14ac:dyDescent="0.2">
      <c r="A423" s="8" t="s">
        <v>350</v>
      </c>
      <c r="B423" s="17" t="s">
        <v>64</v>
      </c>
      <c r="C423" t="s">
        <v>352</v>
      </c>
      <c r="D423" s="13" t="s">
        <v>51</v>
      </c>
      <c r="E423" t="s">
        <v>249</v>
      </c>
      <c r="F423" t="s">
        <v>250</v>
      </c>
      <c r="G423">
        <v>-10</v>
      </c>
      <c r="H423">
        <v>0</v>
      </c>
      <c r="I423">
        <v>0</v>
      </c>
      <c r="J423">
        <v>0.45</v>
      </c>
      <c r="K423">
        <v>-10</v>
      </c>
      <c r="L423">
        <v>0</v>
      </c>
      <c r="M423">
        <v>2.5</v>
      </c>
      <c r="N423">
        <v>0</v>
      </c>
      <c r="O423">
        <v>2.5</v>
      </c>
      <c r="P423"/>
      <c r="Q423">
        <v>0.25</v>
      </c>
      <c r="R423" s="26">
        <v>0.714391259045706</v>
      </c>
      <c r="S423" s="3" t="str">
        <f>VLOOKUP($E423,'[1]Product Naming'!$A$1:$P$58,2)</f>
        <v>2-3-butanediol</v>
      </c>
      <c r="T423" s="3" t="str">
        <f>VLOOKUP($E423,'[1]Product Naming'!$A$1:$P$58,3)</f>
        <v>2,3-Butanediol</v>
      </c>
      <c r="U423" s="3" t="str">
        <f>VLOOKUP($E423,'[1]Product Naming'!$A$1:$P$58,4)</f>
        <v>E</v>
      </c>
      <c r="V423" s="3" t="str">
        <f>VLOOKUP($E423,'[1]Product Naming'!$A$1:$P$58,5)</f>
        <v>C4H10O2</v>
      </c>
      <c r="W423" s="3">
        <f>VLOOKUP($E423,'[1]Product Naming'!$A$1:$P$58,6)</f>
        <v>4</v>
      </c>
      <c r="X423" s="3">
        <f>VLOOKUP($E423,'[1]Product Naming'!$A$1:$P$58,7)</f>
        <v>10</v>
      </c>
      <c r="Y423" s="3">
        <f>VLOOKUP($E423,'[1]Product Naming'!$A$1:$P$58,8)</f>
        <v>2</v>
      </c>
      <c r="Z423" s="3">
        <f>VLOOKUP($E423,'[1]Product Naming'!$A$1:$P$58,9)</f>
        <v>0</v>
      </c>
      <c r="AA423" s="3">
        <f>VLOOKUP($E423,'[1]Product Naming'!$A$1:$P$58,10)</f>
        <v>0</v>
      </c>
      <c r="AB423" s="3">
        <f>VLOOKUP($E423,'[1]Product Naming'!$A$1:$P$58,11)</f>
        <v>5.5</v>
      </c>
      <c r="AC423" s="3">
        <f>VLOOKUP($E423,'[1]Product Naming'!$A$1:$P$58,12)</f>
        <v>90.119200000000006</v>
      </c>
      <c r="AD423" s="3">
        <f>VLOOKUP($E423,'[1]Product Naming'!$A$1:$P$58,13)</f>
        <v>177</v>
      </c>
      <c r="AE423" s="3" t="str">
        <f>VLOOKUP($E423,'[1]Product Naming'!$A$1:$P$58,14)</f>
        <v>Diol</v>
      </c>
      <c r="AF423" s="3" t="str">
        <f>VLOOKUP($E423,'[1]Product Naming'!$A$1:$P$58,15)</f>
        <v>Pyruvate</v>
      </c>
      <c r="AG423" s="3" t="str">
        <f>VLOOKUP($E423,'[1]Product Naming'!$A$1:$P$58,16)</f>
        <v>Proton symporter</v>
      </c>
      <c r="AH423" s="3" t="str">
        <f>VLOOKUP($E423,'[1]Product Naming'!$A$1:$Q$58,17)</f>
        <v>btd_RR_c</v>
      </c>
    </row>
    <row r="424" spans="1:34" hidden="1" x14ac:dyDescent="0.2">
      <c r="A424" s="8" t="s">
        <v>350</v>
      </c>
      <c r="B424" s="17" t="s">
        <v>64</v>
      </c>
      <c r="C424" t="s">
        <v>353</v>
      </c>
      <c r="D424" s="13" t="s">
        <v>51</v>
      </c>
      <c r="E424" t="s">
        <v>249</v>
      </c>
      <c r="F424" t="s">
        <v>250</v>
      </c>
      <c r="G424">
        <v>-10</v>
      </c>
      <c r="H424">
        <v>0</v>
      </c>
      <c r="I424">
        <v>0</v>
      </c>
      <c r="J424">
        <v>0.45</v>
      </c>
      <c r="K424">
        <v>-10</v>
      </c>
      <c r="L424">
        <v>0</v>
      </c>
      <c r="M424">
        <v>2.5</v>
      </c>
      <c r="N424">
        <v>0</v>
      </c>
      <c r="O424">
        <v>2.5</v>
      </c>
      <c r="P424"/>
      <c r="Q424">
        <v>0.25</v>
      </c>
      <c r="R424" s="26">
        <v>0.714391259045706</v>
      </c>
      <c r="S424" s="3" t="str">
        <f>VLOOKUP($E424,'[1]Product Naming'!$A$1:$P$58,2)</f>
        <v>2-3-butanediol</v>
      </c>
      <c r="T424" s="3" t="str">
        <f>VLOOKUP($E424,'[1]Product Naming'!$A$1:$P$58,3)</f>
        <v>2,3-Butanediol</v>
      </c>
      <c r="U424" s="3" t="str">
        <f>VLOOKUP($E424,'[1]Product Naming'!$A$1:$P$58,4)</f>
        <v>E</v>
      </c>
      <c r="V424" s="3" t="str">
        <f>VLOOKUP($E424,'[1]Product Naming'!$A$1:$P$58,5)</f>
        <v>C4H10O2</v>
      </c>
      <c r="W424" s="3">
        <f>VLOOKUP($E424,'[1]Product Naming'!$A$1:$P$58,6)</f>
        <v>4</v>
      </c>
      <c r="X424" s="3">
        <f>VLOOKUP($E424,'[1]Product Naming'!$A$1:$P$58,7)</f>
        <v>10</v>
      </c>
      <c r="Y424" s="3">
        <f>VLOOKUP($E424,'[1]Product Naming'!$A$1:$P$58,8)</f>
        <v>2</v>
      </c>
      <c r="Z424" s="3">
        <f>VLOOKUP($E424,'[1]Product Naming'!$A$1:$P$58,9)</f>
        <v>0</v>
      </c>
      <c r="AA424" s="3">
        <f>VLOOKUP($E424,'[1]Product Naming'!$A$1:$P$58,10)</f>
        <v>0</v>
      </c>
      <c r="AB424" s="3">
        <f>VLOOKUP($E424,'[1]Product Naming'!$A$1:$P$58,11)</f>
        <v>5.5</v>
      </c>
      <c r="AC424" s="3">
        <f>VLOOKUP($E424,'[1]Product Naming'!$A$1:$P$58,12)</f>
        <v>90.119200000000006</v>
      </c>
      <c r="AD424" s="3">
        <f>VLOOKUP($E424,'[1]Product Naming'!$A$1:$P$58,13)</f>
        <v>177</v>
      </c>
      <c r="AE424" s="3" t="str">
        <f>VLOOKUP($E424,'[1]Product Naming'!$A$1:$P$58,14)</f>
        <v>Diol</v>
      </c>
      <c r="AF424" s="3" t="str">
        <f>VLOOKUP($E424,'[1]Product Naming'!$A$1:$P$58,15)</f>
        <v>Pyruvate</v>
      </c>
      <c r="AG424" s="3" t="str">
        <f>VLOOKUP($E424,'[1]Product Naming'!$A$1:$P$58,16)</f>
        <v>Proton symporter</v>
      </c>
      <c r="AH424" s="3" t="str">
        <f>VLOOKUP($E424,'[1]Product Naming'!$A$1:$Q$58,17)</f>
        <v>btd_RR_c</v>
      </c>
    </row>
    <row r="425" spans="1:34" hidden="1" x14ac:dyDescent="0.2">
      <c r="A425" s="8" t="s">
        <v>350</v>
      </c>
      <c r="B425" s="17" t="s">
        <v>64</v>
      </c>
      <c r="C425" t="s">
        <v>354</v>
      </c>
      <c r="D425" s="13" t="s">
        <v>51</v>
      </c>
      <c r="E425" t="s">
        <v>249</v>
      </c>
      <c r="F425" t="s">
        <v>250</v>
      </c>
      <c r="G425">
        <v>-10</v>
      </c>
      <c r="H425">
        <v>0</v>
      </c>
      <c r="I425">
        <v>0</v>
      </c>
      <c r="J425">
        <v>0.45</v>
      </c>
      <c r="K425">
        <v>-10</v>
      </c>
      <c r="L425">
        <v>0</v>
      </c>
      <c r="M425">
        <v>2.5</v>
      </c>
      <c r="N425">
        <v>0</v>
      </c>
      <c r="O425">
        <v>2.5</v>
      </c>
      <c r="P425"/>
      <c r="Q425">
        <v>0.25</v>
      </c>
      <c r="R425" s="26">
        <v>0.714391259045706</v>
      </c>
      <c r="S425" s="3" t="str">
        <f>VLOOKUP($E425,'[1]Product Naming'!$A$1:$P$58,2)</f>
        <v>2-3-butanediol</v>
      </c>
      <c r="T425" s="3" t="str">
        <f>VLOOKUP($E425,'[1]Product Naming'!$A$1:$P$58,3)</f>
        <v>2,3-Butanediol</v>
      </c>
      <c r="U425" s="3" t="str">
        <f>VLOOKUP($E425,'[1]Product Naming'!$A$1:$P$58,4)</f>
        <v>E</v>
      </c>
      <c r="V425" s="3" t="str">
        <f>VLOOKUP($E425,'[1]Product Naming'!$A$1:$P$58,5)</f>
        <v>C4H10O2</v>
      </c>
      <c r="W425" s="3">
        <f>VLOOKUP($E425,'[1]Product Naming'!$A$1:$P$58,6)</f>
        <v>4</v>
      </c>
      <c r="X425" s="3">
        <f>VLOOKUP($E425,'[1]Product Naming'!$A$1:$P$58,7)</f>
        <v>10</v>
      </c>
      <c r="Y425" s="3">
        <f>VLOOKUP($E425,'[1]Product Naming'!$A$1:$P$58,8)</f>
        <v>2</v>
      </c>
      <c r="Z425" s="3">
        <f>VLOOKUP($E425,'[1]Product Naming'!$A$1:$P$58,9)</f>
        <v>0</v>
      </c>
      <c r="AA425" s="3">
        <f>VLOOKUP($E425,'[1]Product Naming'!$A$1:$P$58,10)</f>
        <v>0</v>
      </c>
      <c r="AB425" s="3">
        <f>VLOOKUP($E425,'[1]Product Naming'!$A$1:$P$58,11)</f>
        <v>5.5</v>
      </c>
      <c r="AC425" s="3">
        <f>VLOOKUP($E425,'[1]Product Naming'!$A$1:$P$58,12)</f>
        <v>90.119200000000006</v>
      </c>
      <c r="AD425" s="3">
        <f>VLOOKUP($E425,'[1]Product Naming'!$A$1:$P$58,13)</f>
        <v>177</v>
      </c>
      <c r="AE425" s="3" t="str">
        <f>VLOOKUP($E425,'[1]Product Naming'!$A$1:$P$58,14)</f>
        <v>Diol</v>
      </c>
      <c r="AF425" s="3" t="str">
        <f>VLOOKUP($E425,'[1]Product Naming'!$A$1:$P$58,15)</f>
        <v>Pyruvate</v>
      </c>
      <c r="AG425" s="3" t="str">
        <f>VLOOKUP($E425,'[1]Product Naming'!$A$1:$P$58,16)</f>
        <v>Proton symporter</v>
      </c>
      <c r="AH425" s="3" t="str">
        <f>VLOOKUP($E425,'[1]Product Naming'!$A$1:$Q$58,17)</f>
        <v>btd_RR_c</v>
      </c>
    </row>
    <row r="426" spans="1:34" hidden="1" x14ac:dyDescent="0.2">
      <c r="A426" s="16" t="s">
        <v>63</v>
      </c>
      <c r="B426" s="17" t="s">
        <v>64</v>
      </c>
      <c r="C426" t="s">
        <v>69</v>
      </c>
      <c r="D426" s="18" t="s">
        <v>66</v>
      </c>
      <c r="E426" t="s">
        <v>234</v>
      </c>
      <c r="F426" t="s">
        <v>235</v>
      </c>
      <c r="G426">
        <v>-10</v>
      </c>
      <c r="H426">
        <v>0</v>
      </c>
      <c r="I426">
        <v>-20</v>
      </c>
      <c r="J426">
        <v>0.45</v>
      </c>
      <c r="K426">
        <v>-10</v>
      </c>
      <c r="L426">
        <v>0</v>
      </c>
      <c r="M426">
        <v>-17.5</v>
      </c>
      <c r="N426">
        <v>0</v>
      </c>
      <c r="O426">
        <v>2.5</v>
      </c>
      <c r="P426"/>
      <c r="Q426">
        <v>0.25</v>
      </c>
      <c r="R426" s="19">
        <v>0.71421144396893299</v>
      </c>
      <c r="S426" s="20" t="s">
        <v>236</v>
      </c>
      <c r="T426" s="3" t="s">
        <v>237</v>
      </c>
      <c r="U426" s="3" t="s">
        <v>106</v>
      </c>
      <c r="V426" s="3" t="s">
        <v>238</v>
      </c>
      <c r="W426" s="3">
        <v>4</v>
      </c>
      <c r="X426" s="3">
        <v>10</v>
      </c>
      <c r="Y426" s="3">
        <v>2</v>
      </c>
      <c r="Z426" s="3">
        <v>0</v>
      </c>
      <c r="AA426" s="3">
        <v>0</v>
      </c>
      <c r="AB426" s="12">
        <f>(W426*4+X426*1+Y426*-2+Z426*-3)/W426</f>
        <v>5.5</v>
      </c>
      <c r="AC426" s="3">
        <f>W426*12.0107+X426*1.00784+Y426*15.999+Z426*14.0067</f>
        <v>90.119200000000006</v>
      </c>
      <c r="AD426" s="12">
        <v>207</v>
      </c>
      <c r="AE426" s="2" t="s">
        <v>220</v>
      </c>
      <c r="AF426" s="3" t="s">
        <v>79</v>
      </c>
      <c r="AG426" s="2" t="str">
        <f>IF(AD426&gt;37,"Proton symporter", "Diffusion")</f>
        <v>Proton symporter</v>
      </c>
      <c r="AH426" s="3" t="s">
        <v>239</v>
      </c>
    </row>
    <row r="427" spans="1:34" hidden="1" x14ac:dyDescent="0.2">
      <c r="A427" s="16" t="s">
        <v>63</v>
      </c>
      <c r="B427" s="17" t="s">
        <v>64</v>
      </c>
      <c r="C427" t="s">
        <v>69</v>
      </c>
      <c r="D427" s="18" t="s">
        <v>66</v>
      </c>
      <c r="E427" t="s">
        <v>240</v>
      </c>
      <c r="F427" t="s">
        <v>235</v>
      </c>
      <c r="G427">
        <v>-10</v>
      </c>
      <c r="H427">
        <v>0</v>
      </c>
      <c r="I427">
        <v>-20</v>
      </c>
      <c r="J427">
        <v>0.45</v>
      </c>
      <c r="K427">
        <v>-10</v>
      </c>
      <c r="L427">
        <v>0</v>
      </c>
      <c r="M427">
        <v>-17.5</v>
      </c>
      <c r="N427">
        <v>0</v>
      </c>
      <c r="O427">
        <v>2.5</v>
      </c>
      <c r="P427"/>
      <c r="Q427">
        <v>0.25</v>
      </c>
      <c r="R427" s="19">
        <v>0.71421144396893299</v>
      </c>
      <c r="S427" s="20" t="s">
        <v>241</v>
      </c>
      <c r="T427" s="3" t="s">
        <v>242</v>
      </c>
      <c r="U427" s="3" t="s">
        <v>106</v>
      </c>
      <c r="V427" s="3" t="s">
        <v>238</v>
      </c>
      <c r="W427" s="3">
        <v>4</v>
      </c>
      <c r="X427" s="3">
        <v>10</v>
      </c>
      <c r="Y427" s="3">
        <v>2</v>
      </c>
      <c r="Z427" s="3">
        <v>0</v>
      </c>
      <c r="AA427" s="3">
        <v>0</v>
      </c>
      <c r="AB427" s="12">
        <f>(W427*4+X427*1+Y427*-2+Z427*-3)/W427</f>
        <v>5.5</v>
      </c>
      <c r="AC427" s="3">
        <f>W427*12.0107+X427*1.00784+Y427*15.999+Z427*14.0067</f>
        <v>90.119200000000006</v>
      </c>
      <c r="AD427" s="12">
        <v>207</v>
      </c>
      <c r="AE427" s="2" t="s">
        <v>220</v>
      </c>
      <c r="AF427" s="3" t="s">
        <v>243</v>
      </c>
      <c r="AG427" s="2" t="str">
        <f>IF(AD427&gt;37,"Proton symporter", "Diffusion")</f>
        <v>Proton symporter</v>
      </c>
      <c r="AH427" s="3" t="s">
        <v>239</v>
      </c>
    </row>
    <row r="428" spans="1:34" hidden="1" x14ac:dyDescent="0.2">
      <c r="A428" s="16" t="s">
        <v>63</v>
      </c>
      <c r="B428" s="17" t="s">
        <v>64</v>
      </c>
      <c r="C428" t="s">
        <v>69</v>
      </c>
      <c r="D428" s="18" t="s">
        <v>66</v>
      </c>
      <c r="E428" t="s">
        <v>249</v>
      </c>
      <c r="F428" t="s">
        <v>250</v>
      </c>
      <c r="G428">
        <v>-10</v>
      </c>
      <c r="H428">
        <v>0</v>
      </c>
      <c r="I428">
        <v>-20</v>
      </c>
      <c r="J428">
        <v>0.45</v>
      </c>
      <c r="K428">
        <v>-10</v>
      </c>
      <c r="L428">
        <v>0</v>
      </c>
      <c r="M428">
        <v>-17.5</v>
      </c>
      <c r="N428">
        <v>0</v>
      </c>
      <c r="O428">
        <v>2.5</v>
      </c>
      <c r="P428"/>
      <c r="Q428">
        <v>0.25</v>
      </c>
      <c r="R428" s="21">
        <v>0.71421144396893299</v>
      </c>
      <c r="S428" s="20" t="s">
        <v>251</v>
      </c>
      <c r="T428" s="3" t="s">
        <v>252</v>
      </c>
      <c r="U428" s="3" t="s">
        <v>106</v>
      </c>
      <c r="V428" s="3" t="s">
        <v>238</v>
      </c>
      <c r="W428" s="3">
        <v>4</v>
      </c>
      <c r="X428" s="3">
        <v>10</v>
      </c>
      <c r="Y428" s="3">
        <v>2</v>
      </c>
      <c r="Z428" s="3">
        <v>0</v>
      </c>
      <c r="AA428" s="3">
        <v>0</v>
      </c>
      <c r="AB428" s="12">
        <f>(W428*4+X428*1+Y428*-2+Z428*-3)/W428</f>
        <v>5.5</v>
      </c>
      <c r="AC428" s="3">
        <f>W428*12.0107+X428*1.00784+Y428*15.999+Z428*14.0067</f>
        <v>90.119200000000006</v>
      </c>
      <c r="AD428" s="12">
        <v>177</v>
      </c>
      <c r="AE428" s="3" t="s">
        <v>220</v>
      </c>
      <c r="AF428" s="3" t="s">
        <v>135</v>
      </c>
      <c r="AG428" s="2" t="str">
        <f>IF(AD428&gt;37,"Proton symporter", "Diffusion")</f>
        <v>Proton symporter</v>
      </c>
      <c r="AH428" s="3" t="s">
        <v>253</v>
      </c>
    </row>
    <row r="429" spans="1:34" hidden="1" x14ac:dyDescent="0.2">
      <c r="A429" s="8" t="s">
        <v>350</v>
      </c>
      <c r="B429" s="17" t="s">
        <v>64</v>
      </c>
      <c r="C429" t="s">
        <v>351</v>
      </c>
      <c r="D429" s="13" t="s">
        <v>51</v>
      </c>
      <c r="E429" t="s">
        <v>205</v>
      </c>
      <c r="F429" t="s">
        <v>206</v>
      </c>
      <c r="G429">
        <v>-10</v>
      </c>
      <c r="H429">
        <v>0</v>
      </c>
      <c r="I429">
        <v>0</v>
      </c>
      <c r="J429">
        <v>0.45</v>
      </c>
      <c r="K429">
        <v>-10</v>
      </c>
      <c r="L429">
        <v>0</v>
      </c>
      <c r="M429">
        <v>5</v>
      </c>
      <c r="N429">
        <v>0</v>
      </c>
      <c r="O429">
        <v>2.5</v>
      </c>
      <c r="P429"/>
      <c r="Q429">
        <v>0.25</v>
      </c>
      <c r="R429" s="26">
        <v>0.70975533833917703</v>
      </c>
      <c r="S429" s="3" t="str">
        <f>VLOOKUP($E429,'[1]Product Naming'!$A$1:$P$58,2)</f>
        <v>EthylAcetate</v>
      </c>
      <c r="T429" s="3" t="str">
        <f>VLOOKUP($E429,'[1]Product Naming'!$A$1:$P$58,3)</f>
        <v>Ethyl acetate</v>
      </c>
      <c r="U429" s="3" t="str">
        <f>VLOOKUP($E429,'[1]Product Naming'!$A$1:$P$58,4)</f>
        <v>E</v>
      </c>
      <c r="V429" s="3" t="str">
        <f>VLOOKUP($E429,'[1]Product Naming'!$A$1:$P$58,5)</f>
        <v>C4H8O2</v>
      </c>
      <c r="W429" s="3">
        <f>VLOOKUP($E429,'[1]Product Naming'!$A$1:$P$58,6)</f>
        <v>4</v>
      </c>
      <c r="X429" s="3">
        <f>VLOOKUP($E429,'[1]Product Naming'!$A$1:$P$58,7)</f>
        <v>8</v>
      </c>
      <c r="Y429" s="3">
        <f>VLOOKUP($E429,'[1]Product Naming'!$A$1:$P$58,8)</f>
        <v>2</v>
      </c>
      <c r="Z429" s="3">
        <f>VLOOKUP($E429,'[1]Product Naming'!$A$1:$P$58,9)</f>
        <v>0</v>
      </c>
      <c r="AA429" s="3">
        <f>VLOOKUP($E429,'[1]Product Naming'!$A$1:$P$58,10)</f>
        <v>0</v>
      </c>
      <c r="AB429" s="3">
        <f>VLOOKUP($E429,'[1]Product Naming'!$A$1:$P$58,11)</f>
        <v>5</v>
      </c>
      <c r="AC429" s="3">
        <f>VLOOKUP($E429,'[1]Product Naming'!$A$1:$P$58,12)</f>
        <v>88.103520000000003</v>
      </c>
      <c r="AD429" s="3">
        <f>VLOOKUP($E429,'[1]Product Naming'!$A$1:$P$58,13)</f>
        <v>77.099999999999994</v>
      </c>
      <c r="AE429" s="3" t="str">
        <f>VLOOKUP($E429,'[1]Product Naming'!$A$1:$P$58,14)</f>
        <v>Carboxylate Ester</v>
      </c>
      <c r="AF429" s="3" t="str">
        <f>VLOOKUP($E429,'[1]Product Naming'!$A$1:$P$58,15)</f>
        <v>Acetyl-CoA</v>
      </c>
      <c r="AG429" s="3" t="str">
        <f>VLOOKUP($E429,'[1]Product Naming'!$A$1:$P$58,16)</f>
        <v>Proton symporter</v>
      </c>
      <c r="AH429" s="3" t="str">
        <f>VLOOKUP($E429,'[1]Product Naming'!$A$1:$Q$58,17)</f>
        <v>aces_c</v>
      </c>
    </row>
    <row r="430" spans="1:34" hidden="1" x14ac:dyDescent="0.2">
      <c r="A430" s="8" t="s">
        <v>350</v>
      </c>
      <c r="B430" s="17" t="s">
        <v>64</v>
      </c>
      <c r="C430" t="s">
        <v>352</v>
      </c>
      <c r="D430" s="13" t="s">
        <v>51</v>
      </c>
      <c r="E430" t="s">
        <v>205</v>
      </c>
      <c r="F430" t="s">
        <v>206</v>
      </c>
      <c r="G430">
        <v>-10</v>
      </c>
      <c r="H430">
        <v>0</v>
      </c>
      <c r="I430">
        <v>0</v>
      </c>
      <c r="J430">
        <v>0.45</v>
      </c>
      <c r="K430">
        <v>-10</v>
      </c>
      <c r="L430">
        <v>0</v>
      </c>
      <c r="M430">
        <v>5</v>
      </c>
      <c r="N430">
        <v>0</v>
      </c>
      <c r="O430">
        <v>2.5</v>
      </c>
      <c r="P430"/>
      <c r="Q430">
        <v>0.25</v>
      </c>
      <c r="R430" s="26">
        <v>0.70975533833917703</v>
      </c>
      <c r="S430" s="3" t="str">
        <f>VLOOKUP($E430,'[1]Product Naming'!$A$1:$P$58,2)</f>
        <v>EthylAcetate</v>
      </c>
      <c r="T430" s="3" t="str">
        <f>VLOOKUP($E430,'[1]Product Naming'!$A$1:$P$58,3)</f>
        <v>Ethyl acetate</v>
      </c>
      <c r="U430" s="3" t="str">
        <f>VLOOKUP($E430,'[1]Product Naming'!$A$1:$P$58,4)</f>
        <v>E</v>
      </c>
      <c r="V430" s="3" t="str">
        <f>VLOOKUP($E430,'[1]Product Naming'!$A$1:$P$58,5)</f>
        <v>C4H8O2</v>
      </c>
      <c r="W430" s="3">
        <f>VLOOKUP($E430,'[1]Product Naming'!$A$1:$P$58,6)</f>
        <v>4</v>
      </c>
      <c r="X430" s="3">
        <f>VLOOKUP($E430,'[1]Product Naming'!$A$1:$P$58,7)</f>
        <v>8</v>
      </c>
      <c r="Y430" s="3">
        <f>VLOOKUP($E430,'[1]Product Naming'!$A$1:$P$58,8)</f>
        <v>2</v>
      </c>
      <c r="Z430" s="3">
        <f>VLOOKUP($E430,'[1]Product Naming'!$A$1:$P$58,9)</f>
        <v>0</v>
      </c>
      <c r="AA430" s="3">
        <f>VLOOKUP($E430,'[1]Product Naming'!$A$1:$P$58,10)</f>
        <v>0</v>
      </c>
      <c r="AB430" s="3">
        <f>VLOOKUP($E430,'[1]Product Naming'!$A$1:$P$58,11)</f>
        <v>5</v>
      </c>
      <c r="AC430" s="3">
        <f>VLOOKUP($E430,'[1]Product Naming'!$A$1:$P$58,12)</f>
        <v>88.103520000000003</v>
      </c>
      <c r="AD430" s="3">
        <f>VLOOKUP($E430,'[1]Product Naming'!$A$1:$P$58,13)</f>
        <v>77.099999999999994</v>
      </c>
      <c r="AE430" s="3" t="str">
        <f>VLOOKUP($E430,'[1]Product Naming'!$A$1:$P$58,14)</f>
        <v>Carboxylate Ester</v>
      </c>
      <c r="AF430" s="3" t="str">
        <f>VLOOKUP($E430,'[1]Product Naming'!$A$1:$P$58,15)</f>
        <v>Acetyl-CoA</v>
      </c>
      <c r="AG430" s="3" t="str">
        <f>VLOOKUP($E430,'[1]Product Naming'!$A$1:$P$58,16)</f>
        <v>Proton symporter</v>
      </c>
      <c r="AH430" s="3" t="str">
        <f>VLOOKUP($E430,'[1]Product Naming'!$A$1:$Q$58,17)</f>
        <v>aces_c</v>
      </c>
    </row>
    <row r="431" spans="1:34" hidden="1" x14ac:dyDescent="0.2">
      <c r="A431" s="8" t="s">
        <v>350</v>
      </c>
      <c r="B431" s="17" t="s">
        <v>64</v>
      </c>
      <c r="C431" t="s">
        <v>353</v>
      </c>
      <c r="D431" s="13" t="s">
        <v>51</v>
      </c>
      <c r="E431" t="s">
        <v>205</v>
      </c>
      <c r="F431" t="s">
        <v>206</v>
      </c>
      <c r="G431">
        <v>-10</v>
      </c>
      <c r="H431">
        <v>0</v>
      </c>
      <c r="I431">
        <v>0</v>
      </c>
      <c r="J431">
        <v>0.45</v>
      </c>
      <c r="K431">
        <v>-10</v>
      </c>
      <c r="L431">
        <v>0</v>
      </c>
      <c r="M431">
        <v>5</v>
      </c>
      <c r="N431">
        <v>0</v>
      </c>
      <c r="O431">
        <v>2.5</v>
      </c>
      <c r="P431"/>
      <c r="Q431">
        <v>0.25</v>
      </c>
      <c r="R431" s="26">
        <v>0.70975533833917703</v>
      </c>
      <c r="S431" s="3" t="str">
        <f>VLOOKUP($E431,'[1]Product Naming'!$A$1:$P$58,2)</f>
        <v>EthylAcetate</v>
      </c>
      <c r="T431" s="3" t="str">
        <f>VLOOKUP($E431,'[1]Product Naming'!$A$1:$P$58,3)</f>
        <v>Ethyl acetate</v>
      </c>
      <c r="U431" s="3" t="str">
        <f>VLOOKUP($E431,'[1]Product Naming'!$A$1:$P$58,4)</f>
        <v>E</v>
      </c>
      <c r="V431" s="3" t="str">
        <f>VLOOKUP($E431,'[1]Product Naming'!$A$1:$P$58,5)</f>
        <v>C4H8O2</v>
      </c>
      <c r="W431" s="3">
        <f>VLOOKUP($E431,'[1]Product Naming'!$A$1:$P$58,6)</f>
        <v>4</v>
      </c>
      <c r="X431" s="3">
        <f>VLOOKUP($E431,'[1]Product Naming'!$A$1:$P$58,7)</f>
        <v>8</v>
      </c>
      <c r="Y431" s="3">
        <f>VLOOKUP($E431,'[1]Product Naming'!$A$1:$P$58,8)</f>
        <v>2</v>
      </c>
      <c r="Z431" s="3">
        <f>VLOOKUP($E431,'[1]Product Naming'!$A$1:$P$58,9)</f>
        <v>0</v>
      </c>
      <c r="AA431" s="3">
        <f>VLOOKUP($E431,'[1]Product Naming'!$A$1:$P$58,10)</f>
        <v>0</v>
      </c>
      <c r="AB431" s="3">
        <f>VLOOKUP($E431,'[1]Product Naming'!$A$1:$P$58,11)</f>
        <v>5</v>
      </c>
      <c r="AC431" s="3">
        <f>VLOOKUP($E431,'[1]Product Naming'!$A$1:$P$58,12)</f>
        <v>88.103520000000003</v>
      </c>
      <c r="AD431" s="3">
        <f>VLOOKUP($E431,'[1]Product Naming'!$A$1:$P$58,13)</f>
        <v>77.099999999999994</v>
      </c>
      <c r="AE431" s="3" t="str">
        <f>VLOOKUP($E431,'[1]Product Naming'!$A$1:$P$58,14)</f>
        <v>Carboxylate Ester</v>
      </c>
      <c r="AF431" s="3" t="str">
        <f>VLOOKUP($E431,'[1]Product Naming'!$A$1:$P$58,15)</f>
        <v>Acetyl-CoA</v>
      </c>
      <c r="AG431" s="3" t="str">
        <f>VLOOKUP($E431,'[1]Product Naming'!$A$1:$P$58,16)</f>
        <v>Proton symporter</v>
      </c>
      <c r="AH431" s="3" t="str">
        <f>VLOOKUP($E431,'[1]Product Naming'!$A$1:$Q$58,17)</f>
        <v>aces_c</v>
      </c>
    </row>
    <row r="432" spans="1:34" hidden="1" x14ac:dyDescent="0.2">
      <c r="A432" s="8" t="s">
        <v>350</v>
      </c>
      <c r="B432" s="17" t="s">
        <v>64</v>
      </c>
      <c r="C432" t="s">
        <v>354</v>
      </c>
      <c r="D432" s="13" t="s">
        <v>51</v>
      </c>
      <c r="E432" t="s">
        <v>205</v>
      </c>
      <c r="F432" t="s">
        <v>206</v>
      </c>
      <c r="G432">
        <v>-10</v>
      </c>
      <c r="H432">
        <v>0</v>
      </c>
      <c r="I432">
        <v>0</v>
      </c>
      <c r="J432">
        <v>0.45</v>
      </c>
      <c r="K432">
        <v>-10</v>
      </c>
      <c r="L432">
        <v>0</v>
      </c>
      <c r="M432">
        <v>5</v>
      </c>
      <c r="N432">
        <v>0</v>
      </c>
      <c r="O432">
        <v>2.5</v>
      </c>
      <c r="P432"/>
      <c r="Q432">
        <v>0.25</v>
      </c>
      <c r="R432" s="26">
        <v>0.70975533833917703</v>
      </c>
      <c r="S432" s="3" t="str">
        <f>VLOOKUP($E432,'[1]Product Naming'!$A$1:$P$58,2)</f>
        <v>EthylAcetate</v>
      </c>
      <c r="T432" s="3" t="str">
        <f>VLOOKUP($E432,'[1]Product Naming'!$A$1:$P$58,3)</f>
        <v>Ethyl acetate</v>
      </c>
      <c r="U432" s="3" t="str">
        <f>VLOOKUP($E432,'[1]Product Naming'!$A$1:$P$58,4)</f>
        <v>E</v>
      </c>
      <c r="V432" s="3" t="str">
        <f>VLOOKUP($E432,'[1]Product Naming'!$A$1:$P$58,5)</f>
        <v>C4H8O2</v>
      </c>
      <c r="W432" s="3">
        <f>VLOOKUP($E432,'[1]Product Naming'!$A$1:$P$58,6)</f>
        <v>4</v>
      </c>
      <c r="X432" s="3">
        <f>VLOOKUP($E432,'[1]Product Naming'!$A$1:$P$58,7)</f>
        <v>8</v>
      </c>
      <c r="Y432" s="3">
        <f>VLOOKUP($E432,'[1]Product Naming'!$A$1:$P$58,8)</f>
        <v>2</v>
      </c>
      <c r="Z432" s="3">
        <f>VLOOKUP($E432,'[1]Product Naming'!$A$1:$P$58,9)</f>
        <v>0</v>
      </c>
      <c r="AA432" s="3">
        <f>VLOOKUP($E432,'[1]Product Naming'!$A$1:$P$58,10)</f>
        <v>0</v>
      </c>
      <c r="AB432" s="3">
        <f>VLOOKUP($E432,'[1]Product Naming'!$A$1:$P$58,11)</f>
        <v>5</v>
      </c>
      <c r="AC432" s="3">
        <f>VLOOKUP($E432,'[1]Product Naming'!$A$1:$P$58,12)</f>
        <v>88.103520000000003</v>
      </c>
      <c r="AD432" s="3">
        <f>VLOOKUP($E432,'[1]Product Naming'!$A$1:$P$58,13)</f>
        <v>77.099999999999994</v>
      </c>
      <c r="AE432" s="3" t="str">
        <f>VLOOKUP($E432,'[1]Product Naming'!$A$1:$P$58,14)</f>
        <v>Carboxylate Ester</v>
      </c>
      <c r="AF432" s="3" t="str">
        <f>VLOOKUP($E432,'[1]Product Naming'!$A$1:$P$58,15)</f>
        <v>Acetyl-CoA</v>
      </c>
      <c r="AG432" s="3" t="str">
        <f>VLOOKUP($E432,'[1]Product Naming'!$A$1:$P$58,16)</f>
        <v>Proton symporter</v>
      </c>
      <c r="AH432" s="3" t="str">
        <f>VLOOKUP($E432,'[1]Product Naming'!$A$1:$Q$58,17)</f>
        <v>aces_c</v>
      </c>
    </row>
    <row r="433" spans="1:34" hidden="1" x14ac:dyDescent="0.2">
      <c r="A433" s="16" t="s">
        <v>63</v>
      </c>
      <c r="B433" s="17" t="s">
        <v>64</v>
      </c>
      <c r="C433" t="s">
        <v>69</v>
      </c>
      <c r="D433" s="18" t="s">
        <v>66</v>
      </c>
      <c r="E433" t="s">
        <v>205</v>
      </c>
      <c r="F433" t="s">
        <v>206</v>
      </c>
      <c r="G433">
        <v>-10</v>
      </c>
      <c r="H433">
        <v>0</v>
      </c>
      <c r="I433">
        <v>-20</v>
      </c>
      <c r="J433">
        <v>0.45</v>
      </c>
      <c r="K433">
        <v>-10</v>
      </c>
      <c r="L433">
        <v>0</v>
      </c>
      <c r="M433">
        <v>-15</v>
      </c>
      <c r="N433">
        <v>0</v>
      </c>
      <c r="O433">
        <v>2.5</v>
      </c>
      <c r="P433"/>
      <c r="Q433">
        <v>0.25</v>
      </c>
      <c r="R433" s="19">
        <v>0.70959664948453605</v>
      </c>
      <c r="S433" s="20" t="s">
        <v>205</v>
      </c>
      <c r="T433" s="3" t="s">
        <v>207</v>
      </c>
      <c r="U433" s="3" t="s">
        <v>106</v>
      </c>
      <c r="V433" s="3" t="s">
        <v>208</v>
      </c>
      <c r="W433" s="3">
        <v>4</v>
      </c>
      <c r="X433" s="3">
        <v>8</v>
      </c>
      <c r="Y433" s="3">
        <v>2</v>
      </c>
      <c r="Z433" s="3">
        <v>0</v>
      </c>
      <c r="AA433" s="3">
        <v>0</v>
      </c>
      <c r="AB433" s="12">
        <f>(W433*4+X433*1+Y433*-2+Z433*-3)/W433</f>
        <v>5</v>
      </c>
      <c r="AC433" s="3">
        <f>W433*12.0107+X433*1.00784+Y433*15.999+Z433*14.0067</f>
        <v>88.103520000000003</v>
      </c>
      <c r="AD433" s="12">
        <v>77.099999999999994</v>
      </c>
      <c r="AE433" s="3" t="s">
        <v>209</v>
      </c>
      <c r="AF433" s="3" t="s">
        <v>79</v>
      </c>
      <c r="AG433" s="2" t="str">
        <f>IF(AD433&gt;37,"Proton symporter", "Diffusion")</f>
        <v>Proton symporter</v>
      </c>
      <c r="AH433" s="3" t="s">
        <v>210</v>
      </c>
    </row>
    <row r="434" spans="1:34" hidden="1" x14ac:dyDescent="0.2">
      <c r="A434" s="8" t="s">
        <v>34</v>
      </c>
      <c r="B434" s="9" t="s">
        <v>35</v>
      </c>
      <c r="C434" s="1" t="s">
        <v>49</v>
      </c>
      <c r="D434" s="10" t="s">
        <v>37</v>
      </c>
      <c r="E434" s="1" t="s">
        <v>152</v>
      </c>
      <c r="F434" s="1" t="s">
        <v>153</v>
      </c>
      <c r="G434" s="1">
        <v>-10</v>
      </c>
      <c r="H434" s="1">
        <v>-20</v>
      </c>
      <c r="I434" s="1" t="s">
        <v>40</v>
      </c>
      <c r="J434" s="1">
        <v>3.15</v>
      </c>
      <c r="K434" s="1">
        <v>-10</v>
      </c>
      <c r="L434" s="1">
        <v>-9.8329918032786807</v>
      </c>
      <c r="M434" s="1" t="s">
        <v>40</v>
      </c>
      <c r="N434" s="1">
        <v>1.17745901639342</v>
      </c>
      <c r="O434" s="1">
        <v>2.6889344262295101</v>
      </c>
      <c r="Q434" s="1">
        <v>0.26889344262295001</v>
      </c>
      <c r="R434" s="1">
        <v>0.70692553161831995</v>
      </c>
      <c r="S434" s="11" t="s">
        <v>152</v>
      </c>
      <c r="T434" s="2" t="s">
        <v>154</v>
      </c>
      <c r="U434" s="3" t="s">
        <v>41</v>
      </c>
      <c r="V434" s="2" t="s">
        <v>155</v>
      </c>
      <c r="W434" s="2">
        <v>7</v>
      </c>
      <c r="X434" s="2">
        <v>5</v>
      </c>
      <c r="Y434" s="2">
        <v>2</v>
      </c>
      <c r="Z434" s="2">
        <v>0</v>
      </c>
      <c r="AA434" s="2">
        <v>0</v>
      </c>
      <c r="AB434" s="12">
        <f>(W434*4+X434*1+Y434*-2+Z434*-3)/W434</f>
        <v>4.1428571428571432</v>
      </c>
      <c r="AC434" s="3">
        <f>W434*12.0107+X434*1.00784+Y434*15.999+Z434*14.0067</f>
        <v>121.1121</v>
      </c>
      <c r="AD434" s="12">
        <v>249.2</v>
      </c>
      <c r="AE434" s="2" t="s">
        <v>156</v>
      </c>
      <c r="AF434" s="2" t="s">
        <v>157</v>
      </c>
      <c r="AG434" s="2" t="str">
        <f>IF(AD434&gt;37,"Proton symporter", "Diffusion")</f>
        <v>Proton symporter</v>
      </c>
      <c r="AH434" s="3" t="s">
        <v>158</v>
      </c>
    </row>
    <row r="435" spans="1:34" hidden="1" x14ac:dyDescent="0.2">
      <c r="A435" s="8" t="s">
        <v>34</v>
      </c>
      <c r="B435" s="9" t="s">
        <v>35</v>
      </c>
      <c r="C435" s="1" t="s">
        <v>49</v>
      </c>
      <c r="D435" s="10" t="s">
        <v>37</v>
      </c>
      <c r="E435" s="1" t="s">
        <v>159</v>
      </c>
      <c r="F435" s="1" t="s">
        <v>153</v>
      </c>
      <c r="G435" s="1">
        <v>-10</v>
      </c>
      <c r="H435" s="1">
        <v>-20</v>
      </c>
      <c r="I435" s="1" t="s">
        <v>40</v>
      </c>
      <c r="J435" s="1">
        <v>3.15</v>
      </c>
      <c r="K435" s="1">
        <v>-10</v>
      </c>
      <c r="L435" s="1">
        <v>-9.8329918032786896</v>
      </c>
      <c r="M435" s="1" t="s">
        <v>40</v>
      </c>
      <c r="N435" s="1">
        <v>1.17745901639344</v>
      </c>
      <c r="O435" s="1">
        <v>2.6889344262295101</v>
      </c>
      <c r="Q435" s="1">
        <v>0.26889344262295101</v>
      </c>
      <c r="R435" s="1">
        <v>0.70692553161831995</v>
      </c>
      <c r="S435" s="11" t="s">
        <v>159</v>
      </c>
      <c r="T435" s="2" t="s">
        <v>160</v>
      </c>
      <c r="U435" s="3" t="s">
        <v>41</v>
      </c>
      <c r="V435" s="2" t="s">
        <v>155</v>
      </c>
      <c r="W435" s="2">
        <v>7</v>
      </c>
      <c r="X435" s="2">
        <v>5</v>
      </c>
      <c r="Y435" s="2">
        <v>2</v>
      </c>
      <c r="Z435" s="2">
        <v>0</v>
      </c>
      <c r="AA435" s="2">
        <v>0</v>
      </c>
      <c r="AB435" s="12">
        <f>(W435*4+X435*1+Y435*-2+Z435*-3)/W435</f>
        <v>4.1428571428571432</v>
      </c>
      <c r="AC435" s="3">
        <f>W435*12.0107+X435*1.00784+Y435*15.999+Z435*14.0067</f>
        <v>121.1121</v>
      </c>
      <c r="AD435" s="12">
        <v>249.2</v>
      </c>
      <c r="AE435" s="2" t="s">
        <v>156</v>
      </c>
      <c r="AF435" s="2" t="s">
        <v>157</v>
      </c>
      <c r="AG435" s="2" t="str">
        <f>IF(AD435&gt;37,"Proton symporter", "Diffusion")</f>
        <v>Proton symporter</v>
      </c>
      <c r="AH435" s="3" t="s">
        <v>158</v>
      </c>
    </row>
    <row r="436" spans="1:34" hidden="1" x14ac:dyDescent="0.2">
      <c r="A436" s="8" t="s">
        <v>350</v>
      </c>
      <c r="B436" s="17" t="s">
        <v>64</v>
      </c>
      <c r="C436" t="s">
        <v>352</v>
      </c>
      <c r="D436" s="13" t="s">
        <v>51</v>
      </c>
      <c r="E436" t="s">
        <v>182</v>
      </c>
      <c r="F436" t="s">
        <v>183</v>
      </c>
      <c r="G436">
        <v>-10</v>
      </c>
      <c r="H436">
        <v>0</v>
      </c>
      <c r="I436">
        <v>0</v>
      </c>
      <c r="J436">
        <v>0.45</v>
      </c>
      <c r="K436">
        <v>-10</v>
      </c>
      <c r="L436">
        <v>0</v>
      </c>
      <c r="M436" s="26">
        <v>4.9999999999999396</v>
      </c>
      <c r="N436">
        <v>0</v>
      </c>
      <c r="O436" s="26">
        <v>2.5</v>
      </c>
      <c r="P436"/>
      <c r="Q436" s="26">
        <v>0.25</v>
      </c>
      <c r="R436" s="26">
        <v>0.70163625501320304</v>
      </c>
      <c r="S436" s="3" t="str">
        <f>VLOOKUP($E436,'[1]Product Naming'!$A$1:$P$58,2)</f>
        <v>Butyrate</v>
      </c>
      <c r="T436" s="3" t="str">
        <f>VLOOKUP($E436,'[1]Product Naming'!$A$1:$P$58,3)</f>
        <v>Butyrate</v>
      </c>
      <c r="U436" s="3" t="str">
        <f>VLOOKUP($E436,'[1]Product Naming'!$A$1:$P$58,4)</f>
        <v>A</v>
      </c>
      <c r="V436" s="3" t="str">
        <f>VLOOKUP($E436,'[1]Product Naming'!$A$1:$P$58,5)</f>
        <v>C4H7O2</v>
      </c>
      <c r="W436" s="3">
        <f>VLOOKUP($E436,'[1]Product Naming'!$A$1:$P$58,6)</f>
        <v>4</v>
      </c>
      <c r="X436" s="3">
        <f>VLOOKUP($E436,'[1]Product Naming'!$A$1:$P$58,7)</f>
        <v>7</v>
      </c>
      <c r="Y436" s="3">
        <f>VLOOKUP($E436,'[1]Product Naming'!$A$1:$P$58,8)</f>
        <v>2</v>
      </c>
      <c r="Z436" s="3">
        <f>VLOOKUP($E436,'[1]Product Naming'!$A$1:$P$58,9)</f>
        <v>0</v>
      </c>
      <c r="AA436" s="3">
        <f>VLOOKUP($E436,'[1]Product Naming'!$A$1:$P$58,10)</f>
        <v>-1</v>
      </c>
      <c r="AB436" s="3">
        <f>VLOOKUP($E436,'[1]Product Naming'!$A$1:$P$58,11)</f>
        <v>4.75</v>
      </c>
      <c r="AC436" s="3">
        <f>VLOOKUP($E436,'[1]Product Naming'!$A$1:$P$58,12)</f>
        <v>87.095680000000002</v>
      </c>
      <c r="AD436" s="3">
        <f>VLOOKUP($E436,'[1]Product Naming'!$A$1:$P$58,13)</f>
        <v>163.5</v>
      </c>
      <c r="AE436" s="3" t="str">
        <f>VLOOKUP($E436,'[1]Product Naming'!$A$1:$P$58,14)</f>
        <v>Carboxylate</v>
      </c>
      <c r="AF436" s="3" t="str">
        <f>VLOOKUP($E436,'[1]Product Naming'!$A$1:$P$58,15)</f>
        <v>Acetyl-CoA</v>
      </c>
      <c r="AG436" s="3" t="str">
        <f>VLOOKUP($E436,'[1]Product Naming'!$A$1:$P$58,16)</f>
        <v>Proton symporter</v>
      </c>
      <c r="AH436" s="3" t="str">
        <f>VLOOKUP($E436,'[1]Product Naming'!$A$1:$Q$58,17)</f>
        <v>but_c</v>
      </c>
    </row>
    <row r="437" spans="1:34" hidden="1" x14ac:dyDescent="0.2">
      <c r="A437" s="8" t="s">
        <v>350</v>
      </c>
      <c r="B437" s="17" t="s">
        <v>64</v>
      </c>
      <c r="C437" t="s">
        <v>351</v>
      </c>
      <c r="D437" s="13" t="s">
        <v>51</v>
      </c>
      <c r="E437" t="s">
        <v>182</v>
      </c>
      <c r="F437" t="s">
        <v>183</v>
      </c>
      <c r="G437">
        <v>-10</v>
      </c>
      <c r="H437">
        <v>0</v>
      </c>
      <c r="I437">
        <v>0</v>
      </c>
      <c r="J437">
        <v>0.45</v>
      </c>
      <c r="K437">
        <v>-10</v>
      </c>
      <c r="L437">
        <v>0</v>
      </c>
      <c r="M437">
        <v>5</v>
      </c>
      <c r="N437">
        <v>0</v>
      </c>
      <c r="O437">
        <v>2.5</v>
      </c>
      <c r="P437"/>
      <c r="Q437">
        <v>0.25</v>
      </c>
      <c r="R437">
        <v>0.70163625501320204</v>
      </c>
      <c r="S437" s="3" t="str">
        <f>VLOOKUP($E437,'[1]Product Naming'!$A$1:$P$58,2)</f>
        <v>Butyrate</v>
      </c>
      <c r="T437" s="3" t="str">
        <f>VLOOKUP($E437,'[1]Product Naming'!$A$1:$P$58,3)</f>
        <v>Butyrate</v>
      </c>
      <c r="U437" s="3" t="str">
        <f>VLOOKUP($E437,'[1]Product Naming'!$A$1:$P$58,4)</f>
        <v>A</v>
      </c>
      <c r="V437" s="3" t="str">
        <f>VLOOKUP($E437,'[1]Product Naming'!$A$1:$P$58,5)</f>
        <v>C4H7O2</v>
      </c>
      <c r="W437" s="3">
        <f>VLOOKUP($E437,'[1]Product Naming'!$A$1:$P$58,6)</f>
        <v>4</v>
      </c>
      <c r="X437" s="3">
        <f>VLOOKUP($E437,'[1]Product Naming'!$A$1:$P$58,7)</f>
        <v>7</v>
      </c>
      <c r="Y437" s="3">
        <f>VLOOKUP($E437,'[1]Product Naming'!$A$1:$P$58,8)</f>
        <v>2</v>
      </c>
      <c r="Z437" s="3">
        <f>VLOOKUP($E437,'[1]Product Naming'!$A$1:$P$58,9)</f>
        <v>0</v>
      </c>
      <c r="AA437" s="3">
        <f>VLOOKUP($E437,'[1]Product Naming'!$A$1:$P$58,10)</f>
        <v>-1</v>
      </c>
      <c r="AB437" s="3">
        <f>VLOOKUP($E437,'[1]Product Naming'!$A$1:$P$58,11)</f>
        <v>4.75</v>
      </c>
      <c r="AC437" s="3">
        <f>VLOOKUP($E437,'[1]Product Naming'!$A$1:$P$58,12)</f>
        <v>87.095680000000002</v>
      </c>
      <c r="AD437" s="3">
        <f>VLOOKUP($E437,'[1]Product Naming'!$A$1:$P$58,13)</f>
        <v>163.5</v>
      </c>
      <c r="AE437" s="3" t="str">
        <f>VLOOKUP($E437,'[1]Product Naming'!$A$1:$P$58,14)</f>
        <v>Carboxylate</v>
      </c>
      <c r="AF437" s="3" t="str">
        <f>VLOOKUP($E437,'[1]Product Naming'!$A$1:$P$58,15)</f>
        <v>Acetyl-CoA</v>
      </c>
      <c r="AG437" s="3" t="str">
        <f>VLOOKUP($E437,'[1]Product Naming'!$A$1:$P$58,16)</f>
        <v>Proton symporter</v>
      </c>
      <c r="AH437" s="3" t="str">
        <f>VLOOKUP($E437,'[1]Product Naming'!$A$1:$Q$58,17)</f>
        <v>but_c</v>
      </c>
    </row>
    <row r="438" spans="1:34" hidden="1" x14ac:dyDescent="0.2">
      <c r="A438" s="8" t="s">
        <v>350</v>
      </c>
      <c r="B438" s="17" t="s">
        <v>64</v>
      </c>
      <c r="C438" t="s">
        <v>353</v>
      </c>
      <c r="D438" s="13" t="s">
        <v>51</v>
      </c>
      <c r="E438" t="s">
        <v>182</v>
      </c>
      <c r="F438" t="s">
        <v>183</v>
      </c>
      <c r="G438">
        <v>-10</v>
      </c>
      <c r="H438">
        <v>0</v>
      </c>
      <c r="I438">
        <v>0</v>
      </c>
      <c r="J438">
        <v>0.45</v>
      </c>
      <c r="K438">
        <v>-10</v>
      </c>
      <c r="L438">
        <v>0</v>
      </c>
      <c r="M438" s="26">
        <v>5</v>
      </c>
      <c r="N438">
        <v>0</v>
      </c>
      <c r="O438">
        <v>2.5</v>
      </c>
      <c r="P438"/>
      <c r="Q438">
        <v>0.25</v>
      </c>
      <c r="R438">
        <v>0.70163625501320204</v>
      </c>
      <c r="S438" s="3" t="str">
        <f>VLOOKUP($E438,'[1]Product Naming'!$A$1:$P$58,2)</f>
        <v>Butyrate</v>
      </c>
      <c r="T438" s="3" t="str">
        <f>VLOOKUP($E438,'[1]Product Naming'!$A$1:$P$58,3)</f>
        <v>Butyrate</v>
      </c>
      <c r="U438" s="3" t="str">
        <f>VLOOKUP($E438,'[1]Product Naming'!$A$1:$P$58,4)</f>
        <v>A</v>
      </c>
      <c r="V438" s="3" t="str">
        <f>VLOOKUP($E438,'[1]Product Naming'!$A$1:$P$58,5)</f>
        <v>C4H7O2</v>
      </c>
      <c r="W438" s="3">
        <f>VLOOKUP($E438,'[1]Product Naming'!$A$1:$P$58,6)</f>
        <v>4</v>
      </c>
      <c r="X438" s="3">
        <f>VLOOKUP($E438,'[1]Product Naming'!$A$1:$P$58,7)</f>
        <v>7</v>
      </c>
      <c r="Y438" s="3">
        <f>VLOOKUP($E438,'[1]Product Naming'!$A$1:$P$58,8)</f>
        <v>2</v>
      </c>
      <c r="Z438" s="3">
        <f>VLOOKUP($E438,'[1]Product Naming'!$A$1:$P$58,9)</f>
        <v>0</v>
      </c>
      <c r="AA438" s="3">
        <f>VLOOKUP($E438,'[1]Product Naming'!$A$1:$P$58,10)</f>
        <v>-1</v>
      </c>
      <c r="AB438" s="3">
        <f>VLOOKUP($E438,'[1]Product Naming'!$A$1:$P$58,11)</f>
        <v>4.75</v>
      </c>
      <c r="AC438" s="3">
        <f>VLOOKUP($E438,'[1]Product Naming'!$A$1:$P$58,12)</f>
        <v>87.095680000000002</v>
      </c>
      <c r="AD438" s="3">
        <f>VLOOKUP($E438,'[1]Product Naming'!$A$1:$P$58,13)</f>
        <v>163.5</v>
      </c>
      <c r="AE438" s="3" t="str">
        <f>VLOOKUP($E438,'[1]Product Naming'!$A$1:$P$58,14)</f>
        <v>Carboxylate</v>
      </c>
      <c r="AF438" s="3" t="str">
        <f>VLOOKUP($E438,'[1]Product Naming'!$A$1:$P$58,15)</f>
        <v>Acetyl-CoA</v>
      </c>
      <c r="AG438" s="3" t="str">
        <f>VLOOKUP($E438,'[1]Product Naming'!$A$1:$P$58,16)</f>
        <v>Proton symporter</v>
      </c>
      <c r="AH438" s="3" t="str">
        <f>VLOOKUP($E438,'[1]Product Naming'!$A$1:$Q$58,17)</f>
        <v>but_c</v>
      </c>
    </row>
    <row r="439" spans="1:34" hidden="1" x14ac:dyDescent="0.2">
      <c r="A439" s="8" t="s">
        <v>350</v>
      </c>
      <c r="B439" s="17" t="s">
        <v>64</v>
      </c>
      <c r="C439" t="s">
        <v>354</v>
      </c>
      <c r="D439" s="13" t="s">
        <v>51</v>
      </c>
      <c r="E439" t="s">
        <v>182</v>
      </c>
      <c r="F439" t="s">
        <v>183</v>
      </c>
      <c r="G439">
        <v>-10</v>
      </c>
      <c r="H439">
        <v>0</v>
      </c>
      <c r="I439">
        <v>0</v>
      </c>
      <c r="J439">
        <v>0.45</v>
      </c>
      <c r="K439">
        <v>-10</v>
      </c>
      <c r="L439">
        <v>0</v>
      </c>
      <c r="M439">
        <v>5</v>
      </c>
      <c r="N439">
        <v>0</v>
      </c>
      <c r="O439">
        <v>2.5</v>
      </c>
      <c r="P439"/>
      <c r="Q439">
        <v>0.25</v>
      </c>
      <c r="R439">
        <v>0.70163625501320204</v>
      </c>
      <c r="S439" s="3" t="str">
        <f>VLOOKUP($E439,'[1]Product Naming'!$A$1:$P$58,2)</f>
        <v>Butyrate</v>
      </c>
      <c r="T439" s="3" t="str">
        <f>VLOOKUP($E439,'[1]Product Naming'!$A$1:$P$58,3)</f>
        <v>Butyrate</v>
      </c>
      <c r="U439" s="3" t="str">
        <f>VLOOKUP($E439,'[1]Product Naming'!$A$1:$P$58,4)</f>
        <v>A</v>
      </c>
      <c r="V439" s="3" t="str">
        <f>VLOOKUP($E439,'[1]Product Naming'!$A$1:$P$58,5)</f>
        <v>C4H7O2</v>
      </c>
      <c r="W439" s="3">
        <f>VLOOKUP($E439,'[1]Product Naming'!$A$1:$P$58,6)</f>
        <v>4</v>
      </c>
      <c r="X439" s="3">
        <f>VLOOKUP($E439,'[1]Product Naming'!$A$1:$P$58,7)</f>
        <v>7</v>
      </c>
      <c r="Y439" s="3">
        <f>VLOOKUP($E439,'[1]Product Naming'!$A$1:$P$58,8)</f>
        <v>2</v>
      </c>
      <c r="Z439" s="3">
        <f>VLOOKUP($E439,'[1]Product Naming'!$A$1:$P$58,9)</f>
        <v>0</v>
      </c>
      <c r="AA439" s="3">
        <f>VLOOKUP($E439,'[1]Product Naming'!$A$1:$P$58,10)</f>
        <v>-1</v>
      </c>
      <c r="AB439" s="3">
        <f>VLOOKUP($E439,'[1]Product Naming'!$A$1:$P$58,11)</f>
        <v>4.75</v>
      </c>
      <c r="AC439" s="3">
        <f>VLOOKUP($E439,'[1]Product Naming'!$A$1:$P$58,12)</f>
        <v>87.095680000000002</v>
      </c>
      <c r="AD439" s="3">
        <f>VLOOKUP($E439,'[1]Product Naming'!$A$1:$P$58,13)</f>
        <v>163.5</v>
      </c>
      <c r="AE439" s="3" t="str">
        <f>VLOOKUP($E439,'[1]Product Naming'!$A$1:$P$58,14)</f>
        <v>Carboxylate</v>
      </c>
      <c r="AF439" s="3" t="str">
        <f>VLOOKUP($E439,'[1]Product Naming'!$A$1:$P$58,15)</f>
        <v>Acetyl-CoA</v>
      </c>
      <c r="AG439" s="3" t="str">
        <f>VLOOKUP($E439,'[1]Product Naming'!$A$1:$P$58,16)</f>
        <v>Proton symporter</v>
      </c>
      <c r="AH439" s="3" t="str">
        <f>VLOOKUP($E439,'[1]Product Naming'!$A$1:$Q$58,17)</f>
        <v>but_c</v>
      </c>
    </row>
    <row r="440" spans="1:34" hidden="1" x14ac:dyDescent="0.2">
      <c r="A440" s="8" t="s">
        <v>350</v>
      </c>
      <c r="B440" s="17" t="s">
        <v>64</v>
      </c>
      <c r="C440" t="s">
        <v>351</v>
      </c>
      <c r="D440" s="13" t="s">
        <v>51</v>
      </c>
      <c r="E440" t="s">
        <v>186</v>
      </c>
      <c r="F440" t="s">
        <v>187</v>
      </c>
      <c r="G440">
        <v>-10</v>
      </c>
      <c r="H440">
        <v>0</v>
      </c>
      <c r="I440">
        <v>0</v>
      </c>
      <c r="J440">
        <v>0.45</v>
      </c>
      <c r="K440">
        <v>-10</v>
      </c>
      <c r="L440">
        <v>0</v>
      </c>
      <c r="M440" s="26">
        <v>5</v>
      </c>
      <c r="N440">
        <v>0</v>
      </c>
      <c r="O440">
        <v>2.5</v>
      </c>
      <c r="P440"/>
      <c r="Q440">
        <v>0.25</v>
      </c>
      <c r="R440">
        <v>0.70163625501320204</v>
      </c>
      <c r="S440" s="3" t="str">
        <f>VLOOKUP($E440,'[1]Product Naming'!$A$1:$P$58,2)</f>
        <v>Isobutyrate</v>
      </c>
      <c r="T440" s="3" t="str">
        <f>VLOOKUP($E440,'[1]Product Naming'!$A$1:$P$58,3)</f>
        <v>Isobutyrate</v>
      </c>
      <c r="U440" s="3" t="str">
        <f>VLOOKUP($E440,'[1]Product Naming'!$A$1:$P$58,4)</f>
        <v>A</v>
      </c>
      <c r="V440" s="3" t="str">
        <f>VLOOKUP($E440,'[1]Product Naming'!$A$1:$P$58,5)</f>
        <v>C4H7O2</v>
      </c>
      <c r="W440" s="3">
        <f>VLOOKUP($E440,'[1]Product Naming'!$A$1:$P$58,6)</f>
        <v>4</v>
      </c>
      <c r="X440" s="3">
        <f>VLOOKUP($E440,'[1]Product Naming'!$A$1:$P$58,7)</f>
        <v>7</v>
      </c>
      <c r="Y440" s="3">
        <f>VLOOKUP($E440,'[1]Product Naming'!$A$1:$P$58,8)</f>
        <v>2</v>
      </c>
      <c r="Z440" s="3">
        <f>VLOOKUP($E440,'[1]Product Naming'!$A$1:$P$58,9)</f>
        <v>0</v>
      </c>
      <c r="AA440" s="3">
        <f>VLOOKUP($E440,'[1]Product Naming'!$A$1:$P$58,10)</f>
        <v>-1</v>
      </c>
      <c r="AB440" s="3">
        <f>VLOOKUP($E440,'[1]Product Naming'!$A$1:$P$58,11)</f>
        <v>4.75</v>
      </c>
      <c r="AC440" s="3">
        <f>VLOOKUP($E440,'[1]Product Naming'!$A$1:$P$58,12)</f>
        <v>87.095680000000002</v>
      </c>
      <c r="AD440" s="3">
        <f>VLOOKUP($E440,'[1]Product Naming'!$A$1:$P$58,13)</f>
        <v>155</v>
      </c>
      <c r="AE440" s="3" t="str">
        <f>VLOOKUP($E440,'[1]Product Naming'!$A$1:$P$58,14)</f>
        <v>Carboxylate</v>
      </c>
      <c r="AF440" s="3" t="str">
        <f>VLOOKUP($E440,'[1]Product Naming'!$A$1:$P$58,15)</f>
        <v>Pyruvate</v>
      </c>
      <c r="AG440" s="3" t="str">
        <f>VLOOKUP($E440,'[1]Product Naming'!$A$1:$P$58,16)</f>
        <v>Proton symporter</v>
      </c>
      <c r="AH440" s="3" t="str">
        <f>VLOOKUP($E440,'[1]Product Naming'!$A$1:$Q$58,17)</f>
        <v>ibt_c</v>
      </c>
    </row>
    <row r="441" spans="1:34" hidden="1" x14ac:dyDescent="0.2">
      <c r="A441" s="8" t="s">
        <v>350</v>
      </c>
      <c r="B441" s="17" t="s">
        <v>64</v>
      </c>
      <c r="C441" t="s">
        <v>352</v>
      </c>
      <c r="D441" s="13" t="s">
        <v>51</v>
      </c>
      <c r="E441" t="s">
        <v>186</v>
      </c>
      <c r="F441" t="s">
        <v>187</v>
      </c>
      <c r="G441">
        <v>-10</v>
      </c>
      <c r="H441">
        <v>0</v>
      </c>
      <c r="I441">
        <v>0</v>
      </c>
      <c r="J441">
        <v>0.45</v>
      </c>
      <c r="K441">
        <v>-10</v>
      </c>
      <c r="L441">
        <v>0</v>
      </c>
      <c r="M441">
        <v>5</v>
      </c>
      <c r="N441">
        <v>0</v>
      </c>
      <c r="O441">
        <v>2.5</v>
      </c>
      <c r="P441"/>
      <c r="Q441">
        <v>0.25</v>
      </c>
      <c r="R441">
        <v>0.70163625501320204</v>
      </c>
      <c r="S441" s="3" t="str">
        <f>VLOOKUP($E441,'[1]Product Naming'!$A$1:$P$58,2)</f>
        <v>Isobutyrate</v>
      </c>
      <c r="T441" s="3" t="str">
        <f>VLOOKUP($E441,'[1]Product Naming'!$A$1:$P$58,3)</f>
        <v>Isobutyrate</v>
      </c>
      <c r="U441" s="3" t="str">
        <f>VLOOKUP($E441,'[1]Product Naming'!$A$1:$P$58,4)</f>
        <v>A</v>
      </c>
      <c r="V441" s="3" t="str">
        <f>VLOOKUP($E441,'[1]Product Naming'!$A$1:$P$58,5)</f>
        <v>C4H7O2</v>
      </c>
      <c r="W441" s="3">
        <f>VLOOKUP($E441,'[1]Product Naming'!$A$1:$P$58,6)</f>
        <v>4</v>
      </c>
      <c r="X441" s="3">
        <f>VLOOKUP($E441,'[1]Product Naming'!$A$1:$P$58,7)</f>
        <v>7</v>
      </c>
      <c r="Y441" s="3">
        <f>VLOOKUP($E441,'[1]Product Naming'!$A$1:$P$58,8)</f>
        <v>2</v>
      </c>
      <c r="Z441" s="3">
        <f>VLOOKUP($E441,'[1]Product Naming'!$A$1:$P$58,9)</f>
        <v>0</v>
      </c>
      <c r="AA441" s="3">
        <f>VLOOKUP($E441,'[1]Product Naming'!$A$1:$P$58,10)</f>
        <v>-1</v>
      </c>
      <c r="AB441" s="3">
        <f>VLOOKUP($E441,'[1]Product Naming'!$A$1:$P$58,11)</f>
        <v>4.75</v>
      </c>
      <c r="AC441" s="3">
        <f>VLOOKUP($E441,'[1]Product Naming'!$A$1:$P$58,12)</f>
        <v>87.095680000000002</v>
      </c>
      <c r="AD441" s="3">
        <f>VLOOKUP($E441,'[1]Product Naming'!$A$1:$P$58,13)</f>
        <v>155</v>
      </c>
      <c r="AE441" s="3" t="str">
        <f>VLOOKUP($E441,'[1]Product Naming'!$A$1:$P$58,14)</f>
        <v>Carboxylate</v>
      </c>
      <c r="AF441" s="3" t="str">
        <f>VLOOKUP($E441,'[1]Product Naming'!$A$1:$P$58,15)</f>
        <v>Pyruvate</v>
      </c>
      <c r="AG441" s="3" t="str">
        <f>VLOOKUP($E441,'[1]Product Naming'!$A$1:$P$58,16)</f>
        <v>Proton symporter</v>
      </c>
      <c r="AH441" s="3" t="str">
        <f>VLOOKUP($E441,'[1]Product Naming'!$A$1:$Q$58,17)</f>
        <v>ibt_c</v>
      </c>
    </row>
    <row r="442" spans="1:34" hidden="1" x14ac:dyDescent="0.2">
      <c r="A442" s="8" t="s">
        <v>350</v>
      </c>
      <c r="B442" s="17" t="s">
        <v>64</v>
      </c>
      <c r="C442" t="s">
        <v>353</v>
      </c>
      <c r="D442" s="13" t="s">
        <v>51</v>
      </c>
      <c r="E442" t="s">
        <v>186</v>
      </c>
      <c r="F442" t="s">
        <v>187</v>
      </c>
      <c r="G442">
        <v>-10</v>
      </c>
      <c r="H442">
        <v>0</v>
      </c>
      <c r="I442">
        <v>0</v>
      </c>
      <c r="J442">
        <v>0.45</v>
      </c>
      <c r="K442">
        <v>-10</v>
      </c>
      <c r="L442">
        <v>0</v>
      </c>
      <c r="M442">
        <v>5</v>
      </c>
      <c r="N442">
        <v>0</v>
      </c>
      <c r="O442">
        <v>2.5</v>
      </c>
      <c r="P442"/>
      <c r="Q442">
        <v>0.25</v>
      </c>
      <c r="R442">
        <v>0.70163625501320204</v>
      </c>
      <c r="S442" s="3" t="str">
        <f>VLOOKUP($E442,'[1]Product Naming'!$A$1:$P$58,2)</f>
        <v>Isobutyrate</v>
      </c>
      <c r="T442" s="3" t="str">
        <f>VLOOKUP($E442,'[1]Product Naming'!$A$1:$P$58,3)</f>
        <v>Isobutyrate</v>
      </c>
      <c r="U442" s="3" t="str">
        <f>VLOOKUP($E442,'[1]Product Naming'!$A$1:$P$58,4)</f>
        <v>A</v>
      </c>
      <c r="V442" s="3" t="str">
        <f>VLOOKUP($E442,'[1]Product Naming'!$A$1:$P$58,5)</f>
        <v>C4H7O2</v>
      </c>
      <c r="W442" s="3">
        <f>VLOOKUP($E442,'[1]Product Naming'!$A$1:$P$58,6)</f>
        <v>4</v>
      </c>
      <c r="X442" s="3">
        <f>VLOOKUP($E442,'[1]Product Naming'!$A$1:$P$58,7)</f>
        <v>7</v>
      </c>
      <c r="Y442" s="3">
        <f>VLOOKUP($E442,'[1]Product Naming'!$A$1:$P$58,8)</f>
        <v>2</v>
      </c>
      <c r="Z442" s="3">
        <f>VLOOKUP($E442,'[1]Product Naming'!$A$1:$P$58,9)</f>
        <v>0</v>
      </c>
      <c r="AA442" s="3">
        <f>VLOOKUP($E442,'[1]Product Naming'!$A$1:$P$58,10)</f>
        <v>-1</v>
      </c>
      <c r="AB442" s="3">
        <f>VLOOKUP($E442,'[1]Product Naming'!$A$1:$P$58,11)</f>
        <v>4.75</v>
      </c>
      <c r="AC442" s="3">
        <f>VLOOKUP($E442,'[1]Product Naming'!$A$1:$P$58,12)</f>
        <v>87.095680000000002</v>
      </c>
      <c r="AD442" s="3">
        <f>VLOOKUP($E442,'[1]Product Naming'!$A$1:$P$58,13)</f>
        <v>155</v>
      </c>
      <c r="AE442" s="3" t="str">
        <f>VLOOKUP($E442,'[1]Product Naming'!$A$1:$P$58,14)</f>
        <v>Carboxylate</v>
      </c>
      <c r="AF442" s="3" t="str">
        <f>VLOOKUP($E442,'[1]Product Naming'!$A$1:$P$58,15)</f>
        <v>Pyruvate</v>
      </c>
      <c r="AG442" s="3" t="str">
        <f>VLOOKUP($E442,'[1]Product Naming'!$A$1:$P$58,16)</f>
        <v>Proton symporter</v>
      </c>
      <c r="AH442" s="3" t="str">
        <f>VLOOKUP($E442,'[1]Product Naming'!$A$1:$Q$58,17)</f>
        <v>ibt_c</v>
      </c>
    </row>
    <row r="443" spans="1:34" hidden="1" x14ac:dyDescent="0.2">
      <c r="A443" s="8" t="s">
        <v>350</v>
      </c>
      <c r="B443" s="17" t="s">
        <v>64</v>
      </c>
      <c r="C443" t="s">
        <v>354</v>
      </c>
      <c r="D443" s="13" t="s">
        <v>51</v>
      </c>
      <c r="E443" t="s">
        <v>186</v>
      </c>
      <c r="F443" t="s">
        <v>187</v>
      </c>
      <c r="G443">
        <v>-10</v>
      </c>
      <c r="H443">
        <v>0</v>
      </c>
      <c r="I443">
        <v>0</v>
      </c>
      <c r="J443">
        <v>0.45</v>
      </c>
      <c r="K443">
        <v>-10</v>
      </c>
      <c r="L443">
        <v>0</v>
      </c>
      <c r="M443">
        <v>5</v>
      </c>
      <c r="N443">
        <v>0</v>
      </c>
      <c r="O443">
        <v>2.5</v>
      </c>
      <c r="P443"/>
      <c r="Q443">
        <v>0.25</v>
      </c>
      <c r="R443">
        <v>0.70163625501320204</v>
      </c>
      <c r="S443" s="3" t="str">
        <f>VLOOKUP($E443,'[1]Product Naming'!$A$1:$P$58,2)</f>
        <v>Isobutyrate</v>
      </c>
      <c r="T443" s="3" t="str">
        <f>VLOOKUP($E443,'[1]Product Naming'!$A$1:$P$58,3)</f>
        <v>Isobutyrate</v>
      </c>
      <c r="U443" s="3" t="str">
        <f>VLOOKUP($E443,'[1]Product Naming'!$A$1:$P$58,4)</f>
        <v>A</v>
      </c>
      <c r="V443" s="3" t="str">
        <f>VLOOKUP($E443,'[1]Product Naming'!$A$1:$P$58,5)</f>
        <v>C4H7O2</v>
      </c>
      <c r="W443" s="3">
        <f>VLOOKUP($E443,'[1]Product Naming'!$A$1:$P$58,6)</f>
        <v>4</v>
      </c>
      <c r="X443" s="3">
        <f>VLOOKUP($E443,'[1]Product Naming'!$A$1:$P$58,7)</f>
        <v>7</v>
      </c>
      <c r="Y443" s="3">
        <f>VLOOKUP($E443,'[1]Product Naming'!$A$1:$P$58,8)</f>
        <v>2</v>
      </c>
      <c r="Z443" s="3">
        <f>VLOOKUP($E443,'[1]Product Naming'!$A$1:$P$58,9)</f>
        <v>0</v>
      </c>
      <c r="AA443" s="3">
        <f>VLOOKUP($E443,'[1]Product Naming'!$A$1:$P$58,10)</f>
        <v>-1</v>
      </c>
      <c r="AB443" s="3">
        <f>VLOOKUP($E443,'[1]Product Naming'!$A$1:$P$58,11)</f>
        <v>4.75</v>
      </c>
      <c r="AC443" s="3">
        <f>VLOOKUP($E443,'[1]Product Naming'!$A$1:$P$58,12)</f>
        <v>87.095680000000002</v>
      </c>
      <c r="AD443" s="3">
        <f>VLOOKUP($E443,'[1]Product Naming'!$A$1:$P$58,13)</f>
        <v>155</v>
      </c>
      <c r="AE443" s="3" t="str">
        <f>VLOOKUP($E443,'[1]Product Naming'!$A$1:$P$58,14)</f>
        <v>Carboxylate</v>
      </c>
      <c r="AF443" s="3" t="str">
        <f>VLOOKUP($E443,'[1]Product Naming'!$A$1:$P$58,15)</f>
        <v>Pyruvate</v>
      </c>
      <c r="AG443" s="3" t="str">
        <f>VLOOKUP($E443,'[1]Product Naming'!$A$1:$P$58,16)</f>
        <v>Proton symporter</v>
      </c>
      <c r="AH443" s="3" t="str">
        <f>VLOOKUP($E443,'[1]Product Naming'!$A$1:$Q$58,17)</f>
        <v>ibt_c</v>
      </c>
    </row>
    <row r="444" spans="1:34" hidden="1" x14ac:dyDescent="0.2">
      <c r="A444" s="8" t="s">
        <v>34</v>
      </c>
      <c r="B444" s="9" t="s">
        <v>35</v>
      </c>
      <c r="C444" s="1" t="s">
        <v>48</v>
      </c>
      <c r="D444" s="10" t="s">
        <v>37</v>
      </c>
      <c r="E444" s="1" t="s">
        <v>182</v>
      </c>
      <c r="F444" s="1" t="s">
        <v>183</v>
      </c>
      <c r="G444" s="1">
        <v>-10</v>
      </c>
      <c r="H444" s="1">
        <v>-20</v>
      </c>
      <c r="I444" s="1" t="s">
        <v>40</v>
      </c>
      <c r="J444" s="1">
        <v>3.15</v>
      </c>
      <c r="K444" s="1">
        <v>-10</v>
      </c>
      <c r="L444" s="1">
        <v>2.3731515850323299E-15</v>
      </c>
      <c r="M444" s="1" t="s">
        <v>40</v>
      </c>
      <c r="N444" s="1">
        <v>4.1287801066416599E-16</v>
      </c>
      <c r="O444" s="1">
        <v>5</v>
      </c>
      <c r="Q444" s="1">
        <v>0.5</v>
      </c>
      <c r="R444" s="1">
        <v>0.70163308972326399</v>
      </c>
      <c r="S444" s="11" t="s">
        <v>182</v>
      </c>
      <c r="T444" s="2" t="s">
        <v>182</v>
      </c>
      <c r="U444" s="3" t="s">
        <v>41</v>
      </c>
      <c r="V444" s="2" t="s">
        <v>184</v>
      </c>
      <c r="W444" s="2">
        <v>4</v>
      </c>
      <c r="X444" s="2">
        <v>7</v>
      </c>
      <c r="Y444" s="2">
        <v>2</v>
      </c>
      <c r="Z444" s="2">
        <v>0</v>
      </c>
      <c r="AA444" s="2">
        <v>0</v>
      </c>
      <c r="AB444" s="12">
        <f>(W444*4+X444*1+Y444*-2+Z444*-3)/W444</f>
        <v>4.75</v>
      </c>
      <c r="AC444" s="3">
        <f>W444*12.0107+X444*1.00784+Y444*15.999+Z444*14.0067</f>
        <v>87.095680000000002</v>
      </c>
      <c r="AD444" s="12">
        <v>163.5</v>
      </c>
      <c r="AE444" s="2" t="s">
        <v>131</v>
      </c>
      <c r="AF444" s="2" t="s">
        <v>79</v>
      </c>
      <c r="AG444" s="2" t="str">
        <f>IF(AD444&gt;37,"Proton symporter", "Diffusion")</f>
        <v>Proton symporter</v>
      </c>
      <c r="AH444" s="3" t="s">
        <v>185</v>
      </c>
    </row>
    <row r="445" spans="1:34" hidden="1" x14ac:dyDescent="0.2">
      <c r="A445" s="16" t="s">
        <v>63</v>
      </c>
      <c r="B445" s="17" t="s">
        <v>64</v>
      </c>
      <c r="C445" t="s">
        <v>69</v>
      </c>
      <c r="D445" s="18" t="s">
        <v>66</v>
      </c>
      <c r="E445" t="s">
        <v>182</v>
      </c>
      <c r="F445" t="s">
        <v>183</v>
      </c>
      <c r="G445">
        <v>-10</v>
      </c>
      <c r="H445">
        <v>0</v>
      </c>
      <c r="I445">
        <v>-20</v>
      </c>
      <c r="J445">
        <v>0.45</v>
      </c>
      <c r="K445">
        <v>-10</v>
      </c>
      <c r="L445">
        <v>0</v>
      </c>
      <c r="M445">
        <v>-15</v>
      </c>
      <c r="N445">
        <v>0</v>
      </c>
      <c r="O445">
        <v>2.5</v>
      </c>
      <c r="P445"/>
      <c r="Q445">
        <v>0.25</v>
      </c>
      <c r="R445" s="19">
        <v>0.70147938144329902</v>
      </c>
      <c r="S445" s="11" t="s">
        <v>182</v>
      </c>
      <c r="T445" s="2" t="s">
        <v>182</v>
      </c>
      <c r="U445" s="3" t="s">
        <v>41</v>
      </c>
      <c r="V445" s="2" t="s">
        <v>184</v>
      </c>
      <c r="W445" s="2">
        <v>4</v>
      </c>
      <c r="X445" s="2">
        <v>7</v>
      </c>
      <c r="Y445" s="2">
        <v>2</v>
      </c>
      <c r="Z445" s="2">
        <v>0</v>
      </c>
      <c r="AA445" s="2">
        <v>0</v>
      </c>
      <c r="AB445" s="12">
        <f>(W445*4+X445*1+Y445*-2+Z445*-3)/W445</f>
        <v>4.75</v>
      </c>
      <c r="AC445" s="3">
        <f>W445*12.0107+X445*1.00784+Y445*15.999+Z445*14.0067</f>
        <v>87.095680000000002</v>
      </c>
      <c r="AD445" s="12">
        <v>163.5</v>
      </c>
      <c r="AE445" s="2" t="s">
        <v>131</v>
      </c>
      <c r="AF445" s="2" t="s">
        <v>79</v>
      </c>
      <c r="AG445" s="2" t="str">
        <f>IF(AD445&gt;37,"Proton symporter", "Diffusion")</f>
        <v>Proton symporter</v>
      </c>
      <c r="AH445" s="3" t="s">
        <v>185</v>
      </c>
    </row>
    <row r="446" spans="1:34" hidden="1" x14ac:dyDescent="0.2">
      <c r="A446" s="16" t="s">
        <v>63</v>
      </c>
      <c r="B446" s="17" t="s">
        <v>64</v>
      </c>
      <c r="C446" t="s">
        <v>69</v>
      </c>
      <c r="D446" s="18" t="s">
        <v>66</v>
      </c>
      <c r="E446" t="s">
        <v>186</v>
      </c>
      <c r="F446" t="s">
        <v>187</v>
      </c>
      <c r="G446">
        <v>-10</v>
      </c>
      <c r="H446">
        <v>0</v>
      </c>
      <c r="I446">
        <v>-20</v>
      </c>
      <c r="J446">
        <v>0.45</v>
      </c>
      <c r="K446">
        <v>-10</v>
      </c>
      <c r="L446">
        <v>0</v>
      </c>
      <c r="M446">
        <v>-15</v>
      </c>
      <c r="N446">
        <v>0</v>
      </c>
      <c r="O446">
        <v>2.5</v>
      </c>
      <c r="P446"/>
      <c r="Q446">
        <v>0.25</v>
      </c>
      <c r="R446" s="19">
        <v>0.70147938144329902</v>
      </c>
      <c r="S446" s="11" t="s">
        <v>186</v>
      </c>
      <c r="T446" s="2" t="s">
        <v>186</v>
      </c>
      <c r="U446" s="3" t="s">
        <v>41</v>
      </c>
      <c r="V446" s="2" t="s">
        <v>184</v>
      </c>
      <c r="W446" s="2">
        <v>4</v>
      </c>
      <c r="X446" s="2">
        <v>7</v>
      </c>
      <c r="Y446" s="2">
        <v>2</v>
      </c>
      <c r="Z446" s="2">
        <v>0</v>
      </c>
      <c r="AA446" s="2">
        <v>0</v>
      </c>
      <c r="AB446" s="12">
        <f>(W446*4+X446*1+Y446*-2+Z446*-3)/W446</f>
        <v>4.75</v>
      </c>
      <c r="AC446" s="3">
        <f>W446*12.0107+X446*1.00784+Y446*15.999+Z446*14.0067</f>
        <v>87.095680000000002</v>
      </c>
      <c r="AD446" s="12">
        <v>155</v>
      </c>
      <c r="AE446" s="2" t="s">
        <v>131</v>
      </c>
      <c r="AF446" s="2" t="s">
        <v>135</v>
      </c>
      <c r="AG446" s="2" t="str">
        <f>IF(AD446&gt;37,"Proton symporter", "Diffusion")</f>
        <v>Proton symporter</v>
      </c>
      <c r="AH446" s="3" t="s">
        <v>188</v>
      </c>
    </row>
    <row r="447" spans="1:34" hidden="1" x14ac:dyDescent="0.2">
      <c r="A447" s="8" t="s">
        <v>34</v>
      </c>
      <c r="B447" s="9" t="s">
        <v>35</v>
      </c>
      <c r="C447" s="1" t="s">
        <v>59</v>
      </c>
      <c r="D447" s="13" t="s">
        <v>51</v>
      </c>
      <c r="E447" s="1" t="s">
        <v>244</v>
      </c>
      <c r="F447" s="1" t="s">
        <v>245</v>
      </c>
      <c r="G447" s="1">
        <v>-10</v>
      </c>
      <c r="H447" s="1">
        <v>-20</v>
      </c>
      <c r="I447" s="1" t="s">
        <v>40</v>
      </c>
      <c r="J447" s="1">
        <v>3.15</v>
      </c>
      <c r="K447" s="1">
        <v>-10</v>
      </c>
      <c r="L447" s="1">
        <v>-1.30968992248062</v>
      </c>
      <c r="M447" s="1" t="s">
        <v>40</v>
      </c>
      <c r="N447" s="1">
        <v>4.3410852713176899E-2</v>
      </c>
      <c r="O447" s="1">
        <v>2.4891472868217002</v>
      </c>
      <c r="Q447" s="1">
        <v>0.24891472868216999</v>
      </c>
      <c r="R447" s="1">
        <v>0.70010156396368495</v>
      </c>
      <c r="S447" s="20" t="s">
        <v>246</v>
      </c>
      <c r="T447" s="3" t="s">
        <v>247</v>
      </c>
      <c r="U447" s="3" t="s">
        <v>106</v>
      </c>
      <c r="V447" s="3" t="s">
        <v>238</v>
      </c>
      <c r="W447" s="3">
        <v>4</v>
      </c>
      <c r="X447" s="3">
        <v>10</v>
      </c>
      <c r="Y447" s="3">
        <v>2</v>
      </c>
      <c r="Z447" s="3">
        <v>0</v>
      </c>
      <c r="AA447" s="3">
        <v>0</v>
      </c>
      <c r="AB447" s="12">
        <f>(W447*4+X447*1+Y447*-2+Z447*-3)/W447</f>
        <v>5.5</v>
      </c>
      <c r="AC447" s="3">
        <f>W447*12.0107+X447*1.00784+Y447*15.999+Z447*14.0067</f>
        <v>90.119200000000006</v>
      </c>
      <c r="AD447" s="12">
        <v>230</v>
      </c>
      <c r="AE447" s="2" t="s">
        <v>220</v>
      </c>
      <c r="AF447" s="3" t="s">
        <v>120</v>
      </c>
      <c r="AG447" s="2" t="str">
        <f>IF(AD447&gt;37,"Proton symporter", "Diffusion")</f>
        <v>Proton symporter</v>
      </c>
      <c r="AH447" s="3" t="s">
        <v>248</v>
      </c>
    </row>
    <row r="448" spans="1:34" hidden="1" x14ac:dyDescent="0.2">
      <c r="A448" s="8" t="s">
        <v>34</v>
      </c>
      <c r="B448" s="9" t="s">
        <v>35</v>
      </c>
      <c r="C448" s="1" t="s">
        <v>60</v>
      </c>
      <c r="D448" s="13" t="s">
        <v>51</v>
      </c>
      <c r="E448" s="1" t="s">
        <v>244</v>
      </c>
      <c r="F448" s="1" t="s">
        <v>245</v>
      </c>
      <c r="G448" s="1">
        <v>-10</v>
      </c>
      <c r="H448" s="1">
        <v>-20</v>
      </c>
      <c r="I448" s="1" t="s">
        <v>40</v>
      </c>
      <c r="J448" s="1">
        <v>3.15</v>
      </c>
      <c r="K448" s="1">
        <v>-10</v>
      </c>
      <c r="L448" s="1">
        <v>-1.30968992248062</v>
      </c>
      <c r="M448" s="1" t="s">
        <v>40</v>
      </c>
      <c r="N448" s="1">
        <v>4.3410852713177801E-2</v>
      </c>
      <c r="O448" s="1">
        <v>2.4891472868217099</v>
      </c>
      <c r="Q448" s="1">
        <v>0.24891472868217099</v>
      </c>
      <c r="R448" s="1">
        <v>0.70010156396368495</v>
      </c>
      <c r="S448" s="20" t="s">
        <v>246</v>
      </c>
      <c r="T448" s="3" t="s">
        <v>247</v>
      </c>
      <c r="U448" s="3" t="s">
        <v>106</v>
      </c>
      <c r="V448" s="3" t="s">
        <v>238</v>
      </c>
      <c r="W448" s="3">
        <v>4</v>
      </c>
      <c r="X448" s="3">
        <v>10</v>
      </c>
      <c r="Y448" s="3">
        <v>2</v>
      </c>
      <c r="Z448" s="3">
        <v>0</v>
      </c>
      <c r="AA448" s="3">
        <v>0</v>
      </c>
      <c r="AB448" s="12">
        <f>(W448*4+X448*1+Y448*-2+Z448*-3)/W448</f>
        <v>5.5</v>
      </c>
      <c r="AC448" s="3">
        <f>W448*12.0107+X448*1.00784+Y448*15.999+Z448*14.0067</f>
        <v>90.119200000000006</v>
      </c>
      <c r="AD448" s="12">
        <v>230</v>
      </c>
      <c r="AE448" s="2" t="s">
        <v>220</v>
      </c>
      <c r="AF448" s="3" t="s">
        <v>120</v>
      </c>
      <c r="AG448" s="2" t="str">
        <f>IF(AD448&gt;37,"Proton symporter", "Diffusion")</f>
        <v>Proton symporter</v>
      </c>
      <c r="AH448" s="3" t="s">
        <v>248</v>
      </c>
    </row>
    <row r="449" spans="1:34" hidden="1" x14ac:dyDescent="0.2">
      <c r="A449" s="8" t="s">
        <v>34</v>
      </c>
      <c r="B449" s="9" t="s">
        <v>35</v>
      </c>
      <c r="C449" s="1" t="s">
        <v>60</v>
      </c>
      <c r="D449" s="13" t="s">
        <v>51</v>
      </c>
      <c r="E449" s="1" t="s">
        <v>182</v>
      </c>
      <c r="F449" s="1" t="s">
        <v>183</v>
      </c>
      <c r="G449" s="1">
        <v>-10</v>
      </c>
      <c r="H449" s="1">
        <v>-20</v>
      </c>
      <c r="I449" s="1" t="s">
        <v>40</v>
      </c>
      <c r="J449" s="1">
        <v>3.15</v>
      </c>
      <c r="K449" s="1">
        <v>-10</v>
      </c>
      <c r="L449" s="1">
        <v>-2.1810344827586299</v>
      </c>
      <c r="M449" s="1" t="s">
        <v>40</v>
      </c>
      <c r="N449" s="1">
        <v>-0.25517241379311001</v>
      </c>
      <c r="O449" s="1">
        <v>2.5637931034483001</v>
      </c>
      <c r="Q449" s="1">
        <v>0.25637931034483002</v>
      </c>
      <c r="R449" s="1">
        <v>0.69690360969374798</v>
      </c>
      <c r="S449" s="11" t="s">
        <v>182</v>
      </c>
      <c r="T449" s="2" t="s">
        <v>182</v>
      </c>
      <c r="U449" s="3" t="s">
        <v>41</v>
      </c>
      <c r="V449" s="2" t="s">
        <v>184</v>
      </c>
      <c r="W449" s="2">
        <v>4</v>
      </c>
      <c r="X449" s="2">
        <v>7</v>
      </c>
      <c r="Y449" s="2">
        <v>2</v>
      </c>
      <c r="Z449" s="2">
        <v>0</v>
      </c>
      <c r="AA449" s="2">
        <v>0</v>
      </c>
      <c r="AB449" s="12">
        <f>(W449*4+X449*1+Y449*-2+Z449*-3)/W449</f>
        <v>4.75</v>
      </c>
      <c r="AC449" s="3">
        <f>W449*12.0107+X449*1.00784+Y449*15.999+Z449*14.0067</f>
        <v>87.095680000000002</v>
      </c>
      <c r="AD449" s="12">
        <v>163.5</v>
      </c>
      <c r="AE449" s="2" t="s">
        <v>131</v>
      </c>
      <c r="AF449" s="2" t="s">
        <v>79</v>
      </c>
      <c r="AG449" s="2" t="str">
        <f>IF(AD449&gt;37,"Proton symporter", "Diffusion")</f>
        <v>Proton symporter</v>
      </c>
      <c r="AH449" s="3" t="s">
        <v>185</v>
      </c>
    </row>
    <row r="450" spans="1:34" hidden="1" x14ac:dyDescent="0.2">
      <c r="A450" s="8" t="s">
        <v>34</v>
      </c>
      <c r="B450" s="9" t="s">
        <v>35</v>
      </c>
      <c r="C450" s="1" t="s">
        <v>59</v>
      </c>
      <c r="D450" s="13" t="s">
        <v>51</v>
      </c>
      <c r="E450" s="1" t="s">
        <v>182</v>
      </c>
      <c r="F450" s="1" t="s">
        <v>183</v>
      </c>
      <c r="G450" s="1">
        <v>-10</v>
      </c>
      <c r="H450" s="1">
        <v>-20</v>
      </c>
      <c r="I450" s="1" t="s">
        <v>40</v>
      </c>
      <c r="J450" s="1">
        <v>3.15</v>
      </c>
      <c r="K450" s="1">
        <v>-10</v>
      </c>
      <c r="L450" s="1">
        <v>-2.1810344827586201</v>
      </c>
      <c r="M450" s="1" t="s">
        <v>40</v>
      </c>
      <c r="N450" s="1">
        <v>-0.25517241379310401</v>
      </c>
      <c r="O450" s="1">
        <v>2.5637931034482802</v>
      </c>
      <c r="Q450" s="1">
        <v>0.25637931034482803</v>
      </c>
      <c r="R450" s="1">
        <v>0.69690360969374299</v>
      </c>
      <c r="S450" s="11" t="s">
        <v>182</v>
      </c>
      <c r="T450" s="2" t="s">
        <v>182</v>
      </c>
      <c r="U450" s="3" t="s">
        <v>41</v>
      </c>
      <c r="V450" s="2" t="s">
        <v>184</v>
      </c>
      <c r="W450" s="2">
        <v>4</v>
      </c>
      <c r="X450" s="2">
        <v>7</v>
      </c>
      <c r="Y450" s="2">
        <v>2</v>
      </c>
      <c r="Z450" s="2">
        <v>0</v>
      </c>
      <c r="AA450" s="2">
        <v>0</v>
      </c>
      <c r="AB450" s="12">
        <f>(W450*4+X450*1+Y450*-2+Z450*-3)/W450</f>
        <v>4.75</v>
      </c>
      <c r="AC450" s="3">
        <f>W450*12.0107+X450*1.00784+Y450*15.999+Z450*14.0067</f>
        <v>87.095680000000002</v>
      </c>
      <c r="AD450" s="12">
        <v>163.5</v>
      </c>
      <c r="AE450" s="2" t="s">
        <v>131</v>
      </c>
      <c r="AF450" s="2" t="s">
        <v>79</v>
      </c>
      <c r="AG450" s="2" t="str">
        <f>IF(AD450&gt;37,"Proton symporter", "Diffusion")</f>
        <v>Proton symporter</v>
      </c>
      <c r="AH450" s="3" t="s">
        <v>185</v>
      </c>
    </row>
    <row r="451" spans="1:34" hidden="1" x14ac:dyDescent="0.2">
      <c r="A451" s="8" t="s">
        <v>34</v>
      </c>
      <c r="B451" s="9" t="s">
        <v>35</v>
      </c>
      <c r="C451" s="1" t="s">
        <v>48</v>
      </c>
      <c r="D451" s="10" t="s">
        <v>37</v>
      </c>
      <c r="E451" s="1" t="s">
        <v>205</v>
      </c>
      <c r="F451" s="1" t="s">
        <v>206</v>
      </c>
      <c r="G451" s="1">
        <v>-10</v>
      </c>
      <c r="H451" s="1">
        <v>-20</v>
      </c>
      <c r="I451" s="1" t="s">
        <v>40</v>
      </c>
      <c r="J451" s="1">
        <v>3.15</v>
      </c>
      <c r="K451" s="1">
        <v>-10</v>
      </c>
      <c r="L451" s="1">
        <v>-0.53521126760563298</v>
      </c>
      <c r="M451" s="1" t="s">
        <v>40</v>
      </c>
      <c r="N451" s="1">
        <v>0.42816901408450397</v>
      </c>
      <c r="O451" s="1">
        <v>4.8929577464788796</v>
      </c>
      <c r="Q451" s="1">
        <v>0.48929577464788798</v>
      </c>
      <c r="R451" s="1">
        <v>0.69455744279683795</v>
      </c>
      <c r="S451" s="20" t="s">
        <v>205</v>
      </c>
      <c r="T451" s="3" t="s">
        <v>207</v>
      </c>
      <c r="U451" s="3" t="s">
        <v>106</v>
      </c>
      <c r="V451" s="3" t="s">
        <v>208</v>
      </c>
      <c r="W451" s="3">
        <v>4</v>
      </c>
      <c r="X451" s="3">
        <v>8</v>
      </c>
      <c r="Y451" s="3">
        <v>2</v>
      </c>
      <c r="Z451" s="3">
        <v>0</v>
      </c>
      <c r="AA451" s="3">
        <v>0</v>
      </c>
      <c r="AB451" s="12">
        <f>(W451*4+X451*1+Y451*-2+Z451*-3)/W451</f>
        <v>5</v>
      </c>
      <c r="AC451" s="3">
        <f>W451*12.0107+X451*1.00784+Y451*15.999+Z451*14.0067</f>
        <v>88.103520000000003</v>
      </c>
      <c r="AD451" s="12">
        <v>77.099999999999994</v>
      </c>
      <c r="AE451" s="3" t="s">
        <v>209</v>
      </c>
      <c r="AF451" s="3" t="s">
        <v>79</v>
      </c>
      <c r="AG451" s="2" t="str">
        <f>IF(AD451&gt;37,"Proton symporter", "Diffusion")</f>
        <v>Proton symporter</v>
      </c>
      <c r="AH451" s="3" t="s">
        <v>210</v>
      </c>
    </row>
    <row r="452" spans="1:34" hidden="1" x14ac:dyDescent="0.2">
      <c r="A452" s="8" t="s">
        <v>34</v>
      </c>
      <c r="B452" s="9" t="s">
        <v>35</v>
      </c>
      <c r="C452" s="1" t="s">
        <v>60</v>
      </c>
      <c r="D452" s="13" t="s">
        <v>51</v>
      </c>
      <c r="E452" s="1" t="s">
        <v>205</v>
      </c>
      <c r="F452" s="1" t="s">
        <v>206</v>
      </c>
      <c r="G452" s="1">
        <v>-10</v>
      </c>
      <c r="H452" s="1">
        <v>-20</v>
      </c>
      <c r="I452" s="1" t="s">
        <v>40</v>
      </c>
      <c r="J452" s="1">
        <v>3.15</v>
      </c>
      <c r="K452" s="1">
        <v>-10</v>
      </c>
      <c r="L452" s="1">
        <v>-2.5042016806722698</v>
      </c>
      <c r="M452" s="1" t="s">
        <v>40</v>
      </c>
      <c r="N452" s="1">
        <v>3.3613445378147199E-3</v>
      </c>
      <c r="O452" s="1">
        <v>2.4991596638655502</v>
      </c>
      <c r="Q452" s="1">
        <v>0.249915966386555</v>
      </c>
      <c r="R452" s="1">
        <v>0.68719562782433496</v>
      </c>
      <c r="S452" s="20" t="s">
        <v>205</v>
      </c>
      <c r="T452" s="3" t="s">
        <v>207</v>
      </c>
      <c r="U452" s="3" t="s">
        <v>106</v>
      </c>
      <c r="V452" s="3" t="s">
        <v>208</v>
      </c>
      <c r="W452" s="3">
        <v>4</v>
      </c>
      <c r="X452" s="3">
        <v>8</v>
      </c>
      <c r="Y452" s="3">
        <v>2</v>
      </c>
      <c r="Z452" s="3">
        <v>0</v>
      </c>
      <c r="AA452" s="3">
        <v>0</v>
      </c>
      <c r="AB452" s="12">
        <f>(W452*4+X452*1+Y452*-2+Z452*-3)/W452</f>
        <v>5</v>
      </c>
      <c r="AC452" s="3">
        <f>W452*12.0107+X452*1.00784+Y452*15.999+Z452*14.0067</f>
        <v>88.103520000000003</v>
      </c>
      <c r="AD452" s="12">
        <v>77.099999999999994</v>
      </c>
      <c r="AE452" s="3" t="s">
        <v>209</v>
      </c>
      <c r="AF452" s="3" t="s">
        <v>79</v>
      </c>
      <c r="AG452" s="2" t="str">
        <f>IF(AD452&gt;37,"Proton symporter", "Diffusion")</f>
        <v>Proton symporter</v>
      </c>
      <c r="AH452" s="3" t="s">
        <v>210</v>
      </c>
    </row>
    <row r="453" spans="1:34" hidden="1" x14ac:dyDescent="0.2">
      <c r="A453" s="8" t="s">
        <v>34</v>
      </c>
      <c r="B453" s="9" t="s">
        <v>35</v>
      </c>
      <c r="C453" s="1" t="s">
        <v>59</v>
      </c>
      <c r="D453" s="13" t="s">
        <v>51</v>
      </c>
      <c r="E453" s="1" t="s">
        <v>205</v>
      </c>
      <c r="F453" s="1" t="s">
        <v>206</v>
      </c>
      <c r="G453" s="1">
        <v>-10</v>
      </c>
      <c r="H453" s="1">
        <v>-20</v>
      </c>
      <c r="I453" s="1" t="s">
        <v>40</v>
      </c>
      <c r="J453" s="1">
        <v>3.15</v>
      </c>
      <c r="K453" s="1">
        <v>-10</v>
      </c>
      <c r="L453" s="1">
        <v>-2.5042016806722698</v>
      </c>
      <c r="M453" s="1" t="s">
        <v>40</v>
      </c>
      <c r="N453" s="1">
        <v>3.3613445377887199E-3</v>
      </c>
      <c r="O453" s="1">
        <v>2.49915966386554</v>
      </c>
      <c r="Q453" s="1">
        <v>0.249915966386554</v>
      </c>
      <c r="R453" s="1">
        <v>0.68719562782433097</v>
      </c>
      <c r="S453" s="20" t="s">
        <v>205</v>
      </c>
      <c r="T453" s="3" t="s">
        <v>207</v>
      </c>
      <c r="U453" s="3" t="s">
        <v>106</v>
      </c>
      <c r="V453" s="3" t="s">
        <v>208</v>
      </c>
      <c r="W453" s="3">
        <v>4</v>
      </c>
      <c r="X453" s="3">
        <v>8</v>
      </c>
      <c r="Y453" s="3">
        <v>2</v>
      </c>
      <c r="Z453" s="3">
        <v>0</v>
      </c>
      <c r="AA453" s="3">
        <v>0</v>
      </c>
      <c r="AB453" s="12">
        <f>(W453*4+X453*1+Y453*-2+Z453*-3)/W453</f>
        <v>5</v>
      </c>
      <c r="AC453" s="3">
        <f>W453*12.0107+X453*1.00784+Y453*15.999+Z453*14.0067</f>
        <v>88.103520000000003</v>
      </c>
      <c r="AD453" s="12">
        <v>77.099999999999994</v>
      </c>
      <c r="AE453" s="3" t="s">
        <v>209</v>
      </c>
      <c r="AF453" s="3" t="s">
        <v>79</v>
      </c>
      <c r="AG453" s="2" t="str">
        <f>IF(AD453&gt;37,"Proton symporter", "Diffusion")</f>
        <v>Proton symporter</v>
      </c>
      <c r="AH453" s="3" t="s">
        <v>210</v>
      </c>
    </row>
    <row r="454" spans="1:34" hidden="1" x14ac:dyDescent="0.2">
      <c r="A454" s="8" t="s">
        <v>34</v>
      </c>
      <c r="B454" s="9" t="s">
        <v>35</v>
      </c>
      <c r="C454" s="1" t="s">
        <v>36</v>
      </c>
      <c r="D454" s="10" t="s">
        <v>37</v>
      </c>
      <c r="E454" s="1" t="s">
        <v>300</v>
      </c>
      <c r="F454" s="1" t="s">
        <v>301</v>
      </c>
      <c r="G454" s="1">
        <v>-10</v>
      </c>
      <c r="H454" s="1">
        <v>-20</v>
      </c>
      <c r="I454" s="1" t="s">
        <v>40</v>
      </c>
      <c r="J454" s="1">
        <v>3.15</v>
      </c>
      <c r="K454" s="1">
        <v>-10</v>
      </c>
      <c r="L454" s="1">
        <v>-0.79348837209302603</v>
      </c>
      <c r="M454" s="1" t="s">
        <v>40</v>
      </c>
      <c r="N454" s="1">
        <v>3.8623255813953601</v>
      </c>
      <c r="O454" s="1">
        <v>4.0344186046511803</v>
      </c>
      <c r="Q454" s="1">
        <v>0.40344186046511799</v>
      </c>
      <c r="R454" s="1">
        <v>0.67881944753278001</v>
      </c>
      <c r="S454" s="20" t="s">
        <v>300</v>
      </c>
      <c r="T454" s="3" t="s">
        <v>302</v>
      </c>
      <c r="U454" s="3" t="s">
        <v>106</v>
      </c>
      <c r="V454" s="3" t="s">
        <v>303</v>
      </c>
      <c r="W454" s="3">
        <v>4</v>
      </c>
      <c r="X454" s="3">
        <v>10</v>
      </c>
      <c r="Y454" s="3">
        <v>1</v>
      </c>
      <c r="Z454" s="3">
        <v>0</v>
      </c>
      <c r="AA454" s="3">
        <v>0</v>
      </c>
      <c r="AB454" s="12">
        <f>(W454*4+X454*1+Y454*-2+Z454*-3)/W454</f>
        <v>6</v>
      </c>
      <c r="AC454" s="3">
        <f>W454*12.0107+X454*1.00784+Y454*15.999+Z454*14.0067</f>
        <v>74.120199999999997</v>
      </c>
      <c r="AD454" s="12">
        <v>117.7</v>
      </c>
      <c r="AE454" s="3" t="s">
        <v>262</v>
      </c>
      <c r="AF454" s="2" t="s">
        <v>79</v>
      </c>
      <c r="AG454" s="2" t="str">
        <f>IF(AD454&gt;37,"Proton symporter", "Diffusion")</f>
        <v>Proton symporter</v>
      </c>
      <c r="AH454" s="3" t="s">
        <v>304</v>
      </c>
    </row>
    <row r="455" spans="1:34" hidden="1" x14ac:dyDescent="0.2">
      <c r="A455" s="8" t="s">
        <v>34</v>
      </c>
      <c r="B455" s="9" t="s">
        <v>35</v>
      </c>
      <c r="C455" s="1" t="s">
        <v>49</v>
      </c>
      <c r="D455" s="10" t="s">
        <v>37</v>
      </c>
      <c r="E455" s="1" t="s">
        <v>310</v>
      </c>
      <c r="F455" s="1" t="s">
        <v>311</v>
      </c>
      <c r="G455" s="1">
        <v>-10</v>
      </c>
      <c r="H455" s="1">
        <v>-20</v>
      </c>
      <c r="I455" s="1" t="s">
        <v>40</v>
      </c>
      <c r="J455" s="1">
        <v>3.15</v>
      </c>
      <c r="K455" s="1">
        <v>-10</v>
      </c>
      <c r="L455" s="1">
        <v>-3.4777777777777801</v>
      </c>
      <c r="M455" s="1" t="s">
        <v>40</v>
      </c>
      <c r="N455" s="1">
        <v>2.3185185185185202</v>
      </c>
      <c r="O455" s="1">
        <v>3.5362962962963</v>
      </c>
      <c r="Q455" s="1">
        <v>0.35362962962963002</v>
      </c>
      <c r="R455" s="1">
        <v>0.67664368670189901</v>
      </c>
      <c r="S455" s="20" t="s">
        <v>310</v>
      </c>
      <c r="T455" s="3" t="s">
        <v>312</v>
      </c>
      <c r="U455" s="3" t="s">
        <v>106</v>
      </c>
      <c r="V455" s="3" t="s">
        <v>292</v>
      </c>
      <c r="W455" s="3">
        <v>5</v>
      </c>
      <c r="X455" s="3">
        <v>12</v>
      </c>
      <c r="Y455" s="3">
        <v>1</v>
      </c>
      <c r="Z455" s="3">
        <v>0</v>
      </c>
      <c r="AA455" s="3">
        <v>0</v>
      </c>
      <c r="AB455" s="12">
        <f>(W455*4+X455*1+Y455*-2+Z455*-3)/W455</f>
        <v>6</v>
      </c>
      <c r="AC455" s="3">
        <f>W455*12.0107+X455*1.00784+Y455*15.999+Z455*14.0067</f>
        <v>88.14658</v>
      </c>
      <c r="AD455" s="12">
        <v>138</v>
      </c>
      <c r="AE455" s="3" t="s">
        <v>262</v>
      </c>
      <c r="AF455" s="2" t="s">
        <v>313</v>
      </c>
      <c r="AG455" s="2" t="str">
        <f>IF(AD455&gt;37,"Proton symporter", "Diffusion")</f>
        <v>Proton symporter</v>
      </c>
      <c r="AH455" s="3" t="s">
        <v>314</v>
      </c>
    </row>
    <row r="456" spans="1:34" hidden="1" x14ac:dyDescent="0.2">
      <c r="A456" s="8" t="s">
        <v>350</v>
      </c>
      <c r="B456" s="17" t="s">
        <v>64</v>
      </c>
      <c r="C456" t="s">
        <v>353</v>
      </c>
      <c r="D456" s="13" t="s">
        <v>51</v>
      </c>
      <c r="E456" t="s">
        <v>259</v>
      </c>
      <c r="F456" t="s">
        <v>260</v>
      </c>
      <c r="G456">
        <v>-10</v>
      </c>
      <c r="H456">
        <v>0</v>
      </c>
      <c r="I456">
        <v>0</v>
      </c>
      <c r="J456">
        <v>0.45</v>
      </c>
      <c r="K456">
        <v>-10</v>
      </c>
      <c r="L456">
        <v>0</v>
      </c>
      <c r="M456">
        <v>0</v>
      </c>
      <c r="N456">
        <v>0</v>
      </c>
      <c r="O456">
        <v>2.5</v>
      </c>
      <c r="P456"/>
      <c r="Q456">
        <v>0.25</v>
      </c>
      <c r="R456" s="26">
        <v>0.67203535089038802</v>
      </c>
      <c r="S456" s="3" t="str">
        <f>VLOOKUP($E456,'[1]Product Naming'!$A$1:$P$58,2)</f>
        <v>Isobutanol</v>
      </c>
      <c r="T456" s="3" t="str">
        <f>VLOOKUP($E456,'[1]Product Naming'!$A$1:$P$58,3)</f>
        <v>Isobutanol</v>
      </c>
      <c r="U456" s="3" t="str">
        <f>VLOOKUP($E456,'[1]Product Naming'!$A$1:$P$58,4)</f>
        <v>E</v>
      </c>
      <c r="V456" s="3" t="str">
        <f>VLOOKUP($E456,'[1]Product Naming'!$A$1:$P$58,5)</f>
        <v>C5H10O</v>
      </c>
      <c r="W456" s="3">
        <f>VLOOKUP($E456,'[1]Product Naming'!$A$1:$P$58,6)</f>
        <v>5</v>
      </c>
      <c r="X456" s="3">
        <f>VLOOKUP($E456,'[1]Product Naming'!$A$1:$P$58,7)</f>
        <v>10</v>
      </c>
      <c r="Y456" s="3">
        <f>VLOOKUP($E456,'[1]Product Naming'!$A$1:$P$58,8)</f>
        <v>1</v>
      </c>
      <c r="Z456" s="3">
        <f>VLOOKUP($E456,'[1]Product Naming'!$A$1:$P$58,9)</f>
        <v>0</v>
      </c>
      <c r="AA456" s="3">
        <f>VLOOKUP($E456,'[1]Product Naming'!$A$1:$P$58,10)</f>
        <v>0</v>
      </c>
      <c r="AB456" s="3">
        <f>VLOOKUP($E456,'[1]Product Naming'!$A$1:$P$58,11)</f>
        <v>5.6</v>
      </c>
      <c r="AC456" s="3">
        <f>VLOOKUP($E456,'[1]Product Naming'!$A$1:$P$58,12)</f>
        <v>86.130899999999997</v>
      </c>
      <c r="AD456" s="3">
        <f>VLOOKUP($E456,'[1]Product Naming'!$A$1:$P$58,13)</f>
        <v>108</v>
      </c>
      <c r="AE456" s="3" t="str">
        <f>VLOOKUP($E456,'[1]Product Naming'!$A$1:$P$58,14)</f>
        <v>Alcohol</v>
      </c>
      <c r="AF456" s="3" t="str">
        <f>VLOOKUP($E456,'[1]Product Naming'!$A$1:$P$58,15)</f>
        <v>Pyruvate</v>
      </c>
      <c r="AG456" s="3" t="str">
        <f>VLOOKUP($E456,'[1]Product Naming'!$A$1:$P$58,16)</f>
        <v>Proton symporter</v>
      </c>
      <c r="AH456" s="3" t="str">
        <f>VLOOKUP($E456,'[1]Product Naming'!$A$1:$Q$58,17)</f>
        <v>ibutoh_c</v>
      </c>
    </row>
    <row r="457" spans="1:34" hidden="1" x14ac:dyDescent="0.2">
      <c r="A457" s="8" t="s">
        <v>350</v>
      </c>
      <c r="B457" s="17" t="s">
        <v>64</v>
      </c>
      <c r="C457" t="s">
        <v>354</v>
      </c>
      <c r="D457" s="13" t="s">
        <v>51</v>
      </c>
      <c r="E457" t="s">
        <v>259</v>
      </c>
      <c r="F457" t="s">
        <v>260</v>
      </c>
      <c r="G457">
        <v>-10</v>
      </c>
      <c r="H457">
        <v>0</v>
      </c>
      <c r="I457">
        <v>0</v>
      </c>
      <c r="J457">
        <v>0.45</v>
      </c>
      <c r="K457">
        <v>-10</v>
      </c>
      <c r="L457">
        <v>0</v>
      </c>
      <c r="M457">
        <v>0</v>
      </c>
      <c r="N457">
        <v>0</v>
      </c>
      <c r="O457">
        <v>2.5</v>
      </c>
      <c r="P457"/>
      <c r="Q457">
        <v>0.25</v>
      </c>
      <c r="R457" s="26">
        <v>0.67203535089038802</v>
      </c>
      <c r="S457" s="3" t="str">
        <f>VLOOKUP($E457,'[1]Product Naming'!$A$1:$P$58,2)</f>
        <v>Isobutanol</v>
      </c>
      <c r="T457" s="3" t="str">
        <f>VLOOKUP($E457,'[1]Product Naming'!$A$1:$P$58,3)</f>
        <v>Isobutanol</v>
      </c>
      <c r="U457" s="3" t="str">
        <f>VLOOKUP($E457,'[1]Product Naming'!$A$1:$P$58,4)</f>
        <v>E</v>
      </c>
      <c r="V457" s="3" t="str">
        <f>VLOOKUP($E457,'[1]Product Naming'!$A$1:$P$58,5)</f>
        <v>C5H10O</v>
      </c>
      <c r="W457" s="3">
        <f>VLOOKUP($E457,'[1]Product Naming'!$A$1:$P$58,6)</f>
        <v>5</v>
      </c>
      <c r="X457" s="3">
        <f>VLOOKUP($E457,'[1]Product Naming'!$A$1:$P$58,7)</f>
        <v>10</v>
      </c>
      <c r="Y457" s="3">
        <f>VLOOKUP($E457,'[1]Product Naming'!$A$1:$P$58,8)</f>
        <v>1</v>
      </c>
      <c r="Z457" s="3">
        <f>VLOOKUP($E457,'[1]Product Naming'!$A$1:$P$58,9)</f>
        <v>0</v>
      </c>
      <c r="AA457" s="3">
        <f>VLOOKUP($E457,'[1]Product Naming'!$A$1:$P$58,10)</f>
        <v>0</v>
      </c>
      <c r="AB457" s="3">
        <f>VLOOKUP($E457,'[1]Product Naming'!$A$1:$P$58,11)</f>
        <v>5.6</v>
      </c>
      <c r="AC457" s="3">
        <f>VLOOKUP($E457,'[1]Product Naming'!$A$1:$P$58,12)</f>
        <v>86.130899999999997</v>
      </c>
      <c r="AD457" s="3">
        <f>VLOOKUP($E457,'[1]Product Naming'!$A$1:$P$58,13)</f>
        <v>108</v>
      </c>
      <c r="AE457" s="3" t="str">
        <f>VLOOKUP($E457,'[1]Product Naming'!$A$1:$P$58,14)</f>
        <v>Alcohol</v>
      </c>
      <c r="AF457" s="3" t="str">
        <f>VLOOKUP($E457,'[1]Product Naming'!$A$1:$P$58,15)</f>
        <v>Pyruvate</v>
      </c>
      <c r="AG457" s="3" t="str">
        <f>VLOOKUP($E457,'[1]Product Naming'!$A$1:$P$58,16)</f>
        <v>Proton symporter</v>
      </c>
      <c r="AH457" s="3" t="str">
        <f>VLOOKUP($E457,'[1]Product Naming'!$A$1:$Q$58,17)</f>
        <v>ibutoh_c</v>
      </c>
    </row>
    <row r="458" spans="1:34" hidden="1" x14ac:dyDescent="0.2">
      <c r="A458" s="16" t="s">
        <v>63</v>
      </c>
      <c r="B458" s="17" t="s">
        <v>64</v>
      </c>
      <c r="C458" t="s">
        <v>69</v>
      </c>
      <c r="D458" s="18" t="s">
        <v>66</v>
      </c>
      <c r="E458" t="s">
        <v>259</v>
      </c>
      <c r="F458" t="s">
        <v>260</v>
      </c>
      <c r="G458">
        <v>-10</v>
      </c>
      <c r="H458">
        <v>0</v>
      </c>
      <c r="I458">
        <v>-20</v>
      </c>
      <c r="J458">
        <v>0.45</v>
      </c>
      <c r="K458">
        <v>-10</v>
      </c>
      <c r="L458">
        <v>0</v>
      </c>
      <c r="M458">
        <v>-20</v>
      </c>
      <c r="N458">
        <v>0</v>
      </c>
      <c r="O458">
        <v>2.5</v>
      </c>
      <c r="P458"/>
      <c r="Q458">
        <v>0.25</v>
      </c>
      <c r="R458" s="19">
        <v>0.67184789391575706</v>
      </c>
      <c r="S458" s="20" t="s">
        <v>259</v>
      </c>
      <c r="T458" s="3" t="s">
        <v>259</v>
      </c>
      <c r="U458" s="3" t="s">
        <v>106</v>
      </c>
      <c r="V458" s="3" t="s">
        <v>261</v>
      </c>
      <c r="W458" s="3">
        <v>5</v>
      </c>
      <c r="X458" s="3">
        <v>10</v>
      </c>
      <c r="Y458" s="3">
        <v>1</v>
      </c>
      <c r="Z458" s="3">
        <v>0</v>
      </c>
      <c r="AA458" s="3">
        <v>0</v>
      </c>
      <c r="AB458" s="12">
        <f>(W458*4+X458*1+Y458*-2+Z458*-3)/W458+0.02</f>
        <v>5.6199999999999992</v>
      </c>
      <c r="AC458" s="3">
        <f>W458*12.0107+X458*1.00784+Y458*15.999+Z458*14.0067</f>
        <v>86.130899999999997</v>
      </c>
      <c r="AD458" s="12">
        <v>108</v>
      </c>
      <c r="AE458" s="3" t="s">
        <v>262</v>
      </c>
      <c r="AF458" s="3" t="s">
        <v>135</v>
      </c>
      <c r="AG458" s="2" t="str">
        <f>IF(AD458&gt;37,"Proton symporter", "Diffusion")</f>
        <v>Proton symporter</v>
      </c>
      <c r="AH458" s="3" t="s">
        <v>263</v>
      </c>
    </row>
    <row r="459" spans="1:34" hidden="1" x14ac:dyDescent="0.2">
      <c r="A459" s="16" t="s">
        <v>74</v>
      </c>
      <c r="B459" s="9" t="s">
        <v>35</v>
      </c>
      <c r="C459" t="s">
        <v>48</v>
      </c>
      <c r="D459" s="10" t="s">
        <v>37</v>
      </c>
      <c r="E459" t="s">
        <v>194</v>
      </c>
      <c r="F459" t="s">
        <v>195</v>
      </c>
      <c r="G459">
        <v>-10</v>
      </c>
      <c r="H459">
        <v>-20</v>
      </c>
      <c r="I459" s="1" t="s">
        <v>40</v>
      </c>
      <c r="J459">
        <v>3.15</v>
      </c>
      <c r="K459">
        <v>-10</v>
      </c>
      <c r="L459">
        <v>-5.2169230769230799</v>
      </c>
      <c r="M459" s="1" t="s">
        <v>40</v>
      </c>
      <c r="N459">
        <v>3.0430769230769301</v>
      </c>
      <c r="O459">
        <v>2.8261538461538498</v>
      </c>
      <c r="P459"/>
      <c r="Q459">
        <v>0.28261538461538499</v>
      </c>
      <c r="R459">
        <v>0.67023482642410803</v>
      </c>
      <c r="S459" s="3" t="s">
        <v>194</v>
      </c>
      <c r="T459" s="2" t="s">
        <v>196</v>
      </c>
      <c r="U459" s="3" t="s">
        <v>35</v>
      </c>
      <c r="V459" s="3" t="s">
        <v>197</v>
      </c>
      <c r="W459" s="3">
        <v>6</v>
      </c>
      <c r="X459" s="3">
        <v>15</v>
      </c>
      <c r="Y459" s="3">
        <v>2</v>
      </c>
      <c r="Z459" s="3">
        <v>2</v>
      </c>
      <c r="AA459" s="3">
        <v>1</v>
      </c>
      <c r="AB459" s="12">
        <f>(W459*4+X459*1+Y459*-2+Z459*-3)/W459</f>
        <v>4.833333333333333</v>
      </c>
      <c r="AC459" s="3">
        <f>W459*12.0107+X459*1.00784+Y459*15.999+Z459*14.0067</f>
        <v>147.19319999999999</v>
      </c>
      <c r="AD459" s="12" t="s">
        <v>40</v>
      </c>
      <c r="AE459" s="3" t="s">
        <v>119</v>
      </c>
      <c r="AF459" s="3" t="s">
        <v>44</v>
      </c>
      <c r="AG459" s="2" t="s">
        <v>80</v>
      </c>
      <c r="AH459" s="2" t="s">
        <v>198</v>
      </c>
    </row>
    <row r="460" spans="1:34" hidden="1" x14ac:dyDescent="0.2">
      <c r="A460" s="8" t="s">
        <v>34</v>
      </c>
      <c r="B460" s="9" t="s">
        <v>35</v>
      </c>
      <c r="C460" s="1" t="s">
        <v>49</v>
      </c>
      <c r="D460" s="10" t="s">
        <v>37</v>
      </c>
      <c r="E460" s="1" t="s">
        <v>286</v>
      </c>
      <c r="F460" s="1" t="s">
        <v>280</v>
      </c>
      <c r="G460" s="1">
        <v>-10</v>
      </c>
      <c r="H460" s="1">
        <v>-20</v>
      </c>
      <c r="I460" s="1" t="s">
        <v>40</v>
      </c>
      <c r="J460" s="1">
        <v>3.15</v>
      </c>
      <c r="K460" s="1">
        <v>-10</v>
      </c>
      <c r="L460" s="1">
        <v>-6.9</v>
      </c>
      <c r="M460" s="1" t="s">
        <v>40</v>
      </c>
      <c r="N460" s="1">
        <v>4.5999999999999996</v>
      </c>
      <c r="O460" s="1">
        <v>5.1333333333333302</v>
      </c>
      <c r="Q460" s="1">
        <v>0.51333333333333298</v>
      </c>
      <c r="R460" s="1">
        <v>0.669630457723141</v>
      </c>
      <c r="S460" s="20" t="s">
        <v>287</v>
      </c>
      <c r="T460" s="3" t="s">
        <v>288</v>
      </c>
      <c r="U460" s="3" t="s">
        <v>174</v>
      </c>
      <c r="V460" s="3" t="s">
        <v>283</v>
      </c>
      <c r="W460" s="3">
        <v>3</v>
      </c>
      <c r="X460" s="3">
        <v>8</v>
      </c>
      <c r="Y460" s="3">
        <v>1</v>
      </c>
      <c r="Z460" s="3">
        <v>0</v>
      </c>
      <c r="AA460" s="3">
        <v>0</v>
      </c>
      <c r="AB460" s="12">
        <f>(W460*4+X460*1+Y460*-2+Z460*-3)/W460</f>
        <v>6</v>
      </c>
      <c r="AC460" s="3">
        <f>W460*12.0107+X460*1.00784+Y460*15.999+Z460*14.0067</f>
        <v>60.093820000000001</v>
      </c>
      <c r="AD460" s="12">
        <v>97</v>
      </c>
      <c r="AE460" s="2" t="s">
        <v>262</v>
      </c>
      <c r="AF460" s="3" t="s">
        <v>44</v>
      </c>
      <c r="AG460" s="2" t="str">
        <f>IF(AD460&gt;37,"Proton symporter", "Diffusion")</f>
        <v>Proton symporter</v>
      </c>
      <c r="AH460" s="3" t="s">
        <v>285</v>
      </c>
    </row>
    <row r="461" spans="1:34" hidden="1" x14ac:dyDescent="0.2">
      <c r="A461" s="8" t="s">
        <v>34</v>
      </c>
      <c r="B461" s="9" t="s">
        <v>35</v>
      </c>
      <c r="C461" s="1" t="s">
        <v>59</v>
      </c>
      <c r="D461" s="13" t="s">
        <v>51</v>
      </c>
      <c r="E461" s="1" t="s">
        <v>240</v>
      </c>
      <c r="F461" s="1" t="s">
        <v>235</v>
      </c>
      <c r="G461" s="1">
        <v>-10</v>
      </c>
      <c r="H461" s="1">
        <v>-20</v>
      </c>
      <c r="I461" s="1" t="s">
        <v>40</v>
      </c>
      <c r="J461" s="1">
        <v>3.15</v>
      </c>
      <c r="K461" s="1">
        <v>-10</v>
      </c>
      <c r="L461" s="1">
        <v>-2.01825396825397</v>
      </c>
      <c r="M461" s="1" t="s">
        <v>40</v>
      </c>
      <c r="N461" s="1">
        <v>0.55873015873016896</v>
      </c>
      <c r="O461" s="1">
        <v>2.3603174603174599</v>
      </c>
      <c r="Q461" s="1">
        <v>0.23603174603174601</v>
      </c>
      <c r="R461" s="1">
        <v>0.66386668003443605</v>
      </c>
      <c r="S461" s="20" t="s">
        <v>241</v>
      </c>
      <c r="T461" s="3" t="s">
        <v>242</v>
      </c>
      <c r="U461" s="3" t="s">
        <v>106</v>
      </c>
      <c r="V461" s="3" t="s">
        <v>238</v>
      </c>
      <c r="W461" s="3">
        <v>4</v>
      </c>
      <c r="X461" s="3">
        <v>10</v>
      </c>
      <c r="Y461" s="3">
        <v>2</v>
      </c>
      <c r="Z461" s="3">
        <v>0</v>
      </c>
      <c r="AA461" s="3">
        <v>0</v>
      </c>
      <c r="AB461" s="12">
        <f>(W461*4+X461*1+Y461*-2+Z461*-3)/W461</f>
        <v>5.5</v>
      </c>
      <c r="AC461" s="3">
        <f>W461*12.0107+X461*1.00784+Y461*15.999+Z461*14.0067</f>
        <v>90.119200000000006</v>
      </c>
      <c r="AD461" s="12">
        <v>207</v>
      </c>
      <c r="AE461" s="2" t="s">
        <v>220</v>
      </c>
      <c r="AF461" s="3" t="s">
        <v>243</v>
      </c>
      <c r="AG461" s="2" t="str">
        <f>IF(AD461&gt;37,"Proton symporter", "Diffusion")</f>
        <v>Proton symporter</v>
      </c>
      <c r="AH461" s="3" t="s">
        <v>239</v>
      </c>
    </row>
    <row r="462" spans="1:34" hidden="1" x14ac:dyDescent="0.2">
      <c r="A462" s="8" t="s">
        <v>34</v>
      </c>
      <c r="B462" s="9" t="s">
        <v>35</v>
      </c>
      <c r="C462" s="1" t="s">
        <v>60</v>
      </c>
      <c r="D462" s="13" t="s">
        <v>51</v>
      </c>
      <c r="E462" s="1" t="s">
        <v>240</v>
      </c>
      <c r="F462" s="1" t="s">
        <v>235</v>
      </c>
      <c r="G462" s="1">
        <v>-10</v>
      </c>
      <c r="H462" s="1">
        <v>-20</v>
      </c>
      <c r="I462" s="1" t="s">
        <v>40</v>
      </c>
      <c r="J462" s="1">
        <v>3.15</v>
      </c>
      <c r="K462" s="1">
        <v>-10</v>
      </c>
      <c r="L462" s="1">
        <v>-2.01825396825397</v>
      </c>
      <c r="M462" s="1" t="s">
        <v>40</v>
      </c>
      <c r="N462" s="1">
        <v>0.55873015873013898</v>
      </c>
      <c r="O462" s="1">
        <v>2.3603174603174599</v>
      </c>
      <c r="Q462" s="1">
        <v>0.23603174603174601</v>
      </c>
      <c r="R462" s="1">
        <v>0.66386668003443305</v>
      </c>
      <c r="S462" s="20" t="s">
        <v>241</v>
      </c>
      <c r="T462" s="3" t="s">
        <v>242</v>
      </c>
      <c r="U462" s="3" t="s">
        <v>106</v>
      </c>
      <c r="V462" s="3" t="s">
        <v>238</v>
      </c>
      <c r="W462" s="3">
        <v>4</v>
      </c>
      <c r="X462" s="3">
        <v>10</v>
      </c>
      <c r="Y462" s="3">
        <v>2</v>
      </c>
      <c r="Z462" s="3">
        <v>0</v>
      </c>
      <c r="AA462" s="3">
        <v>0</v>
      </c>
      <c r="AB462" s="12">
        <f>(W462*4+X462*1+Y462*-2+Z462*-3)/W462</f>
        <v>5.5</v>
      </c>
      <c r="AC462" s="3">
        <f>W462*12.0107+X462*1.00784+Y462*15.999+Z462*14.0067</f>
        <v>90.119200000000006</v>
      </c>
      <c r="AD462" s="12">
        <v>207</v>
      </c>
      <c r="AE462" s="2" t="s">
        <v>220</v>
      </c>
      <c r="AF462" s="3" t="s">
        <v>243</v>
      </c>
      <c r="AG462" s="2" t="str">
        <f>IF(AD462&gt;37,"Proton symporter", "Diffusion")</f>
        <v>Proton symporter</v>
      </c>
      <c r="AH462" s="3" t="s">
        <v>239</v>
      </c>
    </row>
    <row r="463" spans="1:34" hidden="1" x14ac:dyDescent="0.2">
      <c r="A463" s="8" t="s">
        <v>34</v>
      </c>
      <c r="B463" s="9" t="s">
        <v>35</v>
      </c>
      <c r="C463" s="1" t="s">
        <v>59</v>
      </c>
      <c r="D463" s="13" t="s">
        <v>51</v>
      </c>
      <c r="E463" s="1" t="s">
        <v>166</v>
      </c>
      <c r="F463" s="1" t="s">
        <v>167</v>
      </c>
      <c r="G463" s="1">
        <v>-10</v>
      </c>
      <c r="H463" s="1">
        <v>-20</v>
      </c>
      <c r="I463" s="1" t="s">
        <v>40</v>
      </c>
      <c r="J463" s="1">
        <v>3.15</v>
      </c>
      <c r="K463" s="1">
        <v>-10</v>
      </c>
      <c r="L463" s="1">
        <v>-3.8932835820895502</v>
      </c>
      <c r="M463" s="1" t="s">
        <v>40</v>
      </c>
      <c r="N463" s="1">
        <v>0.12736318407960301</v>
      </c>
      <c r="O463" s="1">
        <v>2.4681592039800999</v>
      </c>
      <c r="Q463" s="1">
        <v>0.24681592039801001</v>
      </c>
      <c r="R463" s="1">
        <v>0.663144398614672</v>
      </c>
      <c r="S463" s="11" t="s">
        <v>166</v>
      </c>
      <c r="T463" s="2" t="s">
        <v>168</v>
      </c>
      <c r="U463" s="3" t="s">
        <v>41</v>
      </c>
      <c r="V463" s="2" t="s">
        <v>169</v>
      </c>
      <c r="W463" s="2">
        <v>4</v>
      </c>
      <c r="X463" s="2">
        <v>6</v>
      </c>
      <c r="Y463" s="2">
        <v>2</v>
      </c>
      <c r="Z463" s="2">
        <v>0</v>
      </c>
      <c r="AA463" s="2">
        <v>0</v>
      </c>
      <c r="AB463" s="12">
        <f>(W463*4+X463*1+Y463*-2+Z463*-3)/W463</f>
        <v>4.5</v>
      </c>
      <c r="AC463" s="3">
        <f>W463*12.0107+X463*1.00784+Y463*15.999+Z463*14.0067</f>
        <v>86.08784</v>
      </c>
      <c r="AD463" s="12">
        <v>204</v>
      </c>
      <c r="AE463" s="2" t="s">
        <v>170</v>
      </c>
      <c r="AF463" s="2" t="s">
        <v>120</v>
      </c>
      <c r="AG463" s="2" t="str">
        <f>IF(AD463&gt;37,"Proton symporter", "Diffusion")</f>
        <v>Proton symporter</v>
      </c>
      <c r="AH463" s="3" t="s">
        <v>171</v>
      </c>
    </row>
    <row r="464" spans="1:34" hidden="1" x14ac:dyDescent="0.2">
      <c r="A464" s="8" t="s">
        <v>34</v>
      </c>
      <c r="B464" s="9" t="s">
        <v>35</v>
      </c>
      <c r="C464" s="1" t="s">
        <v>60</v>
      </c>
      <c r="D464" s="13" t="s">
        <v>51</v>
      </c>
      <c r="E464" s="1" t="s">
        <v>166</v>
      </c>
      <c r="F464" s="1" t="s">
        <v>167</v>
      </c>
      <c r="G464" s="1">
        <v>-10</v>
      </c>
      <c r="H464" s="1">
        <v>-20</v>
      </c>
      <c r="I464" s="1" t="s">
        <v>40</v>
      </c>
      <c r="J464" s="1">
        <v>3.15</v>
      </c>
      <c r="K464" s="1">
        <v>-10</v>
      </c>
      <c r="L464" s="1">
        <v>-3.8932835820895502</v>
      </c>
      <c r="M464" s="1" t="s">
        <v>40</v>
      </c>
      <c r="N464" s="1">
        <v>0.12736318407960101</v>
      </c>
      <c r="O464" s="1">
        <v>2.4681592039800999</v>
      </c>
      <c r="Q464" s="1">
        <v>0.24681592039801001</v>
      </c>
      <c r="R464" s="1">
        <v>0.663144398614672</v>
      </c>
      <c r="S464" s="11" t="s">
        <v>166</v>
      </c>
      <c r="T464" s="2" t="s">
        <v>168</v>
      </c>
      <c r="U464" s="3" t="s">
        <v>41</v>
      </c>
      <c r="V464" s="2" t="s">
        <v>169</v>
      </c>
      <c r="W464" s="2">
        <v>4</v>
      </c>
      <c r="X464" s="2">
        <v>6</v>
      </c>
      <c r="Y464" s="2">
        <v>2</v>
      </c>
      <c r="Z464" s="2">
        <v>0</v>
      </c>
      <c r="AA464" s="2">
        <v>0</v>
      </c>
      <c r="AB464" s="12">
        <f>(W464*4+X464*1+Y464*-2+Z464*-3)/W464</f>
        <v>4.5</v>
      </c>
      <c r="AC464" s="3">
        <f>W464*12.0107+X464*1.00784+Y464*15.999+Z464*14.0067</f>
        <v>86.08784</v>
      </c>
      <c r="AD464" s="12">
        <v>204</v>
      </c>
      <c r="AE464" s="2" t="s">
        <v>170</v>
      </c>
      <c r="AF464" s="2" t="s">
        <v>120</v>
      </c>
      <c r="AG464" s="2" t="str">
        <f>IF(AD464&gt;37,"Proton symporter", "Diffusion")</f>
        <v>Proton symporter</v>
      </c>
      <c r="AH464" s="3" t="s">
        <v>171</v>
      </c>
    </row>
    <row r="465" spans="1:34" hidden="1" x14ac:dyDescent="0.2">
      <c r="A465" s="8" t="s">
        <v>34</v>
      </c>
      <c r="B465" s="9" t="s">
        <v>35</v>
      </c>
      <c r="C465" s="1" t="s">
        <v>56</v>
      </c>
      <c r="D465" s="14" t="s">
        <v>55</v>
      </c>
      <c r="E465" s="1" t="s">
        <v>273</v>
      </c>
      <c r="F465" s="1" t="s">
        <v>274</v>
      </c>
      <c r="G465" s="1">
        <v>-10</v>
      </c>
      <c r="H465" s="1">
        <v>-20</v>
      </c>
      <c r="I465" s="1" t="s">
        <v>40</v>
      </c>
      <c r="J465" s="1">
        <v>3.15</v>
      </c>
      <c r="K465" s="1">
        <v>-10</v>
      </c>
      <c r="L465" s="1">
        <v>-3.13866666666667</v>
      </c>
      <c r="M465" s="1" t="s">
        <v>40</v>
      </c>
      <c r="N465" s="1">
        <v>6.1040000000000001</v>
      </c>
      <c r="O465" s="1">
        <v>7.96533333333333</v>
      </c>
      <c r="Q465" s="1">
        <v>0.79653333333333298</v>
      </c>
      <c r="R465" s="1">
        <v>0.65854270629668699</v>
      </c>
      <c r="S465" s="22" t="s">
        <v>273</v>
      </c>
      <c r="T465" s="3" t="s">
        <v>275</v>
      </c>
      <c r="U465" s="3" t="s">
        <v>41</v>
      </c>
      <c r="V465" s="2" t="s">
        <v>276</v>
      </c>
      <c r="W465" s="2">
        <v>3</v>
      </c>
      <c r="X465" s="2">
        <v>12</v>
      </c>
      <c r="Y465" s="2">
        <v>0</v>
      </c>
      <c r="Z465" s="2">
        <v>2</v>
      </c>
      <c r="AA465" s="2">
        <v>0</v>
      </c>
      <c r="AB465" s="12">
        <f>(W465*4+X465*1+Y465*-2+Z465*-3)/W465</f>
        <v>6</v>
      </c>
      <c r="AC465" s="3">
        <f>W465*12.0107+X465*1.00784+Y465*15.999+Z465*14.0067</f>
        <v>76.139580000000009</v>
      </c>
      <c r="AD465" s="12">
        <v>139.30000000000001</v>
      </c>
      <c r="AE465" s="2" t="s">
        <v>277</v>
      </c>
      <c r="AF465" s="2" t="s">
        <v>125</v>
      </c>
      <c r="AG465" s="2" t="str">
        <f>IF(AD465&gt;37,"Proton symporter", "Diffusion")</f>
        <v>Proton symporter</v>
      </c>
      <c r="AH465" s="3" t="s">
        <v>278</v>
      </c>
    </row>
    <row r="466" spans="1:34" hidden="1" x14ac:dyDescent="0.2">
      <c r="A466" s="8" t="s">
        <v>34</v>
      </c>
      <c r="B466" s="9" t="s">
        <v>35</v>
      </c>
      <c r="C466" s="1" t="s">
        <v>59</v>
      </c>
      <c r="D466" s="13" t="s">
        <v>51</v>
      </c>
      <c r="E466" s="1" t="s">
        <v>186</v>
      </c>
      <c r="F466" s="1" t="s">
        <v>187</v>
      </c>
      <c r="G466" s="1">
        <v>-10</v>
      </c>
      <c r="H466" s="1">
        <v>-20</v>
      </c>
      <c r="I466" s="1" t="s">
        <v>40</v>
      </c>
      <c r="J466" s="1">
        <v>3.15</v>
      </c>
      <c r="K466" s="1">
        <v>-10</v>
      </c>
      <c r="L466" s="1">
        <v>-2.9338624338624402</v>
      </c>
      <c r="M466" s="1" t="s">
        <v>40</v>
      </c>
      <c r="N466" s="1">
        <v>0.34708994708995</v>
      </c>
      <c r="O466" s="1">
        <v>2.4132275132275098</v>
      </c>
      <c r="Q466" s="1">
        <v>0.24132275132275099</v>
      </c>
      <c r="R466" s="1">
        <v>0.655976085870004</v>
      </c>
      <c r="S466" s="11" t="s">
        <v>186</v>
      </c>
      <c r="T466" s="2" t="s">
        <v>186</v>
      </c>
      <c r="U466" s="3" t="s">
        <v>41</v>
      </c>
      <c r="V466" s="2" t="s">
        <v>184</v>
      </c>
      <c r="W466" s="2">
        <v>4</v>
      </c>
      <c r="X466" s="2">
        <v>7</v>
      </c>
      <c r="Y466" s="2">
        <v>2</v>
      </c>
      <c r="Z466" s="2">
        <v>0</v>
      </c>
      <c r="AA466" s="2">
        <v>0</v>
      </c>
      <c r="AB466" s="12">
        <f>(W466*4+X466*1+Y466*-2+Z466*-3)/W466</f>
        <v>4.75</v>
      </c>
      <c r="AC466" s="3">
        <f>W466*12.0107+X466*1.00784+Y466*15.999+Z466*14.0067</f>
        <v>87.095680000000002</v>
      </c>
      <c r="AD466" s="12">
        <v>155</v>
      </c>
      <c r="AE466" s="2" t="s">
        <v>131</v>
      </c>
      <c r="AF466" s="2" t="s">
        <v>135</v>
      </c>
      <c r="AG466" s="2" t="str">
        <f>IF(AD466&gt;37,"Proton symporter", "Diffusion")</f>
        <v>Proton symporter</v>
      </c>
      <c r="AH466" s="3" t="s">
        <v>188</v>
      </c>
    </row>
    <row r="467" spans="1:34" hidden="1" x14ac:dyDescent="0.2">
      <c r="A467" s="8" t="s">
        <v>34</v>
      </c>
      <c r="B467" s="9" t="s">
        <v>35</v>
      </c>
      <c r="C467" s="1" t="s">
        <v>60</v>
      </c>
      <c r="D467" s="13" t="s">
        <v>51</v>
      </c>
      <c r="E467" s="1" t="s">
        <v>186</v>
      </c>
      <c r="F467" s="1" t="s">
        <v>187</v>
      </c>
      <c r="G467" s="1">
        <v>-10</v>
      </c>
      <c r="H467" s="1">
        <v>-20</v>
      </c>
      <c r="I467" s="1" t="s">
        <v>40</v>
      </c>
      <c r="J467" s="1">
        <v>3.15</v>
      </c>
      <c r="K467" s="1">
        <v>-10</v>
      </c>
      <c r="L467" s="1">
        <v>-2.93386243386243</v>
      </c>
      <c r="M467" s="1" t="s">
        <v>40</v>
      </c>
      <c r="N467" s="1">
        <v>0.347089947089951</v>
      </c>
      <c r="O467" s="1">
        <v>2.4132275132275098</v>
      </c>
      <c r="Q467" s="1">
        <v>0.24132275132275099</v>
      </c>
      <c r="R467" s="1">
        <v>0.655976085870004</v>
      </c>
      <c r="S467" s="11" t="s">
        <v>186</v>
      </c>
      <c r="T467" s="2" t="s">
        <v>186</v>
      </c>
      <c r="U467" s="3" t="s">
        <v>41</v>
      </c>
      <c r="V467" s="2" t="s">
        <v>184</v>
      </c>
      <c r="W467" s="2">
        <v>4</v>
      </c>
      <c r="X467" s="2">
        <v>7</v>
      </c>
      <c r="Y467" s="2">
        <v>2</v>
      </c>
      <c r="Z467" s="2">
        <v>0</v>
      </c>
      <c r="AA467" s="2">
        <v>0</v>
      </c>
      <c r="AB467" s="12">
        <f>(W467*4+X467*1+Y467*-2+Z467*-3)/W467</f>
        <v>4.75</v>
      </c>
      <c r="AC467" s="3">
        <f>W467*12.0107+X467*1.00784+Y467*15.999+Z467*14.0067</f>
        <v>87.095680000000002</v>
      </c>
      <c r="AD467" s="12">
        <v>155</v>
      </c>
      <c r="AE467" s="2" t="s">
        <v>131</v>
      </c>
      <c r="AF467" s="2" t="s">
        <v>135</v>
      </c>
      <c r="AG467" s="2" t="str">
        <f>IF(AD467&gt;37,"Proton symporter", "Diffusion")</f>
        <v>Proton symporter</v>
      </c>
      <c r="AH467" s="3" t="s">
        <v>188</v>
      </c>
    </row>
    <row r="468" spans="1:34" hidden="1" x14ac:dyDescent="0.2">
      <c r="A468" s="8" t="s">
        <v>34</v>
      </c>
      <c r="B468" s="9" t="s">
        <v>35</v>
      </c>
      <c r="C468" s="1" t="s">
        <v>60</v>
      </c>
      <c r="D468" s="13" t="s">
        <v>51</v>
      </c>
      <c r="E468" s="1" t="s">
        <v>234</v>
      </c>
      <c r="F468" s="1" t="s">
        <v>235</v>
      </c>
      <c r="G468" s="1">
        <v>-10</v>
      </c>
      <c r="H468" s="1">
        <v>-20</v>
      </c>
      <c r="I468" s="1" t="s">
        <v>40</v>
      </c>
      <c r="J468" s="1">
        <v>3.15</v>
      </c>
      <c r="K468" s="1">
        <v>-10</v>
      </c>
      <c r="L468" s="1">
        <v>-2.2210937500000001</v>
      </c>
      <c r="M468" s="1" t="s">
        <v>40</v>
      </c>
      <c r="N468" s="1">
        <v>0.70625000000000004</v>
      </c>
      <c r="O468" s="1">
        <v>2.3234374999999998</v>
      </c>
      <c r="Q468" s="1">
        <v>0.23234374999999999</v>
      </c>
      <c r="R468" s="1">
        <v>0.65349376315889596</v>
      </c>
      <c r="S468" s="20" t="s">
        <v>236</v>
      </c>
      <c r="T468" s="3" t="s">
        <v>237</v>
      </c>
      <c r="U468" s="3" t="s">
        <v>106</v>
      </c>
      <c r="V468" s="3" t="s">
        <v>238</v>
      </c>
      <c r="W468" s="3">
        <v>4</v>
      </c>
      <c r="X468" s="3">
        <v>10</v>
      </c>
      <c r="Y468" s="3">
        <v>2</v>
      </c>
      <c r="Z468" s="3">
        <v>0</v>
      </c>
      <c r="AA468" s="3">
        <v>0</v>
      </c>
      <c r="AB468" s="12">
        <f>(W468*4+X468*1+Y468*-2+Z468*-3)/W468</f>
        <v>5.5</v>
      </c>
      <c r="AC468" s="3">
        <f>W468*12.0107+X468*1.00784+Y468*15.999+Z468*14.0067</f>
        <v>90.119200000000006</v>
      </c>
      <c r="AD468" s="12">
        <v>207</v>
      </c>
      <c r="AE468" s="2" t="s">
        <v>220</v>
      </c>
      <c r="AF468" s="3" t="s">
        <v>79</v>
      </c>
      <c r="AG468" s="2" t="str">
        <f>IF(AD468&gt;37,"Proton symporter", "Diffusion")</f>
        <v>Proton symporter</v>
      </c>
      <c r="AH468" s="3" t="s">
        <v>239</v>
      </c>
    </row>
    <row r="469" spans="1:34" hidden="1" x14ac:dyDescent="0.2">
      <c r="A469" s="8" t="s">
        <v>34</v>
      </c>
      <c r="B469" s="9" t="s">
        <v>35</v>
      </c>
      <c r="C469" s="1" t="s">
        <v>59</v>
      </c>
      <c r="D469" s="13" t="s">
        <v>51</v>
      </c>
      <c r="E469" s="1" t="s">
        <v>234</v>
      </c>
      <c r="F469" s="1" t="s">
        <v>235</v>
      </c>
      <c r="G469" s="1">
        <v>-10</v>
      </c>
      <c r="H469" s="1">
        <v>-20</v>
      </c>
      <c r="I469" s="1" t="s">
        <v>40</v>
      </c>
      <c r="J469" s="1">
        <v>3.15</v>
      </c>
      <c r="K469" s="1">
        <v>-10</v>
      </c>
      <c r="L469" s="1">
        <v>-2.2210937500000099</v>
      </c>
      <c r="M469" s="1" t="s">
        <v>40</v>
      </c>
      <c r="N469" s="1">
        <v>0.70624999999998095</v>
      </c>
      <c r="O469" s="1">
        <v>2.3234374999999901</v>
      </c>
      <c r="Q469" s="1">
        <v>0.23234374999999899</v>
      </c>
      <c r="R469" s="1">
        <v>0.65349376315889396</v>
      </c>
      <c r="S469" s="20" t="s">
        <v>236</v>
      </c>
      <c r="T469" s="3" t="s">
        <v>237</v>
      </c>
      <c r="U469" s="3" t="s">
        <v>106</v>
      </c>
      <c r="V469" s="3" t="s">
        <v>238</v>
      </c>
      <c r="W469" s="3">
        <v>4</v>
      </c>
      <c r="X469" s="3">
        <v>10</v>
      </c>
      <c r="Y469" s="3">
        <v>2</v>
      </c>
      <c r="Z469" s="3">
        <v>0</v>
      </c>
      <c r="AA469" s="3">
        <v>0</v>
      </c>
      <c r="AB469" s="12">
        <f>(W469*4+X469*1+Y469*-2+Z469*-3)/W469</f>
        <v>5.5</v>
      </c>
      <c r="AC469" s="3">
        <f>W469*12.0107+X469*1.00784+Y469*15.999+Z469*14.0067</f>
        <v>90.119200000000006</v>
      </c>
      <c r="AD469" s="12">
        <v>207</v>
      </c>
      <c r="AE469" s="2" t="s">
        <v>220</v>
      </c>
      <c r="AF469" s="3" t="s">
        <v>79</v>
      </c>
      <c r="AG469" s="2" t="str">
        <f>IF(AD469&gt;37,"Proton symporter", "Diffusion")</f>
        <v>Proton symporter</v>
      </c>
      <c r="AH469" s="3" t="s">
        <v>239</v>
      </c>
    </row>
    <row r="470" spans="1:34" hidden="1" x14ac:dyDescent="0.2">
      <c r="A470" s="8" t="s">
        <v>34</v>
      </c>
      <c r="B470" s="9" t="s">
        <v>35</v>
      </c>
      <c r="C470" s="1" t="s">
        <v>60</v>
      </c>
      <c r="D470" s="13" t="s">
        <v>51</v>
      </c>
      <c r="E470" s="1" t="s">
        <v>249</v>
      </c>
      <c r="F470" s="1" t="s">
        <v>250</v>
      </c>
      <c r="G470" s="1">
        <v>-10</v>
      </c>
      <c r="H470" s="1">
        <v>-20</v>
      </c>
      <c r="I470" s="1" t="s">
        <v>40</v>
      </c>
      <c r="J470" s="1">
        <v>3.15</v>
      </c>
      <c r="K470" s="1">
        <v>-10</v>
      </c>
      <c r="L470" s="1">
        <v>-2.3305555555555499</v>
      </c>
      <c r="M470" s="1" t="s">
        <v>40</v>
      </c>
      <c r="N470" s="1">
        <v>0.78585858585858104</v>
      </c>
      <c r="O470" s="1">
        <v>2.30353535353535</v>
      </c>
      <c r="Q470" s="1">
        <v>0.230353535353535</v>
      </c>
      <c r="R470" s="1">
        <v>0.64789605347739099</v>
      </c>
      <c r="S470" s="20" t="s">
        <v>251</v>
      </c>
      <c r="T470" s="3" t="s">
        <v>252</v>
      </c>
      <c r="U470" s="3" t="s">
        <v>106</v>
      </c>
      <c r="V470" s="3" t="s">
        <v>238</v>
      </c>
      <c r="W470" s="3">
        <v>4</v>
      </c>
      <c r="X470" s="3">
        <v>10</v>
      </c>
      <c r="Y470" s="3">
        <v>2</v>
      </c>
      <c r="Z470" s="3">
        <v>0</v>
      </c>
      <c r="AA470" s="3">
        <v>0</v>
      </c>
      <c r="AB470" s="12">
        <f>(W470*4+X470*1+Y470*-2+Z470*-3)/W470</f>
        <v>5.5</v>
      </c>
      <c r="AC470" s="3">
        <f>W470*12.0107+X470*1.00784+Y470*15.999+Z470*14.0067</f>
        <v>90.119200000000006</v>
      </c>
      <c r="AD470" s="12">
        <v>177</v>
      </c>
      <c r="AE470" s="3" t="s">
        <v>220</v>
      </c>
      <c r="AF470" s="3" t="s">
        <v>135</v>
      </c>
      <c r="AG470" s="2" t="str">
        <f>IF(AD470&gt;37,"Proton symporter", "Diffusion")</f>
        <v>Proton symporter</v>
      </c>
      <c r="AH470" s="3" t="s">
        <v>253</v>
      </c>
    </row>
    <row r="471" spans="1:34" hidden="1" x14ac:dyDescent="0.2">
      <c r="A471" s="8" t="s">
        <v>34</v>
      </c>
      <c r="B471" s="9" t="s">
        <v>35</v>
      </c>
      <c r="C471" s="1" t="s">
        <v>59</v>
      </c>
      <c r="D471" s="13" t="s">
        <v>51</v>
      </c>
      <c r="E471" s="1" t="s">
        <v>249</v>
      </c>
      <c r="F471" s="1" t="s">
        <v>250</v>
      </c>
      <c r="G471" s="1">
        <v>-10</v>
      </c>
      <c r="H471" s="1">
        <v>-20</v>
      </c>
      <c r="I471" s="1" t="s">
        <v>40</v>
      </c>
      <c r="J471" s="1">
        <v>3.15</v>
      </c>
      <c r="K471" s="1">
        <v>-10</v>
      </c>
      <c r="L471" s="1">
        <v>-2.3305555555555602</v>
      </c>
      <c r="M471" s="1" t="s">
        <v>40</v>
      </c>
      <c r="N471" s="1">
        <v>0.78585858585857304</v>
      </c>
      <c r="O471" s="1">
        <v>2.30353535353535</v>
      </c>
      <c r="Q471" s="1">
        <v>0.230353535353535</v>
      </c>
      <c r="R471" s="1">
        <v>0.64789605347738999</v>
      </c>
      <c r="S471" s="20" t="s">
        <v>251</v>
      </c>
      <c r="T471" s="3" t="s">
        <v>252</v>
      </c>
      <c r="U471" s="3" t="s">
        <v>106</v>
      </c>
      <c r="V471" s="3" t="s">
        <v>238</v>
      </c>
      <c r="W471" s="3">
        <v>4</v>
      </c>
      <c r="X471" s="3">
        <v>10</v>
      </c>
      <c r="Y471" s="3">
        <v>2</v>
      </c>
      <c r="Z471" s="3">
        <v>0</v>
      </c>
      <c r="AA471" s="3">
        <v>0</v>
      </c>
      <c r="AB471" s="12">
        <f>(W471*4+X471*1+Y471*-2+Z471*-3)/W471</f>
        <v>5.5</v>
      </c>
      <c r="AC471" s="3">
        <f>W471*12.0107+X471*1.00784+Y471*15.999+Z471*14.0067</f>
        <v>90.119200000000006</v>
      </c>
      <c r="AD471" s="12">
        <v>177</v>
      </c>
      <c r="AE471" s="3" t="s">
        <v>220</v>
      </c>
      <c r="AF471" s="3" t="s">
        <v>135</v>
      </c>
      <c r="AG471" s="2" t="str">
        <f>IF(AD471&gt;37,"Proton symporter", "Diffusion")</f>
        <v>Proton symporter</v>
      </c>
      <c r="AH471" s="3" t="s">
        <v>253</v>
      </c>
    </row>
    <row r="472" spans="1:34" hidden="1" x14ac:dyDescent="0.2">
      <c r="A472" s="8" t="s">
        <v>34</v>
      </c>
      <c r="B472" s="9" t="s">
        <v>35</v>
      </c>
      <c r="C472" s="1" t="s">
        <v>48</v>
      </c>
      <c r="D472" s="10" t="s">
        <v>37</v>
      </c>
      <c r="E472" s="1" t="s">
        <v>240</v>
      </c>
      <c r="F472" s="1" t="s">
        <v>235</v>
      </c>
      <c r="G472" s="1">
        <v>-10</v>
      </c>
      <c r="H472" s="1">
        <v>-20</v>
      </c>
      <c r="I472" s="1" t="s">
        <v>40</v>
      </c>
      <c r="J472" s="1">
        <v>3.15</v>
      </c>
      <c r="K472" s="1">
        <v>-10</v>
      </c>
      <c r="L472" s="1">
        <v>-0.53487179487179703</v>
      </c>
      <c r="M472" s="1" t="s">
        <v>40</v>
      </c>
      <c r="N472" s="1">
        <v>2.2071794871795101</v>
      </c>
      <c r="O472" s="1">
        <v>4.4482051282051298</v>
      </c>
      <c r="Q472" s="1">
        <v>0.44482051282051299</v>
      </c>
      <c r="R472" s="1">
        <v>0.64587069266099595</v>
      </c>
      <c r="S472" s="20" t="s">
        <v>241</v>
      </c>
      <c r="T472" s="3" t="s">
        <v>242</v>
      </c>
      <c r="U472" s="3" t="s">
        <v>106</v>
      </c>
      <c r="V472" s="3" t="s">
        <v>238</v>
      </c>
      <c r="W472" s="3">
        <v>4</v>
      </c>
      <c r="X472" s="3">
        <v>10</v>
      </c>
      <c r="Y472" s="3">
        <v>2</v>
      </c>
      <c r="Z472" s="3">
        <v>0</v>
      </c>
      <c r="AA472" s="3">
        <v>0</v>
      </c>
      <c r="AB472" s="12">
        <f>(W472*4+X472*1+Y472*-2+Z472*-3)/W472</f>
        <v>5.5</v>
      </c>
      <c r="AC472" s="3">
        <f>W472*12.0107+X472*1.00784+Y472*15.999+Z472*14.0067</f>
        <v>90.119200000000006</v>
      </c>
      <c r="AD472" s="12">
        <v>207</v>
      </c>
      <c r="AE472" s="2" t="s">
        <v>220</v>
      </c>
      <c r="AF472" s="3" t="s">
        <v>243</v>
      </c>
      <c r="AG472" s="2" t="str">
        <f>IF(AD472&gt;37,"Proton symporter", "Diffusion")</f>
        <v>Proton symporter</v>
      </c>
      <c r="AH472" s="3" t="s">
        <v>239</v>
      </c>
    </row>
    <row r="473" spans="1:34" hidden="1" x14ac:dyDescent="0.2">
      <c r="A473" s="8" t="s">
        <v>34</v>
      </c>
      <c r="B473" s="9" t="s">
        <v>35</v>
      </c>
      <c r="C473" s="1" t="s">
        <v>56</v>
      </c>
      <c r="D473" s="14" t="s">
        <v>55</v>
      </c>
      <c r="E473" s="1" t="s">
        <v>182</v>
      </c>
      <c r="F473" s="1" t="s">
        <v>183</v>
      </c>
      <c r="G473" s="1">
        <v>-10</v>
      </c>
      <c r="H473" s="1">
        <v>-20</v>
      </c>
      <c r="I473" s="1" t="s">
        <v>40</v>
      </c>
      <c r="J473" s="1">
        <v>3.15</v>
      </c>
      <c r="K473" s="1">
        <v>-10</v>
      </c>
      <c r="L473" s="1">
        <v>-0.90350877192983103</v>
      </c>
      <c r="M473" s="1" t="s">
        <v>40</v>
      </c>
      <c r="N473" s="1">
        <v>2.7228070175438699</v>
      </c>
      <c r="O473" s="1">
        <v>6.8192982456140303</v>
      </c>
      <c r="Q473" s="1">
        <v>0.68192982456140305</v>
      </c>
      <c r="R473" s="1">
        <v>0.64491994992124502</v>
      </c>
      <c r="S473" s="11" t="s">
        <v>182</v>
      </c>
      <c r="T473" s="2" t="s">
        <v>182</v>
      </c>
      <c r="U473" s="3" t="s">
        <v>41</v>
      </c>
      <c r="V473" s="2" t="s">
        <v>184</v>
      </c>
      <c r="W473" s="2">
        <v>4</v>
      </c>
      <c r="X473" s="2">
        <v>7</v>
      </c>
      <c r="Y473" s="2">
        <v>2</v>
      </c>
      <c r="Z473" s="2">
        <v>0</v>
      </c>
      <c r="AA473" s="2">
        <v>0</v>
      </c>
      <c r="AB473" s="12">
        <f>(W473*4+X473*1+Y473*-2+Z473*-3)/W473</f>
        <v>4.75</v>
      </c>
      <c r="AC473" s="3">
        <f>W473*12.0107+X473*1.00784+Y473*15.999+Z473*14.0067</f>
        <v>87.095680000000002</v>
      </c>
      <c r="AD473" s="12">
        <v>163.5</v>
      </c>
      <c r="AE473" s="2" t="s">
        <v>131</v>
      </c>
      <c r="AF473" s="2" t="s">
        <v>79</v>
      </c>
      <c r="AG473" s="2" t="str">
        <f>IF(AD473&gt;37,"Proton symporter", "Diffusion")</f>
        <v>Proton symporter</v>
      </c>
      <c r="AH473" s="3" t="s">
        <v>185</v>
      </c>
    </row>
    <row r="474" spans="1:34" hidden="1" x14ac:dyDescent="0.2">
      <c r="A474" s="8" t="s">
        <v>34</v>
      </c>
      <c r="B474" s="9" t="s">
        <v>35</v>
      </c>
      <c r="C474" s="1" t="s">
        <v>48</v>
      </c>
      <c r="D474" s="10" t="s">
        <v>37</v>
      </c>
      <c r="E474" s="1" t="s">
        <v>186</v>
      </c>
      <c r="F474" s="1" t="s">
        <v>187</v>
      </c>
      <c r="G474" s="1">
        <v>-10</v>
      </c>
      <c r="H474" s="1">
        <v>-20</v>
      </c>
      <c r="I474" s="1" t="s">
        <v>40</v>
      </c>
      <c r="J474" s="1">
        <v>3.15</v>
      </c>
      <c r="K474" s="1">
        <v>-10</v>
      </c>
      <c r="L474" s="1">
        <v>-2.0375000000000001</v>
      </c>
      <c r="M474" s="1" t="s">
        <v>40</v>
      </c>
      <c r="N474" s="1">
        <v>1.63</v>
      </c>
      <c r="O474" s="1">
        <v>4.5925000000000002</v>
      </c>
      <c r="Q474" s="1">
        <v>0.45924999999999999</v>
      </c>
      <c r="R474" s="1">
        <v>0.64444999291081795</v>
      </c>
      <c r="S474" s="11" t="s">
        <v>186</v>
      </c>
      <c r="T474" s="2" t="s">
        <v>186</v>
      </c>
      <c r="U474" s="3" t="s">
        <v>41</v>
      </c>
      <c r="V474" s="2" t="s">
        <v>184</v>
      </c>
      <c r="W474" s="2">
        <v>4</v>
      </c>
      <c r="X474" s="2">
        <v>7</v>
      </c>
      <c r="Y474" s="2">
        <v>2</v>
      </c>
      <c r="Z474" s="2">
        <v>0</v>
      </c>
      <c r="AA474" s="2">
        <v>0</v>
      </c>
      <c r="AB474" s="12">
        <f>(W474*4+X474*1+Y474*-2+Z474*-3)/W474</f>
        <v>4.75</v>
      </c>
      <c r="AC474" s="3">
        <f>W474*12.0107+X474*1.00784+Y474*15.999+Z474*14.0067</f>
        <v>87.095680000000002</v>
      </c>
      <c r="AD474" s="12">
        <v>155</v>
      </c>
      <c r="AE474" s="2" t="s">
        <v>131</v>
      </c>
      <c r="AF474" s="2" t="s">
        <v>135</v>
      </c>
      <c r="AG474" s="2" t="str">
        <f>IF(AD474&gt;37,"Proton symporter", "Diffusion")</f>
        <v>Proton symporter</v>
      </c>
      <c r="AH474" s="3" t="s">
        <v>188</v>
      </c>
    </row>
    <row r="475" spans="1:34" hidden="1" x14ac:dyDescent="0.2">
      <c r="A475" s="16" t="s">
        <v>74</v>
      </c>
      <c r="B475" s="9" t="s">
        <v>35</v>
      </c>
      <c r="C475" t="s">
        <v>54</v>
      </c>
      <c r="D475" s="14" t="s">
        <v>55</v>
      </c>
      <c r="E475" t="s">
        <v>194</v>
      </c>
      <c r="F475" t="s">
        <v>195</v>
      </c>
      <c r="G475">
        <v>-10</v>
      </c>
      <c r="H475">
        <v>-20</v>
      </c>
      <c r="I475" s="1" t="s">
        <v>40</v>
      </c>
      <c r="J475">
        <v>3.15</v>
      </c>
      <c r="K475">
        <v>-10</v>
      </c>
      <c r="L475">
        <v>-5.1718518518518399</v>
      </c>
      <c r="M475" s="1" t="s">
        <v>40</v>
      </c>
      <c r="N475">
        <v>13.004444444444401</v>
      </c>
      <c r="O475">
        <v>7.8325925925925901</v>
      </c>
      <c r="P475"/>
      <c r="Q475">
        <v>0.78325925925925899</v>
      </c>
      <c r="R475">
        <v>0.63996101964404795</v>
      </c>
      <c r="S475" s="3" t="s">
        <v>194</v>
      </c>
      <c r="T475" s="2" t="s">
        <v>196</v>
      </c>
      <c r="U475" s="3" t="s">
        <v>35</v>
      </c>
      <c r="V475" s="3" t="s">
        <v>197</v>
      </c>
      <c r="W475" s="3">
        <v>6</v>
      </c>
      <c r="X475" s="3">
        <v>15</v>
      </c>
      <c r="Y475" s="3">
        <v>2</v>
      </c>
      <c r="Z475" s="3">
        <v>2</v>
      </c>
      <c r="AA475" s="3">
        <v>1</v>
      </c>
      <c r="AB475" s="12">
        <f>(W475*4+X475*1+Y475*-2+Z475*-3)/W475</f>
        <v>4.833333333333333</v>
      </c>
      <c r="AC475" s="3">
        <f>W475*12.0107+X475*1.00784+Y475*15.999+Z475*14.0067</f>
        <v>147.19319999999999</v>
      </c>
      <c r="AD475" s="12" t="s">
        <v>40</v>
      </c>
      <c r="AE475" s="3" t="s">
        <v>119</v>
      </c>
      <c r="AF475" s="3" t="s">
        <v>44</v>
      </c>
      <c r="AG475" s="2" t="s">
        <v>80</v>
      </c>
      <c r="AH475" s="2" t="s">
        <v>198</v>
      </c>
    </row>
    <row r="476" spans="1:34" hidden="1" x14ac:dyDescent="0.2">
      <c r="A476" s="8" t="s">
        <v>34</v>
      </c>
      <c r="B476" s="9" t="s">
        <v>35</v>
      </c>
      <c r="C476" s="1" t="s">
        <v>48</v>
      </c>
      <c r="D476" s="10" t="s">
        <v>37</v>
      </c>
      <c r="E476" s="1" t="s">
        <v>166</v>
      </c>
      <c r="F476" s="1" t="s">
        <v>167</v>
      </c>
      <c r="G476" s="1">
        <v>-10</v>
      </c>
      <c r="H476" s="1">
        <v>-20</v>
      </c>
      <c r="I476" s="1" t="s">
        <v>40</v>
      </c>
      <c r="J476" s="1">
        <v>3.15</v>
      </c>
      <c r="K476" s="1">
        <v>-10</v>
      </c>
      <c r="L476" s="1">
        <v>-4.2464285714285701</v>
      </c>
      <c r="M476" s="1" t="s">
        <v>40</v>
      </c>
      <c r="N476" s="1">
        <v>1.55238095238094</v>
      </c>
      <c r="O476" s="1">
        <v>4.6119047619047597</v>
      </c>
      <c r="Q476" s="1">
        <v>0.46119047619047598</v>
      </c>
      <c r="R476" s="1">
        <v>0.63968414349486202</v>
      </c>
      <c r="S476" s="11" t="s">
        <v>166</v>
      </c>
      <c r="T476" s="2" t="s">
        <v>168</v>
      </c>
      <c r="U476" s="3" t="s">
        <v>41</v>
      </c>
      <c r="V476" s="2" t="s">
        <v>169</v>
      </c>
      <c r="W476" s="2">
        <v>4</v>
      </c>
      <c r="X476" s="2">
        <v>6</v>
      </c>
      <c r="Y476" s="2">
        <v>2</v>
      </c>
      <c r="Z476" s="2">
        <v>0</v>
      </c>
      <c r="AA476" s="2">
        <v>0</v>
      </c>
      <c r="AB476" s="12">
        <f>(W476*4+X476*1+Y476*-2+Z476*-3)/W476</f>
        <v>4.5</v>
      </c>
      <c r="AC476" s="3">
        <f>W476*12.0107+X476*1.00784+Y476*15.999+Z476*14.0067</f>
        <v>86.08784</v>
      </c>
      <c r="AD476" s="12">
        <v>204</v>
      </c>
      <c r="AE476" s="2" t="s">
        <v>170</v>
      </c>
      <c r="AF476" s="2" t="s">
        <v>120</v>
      </c>
      <c r="AG476" s="2" t="str">
        <f>IF(AD476&gt;37,"Proton symporter", "Diffusion")</f>
        <v>Proton symporter</v>
      </c>
      <c r="AH476" s="3" t="s">
        <v>171</v>
      </c>
    </row>
    <row r="477" spans="1:34" hidden="1" x14ac:dyDescent="0.2">
      <c r="A477" s="8" t="s">
        <v>34</v>
      </c>
      <c r="B477" s="9" t="s">
        <v>35</v>
      </c>
      <c r="C477" s="1" t="s">
        <v>60</v>
      </c>
      <c r="D477" s="13" t="s">
        <v>51</v>
      </c>
      <c r="E477" s="1" t="s">
        <v>189</v>
      </c>
      <c r="F477" s="1" t="s">
        <v>190</v>
      </c>
      <c r="G477" s="1">
        <v>-10</v>
      </c>
      <c r="H477" s="1">
        <v>-20</v>
      </c>
      <c r="I477" s="1" t="s">
        <v>40</v>
      </c>
      <c r="J477" s="1">
        <v>3.15</v>
      </c>
      <c r="K477" s="1">
        <v>-10</v>
      </c>
      <c r="L477" s="1">
        <v>-4.51494252873563</v>
      </c>
      <c r="M477" s="1" t="s">
        <v>40</v>
      </c>
      <c r="N477" s="1">
        <v>1.2624521072796999</v>
      </c>
      <c r="O477" s="1">
        <v>1.74750957854406</v>
      </c>
      <c r="Q477" s="1">
        <v>0.174750957854406</v>
      </c>
      <c r="R477" s="1">
        <v>0.63890218043092295</v>
      </c>
      <c r="S477" s="11" t="s">
        <v>189</v>
      </c>
      <c r="T477" s="2" t="s">
        <v>189</v>
      </c>
      <c r="U477" s="3" t="s">
        <v>41</v>
      </c>
      <c r="V477" s="2" t="s">
        <v>191</v>
      </c>
      <c r="W477" s="2">
        <v>5</v>
      </c>
      <c r="X477" s="2">
        <v>11</v>
      </c>
      <c r="Y477" s="2">
        <v>2</v>
      </c>
      <c r="Z477" s="2">
        <v>1</v>
      </c>
      <c r="AA477" s="2">
        <v>0</v>
      </c>
      <c r="AB477" s="12">
        <f>(W477*4+X477*1+Y477*-2+Z477*-3)/W477</f>
        <v>4.8</v>
      </c>
      <c r="AC477" s="3">
        <f>W477*12.0107+X477*1.00784+Y477*15.999+Z477*14.0067</f>
        <v>117.14444</v>
      </c>
      <c r="AD477" s="12">
        <v>247.5</v>
      </c>
      <c r="AE477" s="2" t="s">
        <v>192</v>
      </c>
      <c r="AF477" s="2" t="s">
        <v>44</v>
      </c>
      <c r="AG477" s="2" t="str">
        <f>IF(AD477&gt;37,"Proton symporter", "Diffusion")</f>
        <v>Proton symporter</v>
      </c>
      <c r="AH477" s="3" t="s">
        <v>193</v>
      </c>
    </row>
    <row r="478" spans="1:34" hidden="1" x14ac:dyDescent="0.2">
      <c r="A478" s="8" t="s">
        <v>34</v>
      </c>
      <c r="B478" s="9" t="s">
        <v>35</v>
      </c>
      <c r="C478" s="1" t="s">
        <v>59</v>
      </c>
      <c r="D478" s="13" t="s">
        <v>51</v>
      </c>
      <c r="E478" s="1" t="s">
        <v>189</v>
      </c>
      <c r="F478" s="1" t="s">
        <v>190</v>
      </c>
      <c r="G478" s="1">
        <v>-10</v>
      </c>
      <c r="H478" s="1">
        <v>-20</v>
      </c>
      <c r="I478" s="1" t="s">
        <v>40</v>
      </c>
      <c r="J478" s="1">
        <v>3.15</v>
      </c>
      <c r="K478" s="1">
        <v>-10</v>
      </c>
      <c r="L478" s="1">
        <v>-4.51494252873563</v>
      </c>
      <c r="M478" s="1" t="s">
        <v>40</v>
      </c>
      <c r="N478" s="1">
        <v>1.2624521072796899</v>
      </c>
      <c r="O478" s="1">
        <v>1.74750957854406</v>
      </c>
      <c r="Q478" s="1">
        <v>0.174750957854406</v>
      </c>
      <c r="R478" s="1">
        <v>0.63890218043092195</v>
      </c>
      <c r="S478" s="11" t="s">
        <v>189</v>
      </c>
      <c r="T478" s="2" t="s">
        <v>189</v>
      </c>
      <c r="U478" s="3" t="s">
        <v>41</v>
      </c>
      <c r="V478" s="2" t="s">
        <v>191</v>
      </c>
      <c r="W478" s="2">
        <v>5</v>
      </c>
      <c r="X478" s="2">
        <v>11</v>
      </c>
      <c r="Y478" s="2">
        <v>2</v>
      </c>
      <c r="Z478" s="2">
        <v>1</v>
      </c>
      <c r="AA478" s="2">
        <v>0</v>
      </c>
      <c r="AB478" s="12">
        <f>(W478*4+X478*1+Y478*-2+Z478*-3)/W478</f>
        <v>4.8</v>
      </c>
      <c r="AC478" s="3">
        <f>W478*12.0107+X478*1.00784+Y478*15.999+Z478*14.0067</f>
        <v>117.14444</v>
      </c>
      <c r="AD478" s="12">
        <v>247.5</v>
      </c>
      <c r="AE478" s="2" t="s">
        <v>192</v>
      </c>
      <c r="AF478" s="2" t="s">
        <v>44</v>
      </c>
      <c r="AG478" s="2" t="str">
        <f>IF(AD478&gt;37,"Proton symporter", "Diffusion")</f>
        <v>Proton symporter</v>
      </c>
      <c r="AH478" s="3" t="s">
        <v>193</v>
      </c>
    </row>
    <row r="479" spans="1:34" hidden="1" x14ac:dyDescent="0.2">
      <c r="A479" s="8" t="s">
        <v>34</v>
      </c>
      <c r="B479" s="9" t="s">
        <v>35</v>
      </c>
      <c r="C479" s="1" t="s">
        <v>56</v>
      </c>
      <c r="D479" s="14" t="s">
        <v>55</v>
      </c>
      <c r="E479" s="1" t="s">
        <v>205</v>
      </c>
      <c r="F479" s="1" t="s">
        <v>206</v>
      </c>
      <c r="G479" s="1">
        <v>-10</v>
      </c>
      <c r="H479" s="1">
        <v>-20</v>
      </c>
      <c r="I479" s="1" t="s">
        <v>40</v>
      </c>
      <c r="J479" s="1">
        <v>3.15</v>
      </c>
      <c r="K479" s="1">
        <v>-10</v>
      </c>
      <c r="L479" s="1">
        <v>-1.7777777777777799</v>
      </c>
      <c r="M479" s="1" t="s">
        <v>40</v>
      </c>
      <c r="N479" s="1">
        <v>3.4222222222222101</v>
      </c>
      <c r="O479" s="1">
        <v>6.6444444444444404</v>
      </c>
      <c r="Q479" s="1">
        <v>0.66444444444444395</v>
      </c>
      <c r="R479" s="1">
        <v>0.63565497011634398</v>
      </c>
      <c r="S479" s="20" t="s">
        <v>205</v>
      </c>
      <c r="T479" s="3" t="s">
        <v>207</v>
      </c>
      <c r="U479" s="3" t="s">
        <v>106</v>
      </c>
      <c r="V479" s="3" t="s">
        <v>208</v>
      </c>
      <c r="W479" s="3">
        <v>4</v>
      </c>
      <c r="X479" s="3">
        <v>8</v>
      </c>
      <c r="Y479" s="3">
        <v>2</v>
      </c>
      <c r="Z479" s="3">
        <v>0</v>
      </c>
      <c r="AA479" s="3">
        <v>0</v>
      </c>
      <c r="AB479" s="12">
        <f>(W479*4+X479*1+Y479*-2+Z479*-3)/W479</f>
        <v>5</v>
      </c>
      <c r="AC479" s="3">
        <f>W479*12.0107+X479*1.00784+Y479*15.999+Z479*14.0067</f>
        <v>88.103520000000003</v>
      </c>
      <c r="AD479" s="12">
        <v>77.099999999999994</v>
      </c>
      <c r="AE479" s="3" t="s">
        <v>209</v>
      </c>
      <c r="AF479" s="3" t="s">
        <v>79</v>
      </c>
      <c r="AG479" s="2" t="str">
        <f>IF(AD479&gt;37,"Proton symporter", "Diffusion")</f>
        <v>Proton symporter</v>
      </c>
      <c r="AH479" s="3" t="s">
        <v>210</v>
      </c>
    </row>
    <row r="480" spans="1:34" hidden="1" x14ac:dyDescent="0.2">
      <c r="A480" s="8" t="s">
        <v>34</v>
      </c>
      <c r="B480" s="9" t="s">
        <v>35</v>
      </c>
      <c r="C480" s="1" t="s">
        <v>48</v>
      </c>
      <c r="D480" s="10" t="s">
        <v>37</v>
      </c>
      <c r="E480" s="1" t="s">
        <v>234</v>
      </c>
      <c r="F480" s="1" t="s">
        <v>235</v>
      </c>
      <c r="G480" s="1">
        <v>-10</v>
      </c>
      <c r="H480" s="1">
        <v>-20</v>
      </c>
      <c r="I480" s="1" t="s">
        <v>40</v>
      </c>
      <c r="J480" s="1">
        <v>3.15</v>
      </c>
      <c r="K480" s="1">
        <v>-10</v>
      </c>
      <c r="L480" s="1">
        <v>-0.94404761904761803</v>
      </c>
      <c r="M480" s="1" t="s">
        <v>40</v>
      </c>
      <c r="N480" s="1">
        <v>2.5047619047618901</v>
      </c>
      <c r="O480" s="1">
        <v>4.3738095238095198</v>
      </c>
      <c r="Q480" s="1">
        <v>0.43738095238095198</v>
      </c>
      <c r="R480" s="1">
        <v>0.63506859627446599</v>
      </c>
      <c r="S480" s="20" t="s">
        <v>236</v>
      </c>
      <c r="T480" s="3" t="s">
        <v>237</v>
      </c>
      <c r="U480" s="3" t="s">
        <v>106</v>
      </c>
      <c r="V480" s="3" t="s">
        <v>238</v>
      </c>
      <c r="W480" s="3">
        <v>4</v>
      </c>
      <c r="X480" s="3">
        <v>10</v>
      </c>
      <c r="Y480" s="3">
        <v>2</v>
      </c>
      <c r="Z480" s="3">
        <v>0</v>
      </c>
      <c r="AA480" s="3">
        <v>0</v>
      </c>
      <c r="AB480" s="12">
        <f>(W480*4+X480*1+Y480*-2+Z480*-3)/W480</f>
        <v>5.5</v>
      </c>
      <c r="AC480" s="3">
        <f>W480*12.0107+X480*1.00784+Y480*15.999+Z480*14.0067</f>
        <v>90.119200000000006</v>
      </c>
      <c r="AD480" s="12">
        <v>207</v>
      </c>
      <c r="AE480" s="2" t="s">
        <v>220</v>
      </c>
      <c r="AF480" s="3" t="s">
        <v>79</v>
      </c>
      <c r="AG480" s="2" t="str">
        <f>IF(AD480&gt;37,"Proton symporter", "Diffusion")</f>
        <v>Proton symporter</v>
      </c>
      <c r="AH480" s="3" t="s">
        <v>239</v>
      </c>
    </row>
    <row r="481" spans="1:34" hidden="1" x14ac:dyDescent="0.2">
      <c r="A481" s="8" t="s">
        <v>34</v>
      </c>
      <c r="B481" s="9" t="s">
        <v>35</v>
      </c>
      <c r="C481" s="1" t="s">
        <v>49</v>
      </c>
      <c r="D481" s="10" t="s">
        <v>37</v>
      </c>
      <c r="E481" s="1" t="s">
        <v>305</v>
      </c>
      <c r="F481" s="1" t="s">
        <v>301</v>
      </c>
      <c r="G481" s="1">
        <v>-10</v>
      </c>
      <c r="H481" s="1">
        <v>-20</v>
      </c>
      <c r="I481" s="1" t="s">
        <v>40</v>
      </c>
      <c r="J481" s="1">
        <v>3.15</v>
      </c>
      <c r="K481" s="1">
        <v>-10</v>
      </c>
      <c r="L481" s="1">
        <v>-6.3272727272727298</v>
      </c>
      <c r="M481" s="1" t="s">
        <v>40</v>
      </c>
      <c r="N481" s="1">
        <v>4.2181818181817796</v>
      </c>
      <c r="O481" s="1">
        <v>3.94545454545454</v>
      </c>
      <c r="Q481" s="1">
        <v>0.39454545454545398</v>
      </c>
      <c r="R481" s="1">
        <v>0.63480384410333901</v>
      </c>
      <c r="S481" s="20" t="s">
        <v>305</v>
      </c>
      <c r="T481" s="3" t="s">
        <v>306</v>
      </c>
      <c r="U481" s="3" t="s">
        <v>106</v>
      </c>
      <c r="V481" s="3" t="s">
        <v>303</v>
      </c>
      <c r="W481" s="3">
        <v>4</v>
      </c>
      <c r="X481" s="3">
        <v>10</v>
      </c>
      <c r="Y481" s="3">
        <v>1</v>
      </c>
      <c r="Z481" s="3">
        <v>0</v>
      </c>
      <c r="AA481" s="3">
        <v>0</v>
      </c>
      <c r="AB481" s="12">
        <f>(W481*4+X481*1+Y481*-2+Z481*-3)/W481</f>
        <v>6</v>
      </c>
      <c r="AC481" s="3">
        <f>W481*12.0107+X481*1.00784+Y481*15.999+Z481*14.0067</f>
        <v>74.120199999999997</v>
      </c>
      <c r="AD481" s="12">
        <v>117.7</v>
      </c>
      <c r="AE481" s="3" t="s">
        <v>262</v>
      </c>
      <c r="AF481" s="3" t="s">
        <v>44</v>
      </c>
      <c r="AG481" s="2" t="str">
        <f>IF(AD481&gt;37,"Proton symporter", "Diffusion")</f>
        <v>Proton symporter</v>
      </c>
      <c r="AH481" s="3" t="s">
        <v>304</v>
      </c>
    </row>
    <row r="482" spans="1:34" x14ac:dyDescent="0.2">
      <c r="A482" s="16" t="s">
        <v>63</v>
      </c>
      <c r="B482" s="17" t="s">
        <v>64</v>
      </c>
      <c r="C482" t="s">
        <v>68</v>
      </c>
      <c r="D482" s="18" t="s">
        <v>66</v>
      </c>
      <c r="E482" t="s">
        <v>216</v>
      </c>
      <c r="F482" t="s">
        <v>217</v>
      </c>
      <c r="G482">
        <v>-10</v>
      </c>
      <c r="H482">
        <v>0</v>
      </c>
      <c r="I482">
        <v>-10</v>
      </c>
      <c r="J482">
        <v>0.45</v>
      </c>
      <c r="K482">
        <v>-10</v>
      </c>
      <c r="L482">
        <v>0</v>
      </c>
      <c r="M482">
        <v>-10</v>
      </c>
      <c r="N482">
        <v>2.5</v>
      </c>
      <c r="O482">
        <v>2.5</v>
      </c>
      <c r="P482"/>
      <c r="Q482">
        <v>0.25</v>
      </c>
      <c r="R482">
        <v>0.63347335997335996</v>
      </c>
      <c r="S482" s="11" t="s">
        <v>216</v>
      </c>
      <c r="T482" s="2" t="s">
        <v>218</v>
      </c>
      <c r="U482" s="3" t="s">
        <v>41</v>
      </c>
      <c r="V482" s="2" t="s">
        <v>219</v>
      </c>
      <c r="W482" s="2">
        <v>3</v>
      </c>
      <c r="X482" s="2">
        <v>8</v>
      </c>
      <c r="Y482" s="2">
        <v>2</v>
      </c>
      <c r="Z482" s="2">
        <v>0</v>
      </c>
      <c r="AA482" s="2">
        <v>0</v>
      </c>
      <c r="AB482" s="12">
        <f>(W482*4+X482*1+Y482*-2+Z482*-3)/W482</f>
        <v>5.333333333333333</v>
      </c>
      <c r="AC482" s="3">
        <f>W482*12.0107+X482*1.00784+Y482*15.999+Z482*14.0067</f>
        <v>76.092820000000003</v>
      </c>
      <c r="AD482" s="12">
        <v>213</v>
      </c>
      <c r="AE482" s="2" t="s">
        <v>220</v>
      </c>
      <c r="AF482" s="2" t="s">
        <v>98</v>
      </c>
      <c r="AG482" s="2" t="str">
        <f>IF(AD482&gt;37,"Proton symporter", "Diffusion")</f>
        <v>Proton symporter</v>
      </c>
      <c r="AH482" s="3" t="s">
        <v>221</v>
      </c>
    </row>
    <row r="483" spans="1:34" hidden="1" x14ac:dyDescent="0.2">
      <c r="A483" s="8" t="s">
        <v>34</v>
      </c>
      <c r="B483" s="9" t="s">
        <v>35</v>
      </c>
      <c r="C483" s="1" t="s">
        <v>36</v>
      </c>
      <c r="D483" s="10" t="s">
        <v>37</v>
      </c>
      <c r="E483" s="1" t="s">
        <v>279</v>
      </c>
      <c r="F483" s="1" t="s">
        <v>280</v>
      </c>
      <c r="G483" s="1">
        <v>-10</v>
      </c>
      <c r="H483" s="1">
        <v>-20</v>
      </c>
      <c r="I483" s="1" t="s">
        <v>40</v>
      </c>
      <c r="J483" s="1">
        <v>3.15</v>
      </c>
      <c r="K483" s="1">
        <v>-10</v>
      </c>
      <c r="L483" s="1">
        <v>-4.1129870129870101</v>
      </c>
      <c r="M483" s="1" t="s">
        <v>40</v>
      </c>
      <c r="N483" s="1">
        <v>6.0753246753246897</v>
      </c>
      <c r="O483" s="1">
        <v>4.6415584415584403</v>
      </c>
      <c r="Q483" s="1">
        <v>0.46415584415584399</v>
      </c>
      <c r="R483" s="1">
        <v>0.63318463894857702</v>
      </c>
      <c r="S483" s="20" t="s">
        <v>281</v>
      </c>
      <c r="T483" s="3" t="s">
        <v>282</v>
      </c>
      <c r="U483" s="3" t="s">
        <v>174</v>
      </c>
      <c r="V483" s="3" t="s">
        <v>283</v>
      </c>
      <c r="W483" s="3">
        <v>3</v>
      </c>
      <c r="X483" s="3">
        <v>8</v>
      </c>
      <c r="Y483" s="3">
        <v>1</v>
      </c>
      <c r="Z483" s="3">
        <v>0</v>
      </c>
      <c r="AA483" s="3">
        <v>0</v>
      </c>
      <c r="AB483" s="12">
        <f>(W483*4+X483*1+Y483*-2+Z483*-3)/W483</f>
        <v>6</v>
      </c>
      <c r="AC483" s="3">
        <f>W483*12.0107+X483*1.00784+Y483*15.999+Z483*14.0067</f>
        <v>60.093820000000001</v>
      </c>
      <c r="AD483" s="12">
        <v>97</v>
      </c>
      <c r="AE483" s="2" t="s">
        <v>262</v>
      </c>
      <c r="AF483" s="2" t="s">
        <v>284</v>
      </c>
      <c r="AG483" s="2" t="str">
        <f>IF(AD483&gt;37,"Proton symporter", "Diffusion")</f>
        <v>Proton symporter</v>
      </c>
      <c r="AH483" s="3" t="s">
        <v>285</v>
      </c>
    </row>
    <row r="484" spans="1:34" hidden="1" x14ac:dyDescent="0.2">
      <c r="A484" s="16" t="s">
        <v>74</v>
      </c>
      <c r="B484" s="9" t="s">
        <v>35</v>
      </c>
      <c r="C484" t="s">
        <v>62</v>
      </c>
      <c r="D484" s="15" t="s">
        <v>55</v>
      </c>
      <c r="E484" t="s">
        <v>194</v>
      </c>
      <c r="F484" t="s">
        <v>195</v>
      </c>
      <c r="G484">
        <v>-10</v>
      </c>
      <c r="H484">
        <v>-20</v>
      </c>
      <c r="I484" s="1" t="s">
        <v>40</v>
      </c>
      <c r="J484">
        <v>3.15</v>
      </c>
      <c r="K484">
        <v>-10</v>
      </c>
      <c r="L484">
        <v>-4.8397058823529404</v>
      </c>
      <c r="M484" s="1" t="s">
        <v>40</v>
      </c>
      <c r="N484">
        <v>11.2911764705882</v>
      </c>
      <c r="O484">
        <v>6.4514705882352903</v>
      </c>
      <c r="P484"/>
      <c r="Q484">
        <v>0.64514705882352896</v>
      </c>
      <c r="R484">
        <v>0.63252687709867095</v>
      </c>
      <c r="S484" s="3" t="s">
        <v>194</v>
      </c>
      <c r="T484" s="2" t="s">
        <v>196</v>
      </c>
      <c r="U484" s="3" t="s">
        <v>35</v>
      </c>
      <c r="V484" s="3" t="s">
        <v>197</v>
      </c>
      <c r="W484" s="3">
        <v>6</v>
      </c>
      <c r="X484" s="3">
        <v>15</v>
      </c>
      <c r="Y484" s="3">
        <v>2</v>
      </c>
      <c r="Z484" s="3">
        <v>2</v>
      </c>
      <c r="AA484" s="3">
        <v>1</v>
      </c>
      <c r="AB484" s="12">
        <f>(W484*4+X484*1+Y484*-2+Z484*-3)/W484</f>
        <v>4.833333333333333</v>
      </c>
      <c r="AC484" s="3">
        <f>W484*12.0107+X484*1.00784+Y484*15.999+Z484*14.0067</f>
        <v>147.19319999999999</v>
      </c>
      <c r="AD484" s="12" t="s">
        <v>40</v>
      </c>
      <c r="AE484" s="3" t="s">
        <v>119</v>
      </c>
      <c r="AF484" s="3" t="s">
        <v>44</v>
      </c>
      <c r="AG484" s="2" t="s">
        <v>80</v>
      </c>
      <c r="AH484" s="2" t="s">
        <v>198</v>
      </c>
    </row>
    <row r="485" spans="1:34" x14ac:dyDescent="0.2">
      <c r="A485" s="8" t="s">
        <v>34</v>
      </c>
      <c r="B485" s="9" t="s">
        <v>35</v>
      </c>
      <c r="C485" s="1" t="s">
        <v>48</v>
      </c>
      <c r="D485" s="10" t="s">
        <v>37</v>
      </c>
      <c r="E485" s="1" t="s">
        <v>216</v>
      </c>
      <c r="F485" s="1" t="s">
        <v>217</v>
      </c>
      <c r="G485" s="1">
        <v>-10</v>
      </c>
      <c r="H485" s="1">
        <v>-20</v>
      </c>
      <c r="I485" s="1" t="s">
        <v>40</v>
      </c>
      <c r="J485" s="1">
        <v>3.15</v>
      </c>
      <c r="K485" s="1">
        <v>-10</v>
      </c>
      <c r="L485" s="1">
        <v>-4.5647058823529196</v>
      </c>
      <c r="M485" s="1" t="s">
        <v>40</v>
      </c>
      <c r="N485" s="1">
        <v>4.6735294117646999</v>
      </c>
      <c r="O485" s="1">
        <v>5.1088235294117599</v>
      </c>
      <c r="Q485" s="1">
        <v>0.51088235294117601</v>
      </c>
      <c r="R485" s="1">
        <v>0.62633693791696299</v>
      </c>
      <c r="S485" s="11" t="s">
        <v>216</v>
      </c>
      <c r="T485" s="2" t="s">
        <v>218</v>
      </c>
      <c r="U485" s="3" t="s">
        <v>41</v>
      </c>
      <c r="V485" s="2" t="s">
        <v>219</v>
      </c>
      <c r="W485" s="2">
        <v>3</v>
      </c>
      <c r="X485" s="2">
        <v>8</v>
      </c>
      <c r="Y485" s="2">
        <v>2</v>
      </c>
      <c r="Z485" s="2">
        <v>0</v>
      </c>
      <c r="AA485" s="2">
        <v>0</v>
      </c>
      <c r="AB485" s="12">
        <f>(W485*4+X485*1+Y485*-2+Z485*-3)/W485</f>
        <v>5.333333333333333</v>
      </c>
      <c r="AC485" s="3">
        <f>W485*12.0107+X485*1.00784+Y485*15.999+Z485*14.0067</f>
        <v>76.092820000000003</v>
      </c>
      <c r="AD485" s="12">
        <v>213</v>
      </c>
      <c r="AE485" s="2" t="s">
        <v>220</v>
      </c>
      <c r="AF485" s="2" t="s">
        <v>98</v>
      </c>
      <c r="AG485" s="2" t="str">
        <f>IF(AD485&gt;37,"Proton symporter", "Diffusion")</f>
        <v>Proton symporter</v>
      </c>
      <c r="AH485" s="3" t="s">
        <v>221</v>
      </c>
    </row>
    <row r="486" spans="1:34" hidden="1" x14ac:dyDescent="0.2">
      <c r="A486" s="8" t="s">
        <v>350</v>
      </c>
      <c r="B486" s="17" t="s">
        <v>64</v>
      </c>
      <c r="C486" t="s">
        <v>351</v>
      </c>
      <c r="D486" s="13" t="s">
        <v>51</v>
      </c>
      <c r="E486" t="s">
        <v>307</v>
      </c>
      <c r="F486" t="s">
        <v>308</v>
      </c>
      <c r="G486">
        <v>-10</v>
      </c>
      <c r="H486">
        <v>0</v>
      </c>
      <c r="I486">
        <v>0</v>
      </c>
      <c r="J486">
        <v>0.45</v>
      </c>
      <c r="K486">
        <v>-10</v>
      </c>
      <c r="L486">
        <v>0</v>
      </c>
      <c r="M486">
        <v>0</v>
      </c>
      <c r="N486">
        <v>0</v>
      </c>
      <c r="O486" s="26">
        <v>3.3333333333333299</v>
      </c>
      <c r="P486"/>
      <c r="Q486" s="26">
        <v>0.33333333333333298</v>
      </c>
      <c r="R486" s="26">
        <v>0.62517511384870905</v>
      </c>
      <c r="S486" s="3" t="str">
        <f>VLOOKUP($E486,'[1]Product Naming'!$A$1:$P$58,2)</f>
        <v>Isopropanol</v>
      </c>
      <c r="T486" s="3" t="str">
        <f>VLOOKUP($E486,'[1]Product Naming'!$A$1:$P$58,3)</f>
        <v>Isopropanol</v>
      </c>
      <c r="U486" s="3" t="str">
        <f>VLOOKUP($E486,'[1]Product Naming'!$A$1:$P$58,4)</f>
        <v>A</v>
      </c>
      <c r="V486" s="3" t="str">
        <f>VLOOKUP($E486,'[1]Product Naming'!$A$1:$P$58,5)</f>
        <v>C3H8O</v>
      </c>
      <c r="W486" s="3">
        <f>VLOOKUP($E486,'[1]Product Naming'!$A$1:$P$58,6)</f>
        <v>3</v>
      </c>
      <c r="X486" s="3">
        <f>VLOOKUP($E486,'[1]Product Naming'!$A$1:$P$58,7)</f>
        <v>8</v>
      </c>
      <c r="Y486" s="3">
        <f>VLOOKUP($E486,'[1]Product Naming'!$A$1:$P$58,8)</f>
        <v>1</v>
      </c>
      <c r="Z486" s="3">
        <f>VLOOKUP($E486,'[1]Product Naming'!$A$1:$P$58,9)</f>
        <v>0</v>
      </c>
      <c r="AA486" s="3">
        <f>VLOOKUP($E486,'[1]Product Naming'!$A$1:$P$58,10)</f>
        <v>0</v>
      </c>
      <c r="AB486" s="3">
        <f>VLOOKUP($E486,'[1]Product Naming'!$A$1:$P$58,11)</f>
        <v>6</v>
      </c>
      <c r="AC486" s="3">
        <f>VLOOKUP($E486,'[1]Product Naming'!$A$1:$P$58,12)</f>
        <v>60.093820000000001</v>
      </c>
      <c r="AD486" s="3">
        <f>VLOOKUP($E486,'[1]Product Naming'!$A$1:$P$58,13)</f>
        <v>82.5</v>
      </c>
      <c r="AE486" s="3" t="str">
        <f>VLOOKUP($E486,'[1]Product Naming'!$A$1:$P$58,14)</f>
        <v>Alcohol</v>
      </c>
      <c r="AF486" s="3" t="str">
        <f>VLOOKUP($E486,'[1]Product Naming'!$A$1:$P$58,15)</f>
        <v>Acetyl-CoA</v>
      </c>
      <c r="AG486" s="3" t="str">
        <f>VLOOKUP($E486,'[1]Product Naming'!$A$1:$P$58,16)</f>
        <v>Proton symporter</v>
      </c>
      <c r="AH486" s="3" t="str">
        <f>VLOOKUP($E486,'[1]Product Naming'!$A$1:$Q$58,17)</f>
        <v>2ppoh_c</v>
      </c>
    </row>
    <row r="487" spans="1:34" hidden="1" x14ac:dyDescent="0.2">
      <c r="A487" s="8" t="s">
        <v>350</v>
      </c>
      <c r="B487" s="17" t="s">
        <v>64</v>
      </c>
      <c r="C487" t="s">
        <v>352</v>
      </c>
      <c r="D487" s="13" t="s">
        <v>51</v>
      </c>
      <c r="E487" t="s">
        <v>307</v>
      </c>
      <c r="F487" t="s">
        <v>308</v>
      </c>
      <c r="G487">
        <v>-10</v>
      </c>
      <c r="H487">
        <v>0</v>
      </c>
      <c r="I487">
        <v>0</v>
      </c>
      <c r="J487">
        <v>0.45</v>
      </c>
      <c r="K487">
        <v>-10</v>
      </c>
      <c r="L487">
        <v>0</v>
      </c>
      <c r="M487">
        <v>0</v>
      </c>
      <c r="N487">
        <v>0</v>
      </c>
      <c r="O487" s="26">
        <v>3.3333333333333299</v>
      </c>
      <c r="P487"/>
      <c r="Q487" s="26">
        <v>0.33333333333333298</v>
      </c>
      <c r="R487" s="26">
        <v>0.62517511384870905</v>
      </c>
      <c r="S487" s="3" t="str">
        <f>VLOOKUP($E487,'[1]Product Naming'!$A$1:$P$58,2)</f>
        <v>Isopropanol</v>
      </c>
      <c r="T487" s="3" t="str">
        <f>VLOOKUP($E487,'[1]Product Naming'!$A$1:$P$58,3)</f>
        <v>Isopropanol</v>
      </c>
      <c r="U487" s="3" t="str">
        <f>VLOOKUP($E487,'[1]Product Naming'!$A$1:$P$58,4)</f>
        <v>A</v>
      </c>
      <c r="V487" s="3" t="str">
        <f>VLOOKUP($E487,'[1]Product Naming'!$A$1:$P$58,5)</f>
        <v>C3H8O</v>
      </c>
      <c r="W487" s="3">
        <f>VLOOKUP($E487,'[1]Product Naming'!$A$1:$P$58,6)</f>
        <v>3</v>
      </c>
      <c r="X487" s="3">
        <f>VLOOKUP($E487,'[1]Product Naming'!$A$1:$P$58,7)</f>
        <v>8</v>
      </c>
      <c r="Y487" s="3">
        <f>VLOOKUP($E487,'[1]Product Naming'!$A$1:$P$58,8)</f>
        <v>1</v>
      </c>
      <c r="Z487" s="3">
        <f>VLOOKUP($E487,'[1]Product Naming'!$A$1:$P$58,9)</f>
        <v>0</v>
      </c>
      <c r="AA487" s="3">
        <f>VLOOKUP($E487,'[1]Product Naming'!$A$1:$P$58,10)</f>
        <v>0</v>
      </c>
      <c r="AB487" s="3">
        <f>VLOOKUP($E487,'[1]Product Naming'!$A$1:$P$58,11)</f>
        <v>6</v>
      </c>
      <c r="AC487" s="3">
        <f>VLOOKUP($E487,'[1]Product Naming'!$A$1:$P$58,12)</f>
        <v>60.093820000000001</v>
      </c>
      <c r="AD487" s="3">
        <f>VLOOKUP($E487,'[1]Product Naming'!$A$1:$P$58,13)</f>
        <v>82.5</v>
      </c>
      <c r="AE487" s="3" t="str">
        <f>VLOOKUP($E487,'[1]Product Naming'!$A$1:$P$58,14)</f>
        <v>Alcohol</v>
      </c>
      <c r="AF487" s="3" t="str">
        <f>VLOOKUP($E487,'[1]Product Naming'!$A$1:$P$58,15)</f>
        <v>Acetyl-CoA</v>
      </c>
      <c r="AG487" s="3" t="str">
        <f>VLOOKUP($E487,'[1]Product Naming'!$A$1:$P$58,16)</f>
        <v>Proton symporter</v>
      </c>
      <c r="AH487" s="3" t="str">
        <f>VLOOKUP($E487,'[1]Product Naming'!$A$1:$Q$58,17)</f>
        <v>2ppoh_c</v>
      </c>
    </row>
    <row r="488" spans="1:34" hidden="1" x14ac:dyDescent="0.2">
      <c r="A488" s="8" t="s">
        <v>350</v>
      </c>
      <c r="B488" s="17" t="s">
        <v>64</v>
      </c>
      <c r="C488" t="s">
        <v>353</v>
      </c>
      <c r="D488" s="13" t="s">
        <v>51</v>
      </c>
      <c r="E488" t="s">
        <v>307</v>
      </c>
      <c r="F488" t="s">
        <v>308</v>
      </c>
      <c r="G488">
        <v>-10</v>
      </c>
      <c r="H488">
        <v>0</v>
      </c>
      <c r="I488">
        <v>0</v>
      </c>
      <c r="J488">
        <v>0.45</v>
      </c>
      <c r="K488">
        <v>-10</v>
      </c>
      <c r="L488">
        <v>0</v>
      </c>
      <c r="M488">
        <v>0</v>
      </c>
      <c r="N488">
        <v>0</v>
      </c>
      <c r="O488" s="26">
        <v>3.3333333333333299</v>
      </c>
      <c r="P488"/>
      <c r="Q488" s="26">
        <v>0.33333333333333298</v>
      </c>
      <c r="R488" s="26">
        <v>0.62517511384870905</v>
      </c>
      <c r="S488" s="3" t="str">
        <f>VLOOKUP($E488,'[1]Product Naming'!$A$1:$P$58,2)</f>
        <v>Isopropanol</v>
      </c>
      <c r="T488" s="3" t="str">
        <f>VLOOKUP($E488,'[1]Product Naming'!$A$1:$P$58,3)</f>
        <v>Isopropanol</v>
      </c>
      <c r="U488" s="3" t="str">
        <f>VLOOKUP($E488,'[1]Product Naming'!$A$1:$P$58,4)</f>
        <v>A</v>
      </c>
      <c r="V488" s="3" t="str">
        <f>VLOOKUP($E488,'[1]Product Naming'!$A$1:$P$58,5)</f>
        <v>C3H8O</v>
      </c>
      <c r="W488" s="3">
        <f>VLOOKUP($E488,'[1]Product Naming'!$A$1:$P$58,6)</f>
        <v>3</v>
      </c>
      <c r="X488" s="3">
        <f>VLOOKUP($E488,'[1]Product Naming'!$A$1:$P$58,7)</f>
        <v>8</v>
      </c>
      <c r="Y488" s="3">
        <f>VLOOKUP($E488,'[1]Product Naming'!$A$1:$P$58,8)</f>
        <v>1</v>
      </c>
      <c r="Z488" s="3">
        <f>VLOOKUP($E488,'[1]Product Naming'!$A$1:$P$58,9)</f>
        <v>0</v>
      </c>
      <c r="AA488" s="3">
        <f>VLOOKUP($E488,'[1]Product Naming'!$A$1:$P$58,10)</f>
        <v>0</v>
      </c>
      <c r="AB488" s="3">
        <f>VLOOKUP($E488,'[1]Product Naming'!$A$1:$P$58,11)</f>
        <v>6</v>
      </c>
      <c r="AC488" s="3">
        <f>VLOOKUP($E488,'[1]Product Naming'!$A$1:$P$58,12)</f>
        <v>60.093820000000001</v>
      </c>
      <c r="AD488" s="3">
        <f>VLOOKUP($E488,'[1]Product Naming'!$A$1:$P$58,13)</f>
        <v>82.5</v>
      </c>
      <c r="AE488" s="3" t="str">
        <f>VLOOKUP($E488,'[1]Product Naming'!$A$1:$P$58,14)</f>
        <v>Alcohol</v>
      </c>
      <c r="AF488" s="3" t="str">
        <f>VLOOKUP($E488,'[1]Product Naming'!$A$1:$P$58,15)</f>
        <v>Acetyl-CoA</v>
      </c>
      <c r="AG488" s="3" t="str">
        <f>VLOOKUP($E488,'[1]Product Naming'!$A$1:$P$58,16)</f>
        <v>Proton symporter</v>
      </c>
      <c r="AH488" s="3" t="str">
        <f>VLOOKUP($E488,'[1]Product Naming'!$A$1:$Q$58,17)</f>
        <v>2ppoh_c</v>
      </c>
    </row>
    <row r="489" spans="1:34" hidden="1" x14ac:dyDescent="0.2">
      <c r="A489" s="8" t="s">
        <v>350</v>
      </c>
      <c r="B489" s="17" t="s">
        <v>64</v>
      </c>
      <c r="C489" t="s">
        <v>354</v>
      </c>
      <c r="D489" s="13" t="s">
        <v>51</v>
      </c>
      <c r="E489" t="s">
        <v>307</v>
      </c>
      <c r="F489" t="s">
        <v>308</v>
      </c>
      <c r="G489">
        <v>-10</v>
      </c>
      <c r="H489">
        <v>0</v>
      </c>
      <c r="I489">
        <v>0</v>
      </c>
      <c r="J489">
        <v>0.45</v>
      </c>
      <c r="K489">
        <v>-10</v>
      </c>
      <c r="L489">
        <v>0</v>
      </c>
      <c r="M489">
        <v>0</v>
      </c>
      <c r="N489">
        <v>0</v>
      </c>
      <c r="O489" s="26">
        <v>3.3333333333333299</v>
      </c>
      <c r="P489"/>
      <c r="Q489" s="26">
        <v>0.33333333333333298</v>
      </c>
      <c r="R489" s="26">
        <v>0.62517511384870905</v>
      </c>
      <c r="S489" s="3" t="str">
        <f>VLOOKUP($E489,'[1]Product Naming'!$A$1:$P$58,2)</f>
        <v>Isopropanol</v>
      </c>
      <c r="T489" s="3" t="str">
        <f>VLOOKUP($E489,'[1]Product Naming'!$A$1:$P$58,3)</f>
        <v>Isopropanol</v>
      </c>
      <c r="U489" s="3" t="str">
        <f>VLOOKUP($E489,'[1]Product Naming'!$A$1:$P$58,4)</f>
        <v>A</v>
      </c>
      <c r="V489" s="3" t="str">
        <f>VLOOKUP($E489,'[1]Product Naming'!$A$1:$P$58,5)</f>
        <v>C3H8O</v>
      </c>
      <c r="W489" s="3">
        <f>VLOOKUP($E489,'[1]Product Naming'!$A$1:$P$58,6)</f>
        <v>3</v>
      </c>
      <c r="X489" s="3">
        <f>VLOOKUP($E489,'[1]Product Naming'!$A$1:$P$58,7)</f>
        <v>8</v>
      </c>
      <c r="Y489" s="3">
        <f>VLOOKUP($E489,'[1]Product Naming'!$A$1:$P$58,8)</f>
        <v>1</v>
      </c>
      <c r="Z489" s="3">
        <f>VLOOKUP($E489,'[1]Product Naming'!$A$1:$P$58,9)</f>
        <v>0</v>
      </c>
      <c r="AA489" s="3">
        <f>VLOOKUP($E489,'[1]Product Naming'!$A$1:$P$58,10)</f>
        <v>0</v>
      </c>
      <c r="AB489" s="3">
        <f>VLOOKUP($E489,'[1]Product Naming'!$A$1:$P$58,11)</f>
        <v>6</v>
      </c>
      <c r="AC489" s="3">
        <f>VLOOKUP($E489,'[1]Product Naming'!$A$1:$P$58,12)</f>
        <v>60.093820000000001</v>
      </c>
      <c r="AD489" s="3">
        <f>VLOOKUP($E489,'[1]Product Naming'!$A$1:$P$58,13)</f>
        <v>82.5</v>
      </c>
      <c r="AE489" s="3" t="str">
        <f>VLOOKUP($E489,'[1]Product Naming'!$A$1:$P$58,14)</f>
        <v>Alcohol</v>
      </c>
      <c r="AF489" s="3" t="str">
        <f>VLOOKUP($E489,'[1]Product Naming'!$A$1:$P$58,15)</f>
        <v>Acetyl-CoA</v>
      </c>
      <c r="AG489" s="3" t="str">
        <f>VLOOKUP($E489,'[1]Product Naming'!$A$1:$P$58,16)</f>
        <v>Proton symporter</v>
      </c>
      <c r="AH489" s="3" t="str">
        <f>VLOOKUP($E489,'[1]Product Naming'!$A$1:$Q$58,17)</f>
        <v>2ppoh_c</v>
      </c>
    </row>
    <row r="490" spans="1:34" hidden="1" x14ac:dyDescent="0.2">
      <c r="A490" s="16" t="s">
        <v>63</v>
      </c>
      <c r="B490" s="17" t="s">
        <v>64</v>
      </c>
      <c r="C490" t="s">
        <v>69</v>
      </c>
      <c r="D490" s="18" t="s">
        <v>66</v>
      </c>
      <c r="E490" t="s">
        <v>307</v>
      </c>
      <c r="F490" t="s">
        <v>308</v>
      </c>
      <c r="G490">
        <v>-10</v>
      </c>
      <c r="H490">
        <v>0</v>
      </c>
      <c r="I490">
        <v>-20</v>
      </c>
      <c r="J490">
        <v>0.45</v>
      </c>
      <c r="K490">
        <v>-10</v>
      </c>
      <c r="L490">
        <v>0</v>
      </c>
      <c r="M490">
        <v>-20</v>
      </c>
      <c r="N490">
        <v>0</v>
      </c>
      <c r="O490">
        <v>3.3333333333333299</v>
      </c>
      <c r="P490"/>
      <c r="Q490">
        <v>0.33333333333333298</v>
      </c>
      <c r="R490" s="19">
        <v>0.62500072802912099</v>
      </c>
      <c r="S490" s="11" t="s">
        <v>307</v>
      </c>
      <c r="T490" s="2" t="s">
        <v>307</v>
      </c>
      <c r="U490" s="3" t="s">
        <v>41</v>
      </c>
      <c r="V490" s="2" t="s">
        <v>283</v>
      </c>
      <c r="W490" s="2">
        <v>3</v>
      </c>
      <c r="X490" s="2">
        <v>8</v>
      </c>
      <c r="Y490" s="2">
        <v>1</v>
      </c>
      <c r="Z490" s="2">
        <v>0</v>
      </c>
      <c r="AA490" s="2">
        <v>0</v>
      </c>
      <c r="AB490" s="12">
        <f>(W490*4+X490*1+Y490*-2+Z490*-3)/W490</f>
        <v>6</v>
      </c>
      <c r="AC490" s="3">
        <f>W490*12.0107+X490*1.00784+Y490*15.999+Z490*14.0067</f>
        <v>60.093820000000001</v>
      </c>
      <c r="AD490" s="12">
        <v>82.5</v>
      </c>
      <c r="AE490" s="2" t="s">
        <v>262</v>
      </c>
      <c r="AF490" s="2" t="s">
        <v>79</v>
      </c>
      <c r="AG490" s="2" t="str">
        <f>IF(AD490&gt;37,"Proton symporter", "Diffusion")</f>
        <v>Proton symporter</v>
      </c>
      <c r="AH490" s="3" t="s">
        <v>309</v>
      </c>
    </row>
    <row r="491" spans="1:34" hidden="1" x14ac:dyDescent="0.2">
      <c r="A491" s="8" t="s">
        <v>34</v>
      </c>
      <c r="B491" s="9" t="s">
        <v>35</v>
      </c>
      <c r="C491" s="1" t="s">
        <v>49</v>
      </c>
      <c r="D491" s="10" t="s">
        <v>37</v>
      </c>
      <c r="E491" s="1" t="s">
        <v>289</v>
      </c>
      <c r="F491" s="1" t="s">
        <v>290</v>
      </c>
      <c r="G491" s="1">
        <v>-10</v>
      </c>
      <c r="H491" s="1">
        <v>-20</v>
      </c>
      <c r="I491" s="1" t="s">
        <v>40</v>
      </c>
      <c r="J491" s="1">
        <v>3.15</v>
      </c>
      <c r="K491" s="1">
        <v>-10</v>
      </c>
      <c r="L491" s="1">
        <v>-5.5186567164179099</v>
      </c>
      <c r="M491" s="1" t="s">
        <v>40</v>
      </c>
      <c r="N491" s="1">
        <v>3.6791044776119199</v>
      </c>
      <c r="O491" s="1">
        <v>3.2641791044776101</v>
      </c>
      <c r="Q491" s="1">
        <v>0.32641791044776097</v>
      </c>
      <c r="R491" s="1">
        <v>0.62457610964960097</v>
      </c>
      <c r="S491" s="11" t="s">
        <v>289</v>
      </c>
      <c r="T491" s="2" t="s">
        <v>291</v>
      </c>
      <c r="U491" s="3" t="s">
        <v>41</v>
      </c>
      <c r="V491" s="2" t="s">
        <v>292</v>
      </c>
      <c r="W491" s="2">
        <v>5</v>
      </c>
      <c r="X491" s="2">
        <v>12</v>
      </c>
      <c r="Y491" s="2">
        <v>1</v>
      </c>
      <c r="Z491" s="2">
        <v>0</v>
      </c>
      <c r="AA491" s="2">
        <v>0</v>
      </c>
      <c r="AB491" s="12">
        <f>(W491*4+X491*1+Y491*-2+Z491*-3)/W491</f>
        <v>6</v>
      </c>
      <c r="AC491" s="3">
        <f>W491*12.0107+X491*1.00784+Y491*15.999+Z491*14.0067</f>
        <v>88.14658</v>
      </c>
      <c r="AD491" s="12">
        <v>129</v>
      </c>
      <c r="AE491" s="2" t="s">
        <v>262</v>
      </c>
      <c r="AF491" s="2" t="s">
        <v>293</v>
      </c>
      <c r="AG491" s="2" t="str">
        <f>IF(AD491&gt;37,"Proton symporter", "Diffusion")</f>
        <v>Proton symporter</v>
      </c>
      <c r="AH491" s="3" t="s">
        <v>294</v>
      </c>
    </row>
    <row r="492" spans="1:34" hidden="1" x14ac:dyDescent="0.2">
      <c r="A492" s="8" t="s">
        <v>34</v>
      </c>
      <c r="B492" s="9" t="s">
        <v>35</v>
      </c>
      <c r="C492" s="1" t="s">
        <v>36</v>
      </c>
      <c r="D492" s="10" t="s">
        <v>37</v>
      </c>
      <c r="E492" s="1" t="s">
        <v>159</v>
      </c>
      <c r="F492" s="1" t="s">
        <v>153</v>
      </c>
      <c r="G492" s="1">
        <v>-10</v>
      </c>
      <c r="H492" s="1">
        <v>-20</v>
      </c>
      <c r="I492" s="1" t="s">
        <v>40</v>
      </c>
      <c r="J492" s="1">
        <v>3.15</v>
      </c>
      <c r="K492" s="1">
        <v>-10</v>
      </c>
      <c r="L492" s="1">
        <v>-8.0604508196721305</v>
      </c>
      <c r="M492" s="1" t="s">
        <v>40</v>
      </c>
      <c r="N492" s="1">
        <v>4.1897540983606598</v>
      </c>
      <c r="O492" s="1">
        <v>2.2586065573770502</v>
      </c>
      <c r="Q492" s="1">
        <v>0.225860655737705</v>
      </c>
      <c r="R492" s="1">
        <v>0.62096175779969998</v>
      </c>
      <c r="S492" s="11" t="s">
        <v>159</v>
      </c>
      <c r="T492" s="2" t="s">
        <v>160</v>
      </c>
      <c r="U492" s="3" t="s">
        <v>41</v>
      </c>
      <c r="V492" s="2" t="s">
        <v>155</v>
      </c>
      <c r="W492" s="2">
        <v>7</v>
      </c>
      <c r="X492" s="2">
        <v>5</v>
      </c>
      <c r="Y492" s="2">
        <v>2</v>
      </c>
      <c r="Z492" s="2">
        <v>0</v>
      </c>
      <c r="AA492" s="2">
        <v>0</v>
      </c>
      <c r="AB492" s="12">
        <f>(W492*4+X492*1+Y492*-2+Z492*-3)/W492</f>
        <v>4.1428571428571432</v>
      </c>
      <c r="AC492" s="3">
        <f>W492*12.0107+X492*1.00784+Y492*15.999+Z492*14.0067</f>
        <v>121.1121</v>
      </c>
      <c r="AD492" s="12">
        <v>249.2</v>
      </c>
      <c r="AE492" s="2" t="s">
        <v>156</v>
      </c>
      <c r="AF492" s="2" t="s">
        <v>157</v>
      </c>
      <c r="AG492" s="2" t="str">
        <f>IF(AD492&gt;37,"Proton symporter", "Diffusion")</f>
        <v>Proton symporter</v>
      </c>
      <c r="AH492" s="3" t="s">
        <v>158</v>
      </c>
    </row>
    <row r="493" spans="1:34" hidden="1" x14ac:dyDescent="0.2">
      <c r="A493" s="8" t="s">
        <v>34</v>
      </c>
      <c r="B493" s="9" t="s">
        <v>35</v>
      </c>
      <c r="C493" s="1" t="s">
        <v>36</v>
      </c>
      <c r="D493" s="10" t="s">
        <v>37</v>
      </c>
      <c r="E493" s="1" t="s">
        <v>152</v>
      </c>
      <c r="F493" s="1" t="s">
        <v>153</v>
      </c>
      <c r="G493" s="1">
        <v>-10</v>
      </c>
      <c r="H493" s="1">
        <v>-20</v>
      </c>
      <c r="I493" s="1" t="s">
        <v>40</v>
      </c>
      <c r="J493" s="1">
        <v>3.15</v>
      </c>
      <c r="K493" s="1">
        <v>-10</v>
      </c>
      <c r="L493" s="1">
        <v>-8.0604508196721305</v>
      </c>
      <c r="M493" s="1" t="s">
        <v>40</v>
      </c>
      <c r="N493" s="1">
        <v>4.18975409836065</v>
      </c>
      <c r="O493" s="1">
        <v>2.2586065573770502</v>
      </c>
      <c r="Q493" s="1">
        <v>0.225860655737705</v>
      </c>
      <c r="R493" s="1">
        <v>0.62096175779969898</v>
      </c>
      <c r="S493" s="11" t="s">
        <v>152</v>
      </c>
      <c r="T493" s="2" t="s">
        <v>154</v>
      </c>
      <c r="U493" s="3" t="s">
        <v>41</v>
      </c>
      <c r="V493" s="2" t="s">
        <v>155</v>
      </c>
      <c r="W493" s="2">
        <v>7</v>
      </c>
      <c r="X493" s="2">
        <v>5</v>
      </c>
      <c r="Y493" s="2">
        <v>2</v>
      </c>
      <c r="Z493" s="2">
        <v>0</v>
      </c>
      <c r="AA493" s="2">
        <v>0</v>
      </c>
      <c r="AB493" s="12">
        <f>(W493*4+X493*1+Y493*-2+Z493*-3)/W493</f>
        <v>4.1428571428571432</v>
      </c>
      <c r="AC493" s="3">
        <f>W493*12.0107+X493*1.00784+Y493*15.999+Z493*14.0067</f>
        <v>121.1121</v>
      </c>
      <c r="AD493" s="12">
        <v>249.2</v>
      </c>
      <c r="AE493" s="2" t="s">
        <v>156</v>
      </c>
      <c r="AF493" s="2" t="s">
        <v>157</v>
      </c>
      <c r="AG493" s="2" t="str">
        <f>IF(AD493&gt;37,"Proton symporter", "Diffusion")</f>
        <v>Proton symporter</v>
      </c>
      <c r="AH493" s="3" t="s">
        <v>158</v>
      </c>
    </row>
    <row r="494" spans="1:34" hidden="1" x14ac:dyDescent="0.2">
      <c r="A494" s="8" t="s">
        <v>34</v>
      </c>
      <c r="B494" s="9" t="s">
        <v>35</v>
      </c>
      <c r="C494" s="1" t="s">
        <v>56</v>
      </c>
      <c r="D494" s="14" t="s">
        <v>55</v>
      </c>
      <c r="E494" s="1" t="s">
        <v>166</v>
      </c>
      <c r="F494" s="1" t="s">
        <v>167</v>
      </c>
      <c r="G494" s="1">
        <v>-10</v>
      </c>
      <c r="H494" s="1">
        <v>-20</v>
      </c>
      <c r="I494" s="1" t="s">
        <v>40</v>
      </c>
      <c r="J494" s="1">
        <v>3.15</v>
      </c>
      <c r="K494" s="1">
        <v>-10</v>
      </c>
      <c r="L494" s="1">
        <v>-5.1147058823529399</v>
      </c>
      <c r="M494" s="1" t="s">
        <v>40</v>
      </c>
      <c r="N494" s="1">
        <v>3.4352941176470599</v>
      </c>
      <c r="O494" s="1">
        <v>6.6411764705882304</v>
      </c>
      <c r="Q494" s="1">
        <v>0.66411764705882304</v>
      </c>
      <c r="R494" s="1">
        <v>0.62080662677665499</v>
      </c>
      <c r="S494" s="11" t="s">
        <v>166</v>
      </c>
      <c r="T494" s="2" t="s">
        <v>168</v>
      </c>
      <c r="U494" s="3" t="s">
        <v>41</v>
      </c>
      <c r="V494" s="2" t="s">
        <v>169</v>
      </c>
      <c r="W494" s="2">
        <v>4</v>
      </c>
      <c r="X494" s="2">
        <v>6</v>
      </c>
      <c r="Y494" s="2">
        <v>2</v>
      </c>
      <c r="Z494" s="2">
        <v>0</v>
      </c>
      <c r="AA494" s="2">
        <v>0</v>
      </c>
      <c r="AB494" s="12">
        <f>(W494*4+X494*1+Y494*-2+Z494*-3)/W494</f>
        <v>4.5</v>
      </c>
      <c r="AC494" s="3">
        <f>W494*12.0107+X494*1.00784+Y494*15.999+Z494*14.0067</f>
        <v>86.08784</v>
      </c>
      <c r="AD494" s="12">
        <v>204</v>
      </c>
      <c r="AE494" s="2" t="s">
        <v>170</v>
      </c>
      <c r="AF494" s="2" t="s">
        <v>120</v>
      </c>
      <c r="AG494" s="2" t="str">
        <f>IF(AD494&gt;37,"Proton symporter", "Diffusion")</f>
        <v>Proton symporter</v>
      </c>
      <c r="AH494" s="3" t="s">
        <v>171</v>
      </c>
    </row>
    <row r="495" spans="1:34" hidden="1" x14ac:dyDescent="0.2">
      <c r="A495" s="8" t="s">
        <v>34</v>
      </c>
      <c r="B495" s="9" t="s">
        <v>35</v>
      </c>
      <c r="C495" s="1" t="s">
        <v>48</v>
      </c>
      <c r="D495" s="10" t="s">
        <v>37</v>
      </c>
      <c r="E495" s="1" t="s">
        <v>249</v>
      </c>
      <c r="F495" s="1" t="s">
        <v>250</v>
      </c>
      <c r="G495" s="1">
        <v>-10</v>
      </c>
      <c r="H495" s="1">
        <v>-20</v>
      </c>
      <c r="I495" s="1" t="s">
        <v>40</v>
      </c>
      <c r="J495" s="1">
        <v>3.15</v>
      </c>
      <c r="K495" s="1">
        <v>-10</v>
      </c>
      <c r="L495" s="1">
        <v>-1.5034883720929899</v>
      </c>
      <c r="M495" s="1" t="s">
        <v>40</v>
      </c>
      <c r="N495" s="1">
        <v>2.9116279069767499</v>
      </c>
      <c r="O495" s="1">
        <v>4.2720930232558203</v>
      </c>
      <c r="Q495" s="1">
        <v>0.42720930232558202</v>
      </c>
      <c r="R495" s="1">
        <v>0.62029955915180501</v>
      </c>
      <c r="S495" s="20" t="s">
        <v>251</v>
      </c>
      <c r="T495" s="3" t="s">
        <v>252</v>
      </c>
      <c r="U495" s="3" t="s">
        <v>106</v>
      </c>
      <c r="V495" s="3" t="s">
        <v>238</v>
      </c>
      <c r="W495" s="3">
        <v>4</v>
      </c>
      <c r="X495" s="3">
        <v>10</v>
      </c>
      <c r="Y495" s="3">
        <v>2</v>
      </c>
      <c r="Z495" s="3">
        <v>0</v>
      </c>
      <c r="AA495" s="3">
        <v>0</v>
      </c>
      <c r="AB495" s="12">
        <f>(W495*4+X495*1+Y495*-2+Z495*-3)/W495</f>
        <v>5.5</v>
      </c>
      <c r="AC495" s="3">
        <f>W495*12.0107+X495*1.00784+Y495*15.999+Z495*14.0067</f>
        <v>90.119200000000006</v>
      </c>
      <c r="AD495" s="12">
        <v>177</v>
      </c>
      <c r="AE495" s="3" t="s">
        <v>220</v>
      </c>
      <c r="AF495" s="3" t="s">
        <v>135</v>
      </c>
      <c r="AG495" s="2" t="str">
        <f>IF(AD495&gt;37,"Proton symporter", "Diffusion")</f>
        <v>Proton symporter</v>
      </c>
      <c r="AH495" s="3" t="s">
        <v>253</v>
      </c>
    </row>
    <row r="496" spans="1:34" hidden="1" x14ac:dyDescent="0.2">
      <c r="A496" s="8" t="s">
        <v>34</v>
      </c>
      <c r="B496" s="9" t="s">
        <v>35</v>
      </c>
      <c r="C496" s="1" t="s">
        <v>54</v>
      </c>
      <c r="D496" s="14" t="s">
        <v>55</v>
      </c>
      <c r="E496" s="1" t="s">
        <v>216</v>
      </c>
      <c r="F496" s="1" t="s">
        <v>217</v>
      </c>
      <c r="G496" s="1">
        <v>-10</v>
      </c>
      <c r="H496" s="1">
        <v>-20</v>
      </c>
      <c r="I496" s="1" t="s">
        <v>40</v>
      </c>
      <c r="J496" s="1">
        <v>3.15</v>
      </c>
      <c r="K496" s="1">
        <v>-10</v>
      </c>
      <c r="L496" s="1">
        <v>-1.4103703703703701</v>
      </c>
      <c r="M496" s="1" t="s">
        <v>40</v>
      </c>
      <c r="N496" s="1">
        <v>16.057777777777801</v>
      </c>
      <c r="O496" s="1">
        <v>14.6474074074074</v>
      </c>
      <c r="Q496" s="1">
        <v>1.46474074074074</v>
      </c>
      <c r="R496" s="1">
        <v>0.61867800691643704</v>
      </c>
      <c r="S496" s="11" t="s">
        <v>216</v>
      </c>
      <c r="T496" s="2" t="s">
        <v>218</v>
      </c>
      <c r="U496" s="3" t="s">
        <v>41</v>
      </c>
      <c r="V496" s="2" t="s">
        <v>219</v>
      </c>
      <c r="W496" s="2">
        <v>3</v>
      </c>
      <c r="X496" s="2">
        <v>8</v>
      </c>
      <c r="Y496" s="2">
        <v>2</v>
      </c>
      <c r="Z496" s="2">
        <v>0</v>
      </c>
      <c r="AA496" s="2">
        <v>0</v>
      </c>
      <c r="AB496" s="12">
        <f>(W496*4+X496*1+Y496*-2+Z496*-3)/W496</f>
        <v>5.333333333333333</v>
      </c>
      <c r="AC496" s="3">
        <f>W496*12.0107+X496*1.00784+Y496*15.999+Z496*14.0067</f>
        <v>76.092820000000003</v>
      </c>
      <c r="AD496" s="12">
        <v>213</v>
      </c>
      <c r="AE496" s="2" t="s">
        <v>220</v>
      </c>
      <c r="AF496" s="2" t="s">
        <v>98</v>
      </c>
      <c r="AG496" s="2" t="str">
        <f>IF(AD496&gt;37,"Proton symporter", "Diffusion")</f>
        <v>Proton symporter</v>
      </c>
      <c r="AH496" s="3" t="s">
        <v>221</v>
      </c>
    </row>
    <row r="497" spans="1:34" hidden="1" x14ac:dyDescent="0.2">
      <c r="A497" s="8" t="s">
        <v>350</v>
      </c>
      <c r="B497" s="17" t="s">
        <v>64</v>
      </c>
      <c r="C497" t="s">
        <v>351</v>
      </c>
      <c r="D497" s="13" t="s">
        <v>51</v>
      </c>
      <c r="E497" t="s">
        <v>222</v>
      </c>
      <c r="F497" t="s">
        <v>223</v>
      </c>
      <c r="G497">
        <v>-10</v>
      </c>
      <c r="H497">
        <v>0</v>
      </c>
      <c r="I497">
        <v>0</v>
      </c>
      <c r="J497">
        <v>0.45</v>
      </c>
      <c r="K497">
        <v>-10</v>
      </c>
      <c r="L497">
        <v>0</v>
      </c>
      <c r="M497" s="26">
        <v>3.3333333333333202</v>
      </c>
      <c r="N497">
        <v>0</v>
      </c>
      <c r="O497" s="26">
        <v>3.3333333333333299</v>
      </c>
      <c r="P497"/>
      <c r="Q497" s="26">
        <v>0.33333333333333298</v>
      </c>
      <c r="R497">
        <v>0.61714887216894598</v>
      </c>
      <c r="S497" s="3" t="str">
        <f>VLOOKUP($E497,'[1]Product Naming'!$A$1:$P$58,2)</f>
        <v>Acetone</v>
      </c>
      <c r="T497" s="3" t="str">
        <f>VLOOKUP($E497,'[1]Product Naming'!$A$1:$P$58,3)</f>
        <v>Acetone</v>
      </c>
      <c r="U497" s="3" t="str">
        <f>VLOOKUP($E497,'[1]Product Naming'!$A$1:$P$58,4)</f>
        <v>A</v>
      </c>
      <c r="V497" s="3" t="str">
        <f>VLOOKUP($E497,'[1]Product Naming'!$A$1:$P$58,5)</f>
        <v>C3H6O</v>
      </c>
      <c r="W497" s="3">
        <f>VLOOKUP($E497,'[1]Product Naming'!$A$1:$P$58,6)</f>
        <v>3</v>
      </c>
      <c r="X497" s="3">
        <f>VLOOKUP($E497,'[1]Product Naming'!$A$1:$P$58,7)</f>
        <v>6</v>
      </c>
      <c r="Y497" s="3">
        <f>VLOOKUP($E497,'[1]Product Naming'!$A$1:$P$58,8)</f>
        <v>1</v>
      </c>
      <c r="Z497" s="3">
        <f>VLOOKUP($E497,'[1]Product Naming'!$A$1:$P$58,9)</f>
        <v>0</v>
      </c>
      <c r="AA497" s="3">
        <f>VLOOKUP($E497,'[1]Product Naming'!$A$1:$P$58,10)</f>
        <v>0</v>
      </c>
      <c r="AB497" s="3">
        <f>VLOOKUP($E497,'[1]Product Naming'!$A$1:$P$58,11)</f>
        <v>5.333333333333333</v>
      </c>
      <c r="AC497" s="3">
        <f>VLOOKUP($E497,'[1]Product Naming'!$A$1:$P$58,12)</f>
        <v>58.078140000000005</v>
      </c>
      <c r="AD497" s="3">
        <f>VLOOKUP($E497,'[1]Product Naming'!$A$1:$P$58,13)</f>
        <v>56</v>
      </c>
      <c r="AE497" s="3" t="str">
        <f>VLOOKUP($E497,'[1]Product Naming'!$A$1:$P$58,14)</f>
        <v>Ketone</v>
      </c>
      <c r="AF497" s="3" t="str">
        <f>VLOOKUP($E497,'[1]Product Naming'!$A$1:$P$58,15)</f>
        <v>Acetyl-CoA</v>
      </c>
      <c r="AG497" s="3" t="str">
        <f>VLOOKUP($E497,'[1]Product Naming'!$A$1:$P$58,16)</f>
        <v>Proton symporter</v>
      </c>
      <c r="AH497" s="3" t="str">
        <f>VLOOKUP($E497,'[1]Product Naming'!$A$1:$Q$58,17)</f>
        <v>acetone_c</v>
      </c>
    </row>
    <row r="498" spans="1:34" hidden="1" x14ac:dyDescent="0.2">
      <c r="A498" s="8" t="s">
        <v>350</v>
      </c>
      <c r="B498" s="17" t="s">
        <v>64</v>
      </c>
      <c r="C498" t="s">
        <v>352</v>
      </c>
      <c r="D498" s="13" t="s">
        <v>51</v>
      </c>
      <c r="E498" t="s">
        <v>222</v>
      </c>
      <c r="F498" t="s">
        <v>223</v>
      </c>
      <c r="G498">
        <v>-10</v>
      </c>
      <c r="H498">
        <v>0</v>
      </c>
      <c r="I498">
        <v>0</v>
      </c>
      <c r="J498">
        <v>0.45</v>
      </c>
      <c r="K498">
        <v>-10</v>
      </c>
      <c r="L498">
        <v>0</v>
      </c>
      <c r="M498" s="26">
        <v>3.3333333333333299</v>
      </c>
      <c r="N498">
        <v>0</v>
      </c>
      <c r="O498" s="26">
        <v>3.3333333333333299</v>
      </c>
      <c r="P498"/>
      <c r="Q498" s="26">
        <v>0.33333333333333298</v>
      </c>
      <c r="R498" s="26">
        <v>0.61714887216894598</v>
      </c>
      <c r="S498" s="3" t="str">
        <f>VLOOKUP($E498,'[1]Product Naming'!$A$1:$P$58,2)</f>
        <v>Acetone</v>
      </c>
      <c r="T498" s="3" t="str">
        <f>VLOOKUP($E498,'[1]Product Naming'!$A$1:$P$58,3)</f>
        <v>Acetone</v>
      </c>
      <c r="U498" s="3" t="str">
        <f>VLOOKUP($E498,'[1]Product Naming'!$A$1:$P$58,4)</f>
        <v>A</v>
      </c>
      <c r="V498" s="3" t="str">
        <f>VLOOKUP($E498,'[1]Product Naming'!$A$1:$P$58,5)</f>
        <v>C3H6O</v>
      </c>
      <c r="W498" s="3">
        <f>VLOOKUP($E498,'[1]Product Naming'!$A$1:$P$58,6)</f>
        <v>3</v>
      </c>
      <c r="X498" s="3">
        <f>VLOOKUP($E498,'[1]Product Naming'!$A$1:$P$58,7)</f>
        <v>6</v>
      </c>
      <c r="Y498" s="3">
        <f>VLOOKUP($E498,'[1]Product Naming'!$A$1:$P$58,8)</f>
        <v>1</v>
      </c>
      <c r="Z498" s="3">
        <f>VLOOKUP($E498,'[1]Product Naming'!$A$1:$P$58,9)</f>
        <v>0</v>
      </c>
      <c r="AA498" s="3">
        <f>VLOOKUP($E498,'[1]Product Naming'!$A$1:$P$58,10)</f>
        <v>0</v>
      </c>
      <c r="AB498" s="3">
        <f>VLOOKUP($E498,'[1]Product Naming'!$A$1:$P$58,11)</f>
        <v>5.333333333333333</v>
      </c>
      <c r="AC498" s="3">
        <f>VLOOKUP($E498,'[1]Product Naming'!$A$1:$P$58,12)</f>
        <v>58.078140000000005</v>
      </c>
      <c r="AD498" s="3">
        <f>VLOOKUP($E498,'[1]Product Naming'!$A$1:$P$58,13)</f>
        <v>56</v>
      </c>
      <c r="AE498" s="3" t="str">
        <f>VLOOKUP($E498,'[1]Product Naming'!$A$1:$P$58,14)</f>
        <v>Ketone</v>
      </c>
      <c r="AF498" s="3" t="str">
        <f>VLOOKUP($E498,'[1]Product Naming'!$A$1:$P$58,15)</f>
        <v>Acetyl-CoA</v>
      </c>
      <c r="AG498" s="3" t="str">
        <f>VLOOKUP($E498,'[1]Product Naming'!$A$1:$P$58,16)</f>
        <v>Proton symporter</v>
      </c>
      <c r="AH498" s="3" t="str">
        <f>VLOOKUP($E498,'[1]Product Naming'!$A$1:$Q$58,17)</f>
        <v>acetone_c</v>
      </c>
    </row>
    <row r="499" spans="1:34" hidden="1" x14ac:dyDescent="0.2">
      <c r="A499" s="8" t="s">
        <v>350</v>
      </c>
      <c r="B499" s="17" t="s">
        <v>64</v>
      </c>
      <c r="C499" t="s">
        <v>353</v>
      </c>
      <c r="D499" s="13" t="s">
        <v>51</v>
      </c>
      <c r="E499" t="s">
        <v>222</v>
      </c>
      <c r="F499" t="s">
        <v>223</v>
      </c>
      <c r="G499">
        <v>-10</v>
      </c>
      <c r="H499">
        <v>0</v>
      </c>
      <c r="I499">
        <v>0</v>
      </c>
      <c r="J499">
        <v>0.45</v>
      </c>
      <c r="K499">
        <v>-10</v>
      </c>
      <c r="L499">
        <v>0</v>
      </c>
      <c r="M499" s="26">
        <v>3.3333333333333299</v>
      </c>
      <c r="N499">
        <v>0</v>
      </c>
      <c r="O499" s="26">
        <v>3.3333333333333299</v>
      </c>
      <c r="P499"/>
      <c r="Q499" s="26">
        <v>0.33333333333333298</v>
      </c>
      <c r="R499" s="26">
        <v>0.61714887216894598</v>
      </c>
      <c r="S499" s="3" t="str">
        <f>VLOOKUP($E499,'[1]Product Naming'!$A$1:$P$58,2)</f>
        <v>Acetone</v>
      </c>
      <c r="T499" s="3" t="str">
        <f>VLOOKUP($E499,'[1]Product Naming'!$A$1:$P$58,3)</f>
        <v>Acetone</v>
      </c>
      <c r="U499" s="3" t="str">
        <f>VLOOKUP($E499,'[1]Product Naming'!$A$1:$P$58,4)</f>
        <v>A</v>
      </c>
      <c r="V499" s="3" t="str">
        <f>VLOOKUP($E499,'[1]Product Naming'!$A$1:$P$58,5)</f>
        <v>C3H6O</v>
      </c>
      <c r="W499" s="3">
        <f>VLOOKUP($E499,'[1]Product Naming'!$A$1:$P$58,6)</f>
        <v>3</v>
      </c>
      <c r="X499" s="3">
        <f>VLOOKUP($E499,'[1]Product Naming'!$A$1:$P$58,7)</f>
        <v>6</v>
      </c>
      <c r="Y499" s="3">
        <f>VLOOKUP($E499,'[1]Product Naming'!$A$1:$P$58,8)</f>
        <v>1</v>
      </c>
      <c r="Z499" s="3">
        <f>VLOOKUP($E499,'[1]Product Naming'!$A$1:$P$58,9)</f>
        <v>0</v>
      </c>
      <c r="AA499" s="3">
        <f>VLOOKUP($E499,'[1]Product Naming'!$A$1:$P$58,10)</f>
        <v>0</v>
      </c>
      <c r="AB499" s="3">
        <f>VLOOKUP($E499,'[1]Product Naming'!$A$1:$P$58,11)</f>
        <v>5.333333333333333</v>
      </c>
      <c r="AC499" s="3">
        <f>VLOOKUP($E499,'[1]Product Naming'!$A$1:$P$58,12)</f>
        <v>58.078140000000005</v>
      </c>
      <c r="AD499" s="3">
        <f>VLOOKUP($E499,'[1]Product Naming'!$A$1:$P$58,13)</f>
        <v>56</v>
      </c>
      <c r="AE499" s="3" t="str">
        <f>VLOOKUP($E499,'[1]Product Naming'!$A$1:$P$58,14)</f>
        <v>Ketone</v>
      </c>
      <c r="AF499" s="3" t="str">
        <f>VLOOKUP($E499,'[1]Product Naming'!$A$1:$P$58,15)</f>
        <v>Acetyl-CoA</v>
      </c>
      <c r="AG499" s="3" t="str">
        <f>VLOOKUP($E499,'[1]Product Naming'!$A$1:$P$58,16)</f>
        <v>Proton symporter</v>
      </c>
      <c r="AH499" s="3" t="str">
        <f>VLOOKUP($E499,'[1]Product Naming'!$A$1:$Q$58,17)</f>
        <v>acetone_c</v>
      </c>
    </row>
    <row r="500" spans="1:34" hidden="1" x14ac:dyDescent="0.2">
      <c r="A500" s="8" t="s">
        <v>350</v>
      </c>
      <c r="B500" s="17" t="s">
        <v>64</v>
      </c>
      <c r="C500" t="s">
        <v>354</v>
      </c>
      <c r="D500" s="13" t="s">
        <v>51</v>
      </c>
      <c r="E500" t="s">
        <v>222</v>
      </c>
      <c r="F500" t="s">
        <v>223</v>
      </c>
      <c r="G500">
        <v>-10</v>
      </c>
      <c r="H500">
        <v>0</v>
      </c>
      <c r="I500">
        <v>0</v>
      </c>
      <c r="J500">
        <v>0.45</v>
      </c>
      <c r="K500">
        <v>-10</v>
      </c>
      <c r="L500">
        <v>0</v>
      </c>
      <c r="M500" s="26">
        <v>3.3333333333333299</v>
      </c>
      <c r="N500">
        <v>0</v>
      </c>
      <c r="O500" s="26">
        <v>3.3333333333333299</v>
      </c>
      <c r="P500"/>
      <c r="Q500" s="26">
        <v>0.33333333333333298</v>
      </c>
      <c r="R500">
        <v>0.61714887216894598</v>
      </c>
      <c r="S500" s="3" t="str">
        <f>VLOOKUP($E500,'[1]Product Naming'!$A$1:$P$58,2)</f>
        <v>Acetone</v>
      </c>
      <c r="T500" s="3" t="str">
        <f>VLOOKUP($E500,'[1]Product Naming'!$A$1:$P$58,3)</f>
        <v>Acetone</v>
      </c>
      <c r="U500" s="3" t="str">
        <f>VLOOKUP($E500,'[1]Product Naming'!$A$1:$P$58,4)</f>
        <v>A</v>
      </c>
      <c r="V500" s="3" t="str">
        <f>VLOOKUP($E500,'[1]Product Naming'!$A$1:$P$58,5)</f>
        <v>C3H6O</v>
      </c>
      <c r="W500" s="3">
        <f>VLOOKUP($E500,'[1]Product Naming'!$A$1:$P$58,6)</f>
        <v>3</v>
      </c>
      <c r="X500" s="3">
        <f>VLOOKUP($E500,'[1]Product Naming'!$A$1:$P$58,7)</f>
        <v>6</v>
      </c>
      <c r="Y500" s="3">
        <f>VLOOKUP($E500,'[1]Product Naming'!$A$1:$P$58,8)</f>
        <v>1</v>
      </c>
      <c r="Z500" s="3">
        <f>VLOOKUP($E500,'[1]Product Naming'!$A$1:$P$58,9)</f>
        <v>0</v>
      </c>
      <c r="AA500" s="3">
        <f>VLOOKUP($E500,'[1]Product Naming'!$A$1:$P$58,10)</f>
        <v>0</v>
      </c>
      <c r="AB500" s="3">
        <f>VLOOKUP($E500,'[1]Product Naming'!$A$1:$P$58,11)</f>
        <v>5.333333333333333</v>
      </c>
      <c r="AC500" s="3">
        <f>VLOOKUP($E500,'[1]Product Naming'!$A$1:$P$58,12)</f>
        <v>58.078140000000005</v>
      </c>
      <c r="AD500" s="3">
        <f>VLOOKUP($E500,'[1]Product Naming'!$A$1:$P$58,13)</f>
        <v>56</v>
      </c>
      <c r="AE500" s="3" t="str">
        <f>VLOOKUP($E500,'[1]Product Naming'!$A$1:$P$58,14)</f>
        <v>Ketone</v>
      </c>
      <c r="AF500" s="3" t="str">
        <f>VLOOKUP($E500,'[1]Product Naming'!$A$1:$P$58,15)</f>
        <v>Acetyl-CoA</v>
      </c>
      <c r="AG500" s="3" t="str">
        <f>VLOOKUP($E500,'[1]Product Naming'!$A$1:$P$58,16)</f>
        <v>Proton symporter</v>
      </c>
      <c r="AH500" s="3" t="str">
        <f>VLOOKUP($E500,'[1]Product Naming'!$A$1:$Q$58,17)</f>
        <v>acetone_c</v>
      </c>
    </row>
    <row r="501" spans="1:34" hidden="1" x14ac:dyDescent="0.2">
      <c r="A501" s="16" t="s">
        <v>63</v>
      </c>
      <c r="B501" s="17" t="s">
        <v>64</v>
      </c>
      <c r="C501" t="s">
        <v>69</v>
      </c>
      <c r="D501" s="18" t="s">
        <v>66</v>
      </c>
      <c r="E501" t="s">
        <v>222</v>
      </c>
      <c r="F501" t="s">
        <v>223</v>
      </c>
      <c r="G501">
        <v>-10</v>
      </c>
      <c r="H501">
        <v>0</v>
      </c>
      <c r="I501">
        <v>-20</v>
      </c>
      <c r="J501">
        <v>0.45</v>
      </c>
      <c r="K501">
        <v>-10</v>
      </c>
      <c r="L501">
        <v>0</v>
      </c>
      <c r="M501">
        <v>-16.6666666666667</v>
      </c>
      <c r="N501">
        <v>0</v>
      </c>
      <c r="O501">
        <v>3.3333333333333299</v>
      </c>
      <c r="P501"/>
      <c r="Q501">
        <v>0.33333333333333298</v>
      </c>
      <c r="R501" s="19">
        <v>0.616999256347604</v>
      </c>
      <c r="S501" s="11" t="s">
        <v>222</v>
      </c>
      <c r="T501" s="2" t="s">
        <v>222</v>
      </c>
      <c r="U501" s="3" t="s">
        <v>41</v>
      </c>
      <c r="V501" s="2" t="s">
        <v>224</v>
      </c>
      <c r="W501" s="2">
        <v>3</v>
      </c>
      <c r="X501" s="2">
        <v>6</v>
      </c>
      <c r="Y501" s="2">
        <v>1</v>
      </c>
      <c r="Z501" s="2">
        <v>0</v>
      </c>
      <c r="AA501" s="2">
        <v>0</v>
      </c>
      <c r="AB501" s="12">
        <f>(W501*4+X501*1+Y501*-2+Z501*-3)/W501</f>
        <v>5.333333333333333</v>
      </c>
      <c r="AC501" s="3">
        <f>W501*12.0107+X501*1.00784+Y501*15.999+Z501*14.0067</f>
        <v>58.078140000000005</v>
      </c>
      <c r="AD501" s="12">
        <v>56</v>
      </c>
      <c r="AE501" s="2" t="s">
        <v>225</v>
      </c>
      <c r="AF501" s="2" t="s">
        <v>79</v>
      </c>
      <c r="AG501" s="2" t="str">
        <f>IF(AD501&gt;37,"Proton symporter", "Diffusion")</f>
        <v>Proton symporter</v>
      </c>
      <c r="AH501" s="3" t="s">
        <v>226</v>
      </c>
    </row>
    <row r="502" spans="1:34" hidden="1" x14ac:dyDescent="0.2">
      <c r="A502" s="8" t="s">
        <v>34</v>
      </c>
      <c r="B502" s="9" t="s">
        <v>35</v>
      </c>
      <c r="C502" s="1" t="s">
        <v>62</v>
      </c>
      <c r="D502" s="15" t="s">
        <v>55</v>
      </c>
      <c r="E502" s="1" t="s">
        <v>216</v>
      </c>
      <c r="F502" s="1" t="s">
        <v>217</v>
      </c>
      <c r="G502" s="1">
        <v>-10</v>
      </c>
      <c r="H502" s="1">
        <v>-20</v>
      </c>
      <c r="I502" s="1" t="s">
        <v>40</v>
      </c>
      <c r="J502" s="1">
        <v>3.15</v>
      </c>
      <c r="K502" s="1">
        <v>-10</v>
      </c>
      <c r="L502" s="1">
        <v>-1.57795275590551</v>
      </c>
      <c r="M502" s="1" t="s">
        <v>40</v>
      </c>
      <c r="N502" s="1">
        <v>13.6834645669291</v>
      </c>
      <c r="O502" s="1">
        <v>12.1055118110236</v>
      </c>
      <c r="Q502" s="1">
        <v>1.2105511811023599</v>
      </c>
      <c r="R502" s="1">
        <v>0.61356326599886402</v>
      </c>
      <c r="S502" s="11" t="s">
        <v>216</v>
      </c>
      <c r="T502" s="2" t="s">
        <v>218</v>
      </c>
      <c r="U502" s="3" t="s">
        <v>41</v>
      </c>
      <c r="V502" s="2" t="s">
        <v>219</v>
      </c>
      <c r="W502" s="2">
        <v>3</v>
      </c>
      <c r="X502" s="2">
        <v>8</v>
      </c>
      <c r="Y502" s="2">
        <v>2</v>
      </c>
      <c r="Z502" s="2">
        <v>0</v>
      </c>
      <c r="AA502" s="2">
        <v>0</v>
      </c>
      <c r="AB502" s="12">
        <f>(W502*4+X502*1+Y502*-2+Z502*-3)/W502</f>
        <v>5.333333333333333</v>
      </c>
      <c r="AC502" s="3">
        <f>W502*12.0107+X502*1.00784+Y502*15.999+Z502*14.0067</f>
        <v>76.092820000000003</v>
      </c>
      <c r="AD502" s="12">
        <v>213</v>
      </c>
      <c r="AE502" s="2" t="s">
        <v>220</v>
      </c>
      <c r="AF502" s="2" t="s">
        <v>98</v>
      </c>
      <c r="AG502" s="2" t="str">
        <f>IF(AD502&gt;37,"Proton symporter", "Diffusion")</f>
        <v>Proton symporter</v>
      </c>
      <c r="AH502" s="3" t="s">
        <v>221</v>
      </c>
    </row>
    <row r="503" spans="1:34" hidden="1" x14ac:dyDescent="0.2">
      <c r="A503" s="8" t="s">
        <v>34</v>
      </c>
      <c r="B503" s="9" t="s">
        <v>35</v>
      </c>
      <c r="C503" s="1" t="s">
        <v>56</v>
      </c>
      <c r="D503" s="14" t="s">
        <v>55</v>
      </c>
      <c r="E503" s="1" t="s">
        <v>186</v>
      </c>
      <c r="F503" s="1" t="s">
        <v>187</v>
      </c>
      <c r="G503" s="1">
        <v>-10</v>
      </c>
      <c r="H503" s="1">
        <v>-20</v>
      </c>
      <c r="I503" s="1" t="s">
        <v>40</v>
      </c>
      <c r="J503" s="1">
        <v>3.15</v>
      </c>
      <c r="K503" s="1">
        <v>-10</v>
      </c>
      <c r="L503" s="1">
        <v>-2.5634920634920602</v>
      </c>
      <c r="M503" s="1" t="s">
        <v>40</v>
      </c>
      <c r="N503" s="1">
        <v>4.0507936507936302</v>
      </c>
      <c r="O503" s="1">
        <v>6.4873015873015802</v>
      </c>
      <c r="Q503" s="1">
        <v>0.64873015873015805</v>
      </c>
      <c r="R503" s="1">
        <v>0.61352210507839799</v>
      </c>
      <c r="S503" s="11" t="s">
        <v>186</v>
      </c>
      <c r="T503" s="2" t="s">
        <v>186</v>
      </c>
      <c r="U503" s="3" t="s">
        <v>41</v>
      </c>
      <c r="V503" s="2" t="s">
        <v>184</v>
      </c>
      <c r="W503" s="2">
        <v>4</v>
      </c>
      <c r="X503" s="2">
        <v>7</v>
      </c>
      <c r="Y503" s="2">
        <v>2</v>
      </c>
      <c r="Z503" s="2">
        <v>0</v>
      </c>
      <c r="AA503" s="2">
        <v>0</v>
      </c>
      <c r="AB503" s="12">
        <f>(W503*4+X503*1+Y503*-2+Z503*-3)/W503</f>
        <v>4.75</v>
      </c>
      <c r="AC503" s="3">
        <f>W503*12.0107+X503*1.00784+Y503*15.999+Z503*14.0067</f>
        <v>87.095680000000002</v>
      </c>
      <c r="AD503" s="12">
        <v>155</v>
      </c>
      <c r="AE503" s="2" t="s">
        <v>131</v>
      </c>
      <c r="AF503" s="2" t="s">
        <v>135</v>
      </c>
      <c r="AG503" s="2" t="str">
        <f>IF(AD503&gt;37,"Proton symporter", "Diffusion")</f>
        <v>Proton symporter</v>
      </c>
      <c r="AH503" s="3" t="s">
        <v>188</v>
      </c>
    </row>
    <row r="504" spans="1:34" hidden="1" x14ac:dyDescent="0.2">
      <c r="A504" s="8" t="s">
        <v>34</v>
      </c>
      <c r="B504" s="9" t="s">
        <v>35</v>
      </c>
      <c r="C504" s="1" t="s">
        <v>56</v>
      </c>
      <c r="D504" s="14" t="s">
        <v>55</v>
      </c>
      <c r="E504" s="1" t="s">
        <v>240</v>
      </c>
      <c r="F504" s="1" t="s">
        <v>235</v>
      </c>
      <c r="G504" s="1">
        <v>-10</v>
      </c>
      <c r="H504" s="1">
        <v>-20</v>
      </c>
      <c r="I504" s="1" t="s">
        <v>40</v>
      </c>
      <c r="J504" s="1">
        <v>3.15</v>
      </c>
      <c r="K504" s="1">
        <v>-10</v>
      </c>
      <c r="L504" s="1">
        <v>-0.51854838709676399</v>
      </c>
      <c r="M504" s="1" t="s">
        <v>40</v>
      </c>
      <c r="N504" s="1">
        <v>4.9225806451612799</v>
      </c>
      <c r="O504" s="1">
        <v>6.2693548387096696</v>
      </c>
      <c r="Q504" s="1">
        <v>0.62693548387096698</v>
      </c>
      <c r="R504" s="1">
        <v>0.61349311232897497</v>
      </c>
      <c r="S504" s="20" t="s">
        <v>241</v>
      </c>
      <c r="T504" s="3" t="s">
        <v>242</v>
      </c>
      <c r="U504" s="3" t="s">
        <v>106</v>
      </c>
      <c r="V504" s="3" t="s">
        <v>238</v>
      </c>
      <c r="W504" s="3">
        <v>4</v>
      </c>
      <c r="X504" s="3">
        <v>10</v>
      </c>
      <c r="Y504" s="3">
        <v>2</v>
      </c>
      <c r="Z504" s="3">
        <v>0</v>
      </c>
      <c r="AA504" s="3">
        <v>0</v>
      </c>
      <c r="AB504" s="12">
        <f>(W504*4+X504*1+Y504*-2+Z504*-3)/W504</f>
        <v>5.5</v>
      </c>
      <c r="AC504" s="3">
        <f>W504*12.0107+X504*1.00784+Y504*15.999+Z504*14.0067</f>
        <v>90.119200000000006</v>
      </c>
      <c r="AD504" s="12">
        <v>207</v>
      </c>
      <c r="AE504" s="2" t="s">
        <v>220</v>
      </c>
      <c r="AF504" s="3" t="s">
        <v>243</v>
      </c>
      <c r="AG504" s="2" t="str">
        <f>IF(AD504&gt;37,"Proton symporter", "Diffusion")</f>
        <v>Proton symporter</v>
      </c>
      <c r="AH504" s="3" t="s">
        <v>239</v>
      </c>
    </row>
    <row r="505" spans="1:34" hidden="1" x14ac:dyDescent="0.2">
      <c r="A505" s="8" t="s">
        <v>34</v>
      </c>
      <c r="B505" s="9" t="s">
        <v>35</v>
      </c>
      <c r="C505" s="1" t="s">
        <v>49</v>
      </c>
      <c r="D505" s="10" t="s">
        <v>37</v>
      </c>
      <c r="E505" s="1" t="s">
        <v>315</v>
      </c>
      <c r="F505" s="1" t="s">
        <v>311</v>
      </c>
      <c r="G505" s="1">
        <v>-10</v>
      </c>
      <c r="H505" s="1">
        <v>-20</v>
      </c>
      <c r="I505" s="1" t="s">
        <v>40</v>
      </c>
      <c r="J505" s="1">
        <v>3.15</v>
      </c>
      <c r="K505" s="1">
        <v>-10</v>
      </c>
      <c r="L505" s="1">
        <v>-5.9697986577181199</v>
      </c>
      <c r="M505" s="1" t="s">
        <v>40</v>
      </c>
      <c r="N505" s="1">
        <v>3.97986577181207</v>
      </c>
      <c r="O505" s="1">
        <v>3.2040268456375798</v>
      </c>
      <c r="Q505" s="1">
        <v>0.32040268456375798</v>
      </c>
      <c r="R505" s="1">
        <v>0.6130664275487</v>
      </c>
      <c r="S505" s="20" t="s">
        <v>315</v>
      </c>
      <c r="T505" s="3" t="s">
        <v>316</v>
      </c>
      <c r="U505" s="3" t="s">
        <v>106</v>
      </c>
      <c r="V505" s="3" t="s">
        <v>292</v>
      </c>
      <c r="W505" s="3">
        <v>5</v>
      </c>
      <c r="X505" s="3">
        <v>12</v>
      </c>
      <c r="Y505" s="3">
        <v>1</v>
      </c>
      <c r="Z505" s="3">
        <v>0</v>
      </c>
      <c r="AA505" s="3">
        <v>0</v>
      </c>
      <c r="AB505" s="12">
        <f>(W505*4+X505*1+Y505*-2+Z505*-3)/W505</f>
        <v>6</v>
      </c>
      <c r="AC505" s="3">
        <f>W505*12.0107+X505*1.00784+Y505*15.999+Z505*14.0067</f>
        <v>88.14658</v>
      </c>
      <c r="AD505" s="12">
        <v>138</v>
      </c>
      <c r="AE505" s="3" t="s">
        <v>262</v>
      </c>
      <c r="AF505" s="3" t="s">
        <v>44</v>
      </c>
      <c r="AG505" s="2" t="str">
        <f>IF(AD505&gt;37,"Proton symporter", "Diffusion")</f>
        <v>Proton symporter</v>
      </c>
      <c r="AH505" s="3" t="s">
        <v>314</v>
      </c>
    </row>
    <row r="506" spans="1:34" hidden="1" x14ac:dyDescent="0.2">
      <c r="A506" s="8" t="s">
        <v>34</v>
      </c>
      <c r="B506" s="9" t="s">
        <v>35</v>
      </c>
      <c r="C506" s="1" t="s">
        <v>48</v>
      </c>
      <c r="D506" s="10" t="s">
        <v>37</v>
      </c>
      <c r="E506" s="1" t="s">
        <v>273</v>
      </c>
      <c r="F506" s="1" t="s">
        <v>274</v>
      </c>
      <c r="G506" s="1">
        <v>-10</v>
      </c>
      <c r="H506" s="1">
        <v>-20</v>
      </c>
      <c r="I506" s="1" t="s">
        <v>40</v>
      </c>
      <c r="J506" s="1">
        <v>3.15</v>
      </c>
      <c r="K506" s="1">
        <v>-10</v>
      </c>
      <c r="L506" s="1">
        <v>-5.14054054054054</v>
      </c>
      <c r="M506" s="1" t="s">
        <v>40</v>
      </c>
      <c r="N506" s="1">
        <v>5.1054054054054196</v>
      </c>
      <c r="O506" s="1">
        <v>4.9648648648648699</v>
      </c>
      <c r="Q506" s="1">
        <v>0.49648648648648702</v>
      </c>
      <c r="R506" s="1">
        <v>0.609061787968318</v>
      </c>
      <c r="S506" s="22" t="s">
        <v>273</v>
      </c>
      <c r="T506" s="3" t="s">
        <v>275</v>
      </c>
      <c r="U506" s="3" t="s">
        <v>41</v>
      </c>
      <c r="V506" s="2" t="s">
        <v>276</v>
      </c>
      <c r="W506" s="2">
        <v>3</v>
      </c>
      <c r="X506" s="2">
        <v>12</v>
      </c>
      <c r="Y506" s="2">
        <v>0</v>
      </c>
      <c r="Z506" s="2">
        <v>2</v>
      </c>
      <c r="AA506" s="2">
        <v>0</v>
      </c>
      <c r="AB506" s="12">
        <f>(W506*4+X506*1+Y506*-2+Z506*-3)/W506</f>
        <v>6</v>
      </c>
      <c r="AC506" s="3">
        <f>W506*12.0107+X506*1.00784+Y506*15.999+Z506*14.0067</f>
        <v>76.139580000000009</v>
      </c>
      <c r="AD506" s="12">
        <v>139.30000000000001</v>
      </c>
      <c r="AE506" s="2" t="s">
        <v>277</v>
      </c>
      <c r="AF506" s="2" t="s">
        <v>125</v>
      </c>
      <c r="AG506" s="2" t="str">
        <f>IF(AD506&gt;37,"Proton symporter", "Diffusion")</f>
        <v>Proton symporter</v>
      </c>
      <c r="AH506" s="3" t="s">
        <v>278</v>
      </c>
    </row>
    <row r="507" spans="1:34" hidden="1" x14ac:dyDescent="0.2">
      <c r="A507" s="8" t="s">
        <v>34</v>
      </c>
      <c r="B507" s="9" t="s">
        <v>35</v>
      </c>
      <c r="C507" s="1" t="s">
        <v>60</v>
      </c>
      <c r="D507" s="13" t="s">
        <v>51</v>
      </c>
      <c r="E507" s="1" t="s">
        <v>161</v>
      </c>
      <c r="F507" s="1" t="s">
        <v>162</v>
      </c>
      <c r="G507" s="1">
        <v>-10</v>
      </c>
      <c r="H507" s="1">
        <v>-20</v>
      </c>
      <c r="I507" s="1" t="s">
        <v>40</v>
      </c>
      <c r="J507" s="1">
        <v>3.15</v>
      </c>
      <c r="K507" s="1">
        <v>-10</v>
      </c>
      <c r="L507" s="1">
        <v>-3.5243772241992901</v>
      </c>
      <c r="M507" s="1" t="s">
        <v>40</v>
      </c>
      <c r="N507" s="1">
        <v>-0.59288256227760405</v>
      </c>
      <c r="O507" s="1">
        <v>1.7654804270462701</v>
      </c>
      <c r="Q507" s="1">
        <v>0.17654804270462601</v>
      </c>
      <c r="R507" s="1">
        <v>0.60670810534027197</v>
      </c>
      <c r="S507" s="20" t="s">
        <v>161</v>
      </c>
      <c r="T507" s="3" t="s">
        <v>161</v>
      </c>
      <c r="U507" s="3" t="s">
        <v>106</v>
      </c>
      <c r="V507" s="20" t="s">
        <v>163</v>
      </c>
      <c r="W507" s="3">
        <v>6</v>
      </c>
      <c r="X507" s="3">
        <v>6</v>
      </c>
      <c r="Y507" s="3">
        <v>2</v>
      </c>
      <c r="Z507" s="3">
        <v>0</v>
      </c>
      <c r="AA507" s="3">
        <v>0</v>
      </c>
      <c r="AB507" s="12">
        <f>(W507*4+X507*1+Y507*-2+Z507*-3)/W507</f>
        <v>4.333333333333333</v>
      </c>
      <c r="AC507" s="3">
        <f>W507*12.0107+X507*1.00784+Y507*15.999+Z507*14.0067</f>
        <v>110.10924</v>
      </c>
      <c r="AD507" s="12">
        <v>245</v>
      </c>
      <c r="AE507" s="3" t="s">
        <v>164</v>
      </c>
      <c r="AF507" s="2" t="s">
        <v>98</v>
      </c>
      <c r="AG507" s="2" t="str">
        <f>IF(AD507&gt;37,"Proton symporter", "Diffusion")</f>
        <v>Proton symporter</v>
      </c>
      <c r="AH507" s="3" t="s">
        <v>165</v>
      </c>
    </row>
    <row r="508" spans="1:34" hidden="1" x14ac:dyDescent="0.2">
      <c r="A508" s="8" t="s">
        <v>34</v>
      </c>
      <c r="B508" s="9" t="s">
        <v>35</v>
      </c>
      <c r="C508" s="1" t="s">
        <v>59</v>
      </c>
      <c r="D508" s="13" t="s">
        <v>51</v>
      </c>
      <c r="E508" s="1" t="s">
        <v>161</v>
      </c>
      <c r="F508" s="1" t="s">
        <v>162</v>
      </c>
      <c r="G508" s="1">
        <v>-10</v>
      </c>
      <c r="H508" s="1">
        <v>-20</v>
      </c>
      <c r="I508" s="1" t="s">
        <v>40</v>
      </c>
      <c r="J508" s="1">
        <v>3.15</v>
      </c>
      <c r="K508" s="1">
        <v>-10</v>
      </c>
      <c r="L508" s="1">
        <v>-3.5243772241992901</v>
      </c>
      <c r="M508" s="1" t="s">
        <v>40</v>
      </c>
      <c r="N508" s="1">
        <v>-0.59288256227758196</v>
      </c>
      <c r="O508" s="1">
        <v>1.7654804270462601</v>
      </c>
      <c r="Q508" s="1">
        <v>0.17654804270462601</v>
      </c>
      <c r="R508" s="1">
        <v>0.60670810534027098</v>
      </c>
      <c r="S508" s="20" t="s">
        <v>161</v>
      </c>
      <c r="T508" s="3" t="s">
        <v>161</v>
      </c>
      <c r="U508" s="3" t="s">
        <v>106</v>
      </c>
      <c r="V508" s="20" t="s">
        <v>163</v>
      </c>
      <c r="W508" s="3">
        <v>6</v>
      </c>
      <c r="X508" s="3">
        <v>6</v>
      </c>
      <c r="Y508" s="3">
        <v>2</v>
      </c>
      <c r="Z508" s="3">
        <v>0</v>
      </c>
      <c r="AA508" s="3">
        <v>0</v>
      </c>
      <c r="AB508" s="12">
        <f>(W508*4+X508*1+Y508*-2+Z508*-3)/W508</f>
        <v>4.333333333333333</v>
      </c>
      <c r="AC508" s="3">
        <f>W508*12.0107+X508*1.00784+Y508*15.999+Z508*14.0067</f>
        <v>110.10924</v>
      </c>
      <c r="AD508" s="12">
        <v>245</v>
      </c>
      <c r="AE508" s="3" t="s">
        <v>164</v>
      </c>
      <c r="AF508" s="2" t="s">
        <v>98</v>
      </c>
      <c r="AG508" s="2" t="str">
        <f>IF(AD508&gt;37,"Proton symporter", "Diffusion")</f>
        <v>Proton symporter</v>
      </c>
      <c r="AH508" s="3" t="s">
        <v>165</v>
      </c>
    </row>
    <row r="509" spans="1:34" hidden="1" x14ac:dyDescent="0.2">
      <c r="A509" s="8" t="s">
        <v>34</v>
      </c>
      <c r="B509" s="9" t="s">
        <v>35</v>
      </c>
      <c r="C509" s="1" t="s">
        <v>56</v>
      </c>
      <c r="D509" s="14" t="s">
        <v>55</v>
      </c>
      <c r="E509" s="1" t="s">
        <v>249</v>
      </c>
      <c r="F509" s="1" t="s">
        <v>250</v>
      </c>
      <c r="G509" s="1">
        <v>-10</v>
      </c>
      <c r="H509" s="1">
        <v>-20</v>
      </c>
      <c r="I509" s="1" t="s">
        <v>40</v>
      </c>
      <c r="J509" s="1">
        <v>3.15</v>
      </c>
      <c r="K509" s="1">
        <v>-10</v>
      </c>
      <c r="L509" s="1">
        <v>-0.94166666666667398</v>
      </c>
      <c r="M509" s="1" t="s">
        <v>40</v>
      </c>
      <c r="N509" s="1">
        <v>5.2303030303030198</v>
      </c>
      <c r="O509" s="1">
        <v>6.1924242424242397</v>
      </c>
      <c r="Q509" s="1">
        <v>0.61924242424242404</v>
      </c>
      <c r="R509" s="1">
        <v>0.60596500263305197</v>
      </c>
      <c r="S509" s="20" t="s">
        <v>251</v>
      </c>
      <c r="T509" s="3" t="s">
        <v>252</v>
      </c>
      <c r="U509" s="3" t="s">
        <v>106</v>
      </c>
      <c r="V509" s="3" t="s">
        <v>238</v>
      </c>
      <c r="W509" s="3">
        <v>4</v>
      </c>
      <c r="X509" s="3">
        <v>10</v>
      </c>
      <c r="Y509" s="3">
        <v>2</v>
      </c>
      <c r="Z509" s="3">
        <v>0</v>
      </c>
      <c r="AA509" s="3">
        <v>0</v>
      </c>
      <c r="AB509" s="12">
        <f>(W509*4+X509*1+Y509*-2+Z509*-3)/W509</f>
        <v>5.5</v>
      </c>
      <c r="AC509" s="3">
        <f>W509*12.0107+X509*1.00784+Y509*15.999+Z509*14.0067</f>
        <v>90.119200000000006</v>
      </c>
      <c r="AD509" s="12">
        <v>177</v>
      </c>
      <c r="AE509" s="3" t="s">
        <v>220</v>
      </c>
      <c r="AF509" s="3" t="s">
        <v>135</v>
      </c>
      <c r="AG509" s="2" t="str">
        <f>IF(AD509&gt;37,"Proton symporter", "Diffusion")</f>
        <v>Proton symporter</v>
      </c>
      <c r="AH509" s="3" t="s">
        <v>253</v>
      </c>
    </row>
    <row r="510" spans="1:34" hidden="1" x14ac:dyDescent="0.2">
      <c r="A510" s="8" t="s">
        <v>34</v>
      </c>
      <c r="B510" s="9" t="s">
        <v>35</v>
      </c>
      <c r="C510" s="1" t="s">
        <v>59</v>
      </c>
      <c r="D510" s="13" t="s">
        <v>51</v>
      </c>
      <c r="E510" s="1" t="s">
        <v>146</v>
      </c>
      <c r="F510" s="1" t="s">
        <v>147</v>
      </c>
      <c r="G510" s="1">
        <v>-10</v>
      </c>
      <c r="H510" s="1">
        <v>-20</v>
      </c>
      <c r="I510" s="1" t="s">
        <v>40</v>
      </c>
      <c r="J510" s="1">
        <v>3.15</v>
      </c>
      <c r="K510" s="1">
        <v>-10</v>
      </c>
      <c r="L510" s="1">
        <v>-3.7114970059880199</v>
      </c>
      <c r="M510" s="1" t="s">
        <v>40</v>
      </c>
      <c r="N510" s="1">
        <v>-0.69437125748502704</v>
      </c>
      <c r="O510" s="1">
        <v>1.1882634730538899</v>
      </c>
      <c r="Q510" s="1">
        <v>0.118826347305389</v>
      </c>
      <c r="R510" s="1">
        <v>0.60504559770875799</v>
      </c>
      <c r="S510" s="20" t="s">
        <v>148</v>
      </c>
      <c r="T510" s="3" t="s">
        <v>148</v>
      </c>
      <c r="U510" s="3" t="s">
        <v>106</v>
      </c>
      <c r="V510" s="3" t="s">
        <v>149</v>
      </c>
      <c r="W510" s="3">
        <v>9</v>
      </c>
      <c r="X510" s="3">
        <v>7</v>
      </c>
      <c r="Y510" s="3">
        <v>3</v>
      </c>
      <c r="Z510" s="3">
        <v>0</v>
      </c>
      <c r="AA510" s="3">
        <v>-1</v>
      </c>
      <c r="AB510" s="12">
        <f>(W510*4+X510*1+Y510*-2+Z510*-3)/W510</f>
        <v>4.1111111111111107</v>
      </c>
      <c r="AC510" s="3">
        <f>W510*12.0107+X510*1.00784+Y510*15.999+Z510*14.0067</f>
        <v>163.14818</v>
      </c>
      <c r="AD510" s="12">
        <v>346</v>
      </c>
      <c r="AE510" s="22" t="s">
        <v>139</v>
      </c>
      <c r="AF510" s="2" t="s">
        <v>150</v>
      </c>
      <c r="AG510" s="2" t="str">
        <f>IF(AD510&gt;37,"Proton symporter", "Diffusion")</f>
        <v>Proton symporter</v>
      </c>
      <c r="AH510" s="3" t="s">
        <v>151</v>
      </c>
    </row>
    <row r="511" spans="1:34" hidden="1" x14ac:dyDescent="0.2">
      <c r="A511" s="8" t="s">
        <v>34</v>
      </c>
      <c r="B511" s="9" t="s">
        <v>35</v>
      </c>
      <c r="C511" s="1" t="s">
        <v>60</v>
      </c>
      <c r="D511" s="13" t="s">
        <v>51</v>
      </c>
      <c r="E511" s="1" t="s">
        <v>146</v>
      </c>
      <c r="F511" s="1" t="s">
        <v>147</v>
      </c>
      <c r="G511" s="1">
        <v>-10</v>
      </c>
      <c r="H511" s="1">
        <v>-20</v>
      </c>
      <c r="I511" s="1" t="s">
        <v>40</v>
      </c>
      <c r="J511" s="1">
        <v>3.15</v>
      </c>
      <c r="K511" s="1">
        <v>-10</v>
      </c>
      <c r="L511" s="1">
        <v>-3.7114970059880199</v>
      </c>
      <c r="M511" s="1" t="s">
        <v>40</v>
      </c>
      <c r="N511" s="1">
        <v>-0.69437125748503103</v>
      </c>
      <c r="O511" s="1">
        <v>1.1882634730538899</v>
      </c>
      <c r="Q511" s="1">
        <v>0.118826347305389</v>
      </c>
      <c r="R511" s="1">
        <v>0.60504559770875699</v>
      </c>
      <c r="S511" s="20" t="s">
        <v>148</v>
      </c>
      <c r="T511" s="3" t="s">
        <v>148</v>
      </c>
      <c r="U511" s="3" t="s">
        <v>106</v>
      </c>
      <c r="V511" s="3" t="s">
        <v>149</v>
      </c>
      <c r="W511" s="3">
        <v>9</v>
      </c>
      <c r="X511" s="3">
        <v>7</v>
      </c>
      <c r="Y511" s="3">
        <v>3</v>
      </c>
      <c r="Z511" s="3">
        <v>0</v>
      </c>
      <c r="AA511" s="3">
        <v>-1</v>
      </c>
      <c r="AB511" s="12">
        <f>(W511*4+X511*1+Y511*-2+Z511*-3)/W511</f>
        <v>4.1111111111111107</v>
      </c>
      <c r="AC511" s="3">
        <f>W511*12.0107+X511*1.00784+Y511*15.999+Z511*14.0067</f>
        <v>163.14818</v>
      </c>
      <c r="AD511" s="12">
        <v>346</v>
      </c>
      <c r="AE511" s="22" t="s">
        <v>139</v>
      </c>
      <c r="AF511" s="2" t="s">
        <v>150</v>
      </c>
      <c r="AG511" s="2" t="str">
        <f>IF(AD511&gt;37,"Proton symporter", "Diffusion")</f>
        <v>Proton symporter</v>
      </c>
      <c r="AH511" s="3" t="s">
        <v>151</v>
      </c>
    </row>
    <row r="512" spans="1:34" hidden="1" x14ac:dyDescent="0.2">
      <c r="A512" s="8" t="s">
        <v>34</v>
      </c>
      <c r="B512" s="9" t="s">
        <v>35</v>
      </c>
      <c r="C512" s="1" t="s">
        <v>49</v>
      </c>
      <c r="D512" s="10" t="s">
        <v>37</v>
      </c>
      <c r="E512" s="1" t="s">
        <v>178</v>
      </c>
      <c r="F512" s="1" t="s">
        <v>179</v>
      </c>
      <c r="G512" s="1">
        <v>-10</v>
      </c>
      <c r="H512" s="1">
        <v>-20</v>
      </c>
      <c r="I512" s="1" t="s">
        <v>40</v>
      </c>
      <c r="J512" s="1">
        <v>3.15</v>
      </c>
      <c r="K512" s="1">
        <v>-10</v>
      </c>
      <c r="L512" s="1">
        <v>-7.9754416961130703</v>
      </c>
      <c r="M512" s="1" t="s">
        <v>40</v>
      </c>
      <c r="N512" s="1">
        <v>1.45300353356888</v>
      </c>
      <c r="O512" s="1">
        <v>2.31837455830388</v>
      </c>
      <c r="Q512" s="1">
        <v>0.23183745583038801</v>
      </c>
      <c r="R512" s="1">
        <v>0.60464937911981897</v>
      </c>
      <c r="S512" s="20" t="s">
        <v>178</v>
      </c>
      <c r="T512" s="3" t="s">
        <v>178</v>
      </c>
      <c r="U512" s="3" t="s">
        <v>106</v>
      </c>
      <c r="V512" s="3" t="s">
        <v>180</v>
      </c>
      <c r="W512" s="3">
        <v>8</v>
      </c>
      <c r="X512" s="3">
        <v>8</v>
      </c>
      <c r="Y512" s="3">
        <v>1</v>
      </c>
      <c r="Z512" s="3">
        <v>0</v>
      </c>
      <c r="AA512" s="3">
        <v>0</v>
      </c>
      <c r="AB512" s="12">
        <f>(W512*4+X512*1+Y512*-2+Z512*-3)/W512</f>
        <v>4.75</v>
      </c>
      <c r="AC512" s="3">
        <f>W512*12.0107+X512*1.00784+Y512*15.999+Z512*14.0067</f>
        <v>120.14731999999999</v>
      </c>
      <c r="AD512" s="12">
        <v>229</v>
      </c>
      <c r="AE512" s="3" t="s">
        <v>176</v>
      </c>
      <c r="AF512" s="2" t="s">
        <v>150</v>
      </c>
      <c r="AG512" s="2" t="str">
        <f>IF(AD512&gt;37,"Proton symporter", "Diffusion")</f>
        <v>Proton symporter</v>
      </c>
      <c r="AH512" s="3" t="s">
        <v>181</v>
      </c>
    </row>
    <row r="513" spans="1:34" hidden="1" x14ac:dyDescent="0.2">
      <c r="A513" s="8" t="s">
        <v>34</v>
      </c>
      <c r="B513" s="9" t="s">
        <v>35</v>
      </c>
      <c r="C513" s="1" t="s">
        <v>56</v>
      </c>
      <c r="D513" s="14" t="s">
        <v>55</v>
      </c>
      <c r="E513" s="1" t="s">
        <v>234</v>
      </c>
      <c r="F513" s="1" t="s">
        <v>235</v>
      </c>
      <c r="G513" s="1">
        <v>-10</v>
      </c>
      <c r="H513" s="1">
        <v>-20</v>
      </c>
      <c r="I513" s="1" t="s">
        <v>40</v>
      </c>
      <c r="J513" s="1">
        <v>3.15</v>
      </c>
      <c r="K513" s="1">
        <v>-10</v>
      </c>
      <c r="L513" s="1">
        <v>-1.0658730158729901</v>
      </c>
      <c r="M513" s="1" t="s">
        <v>40</v>
      </c>
      <c r="N513" s="1">
        <v>5.3206349206349497</v>
      </c>
      <c r="O513" s="1">
        <v>6.1698412698412897</v>
      </c>
      <c r="Q513" s="1">
        <v>0.61698412698412897</v>
      </c>
      <c r="R513" s="1">
        <v>0.60375512641899398</v>
      </c>
      <c r="S513" s="20" t="s">
        <v>236</v>
      </c>
      <c r="T513" s="3" t="s">
        <v>237</v>
      </c>
      <c r="U513" s="3" t="s">
        <v>106</v>
      </c>
      <c r="V513" s="3" t="s">
        <v>238</v>
      </c>
      <c r="W513" s="3">
        <v>4</v>
      </c>
      <c r="X513" s="3">
        <v>10</v>
      </c>
      <c r="Y513" s="3">
        <v>2</v>
      </c>
      <c r="Z513" s="3">
        <v>0</v>
      </c>
      <c r="AA513" s="3">
        <v>0</v>
      </c>
      <c r="AB513" s="12">
        <f>(W513*4+X513*1+Y513*-2+Z513*-3)/W513</f>
        <v>5.5</v>
      </c>
      <c r="AC513" s="3">
        <f>W513*12.0107+X513*1.00784+Y513*15.999+Z513*14.0067</f>
        <v>90.119200000000006</v>
      </c>
      <c r="AD513" s="12">
        <v>207</v>
      </c>
      <c r="AE513" s="2" t="s">
        <v>220</v>
      </c>
      <c r="AF513" s="3" t="s">
        <v>79</v>
      </c>
      <c r="AG513" s="2" t="str">
        <f>IF(AD513&gt;37,"Proton symporter", "Diffusion")</f>
        <v>Proton symporter</v>
      </c>
      <c r="AH513" s="3" t="s">
        <v>239</v>
      </c>
    </row>
    <row r="514" spans="1:34" hidden="1" x14ac:dyDescent="0.2">
      <c r="A514" s="16" t="s">
        <v>74</v>
      </c>
      <c r="B514" s="9" t="s">
        <v>35</v>
      </c>
      <c r="C514" t="s">
        <v>47</v>
      </c>
      <c r="D514" s="10" t="s">
        <v>37</v>
      </c>
      <c r="E514" t="s">
        <v>194</v>
      </c>
      <c r="F514" t="s">
        <v>195</v>
      </c>
      <c r="G514">
        <v>-10</v>
      </c>
      <c r="H514">
        <v>-20</v>
      </c>
      <c r="I514" s="1" t="s">
        <v>40</v>
      </c>
      <c r="J514">
        <v>3.15</v>
      </c>
      <c r="K514">
        <v>-10</v>
      </c>
      <c r="L514">
        <v>-7.2056818181818203</v>
      </c>
      <c r="M514" s="1" t="s">
        <v>40</v>
      </c>
      <c r="N514">
        <v>4.7477272727272597</v>
      </c>
      <c r="O514">
        <v>2.5420454545454501</v>
      </c>
      <c r="P514"/>
      <c r="Q514">
        <v>0.25420454545454502</v>
      </c>
      <c r="R514">
        <v>0.60285727060051797</v>
      </c>
      <c r="S514" s="3" t="s">
        <v>194</v>
      </c>
      <c r="T514" s="2" t="s">
        <v>196</v>
      </c>
      <c r="U514" s="3" t="s">
        <v>35</v>
      </c>
      <c r="V514" s="3" t="s">
        <v>197</v>
      </c>
      <c r="W514" s="3">
        <v>6</v>
      </c>
      <c r="X514" s="3">
        <v>15</v>
      </c>
      <c r="Y514" s="3">
        <v>2</v>
      </c>
      <c r="Z514" s="3">
        <v>2</v>
      </c>
      <c r="AA514" s="3">
        <v>1</v>
      </c>
      <c r="AB514" s="12">
        <f>(W514*4+X514*1+Y514*-2+Z514*-3)/W514</f>
        <v>4.833333333333333</v>
      </c>
      <c r="AC514" s="3">
        <f>W514*12.0107+X514*1.00784+Y514*15.999+Z514*14.0067</f>
        <v>147.19319999999999</v>
      </c>
      <c r="AD514" s="12" t="s">
        <v>40</v>
      </c>
      <c r="AE514" s="3" t="s">
        <v>119</v>
      </c>
      <c r="AF514" s="3" t="s">
        <v>44</v>
      </c>
      <c r="AG514" s="2" t="s">
        <v>80</v>
      </c>
      <c r="AH514" s="2" t="s">
        <v>198</v>
      </c>
    </row>
    <row r="515" spans="1:34" hidden="1" x14ac:dyDescent="0.2">
      <c r="A515" s="8" t="s">
        <v>34</v>
      </c>
      <c r="B515" s="9" t="s">
        <v>35</v>
      </c>
      <c r="C515" s="1" t="s">
        <v>49</v>
      </c>
      <c r="D515" s="10" t="s">
        <v>37</v>
      </c>
      <c r="E515" s="1" t="s">
        <v>295</v>
      </c>
      <c r="F515" s="1" t="s">
        <v>296</v>
      </c>
      <c r="G515" s="1">
        <v>-10</v>
      </c>
      <c r="H515" s="1">
        <v>-20</v>
      </c>
      <c r="I515" s="1" t="s">
        <v>40</v>
      </c>
      <c r="J515" s="1">
        <v>3.15</v>
      </c>
      <c r="K515" s="1">
        <v>-10</v>
      </c>
      <c r="L515" s="1">
        <v>-5.5875000000000004</v>
      </c>
      <c r="M515" s="1" t="s">
        <v>40</v>
      </c>
      <c r="N515" s="1">
        <v>3.7250000000000001</v>
      </c>
      <c r="O515" s="1">
        <v>2.7124999999999999</v>
      </c>
      <c r="Q515" s="1">
        <v>0.27124999999999999</v>
      </c>
      <c r="R515" s="1">
        <v>0.60160528564209304</v>
      </c>
      <c r="S515" s="11" t="s">
        <v>295</v>
      </c>
      <c r="T515" s="2" t="s">
        <v>297</v>
      </c>
      <c r="U515" s="3" t="s">
        <v>41</v>
      </c>
      <c r="V515" s="2" t="s">
        <v>298</v>
      </c>
      <c r="W515" s="2">
        <v>6</v>
      </c>
      <c r="X515" s="2">
        <v>14</v>
      </c>
      <c r="Y515" s="2">
        <v>1</v>
      </c>
      <c r="Z515" s="2">
        <v>0</v>
      </c>
      <c r="AA515" s="2">
        <v>0</v>
      </c>
      <c r="AB515" s="12">
        <f>(W515*4+X515*1+Y515*-2+Z515*-3)/W515</f>
        <v>6</v>
      </c>
      <c r="AC515" s="3">
        <f>W515*12.0107+X515*1.00784+Y515*15.999+Z515*14.0067</f>
        <v>102.17295999999999</v>
      </c>
      <c r="AD515" s="12">
        <v>153</v>
      </c>
      <c r="AE515" s="2" t="s">
        <v>262</v>
      </c>
      <c r="AF515" s="2" t="s">
        <v>44</v>
      </c>
      <c r="AG515" s="2" t="str">
        <f>IF(AD515&gt;37,"Proton symporter", "Diffusion")</f>
        <v>Proton symporter</v>
      </c>
      <c r="AH515" s="3" t="s">
        <v>299</v>
      </c>
    </row>
    <row r="516" spans="1:34" hidden="1" x14ac:dyDescent="0.2">
      <c r="A516" s="8" t="s">
        <v>34</v>
      </c>
      <c r="B516" s="9" t="s">
        <v>35</v>
      </c>
      <c r="C516" s="1" t="s">
        <v>49</v>
      </c>
      <c r="D516" s="10" t="s">
        <v>37</v>
      </c>
      <c r="E516" s="1" t="s">
        <v>172</v>
      </c>
      <c r="F516" s="1" t="s">
        <v>173</v>
      </c>
      <c r="G516" s="1">
        <v>-10</v>
      </c>
      <c r="H516" s="1">
        <v>-20</v>
      </c>
      <c r="I516" s="1" t="s">
        <v>40</v>
      </c>
      <c r="J516" s="1">
        <v>3.15</v>
      </c>
      <c r="K516" s="1">
        <v>-10</v>
      </c>
      <c r="L516" s="1">
        <v>-9.4049327354259997</v>
      </c>
      <c r="M516" s="1" t="s">
        <v>40</v>
      </c>
      <c r="N516" s="1">
        <v>2.3470852017937101</v>
      </c>
      <c r="O516" s="1">
        <v>2.9421524663677099</v>
      </c>
      <c r="Q516" s="1">
        <v>0.29421524663677101</v>
      </c>
      <c r="R516" s="1">
        <v>0.60104636751349205</v>
      </c>
      <c r="S516" s="20" t="s">
        <v>172</v>
      </c>
      <c r="T516" s="3" t="s">
        <v>172</v>
      </c>
      <c r="U516" s="3" t="s">
        <v>174</v>
      </c>
      <c r="V516" s="3" t="s">
        <v>175</v>
      </c>
      <c r="W516" s="3">
        <v>6</v>
      </c>
      <c r="X516" s="3">
        <v>6</v>
      </c>
      <c r="Y516" s="3">
        <v>1</v>
      </c>
      <c r="Z516" s="3">
        <v>0</v>
      </c>
      <c r="AA516" s="3">
        <v>0</v>
      </c>
      <c r="AB516" s="12">
        <f>(W516*4+X516*1+Y516*-2+Z516*-3)/W516</f>
        <v>4.666666666666667</v>
      </c>
      <c r="AC516" s="3">
        <f>W516*12.0107+X516*1.00784+Y516*15.999+Z516*14.0067</f>
        <v>94.11023999999999</v>
      </c>
      <c r="AD516" s="12">
        <v>181.7</v>
      </c>
      <c r="AE516" s="3" t="s">
        <v>176</v>
      </c>
      <c r="AF516" s="2" t="s">
        <v>150</v>
      </c>
      <c r="AG516" s="2" t="str">
        <f>IF(AD516&gt;37,"Proton symporter", "Diffusion")</f>
        <v>Proton symporter</v>
      </c>
      <c r="AH516" s="3" t="s">
        <v>177</v>
      </c>
    </row>
    <row r="517" spans="1:34" hidden="1" x14ac:dyDescent="0.2">
      <c r="A517" s="8" t="s">
        <v>34</v>
      </c>
      <c r="B517" s="9" t="s">
        <v>35</v>
      </c>
      <c r="C517" s="1" t="s">
        <v>56</v>
      </c>
      <c r="D517" s="14" t="s">
        <v>55</v>
      </c>
      <c r="E517" s="1" t="s">
        <v>244</v>
      </c>
      <c r="F517" s="1" t="s">
        <v>245</v>
      </c>
      <c r="G517" s="1">
        <v>-10</v>
      </c>
      <c r="H517" s="1">
        <v>-20</v>
      </c>
      <c r="I517" s="1" t="s">
        <v>40</v>
      </c>
      <c r="J517" s="1">
        <v>3.15</v>
      </c>
      <c r="K517" s="1">
        <v>-10</v>
      </c>
      <c r="L517" s="1">
        <v>-1.27093023255814</v>
      </c>
      <c r="M517" s="1" t="s">
        <v>40</v>
      </c>
      <c r="N517" s="1">
        <v>5.4697674418604603</v>
      </c>
      <c r="O517" s="1">
        <v>6.13255813953488</v>
      </c>
      <c r="Q517" s="1">
        <v>0.61325581395348805</v>
      </c>
      <c r="R517" s="1">
        <v>0.60010675362187405</v>
      </c>
      <c r="S517" s="20" t="s">
        <v>246</v>
      </c>
      <c r="T517" s="3" t="s">
        <v>247</v>
      </c>
      <c r="U517" s="3" t="s">
        <v>106</v>
      </c>
      <c r="V517" s="3" t="s">
        <v>238</v>
      </c>
      <c r="W517" s="3">
        <v>4</v>
      </c>
      <c r="X517" s="3">
        <v>10</v>
      </c>
      <c r="Y517" s="3">
        <v>2</v>
      </c>
      <c r="Z517" s="3">
        <v>0</v>
      </c>
      <c r="AA517" s="3">
        <v>0</v>
      </c>
      <c r="AB517" s="12">
        <f>(W517*4+X517*1+Y517*-2+Z517*-3)/W517</f>
        <v>5.5</v>
      </c>
      <c r="AC517" s="3">
        <f>W517*12.0107+X517*1.00784+Y517*15.999+Z517*14.0067</f>
        <v>90.119200000000006</v>
      </c>
      <c r="AD517" s="12">
        <v>230</v>
      </c>
      <c r="AE517" s="2" t="s">
        <v>220</v>
      </c>
      <c r="AF517" s="3" t="s">
        <v>120</v>
      </c>
      <c r="AG517" s="2" t="str">
        <f>IF(AD517&gt;37,"Proton symporter", "Diffusion")</f>
        <v>Proton symporter</v>
      </c>
      <c r="AH517" s="3" t="s">
        <v>248</v>
      </c>
    </row>
    <row r="518" spans="1:34" x14ac:dyDescent="0.2">
      <c r="A518" s="8" t="s">
        <v>34</v>
      </c>
      <c r="B518" s="9" t="s">
        <v>35</v>
      </c>
      <c r="C518" s="1" t="s">
        <v>47</v>
      </c>
      <c r="D518" s="10" t="s">
        <v>37</v>
      </c>
      <c r="E518" s="1" t="s">
        <v>216</v>
      </c>
      <c r="F518" s="1" t="s">
        <v>217</v>
      </c>
      <c r="G518" s="1">
        <v>-10</v>
      </c>
      <c r="H518" s="1">
        <v>-20</v>
      </c>
      <c r="I518" s="1" t="s">
        <v>40</v>
      </c>
      <c r="J518" s="1">
        <v>3.15</v>
      </c>
      <c r="K518" s="1">
        <v>-10</v>
      </c>
      <c r="L518" s="1">
        <v>-5.4749999999999899</v>
      </c>
      <c r="M518" s="1" t="s">
        <v>40</v>
      </c>
      <c r="N518" s="1">
        <v>5.3562500000000099</v>
      </c>
      <c r="O518" s="1">
        <v>4.8812500000000103</v>
      </c>
      <c r="Q518" s="1">
        <v>0.48812500000000097</v>
      </c>
      <c r="R518" s="1">
        <v>0.59843663822132498</v>
      </c>
      <c r="S518" s="11" t="s">
        <v>216</v>
      </c>
      <c r="T518" s="2" t="s">
        <v>218</v>
      </c>
      <c r="U518" s="3" t="s">
        <v>41</v>
      </c>
      <c r="V518" s="2" t="s">
        <v>219</v>
      </c>
      <c r="W518" s="2">
        <v>3</v>
      </c>
      <c r="X518" s="2">
        <v>8</v>
      </c>
      <c r="Y518" s="2">
        <v>2</v>
      </c>
      <c r="Z518" s="2">
        <v>0</v>
      </c>
      <c r="AA518" s="2">
        <v>0</v>
      </c>
      <c r="AB518" s="12">
        <f>(W518*4+X518*1+Y518*-2+Z518*-3)/W518</f>
        <v>5.333333333333333</v>
      </c>
      <c r="AC518" s="3">
        <f>W518*12.0107+X518*1.00784+Y518*15.999+Z518*14.0067</f>
        <v>76.092820000000003</v>
      </c>
      <c r="AD518" s="12">
        <v>213</v>
      </c>
      <c r="AE518" s="2" t="s">
        <v>220</v>
      </c>
      <c r="AF518" s="2" t="s">
        <v>98</v>
      </c>
      <c r="AG518" s="2" t="str">
        <f>IF(AD518&gt;37,"Proton symporter", "Diffusion")</f>
        <v>Proton symporter</v>
      </c>
      <c r="AH518" s="3" t="s">
        <v>221</v>
      </c>
    </row>
    <row r="519" spans="1:34" hidden="1" x14ac:dyDescent="0.2">
      <c r="A519" s="8" t="s">
        <v>34</v>
      </c>
      <c r="B519" s="9" t="s">
        <v>35</v>
      </c>
      <c r="C519" s="1" t="s">
        <v>36</v>
      </c>
      <c r="D519" s="10" t="s">
        <v>37</v>
      </c>
      <c r="E519" s="1" t="s">
        <v>310</v>
      </c>
      <c r="F519" s="1" t="s">
        <v>311</v>
      </c>
      <c r="G519" s="1">
        <v>-10</v>
      </c>
      <c r="H519" s="1">
        <v>-20</v>
      </c>
      <c r="I519" s="1" t="s">
        <v>40</v>
      </c>
      <c r="J519" s="1">
        <v>3.15</v>
      </c>
      <c r="K519" s="1">
        <v>-10</v>
      </c>
      <c r="L519" s="1">
        <v>-2.5975609756097602</v>
      </c>
      <c r="M519" s="1" t="s">
        <v>40</v>
      </c>
      <c r="N519" s="1">
        <v>5.0650406504065</v>
      </c>
      <c r="O519" s="1">
        <v>2.9869918699186999</v>
      </c>
      <c r="Q519" s="1">
        <v>0.29869918699186998</v>
      </c>
      <c r="R519" s="1">
        <v>0.59769034840183</v>
      </c>
      <c r="S519" s="20" t="s">
        <v>310</v>
      </c>
      <c r="T519" s="3" t="s">
        <v>312</v>
      </c>
      <c r="U519" s="3" t="s">
        <v>106</v>
      </c>
      <c r="V519" s="3" t="s">
        <v>292</v>
      </c>
      <c r="W519" s="3">
        <v>5</v>
      </c>
      <c r="X519" s="3">
        <v>12</v>
      </c>
      <c r="Y519" s="3">
        <v>1</v>
      </c>
      <c r="Z519" s="3">
        <v>0</v>
      </c>
      <c r="AA519" s="3">
        <v>0</v>
      </c>
      <c r="AB519" s="12">
        <f>(W519*4+X519*1+Y519*-2+Z519*-3)/W519</f>
        <v>6</v>
      </c>
      <c r="AC519" s="3">
        <f>W519*12.0107+X519*1.00784+Y519*15.999+Z519*14.0067</f>
        <v>88.14658</v>
      </c>
      <c r="AD519" s="12">
        <v>138</v>
      </c>
      <c r="AE519" s="3" t="s">
        <v>262</v>
      </c>
      <c r="AF519" s="2" t="s">
        <v>313</v>
      </c>
      <c r="AG519" s="2" t="str">
        <f>IF(AD519&gt;37,"Proton symporter", "Diffusion")</f>
        <v>Proton symporter</v>
      </c>
      <c r="AH519" s="3" t="s">
        <v>314</v>
      </c>
    </row>
    <row r="520" spans="1:34" hidden="1" x14ac:dyDescent="0.2">
      <c r="A520" s="8" t="s">
        <v>34</v>
      </c>
      <c r="B520" s="9" t="s">
        <v>35</v>
      </c>
      <c r="C520" s="1" t="s">
        <v>36</v>
      </c>
      <c r="D520" s="10" t="s">
        <v>37</v>
      </c>
      <c r="E520" s="1" t="s">
        <v>286</v>
      </c>
      <c r="F520" s="1" t="s">
        <v>280</v>
      </c>
      <c r="G520" s="1">
        <v>-10</v>
      </c>
      <c r="H520" s="1">
        <v>-20</v>
      </c>
      <c r="I520" s="1" t="s">
        <v>40</v>
      </c>
      <c r="J520" s="1">
        <v>3.15</v>
      </c>
      <c r="K520" s="1">
        <v>-10</v>
      </c>
      <c r="L520" s="1">
        <v>-5.54941176470588</v>
      </c>
      <c r="M520" s="1" t="s">
        <v>40</v>
      </c>
      <c r="N520" s="1">
        <v>7.0329411764705902</v>
      </c>
      <c r="O520" s="1">
        <v>4.3223529411764696</v>
      </c>
      <c r="Q520" s="1">
        <v>0.432235294117647</v>
      </c>
      <c r="R520" s="1">
        <v>0.58963977744255702</v>
      </c>
      <c r="S520" s="20" t="s">
        <v>287</v>
      </c>
      <c r="T520" s="3" t="s">
        <v>288</v>
      </c>
      <c r="U520" s="3" t="s">
        <v>174</v>
      </c>
      <c r="V520" s="3" t="s">
        <v>283</v>
      </c>
      <c r="W520" s="3">
        <v>3</v>
      </c>
      <c r="X520" s="3">
        <v>8</v>
      </c>
      <c r="Y520" s="3">
        <v>1</v>
      </c>
      <c r="Z520" s="3">
        <v>0</v>
      </c>
      <c r="AA520" s="3">
        <v>0</v>
      </c>
      <c r="AB520" s="12">
        <f>(W520*4+X520*1+Y520*-2+Z520*-3)/W520</f>
        <v>6</v>
      </c>
      <c r="AC520" s="3">
        <f>W520*12.0107+X520*1.00784+Y520*15.999+Z520*14.0067</f>
        <v>60.093820000000001</v>
      </c>
      <c r="AD520" s="12">
        <v>97</v>
      </c>
      <c r="AE520" s="2" t="s">
        <v>262</v>
      </c>
      <c r="AF520" s="3" t="s">
        <v>44</v>
      </c>
      <c r="AG520" s="2" t="str">
        <f>IF(AD520&gt;37,"Proton symporter", "Diffusion")</f>
        <v>Proton symporter</v>
      </c>
      <c r="AH520" s="3" t="s">
        <v>285</v>
      </c>
    </row>
    <row r="521" spans="1:34" hidden="1" x14ac:dyDescent="0.2">
      <c r="A521" s="16" t="s">
        <v>63</v>
      </c>
      <c r="B521" s="17" t="s">
        <v>64</v>
      </c>
      <c r="C521" t="s">
        <v>68</v>
      </c>
      <c r="D521" s="18" t="s">
        <v>66</v>
      </c>
      <c r="E521" t="s">
        <v>205</v>
      </c>
      <c r="F521" t="s">
        <v>206</v>
      </c>
      <c r="G521">
        <v>-10</v>
      </c>
      <c r="H521">
        <v>0</v>
      </c>
      <c r="I521">
        <v>-10</v>
      </c>
      <c r="J521">
        <v>0.45</v>
      </c>
      <c r="K521">
        <v>-10</v>
      </c>
      <c r="L521">
        <v>0</v>
      </c>
      <c r="M521">
        <v>-10</v>
      </c>
      <c r="N521">
        <v>2</v>
      </c>
      <c r="O521">
        <v>2</v>
      </c>
      <c r="P521"/>
      <c r="Q521">
        <v>0.2</v>
      </c>
      <c r="R521">
        <v>0.58677002997003003</v>
      </c>
      <c r="S521" s="20" t="s">
        <v>205</v>
      </c>
      <c r="T521" s="3" t="s">
        <v>207</v>
      </c>
      <c r="U521" s="3" t="s">
        <v>106</v>
      </c>
      <c r="V521" s="3" t="s">
        <v>208</v>
      </c>
      <c r="W521" s="3">
        <v>4</v>
      </c>
      <c r="X521" s="3">
        <v>8</v>
      </c>
      <c r="Y521" s="3">
        <v>2</v>
      </c>
      <c r="Z521" s="3">
        <v>0</v>
      </c>
      <c r="AA521" s="3">
        <v>0</v>
      </c>
      <c r="AB521" s="12">
        <f>(W521*4+X521*1+Y521*-2+Z521*-3)/W521</f>
        <v>5</v>
      </c>
      <c r="AC521" s="3">
        <f>W521*12.0107+X521*1.00784+Y521*15.999+Z521*14.0067</f>
        <v>88.103520000000003</v>
      </c>
      <c r="AD521" s="12">
        <v>77.099999999999994</v>
      </c>
      <c r="AE521" s="3" t="s">
        <v>209</v>
      </c>
      <c r="AF521" s="3" t="s">
        <v>79</v>
      </c>
      <c r="AG521" s="2" t="str">
        <f>IF(AD521&gt;37,"Proton symporter", "Diffusion")</f>
        <v>Proton symporter</v>
      </c>
      <c r="AH521" s="3" t="s">
        <v>210</v>
      </c>
    </row>
    <row r="522" spans="1:34" hidden="1" x14ac:dyDescent="0.2">
      <c r="A522" s="8" t="s">
        <v>34</v>
      </c>
      <c r="B522" s="9" t="s">
        <v>35</v>
      </c>
      <c r="C522" s="1" t="s">
        <v>54</v>
      </c>
      <c r="D522" s="14" t="s">
        <v>55</v>
      </c>
      <c r="E522" s="1" t="s">
        <v>205</v>
      </c>
      <c r="F522" s="1" t="s">
        <v>206</v>
      </c>
      <c r="G522" s="1">
        <v>-10</v>
      </c>
      <c r="H522" s="1">
        <v>-20</v>
      </c>
      <c r="I522" s="1" t="s">
        <v>40</v>
      </c>
      <c r="J522" s="1">
        <v>3.15</v>
      </c>
      <c r="K522" s="1">
        <v>-10</v>
      </c>
      <c r="L522" s="1">
        <v>-2.7522935779815301E-2</v>
      </c>
      <c r="M522" s="1" t="s">
        <v>40</v>
      </c>
      <c r="N522" s="1">
        <v>12.022018348623901</v>
      </c>
      <c r="O522" s="1">
        <v>11.994495412844</v>
      </c>
      <c r="Q522" s="1">
        <v>1.1994495412844</v>
      </c>
      <c r="R522" s="1">
        <v>0.586591114192623</v>
      </c>
      <c r="S522" s="20" t="s">
        <v>205</v>
      </c>
      <c r="T522" s="3" t="s">
        <v>207</v>
      </c>
      <c r="U522" s="3" t="s">
        <v>106</v>
      </c>
      <c r="V522" s="3" t="s">
        <v>208</v>
      </c>
      <c r="W522" s="3">
        <v>4</v>
      </c>
      <c r="X522" s="3">
        <v>8</v>
      </c>
      <c r="Y522" s="3">
        <v>2</v>
      </c>
      <c r="Z522" s="3">
        <v>0</v>
      </c>
      <c r="AA522" s="3">
        <v>0</v>
      </c>
      <c r="AB522" s="12">
        <f>(W522*4+X522*1+Y522*-2+Z522*-3)/W522</f>
        <v>5</v>
      </c>
      <c r="AC522" s="3">
        <f>W522*12.0107+X522*1.00784+Y522*15.999+Z522*14.0067</f>
        <v>88.103520000000003</v>
      </c>
      <c r="AD522" s="12">
        <v>77.099999999999994</v>
      </c>
      <c r="AE522" s="3" t="s">
        <v>209</v>
      </c>
      <c r="AF522" s="3" t="s">
        <v>79</v>
      </c>
      <c r="AG522" s="2" t="str">
        <f>IF(AD522&gt;37,"Proton symporter", "Diffusion")</f>
        <v>Proton symporter</v>
      </c>
      <c r="AH522" s="3" t="s">
        <v>210</v>
      </c>
    </row>
    <row r="523" spans="1:34" hidden="1" x14ac:dyDescent="0.2">
      <c r="A523" s="8" t="s">
        <v>34</v>
      </c>
      <c r="B523" s="9" t="s">
        <v>35</v>
      </c>
      <c r="C523" s="1" t="s">
        <v>48</v>
      </c>
      <c r="D523" s="10" t="s">
        <v>37</v>
      </c>
      <c r="E523" s="1" t="s">
        <v>244</v>
      </c>
      <c r="F523" s="1" t="s">
        <v>245</v>
      </c>
      <c r="G523" s="1">
        <v>-10</v>
      </c>
      <c r="H523" s="1">
        <v>-20</v>
      </c>
      <c r="I523" s="1" t="s">
        <v>40</v>
      </c>
      <c r="J523" s="1">
        <v>3.15</v>
      </c>
      <c r="K523" s="1">
        <v>-10</v>
      </c>
      <c r="L523" s="1">
        <v>-2.78255813953488</v>
      </c>
      <c r="M523" s="1" t="s">
        <v>40</v>
      </c>
      <c r="N523" s="1">
        <v>3.8418604651162802</v>
      </c>
      <c r="O523" s="1">
        <v>4.0395348837209299</v>
      </c>
      <c r="Q523" s="1">
        <v>0.40395348837209299</v>
      </c>
      <c r="R523" s="1">
        <v>0.58653257171839102</v>
      </c>
      <c r="S523" s="20" t="s">
        <v>246</v>
      </c>
      <c r="T523" s="3" t="s">
        <v>247</v>
      </c>
      <c r="U523" s="3" t="s">
        <v>106</v>
      </c>
      <c r="V523" s="3" t="s">
        <v>238</v>
      </c>
      <c r="W523" s="3">
        <v>4</v>
      </c>
      <c r="X523" s="3">
        <v>10</v>
      </c>
      <c r="Y523" s="3">
        <v>2</v>
      </c>
      <c r="Z523" s="3">
        <v>0</v>
      </c>
      <c r="AA523" s="3">
        <v>0</v>
      </c>
      <c r="AB523" s="12">
        <f>(W523*4+X523*1+Y523*-2+Z523*-3)/W523</f>
        <v>5.5</v>
      </c>
      <c r="AC523" s="3">
        <f>W523*12.0107+X523*1.00784+Y523*15.999+Z523*14.0067</f>
        <v>90.119200000000006</v>
      </c>
      <c r="AD523" s="12">
        <v>230</v>
      </c>
      <c r="AE523" s="2" t="s">
        <v>220</v>
      </c>
      <c r="AF523" s="3" t="s">
        <v>120</v>
      </c>
      <c r="AG523" s="2" t="str">
        <f>IF(AD523&gt;37,"Proton symporter", "Diffusion")</f>
        <v>Proton symporter</v>
      </c>
      <c r="AH523" s="3" t="s">
        <v>248</v>
      </c>
    </row>
    <row r="524" spans="1:34" hidden="1" x14ac:dyDescent="0.2">
      <c r="A524" s="8" t="s">
        <v>34</v>
      </c>
      <c r="B524" s="9" t="s">
        <v>35</v>
      </c>
      <c r="C524" s="1" t="s">
        <v>56</v>
      </c>
      <c r="D524" s="14" t="s">
        <v>55</v>
      </c>
      <c r="E524" s="1" t="s">
        <v>189</v>
      </c>
      <c r="F524" s="1" t="s">
        <v>190</v>
      </c>
      <c r="G524" s="1">
        <v>-10</v>
      </c>
      <c r="H524" s="1">
        <v>-20</v>
      </c>
      <c r="I524" s="1" t="s">
        <v>40</v>
      </c>
      <c r="J524" s="1">
        <v>3.15</v>
      </c>
      <c r="K524" s="1">
        <v>-10</v>
      </c>
      <c r="L524" s="1">
        <v>-7.4276923076923103</v>
      </c>
      <c r="M524" s="1" t="s">
        <v>40</v>
      </c>
      <c r="N524" s="1">
        <v>7.0230769230769301</v>
      </c>
      <c r="O524" s="1">
        <v>4.5953846153846198</v>
      </c>
      <c r="Q524" s="1">
        <v>0.45953846153846201</v>
      </c>
      <c r="R524" s="1">
        <v>0.58453841675135898</v>
      </c>
      <c r="S524" s="11" t="s">
        <v>189</v>
      </c>
      <c r="T524" s="2" t="s">
        <v>189</v>
      </c>
      <c r="U524" s="3" t="s">
        <v>41</v>
      </c>
      <c r="V524" s="2" t="s">
        <v>191</v>
      </c>
      <c r="W524" s="2">
        <v>5</v>
      </c>
      <c r="X524" s="2">
        <v>11</v>
      </c>
      <c r="Y524" s="2">
        <v>2</v>
      </c>
      <c r="Z524" s="2">
        <v>1</v>
      </c>
      <c r="AA524" s="2">
        <v>0</v>
      </c>
      <c r="AB524" s="12">
        <f>(W524*4+X524*1+Y524*-2+Z524*-3)/W524</f>
        <v>4.8</v>
      </c>
      <c r="AC524" s="3">
        <f>W524*12.0107+X524*1.00784+Y524*15.999+Z524*14.0067</f>
        <v>117.14444</v>
      </c>
      <c r="AD524" s="12">
        <v>247.5</v>
      </c>
      <c r="AE524" s="2" t="s">
        <v>192</v>
      </c>
      <c r="AF524" s="2" t="s">
        <v>44</v>
      </c>
      <c r="AG524" s="2" t="str">
        <f>IF(AD524&gt;37,"Proton symporter", "Diffusion")</f>
        <v>Proton symporter</v>
      </c>
      <c r="AH524" s="3" t="s">
        <v>193</v>
      </c>
    </row>
    <row r="525" spans="1:34" hidden="1" x14ac:dyDescent="0.2">
      <c r="A525" s="8" t="s">
        <v>34</v>
      </c>
      <c r="B525" s="9" t="s">
        <v>35</v>
      </c>
      <c r="C525" s="1" t="s">
        <v>54</v>
      </c>
      <c r="D525" s="14" t="s">
        <v>55</v>
      </c>
      <c r="E525" s="1" t="s">
        <v>273</v>
      </c>
      <c r="F525" s="1" t="s">
        <v>274</v>
      </c>
      <c r="G525" s="1">
        <v>-10</v>
      </c>
      <c r="H525" s="1">
        <v>-20</v>
      </c>
      <c r="I525" s="1" t="s">
        <v>40</v>
      </c>
      <c r="J525" s="1">
        <v>3.15</v>
      </c>
      <c r="K525" s="1">
        <v>-10</v>
      </c>
      <c r="L525" s="1">
        <v>-5.0701298701296498</v>
      </c>
      <c r="M525" s="1" t="s">
        <v>40</v>
      </c>
      <c r="N525" s="1">
        <v>18.8025974025973</v>
      </c>
      <c r="O525" s="1">
        <v>13.732467532467499</v>
      </c>
      <c r="Q525" s="1">
        <v>1.3732467532467501</v>
      </c>
      <c r="R525" s="1">
        <v>0.58038916314892797</v>
      </c>
      <c r="S525" s="22" t="s">
        <v>273</v>
      </c>
      <c r="T525" s="3" t="s">
        <v>275</v>
      </c>
      <c r="U525" s="3" t="s">
        <v>41</v>
      </c>
      <c r="V525" s="2" t="s">
        <v>276</v>
      </c>
      <c r="W525" s="2">
        <v>3</v>
      </c>
      <c r="X525" s="2">
        <v>12</v>
      </c>
      <c r="Y525" s="2">
        <v>0</v>
      </c>
      <c r="Z525" s="2">
        <v>2</v>
      </c>
      <c r="AA525" s="2">
        <v>0</v>
      </c>
      <c r="AB525" s="12">
        <f>(W525*4+X525*1+Y525*-2+Z525*-3)/W525</f>
        <v>6</v>
      </c>
      <c r="AC525" s="3">
        <f>W525*12.0107+X525*1.00784+Y525*15.999+Z525*14.0067</f>
        <v>76.139580000000009</v>
      </c>
      <c r="AD525" s="12">
        <v>139.30000000000001</v>
      </c>
      <c r="AE525" s="2" t="s">
        <v>277</v>
      </c>
      <c r="AF525" s="2" t="s">
        <v>125</v>
      </c>
      <c r="AG525" s="2" t="str">
        <f>IF(AD525&gt;37,"Proton symporter", "Diffusion")</f>
        <v>Proton symporter</v>
      </c>
      <c r="AH525" s="3" t="s">
        <v>278</v>
      </c>
    </row>
    <row r="526" spans="1:34" hidden="1" x14ac:dyDescent="0.2">
      <c r="A526" s="8" t="s">
        <v>350</v>
      </c>
      <c r="B526" s="17" t="s">
        <v>64</v>
      </c>
      <c r="C526" t="s">
        <v>354</v>
      </c>
      <c r="D526" s="13" t="s">
        <v>51</v>
      </c>
      <c r="E526" t="s">
        <v>286</v>
      </c>
      <c r="F526" t="s">
        <v>280</v>
      </c>
      <c r="G526">
        <v>-10</v>
      </c>
      <c r="H526">
        <v>0</v>
      </c>
      <c r="I526">
        <v>0</v>
      </c>
      <c r="J526">
        <v>0.45</v>
      </c>
      <c r="K526">
        <v>-10</v>
      </c>
      <c r="L526">
        <v>0</v>
      </c>
      <c r="M526">
        <v>0</v>
      </c>
      <c r="N526">
        <v>0</v>
      </c>
      <c r="O526" s="26">
        <v>3.0933333333333199</v>
      </c>
      <c r="P526"/>
      <c r="Q526" s="26">
        <v>0.30933333333333202</v>
      </c>
      <c r="R526" s="26">
        <v>0.58016250565159999</v>
      </c>
      <c r="S526" s="3" t="str">
        <f>VLOOKUP($E526,'[1]Product Naming'!$A$1:$P$58,2)</f>
        <v>1-propanol-PW2</v>
      </c>
      <c r="T526" s="3" t="str">
        <f>VLOOKUP($E526,'[1]Product Naming'!$A$1:$P$58,3)</f>
        <v>1-Propanol (PW2)</v>
      </c>
      <c r="U526" s="3" t="str">
        <f>VLOOKUP($E526,'[1]Product Naming'!$A$1:$P$58,4)</f>
        <v>E-S</v>
      </c>
      <c r="V526" s="3" t="str">
        <f>VLOOKUP($E526,'[1]Product Naming'!$A$1:$P$58,5)</f>
        <v>C3H8O</v>
      </c>
      <c r="W526" s="3">
        <f>VLOOKUP($E526,'[1]Product Naming'!$A$1:$P$58,6)</f>
        <v>3</v>
      </c>
      <c r="X526" s="3">
        <f>VLOOKUP($E526,'[1]Product Naming'!$A$1:$P$58,7)</f>
        <v>8</v>
      </c>
      <c r="Y526" s="3">
        <f>VLOOKUP($E526,'[1]Product Naming'!$A$1:$P$58,8)</f>
        <v>1</v>
      </c>
      <c r="Z526" s="3">
        <f>VLOOKUP($E526,'[1]Product Naming'!$A$1:$P$58,9)</f>
        <v>0</v>
      </c>
      <c r="AA526" s="3">
        <f>VLOOKUP($E526,'[1]Product Naming'!$A$1:$P$58,10)</f>
        <v>0</v>
      </c>
      <c r="AB526" s="3">
        <f>VLOOKUP($E526,'[1]Product Naming'!$A$1:$P$58,11)</f>
        <v>6</v>
      </c>
      <c r="AC526" s="3">
        <f>VLOOKUP($E526,'[1]Product Naming'!$A$1:$P$58,12)</f>
        <v>60.093820000000001</v>
      </c>
      <c r="AD526" s="3">
        <f>VLOOKUP($E526,'[1]Product Naming'!$A$1:$P$58,13)</f>
        <v>97</v>
      </c>
      <c r="AE526" s="3" t="str">
        <f>VLOOKUP($E526,'[1]Product Naming'!$A$1:$P$58,14)</f>
        <v>Alcohol</v>
      </c>
      <c r="AF526" s="3" t="str">
        <f>VLOOKUP($E526,'[1]Product Naming'!$A$1:$P$58,15)</f>
        <v>Oxaloacetate</v>
      </c>
      <c r="AG526" s="3" t="str">
        <f>VLOOKUP($E526,'[1]Product Naming'!$A$1:$P$58,16)</f>
        <v>Proton symporter</v>
      </c>
      <c r="AH526" s="3" t="str">
        <f>VLOOKUP($E526,'[1]Product Naming'!$A$1:$Q$58,17)</f>
        <v>ppoh_c</v>
      </c>
    </row>
    <row r="527" spans="1:34" hidden="1" x14ac:dyDescent="0.2">
      <c r="A527" s="8" t="s">
        <v>34</v>
      </c>
      <c r="B527" s="9" t="s">
        <v>35</v>
      </c>
      <c r="C527" s="1" t="s">
        <v>54</v>
      </c>
      <c r="D527" s="14" t="s">
        <v>55</v>
      </c>
      <c r="E527" s="1" t="s">
        <v>182</v>
      </c>
      <c r="F527" s="1" t="s">
        <v>183</v>
      </c>
      <c r="G527" s="1">
        <v>-10</v>
      </c>
      <c r="H527" s="1">
        <v>-20</v>
      </c>
      <c r="I527" s="1" t="s">
        <v>40</v>
      </c>
      <c r="J527" s="1">
        <v>3.15</v>
      </c>
      <c r="K527" s="1">
        <v>-10</v>
      </c>
      <c r="L527" s="1">
        <v>-6.2443736735394401E-16</v>
      </c>
      <c r="M527" s="1" t="s">
        <v>40</v>
      </c>
      <c r="N527" s="1">
        <v>12</v>
      </c>
      <c r="O527" s="1">
        <v>12</v>
      </c>
      <c r="Q527" s="1">
        <v>1.2</v>
      </c>
      <c r="R527" s="1">
        <v>0.58014706225200097</v>
      </c>
      <c r="S527" s="11" t="s">
        <v>182</v>
      </c>
      <c r="T527" s="2" t="s">
        <v>182</v>
      </c>
      <c r="U527" s="3" t="s">
        <v>41</v>
      </c>
      <c r="V527" s="2" t="s">
        <v>184</v>
      </c>
      <c r="W527" s="2">
        <v>4</v>
      </c>
      <c r="X527" s="2">
        <v>7</v>
      </c>
      <c r="Y527" s="2">
        <v>2</v>
      </c>
      <c r="Z527" s="2">
        <v>0</v>
      </c>
      <c r="AA527" s="2">
        <v>0</v>
      </c>
      <c r="AB527" s="12">
        <f>(W527*4+X527*1+Y527*-2+Z527*-3)/W527</f>
        <v>4.75</v>
      </c>
      <c r="AC527" s="3">
        <f>W527*12.0107+X527*1.00784+Y527*15.999+Z527*14.0067</f>
        <v>87.095680000000002</v>
      </c>
      <c r="AD527" s="12">
        <v>163.5</v>
      </c>
      <c r="AE527" s="2" t="s">
        <v>131</v>
      </c>
      <c r="AF527" s="2" t="s">
        <v>79</v>
      </c>
      <c r="AG527" s="2" t="str">
        <f>IF(AD527&gt;37,"Proton symporter", "Diffusion")</f>
        <v>Proton symporter</v>
      </c>
      <c r="AH527" s="3" t="s">
        <v>185</v>
      </c>
    </row>
    <row r="528" spans="1:34" hidden="1" x14ac:dyDescent="0.2">
      <c r="A528" s="8" t="s">
        <v>34</v>
      </c>
      <c r="B528" s="9" t="s">
        <v>35</v>
      </c>
      <c r="C528" s="1" t="s">
        <v>62</v>
      </c>
      <c r="D528" s="15" t="s">
        <v>55</v>
      </c>
      <c r="E528" s="1" t="s">
        <v>182</v>
      </c>
      <c r="F528" s="1" t="s">
        <v>183</v>
      </c>
      <c r="G528" s="1">
        <v>-10</v>
      </c>
      <c r="H528" s="1">
        <v>-20</v>
      </c>
      <c r="I528" s="1" t="s">
        <v>40</v>
      </c>
      <c r="J528" s="1">
        <v>3.15</v>
      </c>
      <c r="K528" s="1">
        <v>-10</v>
      </c>
      <c r="L528" s="1">
        <v>0</v>
      </c>
      <c r="M528" s="1" t="s">
        <v>40</v>
      </c>
      <c r="N528" s="1">
        <v>10</v>
      </c>
      <c r="O528" s="1">
        <v>10</v>
      </c>
      <c r="Q528" s="1">
        <v>1</v>
      </c>
      <c r="R528" s="1">
        <v>0.58013508292812999</v>
      </c>
      <c r="S528" s="11" t="s">
        <v>182</v>
      </c>
      <c r="T528" s="2" t="s">
        <v>182</v>
      </c>
      <c r="U528" s="3" t="s">
        <v>41</v>
      </c>
      <c r="V528" s="2" t="s">
        <v>184</v>
      </c>
      <c r="W528" s="2">
        <v>4</v>
      </c>
      <c r="X528" s="2">
        <v>7</v>
      </c>
      <c r="Y528" s="2">
        <v>2</v>
      </c>
      <c r="Z528" s="2">
        <v>0</v>
      </c>
      <c r="AA528" s="2">
        <v>0</v>
      </c>
      <c r="AB528" s="12">
        <f>(W528*4+X528*1+Y528*-2+Z528*-3)/W528</f>
        <v>4.75</v>
      </c>
      <c r="AC528" s="3">
        <f>W528*12.0107+X528*1.00784+Y528*15.999+Z528*14.0067</f>
        <v>87.095680000000002</v>
      </c>
      <c r="AD528" s="12">
        <v>163.5</v>
      </c>
      <c r="AE528" s="2" t="s">
        <v>131</v>
      </c>
      <c r="AF528" s="2" t="s">
        <v>79</v>
      </c>
      <c r="AG528" s="2" t="str">
        <f>IF(AD528&gt;37,"Proton symporter", "Diffusion")</f>
        <v>Proton symporter</v>
      </c>
      <c r="AH528" s="3" t="s">
        <v>185</v>
      </c>
    </row>
    <row r="529" spans="1:34" hidden="1" x14ac:dyDescent="0.2">
      <c r="A529" s="8" t="s">
        <v>34</v>
      </c>
      <c r="B529" s="9" t="s">
        <v>35</v>
      </c>
      <c r="C529" s="1" t="s">
        <v>62</v>
      </c>
      <c r="D529" s="15" t="s">
        <v>55</v>
      </c>
      <c r="E529" s="1" t="s">
        <v>205</v>
      </c>
      <c r="F529" s="1" t="s">
        <v>206</v>
      </c>
      <c r="G529" s="1">
        <v>-10</v>
      </c>
      <c r="H529" s="1">
        <v>-20</v>
      </c>
      <c r="I529" s="1" t="s">
        <v>40</v>
      </c>
      <c r="J529" s="1">
        <v>3.15</v>
      </c>
      <c r="K529" s="1">
        <v>-10</v>
      </c>
      <c r="L529" s="1">
        <v>-0.57798165137614399</v>
      </c>
      <c r="M529" s="1" t="s">
        <v>40</v>
      </c>
      <c r="N529" s="1">
        <v>10.4623853211009</v>
      </c>
      <c r="O529" s="1">
        <v>9.8844036697247795</v>
      </c>
      <c r="Q529" s="1">
        <v>0.98844036697247795</v>
      </c>
      <c r="R529" s="1">
        <v>0.58006444841382199</v>
      </c>
      <c r="S529" s="20" t="s">
        <v>205</v>
      </c>
      <c r="T529" s="3" t="s">
        <v>207</v>
      </c>
      <c r="U529" s="3" t="s">
        <v>106</v>
      </c>
      <c r="V529" s="3" t="s">
        <v>208</v>
      </c>
      <c r="W529" s="3">
        <v>4</v>
      </c>
      <c r="X529" s="3">
        <v>8</v>
      </c>
      <c r="Y529" s="3">
        <v>2</v>
      </c>
      <c r="Z529" s="3">
        <v>0</v>
      </c>
      <c r="AA529" s="3">
        <v>0</v>
      </c>
      <c r="AB529" s="12">
        <f>(W529*4+X529*1+Y529*-2+Z529*-3)/W529</f>
        <v>5</v>
      </c>
      <c r="AC529" s="3">
        <f>W529*12.0107+X529*1.00784+Y529*15.999+Z529*14.0067</f>
        <v>88.103520000000003</v>
      </c>
      <c r="AD529" s="12">
        <v>77.099999999999994</v>
      </c>
      <c r="AE529" s="3" t="s">
        <v>209</v>
      </c>
      <c r="AF529" s="3" t="s">
        <v>79</v>
      </c>
      <c r="AG529" s="2" t="str">
        <f>IF(AD529&gt;37,"Proton symporter", "Diffusion")</f>
        <v>Proton symporter</v>
      </c>
      <c r="AH529" s="3" t="s">
        <v>210</v>
      </c>
    </row>
    <row r="530" spans="1:34" hidden="1" x14ac:dyDescent="0.2">
      <c r="A530" s="16" t="s">
        <v>63</v>
      </c>
      <c r="B530" s="17" t="s">
        <v>64</v>
      </c>
      <c r="C530" t="s">
        <v>68</v>
      </c>
      <c r="D530" s="18" t="s">
        <v>66</v>
      </c>
      <c r="E530" t="s">
        <v>182</v>
      </c>
      <c r="F530" t="s">
        <v>183</v>
      </c>
      <c r="G530">
        <v>-10</v>
      </c>
      <c r="H530">
        <v>0</v>
      </c>
      <c r="I530">
        <v>-10</v>
      </c>
      <c r="J530">
        <v>0.45</v>
      </c>
      <c r="K530">
        <v>-10</v>
      </c>
      <c r="L530">
        <v>0</v>
      </c>
      <c r="M530">
        <v>-10</v>
      </c>
      <c r="N530">
        <v>2</v>
      </c>
      <c r="O530">
        <v>2</v>
      </c>
      <c r="P530"/>
      <c r="Q530">
        <v>0.2</v>
      </c>
      <c r="R530">
        <v>0.580057808857809</v>
      </c>
      <c r="S530" s="11" t="s">
        <v>182</v>
      </c>
      <c r="T530" s="2" t="s">
        <v>182</v>
      </c>
      <c r="U530" s="3" t="s">
        <v>41</v>
      </c>
      <c r="V530" s="2" t="s">
        <v>184</v>
      </c>
      <c r="W530" s="2">
        <v>4</v>
      </c>
      <c r="X530" s="2">
        <v>7</v>
      </c>
      <c r="Y530" s="2">
        <v>2</v>
      </c>
      <c r="Z530" s="2">
        <v>0</v>
      </c>
      <c r="AA530" s="2">
        <v>0</v>
      </c>
      <c r="AB530" s="12">
        <f>(W530*4+X530*1+Y530*-2+Z530*-3)/W530</f>
        <v>4.75</v>
      </c>
      <c r="AC530" s="3">
        <f>W530*12.0107+X530*1.00784+Y530*15.999+Z530*14.0067</f>
        <v>87.095680000000002</v>
      </c>
      <c r="AD530" s="12">
        <v>163.5</v>
      </c>
      <c r="AE530" s="2" t="s">
        <v>131</v>
      </c>
      <c r="AF530" s="2" t="s">
        <v>79</v>
      </c>
      <c r="AG530" s="2" t="str">
        <f>IF(AD530&gt;37,"Proton symporter", "Diffusion")</f>
        <v>Proton symporter</v>
      </c>
      <c r="AH530" s="3" t="s">
        <v>185</v>
      </c>
    </row>
    <row r="531" spans="1:34" hidden="1" x14ac:dyDescent="0.2">
      <c r="A531" s="16" t="s">
        <v>63</v>
      </c>
      <c r="B531" s="17" t="s">
        <v>64</v>
      </c>
      <c r="C531" t="s">
        <v>68</v>
      </c>
      <c r="D531" s="18" t="s">
        <v>66</v>
      </c>
      <c r="E531" t="s">
        <v>186</v>
      </c>
      <c r="F531" t="s">
        <v>187</v>
      </c>
      <c r="G531">
        <v>-10</v>
      </c>
      <c r="H531">
        <v>0</v>
      </c>
      <c r="I531">
        <v>-10</v>
      </c>
      <c r="J531">
        <v>0.45</v>
      </c>
      <c r="K531">
        <v>-10</v>
      </c>
      <c r="L531">
        <v>0</v>
      </c>
      <c r="M531">
        <v>-10</v>
      </c>
      <c r="N531">
        <v>2</v>
      </c>
      <c r="O531">
        <v>2</v>
      </c>
      <c r="P531"/>
      <c r="Q531">
        <v>0.2</v>
      </c>
      <c r="R531">
        <v>0.580057808857809</v>
      </c>
      <c r="S531" s="11" t="s">
        <v>186</v>
      </c>
      <c r="T531" s="2" t="s">
        <v>186</v>
      </c>
      <c r="U531" s="3" t="s">
        <v>41</v>
      </c>
      <c r="V531" s="2" t="s">
        <v>184</v>
      </c>
      <c r="W531" s="2">
        <v>4</v>
      </c>
      <c r="X531" s="2">
        <v>7</v>
      </c>
      <c r="Y531" s="2">
        <v>2</v>
      </c>
      <c r="Z531" s="2">
        <v>0</v>
      </c>
      <c r="AA531" s="2">
        <v>0</v>
      </c>
      <c r="AB531" s="12">
        <f>(W531*4+X531*1+Y531*-2+Z531*-3)/W531</f>
        <v>4.75</v>
      </c>
      <c r="AC531" s="3">
        <f>W531*12.0107+X531*1.00784+Y531*15.999+Z531*14.0067</f>
        <v>87.095680000000002</v>
      </c>
      <c r="AD531" s="12">
        <v>155</v>
      </c>
      <c r="AE531" s="2" t="s">
        <v>131</v>
      </c>
      <c r="AF531" s="2" t="s">
        <v>135</v>
      </c>
      <c r="AG531" s="2" t="str">
        <f>IF(AD531&gt;37,"Proton symporter", "Diffusion")</f>
        <v>Proton symporter</v>
      </c>
      <c r="AH531" s="3" t="s">
        <v>188</v>
      </c>
    </row>
    <row r="532" spans="1:34" hidden="1" x14ac:dyDescent="0.2">
      <c r="A532" s="16" t="s">
        <v>63</v>
      </c>
      <c r="B532" s="17" t="s">
        <v>64</v>
      </c>
      <c r="C532" t="s">
        <v>69</v>
      </c>
      <c r="D532" s="18" t="s">
        <v>66</v>
      </c>
      <c r="E532" t="s">
        <v>286</v>
      </c>
      <c r="F532" t="s">
        <v>280</v>
      </c>
      <c r="G532">
        <v>-10</v>
      </c>
      <c r="H532">
        <v>0</v>
      </c>
      <c r="I532">
        <v>-20</v>
      </c>
      <c r="J532">
        <v>0.45</v>
      </c>
      <c r="K532">
        <v>-10</v>
      </c>
      <c r="L532">
        <v>0</v>
      </c>
      <c r="M532">
        <v>-20</v>
      </c>
      <c r="N532">
        <v>0</v>
      </c>
      <c r="O532">
        <v>3.0933333333333302</v>
      </c>
      <c r="P532"/>
      <c r="Q532">
        <v>0.30933333333333302</v>
      </c>
      <c r="R532" s="19">
        <v>0.58000067561102397</v>
      </c>
      <c r="S532" s="20" t="s">
        <v>287</v>
      </c>
      <c r="T532" s="3" t="s">
        <v>288</v>
      </c>
      <c r="U532" s="3" t="s">
        <v>174</v>
      </c>
      <c r="V532" s="3" t="s">
        <v>283</v>
      </c>
      <c r="W532" s="3">
        <v>3</v>
      </c>
      <c r="X532" s="3">
        <v>8</v>
      </c>
      <c r="Y532" s="3">
        <v>1</v>
      </c>
      <c r="Z532" s="3">
        <v>0</v>
      </c>
      <c r="AA532" s="3">
        <v>0</v>
      </c>
      <c r="AB532" s="12">
        <f>(W532*4+X532*1+Y532*-2+Z532*-3)/W532</f>
        <v>6</v>
      </c>
      <c r="AC532" s="3">
        <f>W532*12.0107+X532*1.00784+Y532*15.999+Z532*14.0067</f>
        <v>60.093820000000001</v>
      </c>
      <c r="AD532" s="12">
        <v>97</v>
      </c>
      <c r="AE532" s="2" t="s">
        <v>262</v>
      </c>
      <c r="AF532" s="3" t="s">
        <v>44</v>
      </c>
      <c r="AG532" s="2" t="str">
        <f>IF(AD532&gt;37,"Proton symporter", "Diffusion")</f>
        <v>Proton symporter</v>
      </c>
      <c r="AH532" s="3" t="s">
        <v>285</v>
      </c>
    </row>
    <row r="533" spans="1:34" hidden="1" x14ac:dyDescent="0.2">
      <c r="A533" s="8" t="s">
        <v>34</v>
      </c>
      <c r="B533" s="9" t="s">
        <v>35</v>
      </c>
      <c r="C533" s="1" t="s">
        <v>59</v>
      </c>
      <c r="D533" s="13" t="s">
        <v>51</v>
      </c>
      <c r="E533" s="1" t="s">
        <v>259</v>
      </c>
      <c r="F533" s="1" t="s">
        <v>260</v>
      </c>
      <c r="G533" s="1">
        <v>-10</v>
      </c>
      <c r="H533" s="1">
        <v>-20</v>
      </c>
      <c r="I533" s="1" t="s">
        <v>40</v>
      </c>
      <c r="J533" s="1">
        <v>3.15</v>
      </c>
      <c r="K533" s="1">
        <v>-10</v>
      </c>
      <c r="L533" s="1">
        <v>-2.06099290780142</v>
      </c>
      <c r="M533" s="1" t="s">
        <v>40</v>
      </c>
      <c r="N533" s="1">
        <v>1.37399527186762</v>
      </c>
      <c r="O533" s="1">
        <v>2.1565011820331002</v>
      </c>
      <c r="Q533" s="1">
        <v>0.21565011820331001</v>
      </c>
      <c r="R533" s="1">
        <v>0.57969801142526001</v>
      </c>
      <c r="S533" s="20" t="s">
        <v>259</v>
      </c>
      <c r="T533" s="3" t="s">
        <v>259</v>
      </c>
      <c r="U533" s="3" t="s">
        <v>106</v>
      </c>
      <c r="V533" s="3" t="s">
        <v>261</v>
      </c>
      <c r="W533" s="3">
        <v>5</v>
      </c>
      <c r="X533" s="3">
        <v>10</v>
      </c>
      <c r="Y533" s="3">
        <v>1</v>
      </c>
      <c r="Z533" s="3">
        <v>0</v>
      </c>
      <c r="AA533" s="3">
        <v>0</v>
      </c>
      <c r="AB533" s="12">
        <f>(W533*4+X533*1+Y533*-2+Z533*-3)/W533+0.02</f>
        <v>5.6199999999999992</v>
      </c>
      <c r="AC533" s="3">
        <f>W533*12.0107+X533*1.00784+Y533*15.999+Z533*14.0067</f>
        <v>86.130899999999997</v>
      </c>
      <c r="AD533" s="12">
        <v>108</v>
      </c>
      <c r="AE533" s="3" t="s">
        <v>262</v>
      </c>
      <c r="AF533" s="3" t="s">
        <v>135</v>
      </c>
      <c r="AG533" s="2" t="str">
        <f>IF(AD533&gt;37,"Proton symporter", "Diffusion")</f>
        <v>Proton symporter</v>
      </c>
      <c r="AH533" s="3" t="s">
        <v>263</v>
      </c>
    </row>
    <row r="534" spans="1:34" hidden="1" x14ac:dyDescent="0.2">
      <c r="A534" s="8" t="s">
        <v>34</v>
      </c>
      <c r="B534" s="9" t="s">
        <v>35</v>
      </c>
      <c r="C534" s="1" t="s">
        <v>60</v>
      </c>
      <c r="D534" s="13" t="s">
        <v>51</v>
      </c>
      <c r="E534" s="1" t="s">
        <v>259</v>
      </c>
      <c r="F534" s="1" t="s">
        <v>260</v>
      </c>
      <c r="G534" s="1">
        <v>-10</v>
      </c>
      <c r="H534" s="1">
        <v>-20</v>
      </c>
      <c r="I534" s="1" t="s">
        <v>40</v>
      </c>
      <c r="J534" s="1">
        <v>3.15</v>
      </c>
      <c r="K534" s="1">
        <v>-10</v>
      </c>
      <c r="L534" s="1">
        <v>-2.06099290780142</v>
      </c>
      <c r="M534" s="1" t="s">
        <v>40</v>
      </c>
      <c r="N534" s="1">
        <v>1.3739952718676001</v>
      </c>
      <c r="O534" s="1">
        <v>2.1565011820330899</v>
      </c>
      <c r="Q534" s="1">
        <v>0.21565011820330901</v>
      </c>
      <c r="R534" s="1">
        <v>0.57969801142525901</v>
      </c>
      <c r="S534" s="20" t="s">
        <v>259</v>
      </c>
      <c r="T534" s="3" t="s">
        <v>259</v>
      </c>
      <c r="U534" s="3" t="s">
        <v>106</v>
      </c>
      <c r="V534" s="3" t="s">
        <v>261</v>
      </c>
      <c r="W534" s="3">
        <v>5</v>
      </c>
      <c r="X534" s="3">
        <v>10</v>
      </c>
      <c r="Y534" s="3">
        <v>1</v>
      </c>
      <c r="Z534" s="3">
        <v>0</v>
      </c>
      <c r="AA534" s="3">
        <v>0</v>
      </c>
      <c r="AB534" s="12">
        <f>(W534*4+X534*1+Y534*-2+Z534*-3)/W534+0.02</f>
        <v>5.6199999999999992</v>
      </c>
      <c r="AC534" s="3">
        <f>W534*12.0107+X534*1.00784+Y534*15.999+Z534*14.0067</f>
        <v>86.130899999999997</v>
      </c>
      <c r="AD534" s="12">
        <v>108</v>
      </c>
      <c r="AE534" s="3" t="s">
        <v>262</v>
      </c>
      <c r="AF534" s="3" t="s">
        <v>135</v>
      </c>
      <c r="AG534" s="2" t="str">
        <f>IF(AD534&gt;37,"Proton symporter", "Diffusion")</f>
        <v>Proton symporter</v>
      </c>
      <c r="AH534" s="3" t="s">
        <v>263</v>
      </c>
    </row>
    <row r="535" spans="1:34" hidden="1" x14ac:dyDescent="0.2">
      <c r="A535" s="8" t="s">
        <v>350</v>
      </c>
      <c r="B535" s="17" t="s">
        <v>64</v>
      </c>
      <c r="C535" t="s">
        <v>351</v>
      </c>
      <c r="D535" s="13" t="s">
        <v>51</v>
      </c>
      <c r="E535" t="s">
        <v>300</v>
      </c>
      <c r="F535" t="s">
        <v>301</v>
      </c>
      <c r="G535">
        <v>-10</v>
      </c>
      <c r="H535">
        <v>0</v>
      </c>
      <c r="I535">
        <v>0</v>
      </c>
      <c r="J535">
        <v>0.45</v>
      </c>
      <c r="K535">
        <v>-10</v>
      </c>
      <c r="L535">
        <v>0</v>
      </c>
      <c r="M535">
        <v>0</v>
      </c>
      <c r="N535">
        <v>0</v>
      </c>
      <c r="O535">
        <v>2.5</v>
      </c>
      <c r="P535"/>
      <c r="Q535">
        <v>0.25</v>
      </c>
      <c r="R535" s="26">
        <v>0.57832200307979797</v>
      </c>
      <c r="S535" s="3" t="str">
        <f>VLOOKUP($E535,'[1]Product Naming'!$A$1:$P$58,2)</f>
        <v>Butanol-PW1</v>
      </c>
      <c r="T535" s="3" t="str">
        <f>VLOOKUP($E535,'[1]Product Naming'!$A$1:$P$58,3)</f>
        <v>Butanol (PW1)</v>
      </c>
      <c r="U535" s="3" t="str">
        <f>VLOOKUP($E535,'[1]Product Naming'!$A$1:$P$58,4)</f>
        <v>E</v>
      </c>
      <c r="V535" s="3" t="str">
        <f>VLOOKUP($E535,'[1]Product Naming'!$A$1:$P$58,5)</f>
        <v>C4H10O</v>
      </c>
      <c r="W535" s="3">
        <f>VLOOKUP($E535,'[1]Product Naming'!$A$1:$P$58,6)</f>
        <v>4</v>
      </c>
      <c r="X535" s="3">
        <f>VLOOKUP($E535,'[1]Product Naming'!$A$1:$P$58,7)</f>
        <v>10</v>
      </c>
      <c r="Y535" s="3">
        <f>VLOOKUP($E535,'[1]Product Naming'!$A$1:$P$58,8)</f>
        <v>1</v>
      </c>
      <c r="Z535" s="3">
        <f>VLOOKUP($E535,'[1]Product Naming'!$A$1:$P$58,9)</f>
        <v>0</v>
      </c>
      <c r="AA535" s="3">
        <f>VLOOKUP($E535,'[1]Product Naming'!$A$1:$P$58,10)</f>
        <v>0</v>
      </c>
      <c r="AB535" s="3">
        <f>VLOOKUP($E535,'[1]Product Naming'!$A$1:$P$58,11)</f>
        <v>6</v>
      </c>
      <c r="AC535" s="3">
        <f>VLOOKUP($E535,'[1]Product Naming'!$A$1:$P$58,12)</f>
        <v>74.120199999999997</v>
      </c>
      <c r="AD535" s="3">
        <f>VLOOKUP($E535,'[1]Product Naming'!$A$1:$P$58,13)</f>
        <v>117.7</v>
      </c>
      <c r="AE535" s="3" t="str">
        <f>VLOOKUP($E535,'[1]Product Naming'!$A$1:$P$58,14)</f>
        <v>Alcohol</v>
      </c>
      <c r="AF535" s="3" t="str">
        <f>VLOOKUP($E535,'[1]Product Naming'!$A$1:$P$58,15)</f>
        <v>Acetyl-CoA</v>
      </c>
      <c r="AG535" s="3" t="str">
        <f>VLOOKUP($E535,'[1]Product Naming'!$A$1:$P$58,16)</f>
        <v>Proton symporter</v>
      </c>
      <c r="AH535" s="3" t="str">
        <f>VLOOKUP($E535,'[1]Product Naming'!$A$1:$Q$58,17)</f>
        <v>btoh_c</v>
      </c>
    </row>
    <row r="536" spans="1:34" hidden="1" x14ac:dyDescent="0.2">
      <c r="A536" s="8" t="s">
        <v>350</v>
      </c>
      <c r="B536" s="17" t="s">
        <v>64</v>
      </c>
      <c r="C536" t="s">
        <v>352</v>
      </c>
      <c r="D536" s="13" t="s">
        <v>51</v>
      </c>
      <c r="E536" t="s">
        <v>300</v>
      </c>
      <c r="F536" t="s">
        <v>301</v>
      </c>
      <c r="G536">
        <v>-10</v>
      </c>
      <c r="H536">
        <v>0</v>
      </c>
      <c r="I536">
        <v>0</v>
      </c>
      <c r="J536">
        <v>0.45</v>
      </c>
      <c r="K536">
        <v>-10</v>
      </c>
      <c r="L536">
        <v>0</v>
      </c>
      <c r="M536">
        <v>0</v>
      </c>
      <c r="N536">
        <v>0</v>
      </c>
      <c r="O536">
        <v>2.5</v>
      </c>
      <c r="P536"/>
      <c r="Q536">
        <v>0.25</v>
      </c>
      <c r="R536" s="26">
        <v>0.57832200307979797</v>
      </c>
      <c r="S536" s="3" t="str">
        <f>VLOOKUP($E536,'[1]Product Naming'!$A$1:$P$58,2)</f>
        <v>Butanol-PW1</v>
      </c>
      <c r="T536" s="3" t="str">
        <f>VLOOKUP($E536,'[1]Product Naming'!$A$1:$P$58,3)</f>
        <v>Butanol (PW1)</v>
      </c>
      <c r="U536" s="3" t="str">
        <f>VLOOKUP($E536,'[1]Product Naming'!$A$1:$P$58,4)</f>
        <v>E</v>
      </c>
      <c r="V536" s="3" t="str">
        <f>VLOOKUP($E536,'[1]Product Naming'!$A$1:$P$58,5)</f>
        <v>C4H10O</v>
      </c>
      <c r="W536" s="3">
        <f>VLOOKUP($E536,'[1]Product Naming'!$A$1:$P$58,6)</f>
        <v>4</v>
      </c>
      <c r="X536" s="3">
        <f>VLOOKUP($E536,'[1]Product Naming'!$A$1:$P$58,7)</f>
        <v>10</v>
      </c>
      <c r="Y536" s="3">
        <f>VLOOKUP($E536,'[1]Product Naming'!$A$1:$P$58,8)</f>
        <v>1</v>
      </c>
      <c r="Z536" s="3">
        <f>VLOOKUP($E536,'[1]Product Naming'!$A$1:$P$58,9)</f>
        <v>0</v>
      </c>
      <c r="AA536" s="3">
        <f>VLOOKUP($E536,'[1]Product Naming'!$A$1:$P$58,10)</f>
        <v>0</v>
      </c>
      <c r="AB536" s="3">
        <f>VLOOKUP($E536,'[1]Product Naming'!$A$1:$P$58,11)</f>
        <v>6</v>
      </c>
      <c r="AC536" s="3">
        <f>VLOOKUP($E536,'[1]Product Naming'!$A$1:$P$58,12)</f>
        <v>74.120199999999997</v>
      </c>
      <c r="AD536" s="3">
        <f>VLOOKUP($E536,'[1]Product Naming'!$A$1:$P$58,13)</f>
        <v>117.7</v>
      </c>
      <c r="AE536" s="3" t="str">
        <f>VLOOKUP($E536,'[1]Product Naming'!$A$1:$P$58,14)</f>
        <v>Alcohol</v>
      </c>
      <c r="AF536" s="3" t="str">
        <f>VLOOKUP($E536,'[1]Product Naming'!$A$1:$P$58,15)</f>
        <v>Acetyl-CoA</v>
      </c>
      <c r="AG536" s="3" t="str">
        <f>VLOOKUP($E536,'[1]Product Naming'!$A$1:$P$58,16)</f>
        <v>Proton symporter</v>
      </c>
      <c r="AH536" s="3" t="str">
        <f>VLOOKUP($E536,'[1]Product Naming'!$A$1:$Q$58,17)</f>
        <v>btoh_c</v>
      </c>
    </row>
    <row r="537" spans="1:34" hidden="1" x14ac:dyDescent="0.2">
      <c r="A537" s="8" t="s">
        <v>350</v>
      </c>
      <c r="B537" s="17" t="s">
        <v>64</v>
      </c>
      <c r="C537" t="s">
        <v>353</v>
      </c>
      <c r="D537" s="13" t="s">
        <v>51</v>
      </c>
      <c r="E537" t="s">
        <v>300</v>
      </c>
      <c r="F537" t="s">
        <v>301</v>
      </c>
      <c r="G537">
        <v>-10</v>
      </c>
      <c r="H537">
        <v>0</v>
      </c>
      <c r="I537">
        <v>0</v>
      </c>
      <c r="J537">
        <v>0.45</v>
      </c>
      <c r="K537">
        <v>-10</v>
      </c>
      <c r="L537">
        <v>0</v>
      </c>
      <c r="M537">
        <v>0</v>
      </c>
      <c r="N537">
        <v>0</v>
      </c>
      <c r="O537">
        <v>2.5</v>
      </c>
      <c r="P537"/>
      <c r="Q537">
        <v>0.25</v>
      </c>
      <c r="R537" s="26">
        <v>0.57832200307979797</v>
      </c>
      <c r="S537" s="3" t="str">
        <f>VLOOKUP($E537,'[1]Product Naming'!$A$1:$P$58,2)</f>
        <v>Butanol-PW1</v>
      </c>
      <c r="T537" s="3" t="str">
        <f>VLOOKUP($E537,'[1]Product Naming'!$A$1:$P$58,3)</f>
        <v>Butanol (PW1)</v>
      </c>
      <c r="U537" s="3" t="str">
        <f>VLOOKUP($E537,'[1]Product Naming'!$A$1:$P$58,4)</f>
        <v>E</v>
      </c>
      <c r="V537" s="3" t="str">
        <f>VLOOKUP($E537,'[1]Product Naming'!$A$1:$P$58,5)</f>
        <v>C4H10O</v>
      </c>
      <c r="W537" s="3">
        <f>VLOOKUP($E537,'[1]Product Naming'!$A$1:$P$58,6)</f>
        <v>4</v>
      </c>
      <c r="X537" s="3">
        <f>VLOOKUP($E537,'[1]Product Naming'!$A$1:$P$58,7)</f>
        <v>10</v>
      </c>
      <c r="Y537" s="3">
        <f>VLOOKUP($E537,'[1]Product Naming'!$A$1:$P$58,8)</f>
        <v>1</v>
      </c>
      <c r="Z537" s="3">
        <f>VLOOKUP($E537,'[1]Product Naming'!$A$1:$P$58,9)</f>
        <v>0</v>
      </c>
      <c r="AA537" s="3">
        <f>VLOOKUP($E537,'[1]Product Naming'!$A$1:$P$58,10)</f>
        <v>0</v>
      </c>
      <c r="AB537" s="3">
        <f>VLOOKUP($E537,'[1]Product Naming'!$A$1:$P$58,11)</f>
        <v>6</v>
      </c>
      <c r="AC537" s="3">
        <f>VLOOKUP($E537,'[1]Product Naming'!$A$1:$P$58,12)</f>
        <v>74.120199999999997</v>
      </c>
      <c r="AD537" s="3">
        <f>VLOOKUP($E537,'[1]Product Naming'!$A$1:$P$58,13)</f>
        <v>117.7</v>
      </c>
      <c r="AE537" s="3" t="str">
        <f>VLOOKUP($E537,'[1]Product Naming'!$A$1:$P$58,14)</f>
        <v>Alcohol</v>
      </c>
      <c r="AF537" s="3" t="str">
        <f>VLOOKUP($E537,'[1]Product Naming'!$A$1:$P$58,15)</f>
        <v>Acetyl-CoA</v>
      </c>
      <c r="AG537" s="3" t="str">
        <f>VLOOKUP($E537,'[1]Product Naming'!$A$1:$P$58,16)</f>
        <v>Proton symporter</v>
      </c>
      <c r="AH537" s="3" t="str">
        <f>VLOOKUP($E537,'[1]Product Naming'!$A$1:$Q$58,17)</f>
        <v>btoh_c</v>
      </c>
    </row>
    <row r="538" spans="1:34" hidden="1" x14ac:dyDescent="0.2">
      <c r="A538" s="8" t="s">
        <v>350</v>
      </c>
      <c r="B538" s="17" t="s">
        <v>64</v>
      </c>
      <c r="C538" t="s">
        <v>354</v>
      </c>
      <c r="D538" s="13" t="s">
        <v>51</v>
      </c>
      <c r="E538" t="s">
        <v>300</v>
      </c>
      <c r="F538" t="s">
        <v>301</v>
      </c>
      <c r="G538">
        <v>-10</v>
      </c>
      <c r="H538">
        <v>0</v>
      </c>
      <c r="I538">
        <v>0</v>
      </c>
      <c r="J538">
        <v>0.45</v>
      </c>
      <c r="K538">
        <v>-10</v>
      </c>
      <c r="L538">
        <v>0</v>
      </c>
      <c r="M538">
        <v>0</v>
      </c>
      <c r="N538">
        <v>0</v>
      </c>
      <c r="O538">
        <v>2.5</v>
      </c>
      <c r="P538"/>
      <c r="Q538">
        <v>0.25</v>
      </c>
      <c r="R538" s="26">
        <v>0.57832200307979797</v>
      </c>
      <c r="S538" s="3" t="str">
        <f>VLOOKUP($E538,'[1]Product Naming'!$A$1:$P$58,2)</f>
        <v>Butanol-PW1</v>
      </c>
      <c r="T538" s="3" t="str">
        <f>VLOOKUP($E538,'[1]Product Naming'!$A$1:$P$58,3)</f>
        <v>Butanol (PW1)</v>
      </c>
      <c r="U538" s="3" t="str">
        <f>VLOOKUP($E538,'[1]Product Naming'!$A$1:$P$58,4)</f>
        <v>E</v>
      </c>
      <c r="V538" s="3" t="str">
        <f>VLOOKUP($E538,'[1]Product Naming'!$A$1:$P$58,5)</f>
        <v>C4H10O</v>
      </c>
      <c r="W538" s="3">
        <f>VLOOKUP($E538,'[1]Product Naming'!$A$1:$P$58,6)</f>
        <v>4</v>
      </c>
      <c r="X538" s="3">
        <f>VLOOKUP($E538,'[1]Product Naming'!$A$1:$P$58,7)</f>
        <v>10</v>
      </c>
      <c r="Y538" s="3">
        <f>VLOOKUP($E538,'[1]Product Naming'!$A$1:$P$58,8)</f>
        <v>1</v>
      </c>
      <c r="Z538" s="3">
        <f>VLOOKUP($E538,'[1]Product Naming'!$A$1:$P$58,9)</f>
        <v>0</v>
      </c>
      <c r="AA538" s="3">
        <f>VLOOKUP($E538,'[1]Product Naming'!$A$1:$P$58,10)</f>
        <v>0</v>
      </c>
      <c r="AB538" s="3">
        <f>VLOOKUP($E538,'[1]Product Naming'!$A$1:$P$58,11)</f>
        <v>6</v>
      </c>
      <c r="AC538" s="3">
        <f>VLOOKUP($E538,'[1]Product Naming'!$A$1:$P$58,12)</f>
        <v>74.120199999999997</v>
      </c>
      <c r="AD538" s="3">
        <f>VLOOKUP($E538,'[1]Product Naming'!$A$1:$P$58,13)</f>
        <v>117.7</v>
      </c>
      <c r="AE538" s="3" t="str">
        <f>VLOOKUP($E538,'[1]Product Naming'!$A$1:$P$58,14)</f>
        <v>Alcohol</v>
      </c>
      <c r="AF538" s="3" t="str">
        <f>VLOOKUP($E538,'[1]Product Naming'!$A$1:$P$58,15)</f>
        <v>Acetyl-CoA</v>
      </c>
      <c r="AG538" s="3" t="str">
        <f>VLOOKUP($E538,'[1]Product Naming'!$A$1:$P$58,16)</f>
        <v>Proton symporter</v>
      </c>
      <c r="AH538" s="3" t="str">
        <f>VLOOKUP($E538,'[1]Product Naming'!$A$1:$Q$58,17)</f>
        <v>btoh_c</v>
      </c>
    </row>
    <row r="539" spans="1:34" hidden="1" x14ac:dyDescent="0.2">
      <c r="A539" s="8" t="s">
        <v>350</v>
      </c>
      <c r="B539" s="17" t="s">
        <v>64</v>
      </c>
      <c r="C539" t="s">
        <v>351</v>
      </c>
      <c r="D539" s="13" t="s">
        <v>51</v>
      </c>
      <c r="E539" t="s">
        <v>305</v>
      </c>
      <c r="F539" t="s">
        <v>301</v>
      </c>
      <c r="G539">
        <v>-10</v>
      </c>
      <c r="H539">
        <v>0</v>
      </c>
      <c r="I539">
        <v>0</v>
      </c>
      <c r="J539">
        <v>0.45</v>
      </c>
      <c r="K539">
        <v>-10</v>
      </c>
      <c r="L539">
        <v>0</v>
      </c>
      <c r="M539">
        <v>0</v>
      </c>
      <c r="N539">
        <v>0</v>
      </c>
      <c r="O539">
        <v>2.5</v>
      </c>
      <c r="P539"/>
      <c r="Q539">
        <v>0.25</v>
      </c>
      <c r="R539" s="26">
        <v>0.57832200307979797</v>
      </c>
      <c r="S539" s="3" t="str">
        <f>VLOOKUP($E539,'[1]Product Naming'!$A$1:$P$58,2)</f>
        <v>Butanol-PW2</v>
      </c>
      <c r="T539" s="3" t="str">
        <f>VLOOKUP($E539,'[1]Product Naming'!$A$1:$P$58,3)</f>
        <v>Butanol (PW2)</v>
      </c>
      <c r="U539" s="3" t="str">
        <f>VLOOKUP($E539,'[1]Product Naming'!$A$1:$P$58,4)</f>
        <v>E</v>
      </c>
      <c r="V539" s="3" t="str">
        <f>VLOOKUP($E539,'[1]Product Naming'!$A$1:$P$58,5)</f>
        <v>C4H10O</v>
      </c>
      <c r="W539" s="3">
        <f>VLOOKUP($E539,'[1]Product Naming'!$A$1:$P$58,6)</f>
        <v>4</v>
      </c>
      <c r="X539" s="3">
        <f>VLOOKUP($E539,'[1]Product Naming'!$A$1:$P$58,7)</f>
        <v>10</v>
      </c>
      <c r="Y539" s="3">
        <f>VLOOKUP($E539,'[1]Product Naming'!$A$1:$P$58,8)</f>
        <v>1</v>
      </c>
      <c r="Z539" s="3">
        <f>VLOOKUP($E539,'[1]Product Naming'!$A$1:$P$58,9)</f>
        <v>0</v>
      </c>
      <c r="AA539" s="3">
        <f>VLOOKUP($E539,'[1]Product Naming'!$A$1:$P$58,10)</f>
        <v>0</v>
      </c>
      <c r="AB539" s="3">
        <f>VLOOKUP($E539,'[1]Product Naming'!$A$1:$P$58,11)</f>
        <v>6</v>
      </c>
      <c r="AC539" s="3">
        <f>VLOOKUP($E539,'[1]Product Naming'!$A$1:$P$58,12)</f>
        <v>74.120199999999997</v>
      </c>
      <c r="AD539" s="3">
        <f>VLOOKUP($E539,'[1]Product Naming'!$A$1:$P$58,13)</f>
        <v>117.7</v>
      </c>
      <c r="AE539" s="3" t="str">
        <f>VLOOKUP($E539,'[1]Product Naming'!$A$1:$P$58,14)</f>
        <v>Alcohol</v>
      </c>
      <c r="AF539" s="3" t="str">
        <f>VLOOKUP($E539,'[1]Product Naming'!$A$1:$P$58,15)</f>
        <v>Oxaloacetate</v>
      </c>
      <c r="AG539" s="3" t="str">
        <f>VLOOKUP($E539,'[1]Product Naming'!$A$1:$P$58,16)</f>
        <v>Proton symporter</v>
      </c>
      <c r="AH539" s="3" t="str">
        <f>VLOOKUP($E539,'[1]Product Naming'!$A$1:$Q$58,17)</f>
        <v>btoh_c</v>
      </c>
    </row>
    <row r="540" spans="1:34" hidden="1" x14ac:dyDescent="0.2">
      <c r="A540" s="8" t="s">
        <v>350</v>
      </c>
      <c r="B540" s="17" t="s">
        <v>64</v>
      </c>
      <c r="C540" t="s">
        <v>352</v>
      </c>
      <c r="D540" s="13" t="s">
        <v>51</v>
      </c>
      <c r="E540" t="s">
        <v>305</v>
      </c>
      <c r="F540" t="s">
        <v>301</v>
      </c>
      <c r="G540">
        <v>-10</v>
      </c>
      <c r="H540">
        <v>0</v>
      </c>
      <c r="I540">
        <v>0</v>
      </c>
      <c r="J540">
        <v>0.45</v>
      </c>
      <c r="K540">
        <v>-10</v>
      </c>
      <c r="L540">
        <v>0</v>
      </c>
      <c r="M540">
        <v>0</v>
      </c>
      <c r="N540">
        <v>0</v>
      </c>
      <c r="O540">
        <v>2.5</v>
      </c>
      <c r="P540"/>
      <c r="Q540">
        <v>0.25</v>
      </c>
      <c r="R540" s="26">
        <v>0.57832200307979797</v>
      </c>
      <c r="S540" s="3" t="str">
        <f>VLOOKUP($E540,'[1]Product Naming'!$A$1:$P$58,2)</f>
        <v>Butanol-PW2</v>
      </c>
      <c r="T540" s="3" t="str">
        <f>VLOOKUP($E540,'[1]Product Naming'!$A$1:$P$58,3)</f>
        <v>Butanol (PW2)</v>
      </c>
      <c r="U540" s="3" t="str">
        <f>VLOOKUP($E540,'[1]Product Naming'!$A$1:$P$58,4)</f>
        <v>E</v>
      </c>
      <c r="V540" s="3" t="str">
        <f>VLOOKUP($E540,'[1]Product Naming'!$A$1:$P$58,5)</f>
        <v>C4H10O</v>
      </c>
      <c r="W540" s="3">
        <f>VLOOKUP($E540,'[1]Product Naming'!$A$1:$P$58,6)</f>
        <v>4</v>
      </c>
      <c r="X540" s="3">
        <f>VLOOKUP($E540,'[1]Product Naming'!$A$1:$P$58,7)</f>
        <v>10</v>
      </c>
      <c r="Y540" s="3">
        <f>VLOOKUP($E540,'[1]Product Naming'!$A$1:$P$58,8)</f>
        <v>1</v>
      </c>
      <c r="Z540" s="3">
        <f>VLOOKUP($E540,'[1]Product Naming'!$A$1:$P$58,9)</f>
        <v>0</v>
      </c>
      <c r="AA540" s="3">
        <f>VLOOKUP($E540,'[1]Product Naming'!$A$1:$P$58,10)</f>
        <v>0</v>
      </c>
      <c r="AB540" s="3">
        <f>VLOOKUP($E540,'[1]Product Naming'!$A$1:$P$58,11)</f>
        <v>6</v>
      </c>
      <c r="AC540" s="3">
        <f>VLOOKUP($E540,'[1]Product Naming'!$A$1:$P$58,12)</f>
        <v>74.120199999999997</v>
      </c>
      <c r="AD540" s="3">
        <f>VLOOKUP($E540,'[1]Product Naming'!$A$1:$P$58,13)</f>
        <v>117.7</v>
      </c>
      <c r="AE540" s="3" t="str">
        <f>VLOOKUP($E540,'[1]Product Naming'!$A$1:$P$58,14)</f>
        <v>Alcohol</v>
      </c>
      <c r="AF540" s="3" t="str">
        <f>VLOOKUP($E540,'[1]Product Naming'!$A$1:$P$58,15)</f>
        <v>Oxaloacetate</v>
      </c>
      <c r="AG540" s="3" t="str">
        <f>VLOOKUP($E540,'[1]Product Naming'!$A$1:$P$58,16)</f>
        <v>Proton symporter</v>
      </c>
      <c r="AH540" s="3" t="str">
        <f>VLOOKUP($E540,'[1]Product Naming'!$A$1:$Q$58,17)</f>
        <v>btoh_c</v>
      </c>
    </row>
    <row r="541" spans="1:34" hidden="1" x14ac:dyDescent="0.2">
      <c r="A541" s="8" t="s">
        <v>350</v>
      </c>
      <c r="B541" s="17" t="s">
        <v>64</v>
      </c>
      <c r="C541" t="s">
        <v>353</v>
      </c>
      <c r="D541" s="13" t="s">
        <v>51</v>
      </c>
      <c r="E541" t="s">
        <v>305</v>
      </c>
      <c r="F541" t="s">
        <v>301</v>
      </c>
      <c r="G541">
        <v>-10</v>
      </c>
      <c r="H541">
        <v>0</v>
      </c>
      <c r="I541">
        <v>0</v>
      </c>
      <c r="J541">
        <v>0.45</v>
      </c>
      <c r="K541">
        <v>-10</v>
      </c>
      <c r="L541">
        <v>0</v>
      </c>
      <c r="M541">
        <v>0</v>
      </c>
      <c r="N541">
        <v>0</v>
      </c>
      <c r="O541">
        <v>2.5</v>
      </c>
      <c r="P541"/>
      <c r="Q541">
        <v>0.25</v>
      </c>
      <c r="R541" s="26">
        <v>0.57832200307979797</v>
      </c>
      <c r="S541" s="3" t="str">
        <f>VLOOKUP($E541,'[1]Product Naming'!$A$1:$P$58,2)</f>
        <v>Butanol-PW2</v>
      </c>
      <c r="T541" s="3" t="str">
        <f>VLOOKUP($E541,'[1]Product Naming'!$A$1:$P$58,3)</f>
        <v>Butanol (PW2)</v>
      </c>
      <c r="U541" s="3" t="str">
        <f>VLOOKUP($E541,'[1]Product Naming'!$A$1:$P$58,4)</f>
        <v>E</v>
      </c>
      <c r="V541" s="3" t="str">
        <f>VLOOKUP($E541,'[1]Product Naming'!$A$1:$P$58,5)</f>
        <v>C4H10O</v>
      </c>
      <c r="W541" s="3">
        <f>VLOOKUP($E541,'[1]Product Naming'!$A$1:$P$58,6)</f>
        <v>4</v>
      </c>
      <c r="X541" s="3">
        <f>VLOOKUP($E541,'[1]Product Naming'!$A$1:$P$58,7)</f>
        <v>10</v>
      </c>
      <c r="Y541" s="3">
        <f>VLOOKUP($E541,'[1]Product Naming'!$A$1:$P$58,8)</f>
        <v>1</v>
      </c>
      <c r="Z541" s="3">
        <f>VLOOKUP($E541,'[1]Product Naming'!$A$1:$P$58,9)</f>
        <v>0</v>
      </c>
      <c r="AA541" s="3">
        <f>VLOOKUP($E541,'[1]Product Naming'!$A$1:$P$58,10)</f>
        <v>0</v>
      </c>
      <c r="AB541" s="3">
        <f>VLOOKUP($E541,'[1]Product Naming'!$A$1:$P$58,11)</f>
        <v>6</v>
      </c>
      <c r="AC541" s="3">
        <f>VLOOKUP($E541,'[1]Product Naming'!$A$1:$P$58,12)</f>
        <v>74.120199999999997</v>
      </c>
      <c r="AD541" s="3">
        <f>VLOOKUP($E541,'[1]Product Naming'!$A$1:$P$58,13)</f>
        <v>117.7</v>
      </c>
      <c r="AE541" s="3" t="str">
        <f>VLOOKUP($E541,'[1]Product Naming'!$A$1:$P$58,14)</f>
        <v>Alcohol</v>
      </c>
      <c r="AF541" s="3" t="str">
        <f>VLOOKUP($E541,'[1]Product Naming'!$A$1:$P$58,15)</f>
        <v>Oxaloacetate</v>
      </c>
      <c r="AG541" s="3" t="str">
        <f>VLOOKUP($E541,'[1]Product Naming'!$A$1:$P$58,16)</f>
        <v>Proton symporter</v>
      </c>
      <c r="AH541" s="3" t="str">
        <f>VLOOKUP($E541,'[1]Product Naming'!$A$1:$Q$58,17)</f>
        <v>btoh_c</v>
      </c>
    </row>
    <row r="542" spans="1:34" hidden="1" x14ac:dyDescent="0.2">
      <c r="A542" s="8" t="s">
        <v>350</v>
      </c>
      <c r="B542" s="17" t="s">
        <v>64</v>
      </c>
      <c r="C542" t="s">
        <v>354</v>
      </c>
      <c r="D542" s="13" t="s">
        <v>51</v>
      </c>
      <c r="E542" t="s">
        <v>305</v>
      </c>
      <c r="F542" t="s">
        <v>301</v>
      </c>
      <c r="G542">
        <v>-10</v>
      </c>
      <c r="H542">
        <v>0</v>
      </c>
      <c r="I542">
        <v>0</v>
      </c>
      <c r="J542">
        <v>0.45</v>
      </c>
      <c r="K542">
        <v>-10</v>
      </c>
      <c r="L542">
        <v>0</v>
      </c>
      <c r="M542">
        <v>0</v>
      </c>
      <c r="N542">
        <v>0</v>
      </c>
      <c r="O542">
        <v>2.5</v>
      </c>
      <c r="P542"/>
      <c r="Q542">
        <v>0.25</v>
      </c>
      <c r="R542" s="26">
        <v>0.57832200307979797</v>
      </c>
      <c r="S542" s="3" t="str">
        <f>VLOOKUP($E542,'[1]Product Naming'!$A$1:$P$58,2)</f>
        <v>Butanol-PW2</v>
      </c>
      <c r="T542" s="3" t="str">
        <f>VLOOKUP($E542,'[1]Product Naming'!$A$1:$P$58,3)</f>
        <v>Butanol (PW2)</v>
      </c>
      <c r="U542" s="3" t="str">
        <f>VLOOKUP($E542,'[1]Product Naming'!$A$1:$P$58,4)</f>
        <v>E</v>
      </c>
      <c r="V542" s="3" t="str">
        <f>VLOOKUP($E542,'[1]Product Naming'!$A$1:$P$58,5)</f>
        <v>C4H10O</v>
      </c>
      <c r="W542" s="3">
        <f>VLOOKUP($E542,'[1]Product Naming'!$A$1:$P$58,6)</f>
        <v>4</v>
      </c>
      <c r="X542" s="3">
        <f>VLOOKUP($E542,'[1]Product Naming'!$A$1:$P$58,7)</f>
        <v>10</v>
      </c>
      <c r="Y542" s="3">
        <f>VLOOKUP($E542,'[1]Product Naming'!$A$1:$P$58,8)</f>
        <v>1</v>
      </c>
      <c r="Z542" s="3">
        <f>VLOOKUP($E542,'[1]Product Naming'!$A$1:$P$58,9)</f>
        <v>0</v>
      </c>
      <c r="AA542" s="3">
        <f>VLOOKUP($E542,'[1]Product Naming'!$A$1:$P$58,10)</f>
        <v>0</v>
      </c>
      <c r="AB542" s="3">
        <f>VLOOKUP($E542,'[1]Product Naming'!$A$1:$P$58,11)</f>
        <v>6</v>
      </c>
      <c r="AC542" s="3">
        <f>VLOOKUP($E542,'[1]Product Naming'!$A$1:$P$58,12)</f>
        <v>74.120199999999997</v>
      </c>
      <c r="AD542" s="3">
        <f>VLOOKUP($E542,'[1]Product Naming'!$A$1:$P$58,13)</f>
        <v>117.7</v>
      </c>
      <c r="AE542" s="3" t="str">
        <f>VLOOKUP($E542,'[1]Product Naming'!$A$1:$P$58,14)</f>
        <v>Alcohol</v>
      </c>
      <c r="AF542" s="3" t="str">
        <f>VLOOKUP($E542,'[1]Product Naming'!$A$1:$P$58,15)</f>
        <v>Oxaloacetate</v>
      </c>
      <c r="AG542" s="3" t="str">
        <f>VLOOKUP($E542,'[1]Product Naming'!$A$1:$P$58,16)</f>
        <v>Proton symporter</v>
      </c>
      <c r="AH542" s="3" t="str">
        <f>VLOOKUP($E542,'[1]Product Naming'!$A$1:$Q$58,17)</f>
        <v>btoh_c</v>
      </c>
    </row>
    <row r="543" spans="1:34" hidden="1" x14ac:dyDescent="0.2">
      <c r="A543" s="16" t="s">
        <v>63</v>
      </c>
      <c r="B543" s="17" t="s">
        <v>64</v>
      </c>
      <c r="C543" t="s">
        <v>69</v>
      </c>
      <c r="D543" s="18" t="s">
        <v>66</v>
      </c>
      <c r="E543" t="s">
        <v>300</v>
      </c>
      <c r="F543" t="s">
        <v>301</v>
      </c>
      <c r="G543">
        <v>-10</v>
      </c>
      <c r="H543">
        <v>0</v>
      </c>
      <c r="I543">
        <v>-20</v>
      </c>
      <c r="J543">
        <v>0.45</v>
      </c>
      <c r="K543">
        <v>-10</v>
      </c>
      <c r="L543">
        <v>0</v>
      </c>
      <c r="M543">
        <v>-20</v>
      </c>
      <c r="N543">
        <v>-5.9299391637065904E-15</v>
      </c>
      <c r="O543">
        <v>2.5</v>
      </c>
      <c r="P543"/>
      <c r="Q543">
        <v>0.25</v>
      </c>
      <c r="R543" s="19">
        <v>0.57816068642745699</v>
      </c>
      <c r="S543" s="20" t="s">
        <v>300</v>
      </c>
      <c r="T543" s="3" t="s">
        <v>302</v>
      </c>
      <c r="U543" s="3" t="s">
        <v>106</v>
      </c>
      <c r="V543" s="3" t="s">
        <v>303</v>
      </c>
      <c r="W543" s="3">
        <v>4</v>
      </c>
      <c r="X543" s="3">
        <v>10</v>
      </c>
      <c r="Y543" s="3">
        <v>1</v>
      </c>
      <c r="Z543" s="3">
        <v>0</v>
      </c>
      <c r="AA543" s="3">
        <v>0</v>
      </c>
      <c r="AB543" s="12">
        <f>(W543*4+X543*1+Y543*-2+Z543*-3)/W543</f>
        <v>6</v>
      </c>
      <c r="AC543" s="3">
        <f>W543*12.0107+X543*1.00784+Y543*15.999+Z543*14.0067</f>
        <v>74.120199999999997</v>
      </c>
      <c r="AD543" s="12">
        <v>117.7</v>
      </c>
      <c r="AE543" s="3" t="s">
        <v>262</v>
      </c>
      <c r="AF543" s="2" t="s">
        <v>79</v>
      </c>
      <c r="AG543" s="2" t="str">
        <f>IF(AD543&gt;37,"Proton symporter", "Diffusion")</f>
        <v>Proton symporter</v>
      </c>
      <c r="AH543" s="3" t="s">
        <v>304</v>
      </c>
    </row>
    <row r="544" spans="1:34" hidden="1" x14ac:dyDescent="0.2">
      <c r="A544" s="16" t="s">
        <v>63</v>
      </c>
      <c r="B544" s="17" t="s">
        <v>64</v>
      </c>
      <c r="C544" t="s">
        <v>69</v>
      </c>
      <c r="D544" s="18" t="s">
        <v>66</v>
      </c>
      <c r="E544" t="s">
        <v>305</v>
      </c>
      <c r="F544" t="s">
        <v>301</v>
      </c>
      <c r="G544">
        <v>-10</v>
      </c>
      <c r="H544">
        <v>0</v>
      </c>
      <c r="I544">
        <v>-20</v>
      </c>
      <c r="J544">
        <v>0.45</v>
      </c>
      <c r="K544">
        <v>-10</v>
      </c>
      <c r="L544">
        <v>0</v>
      </c>
      <c r="M544">
        <v>-20</v>
      </c>
      <c r="N544">
        <v>0</v>
      </c>
      <c r="O544">
        <v>2.5</v>
      </c>
      <c r="P544"/>
      <c r="Q544">
        <v>0.25</v>
      </c>
      <c r="R544" s="19">
        <v>0.57816068642745699</v>
      </c>
      <c r="S544" s="20" t="s">
        <v>305</v>
      </c>
      <c r="T544" s="3" t="s">
        <v>306</v>
      </c>
      <c r="U544" s="3" t="s">
        <v>106</v>
      </c>
      <c r="V544" s="3" t="s">
        <v>303</v>
      </c>
      <c r="W544" s="3">
        <v>4</v>
      </c>
      <c r="X544" s="3">
        <v>10</v>
      </c>
      <c r="Y544" s="3">
        <v>1</v>
      </c>
      <c r="Z544" s="3">
        <v>0</v>
      </c>
      <c r="AA544" s="3">
        <v>0</v>
      </c>
      <c r="AB544" s="12">
        <f>(W544*4+X544*1+Y544*-2+Z544*-3)/W544</f>
        <v>6</v>
      </c>
      <c r="AC544" s="3">
        <f>W544*12.0107+X544*1.00784+Y544*15.999+Z544*14.0067</f>
        <v>74.120199999999997</v>
      </c>
      <c r="AD544" s="12">
        <v>117.7</v>
      </c>
      <c r="AE544" s="3" t="s">
        <v>262</v>
      </c>
      <c r="AF544" s="3" t="s">
        <v>44</v>
      </c>
      <c r="AG544" s="2" t="str">
        <f>IF(AD544&gt;37,"Proton symporter", "Diffusion")</f>
        <v>Proton symporter</v>
      </c>
      <c r="AH544" s="3" t="s">
        <v>304</v>
      </c>
    </row>
    <row r="545" spans="1:34" hidden="1" x14ac:dyDescent="0.2">
      <c r="A545" s="8" t="s">
        <v>34</v>
      </c>
      <c r="B545" s="9" t="s">
        <v>35</v>
      </c>
      <c r="C545" s="1" t="s">
        <v>62</v>
      </c>
      <c r="D545" s="15" t="s">
        <v>55</v>
      </c>
      <c r="E545" s="1" t="s">
        <v>273</v>
      </c>
      <c r="F545" s="1" t="s">
        <v>274</v>
      </c>
      <c r="G545" s="1">
        <v>-10</v>
      </c>
      <c r="H545" s="1">
        <v>-20</v>
      </c>
      <c r="I545" s="1" t="s">
        <v>40</v>
      </c>
      <c r="J545" s="1">
        <v>3.15</v>
      </c>
      <c r="K545" s="1">
        <v>-10</v>
      </c>
      <c r="L545" s="1">
        <v>-4.42077922077923</v>
      </c>
      <c r="M545" s="1" t="s">
        <v>40</v>
      </c>
      <c r="N545" s="1">
        <v>15.8155844155844</v>
      </c>
      <c r="O545" s="1">
        <v>11.394805194805199</v>
      </c>
      <c r="Q545" s="1">
        <v>1.13948051948052</v>
      </c>
      <c r="R545" s="1">
        <v>0.57789627770218199</v>
      </c>
      <c r="S545" s="22" t="s">
        <v>273</v>
      </c>
      <c r="T545" s="3" t="s">
        <v>275</v>
      </c>
      <c r="U545" s="3" t="s">
        <v>41</v>
      </c>
      <c r="V545" s="2" t="s">
        <v>276</v>
      </c>
      <c r="W545" s="2">
        <v>3</v>
      </c>
      <c r="X545" s="2">
        <v>12</v>
      </c>
      <c r="Y545" s="2">
        <v>0</v>
      </c>
      <c r="Z545" s="2">
        <v>2</v>
      </c>
      <c r="AA545" s="2">
        <v>0</v>
      </c>
      <c r="AB545" s="12">
        <f>(W545*4+X545*1+Y545*-2+Z545*-3)/W545</f>
        <v>6</v>
      </c>
      <c r="AC545" s="3">
        <f>W545*12.0107+X545*1.00784+Y545*15.999+Z545*14.0067</f>
        <v>76.139580000000009</v>
      </c>
      <c r="AD545" s="12">
        <v>139.30000000000001</v>
      </c>
      <c r="AE545" s="2" t="s">
        <v>277</v>
      </c>
      <c r="AF545" s="2" t="s">
        <v>125</v>
      </c>
      <c r="AG545" s="2" t="str">
        <f>IF(AD545&gt;37,"Proton symporter", "Diffusion")</f>
        <v>Proton symporter</v>
      </c>
      <c r="AH545" s="3" t="s">
        <v>278</v>
      </c>
    </row>
    <row r="546" spans="1:34" hidden="1" x14ac:dyDescent="0.2">
      <c r="A546" s="8" t="s">
        <v>34</v>
      </c>
      <c r="B546" s="9" t="s">
        <v>35</v>
      </c>
      <c r="C546" s="1" t="s">
        <v>54</v>
      </c>
      <c r="D546" s="14" t="s">
        <v>55</v>
      </c>
      <c r="E546" s="1" t="s">
        <v>166</v>
      </c>
      <c r="F546" s="1" t="s">
        <v>167</v>
      </c>
      <c r="G546" s="1">
        <v>-10</v>
      </c>
      <c r="H546" s="1">
        <v>-20</v>
      </c>
      <c r="I546" s="1" t="s">
        <v>40</v>
      </c>
      <c r="J546" s="1">
        <v>3.15</v>
      </c>
      <c r="K546" s="1">
        <v>-10</v>
      </c>
      <c r="L546" s="1">
        <v>-6.3006593406593296</v>
      </c>
      <c r="M546" s="1" t="s">
        <v>40</v>
      </c>
      <c r="N546" s="1">
        <v>12.267252747252799</v>
      </c>
      <c r="O546" s="1">
        <v>11.933186813186801</v>
      </c>
      <c r="Q546" s="1">
        <v>1.19331868131868</v>
      </c>
      <c r="R546" s="1">
        <v>0.57024106331806401</v>
      </c>
      <c r="S546" s="11" t="s">
        <v>166</v>
      </c>
      <c r="T546" s="2" t="s">
        <v>168</v>
      </c>
      <c r="U546" s="3" t="s">
        <v>41</v>
      </c>
      <c r="V546" s="2" t="s">
        <v>169</v>
      </c>
      <c r="W546" s="2">
        <v>4</v>
      </c>
      <c r="X546" s="2">
        <v>6</v>
      </c>
      <c r="Y546" s="2">
        <v>2</v>
      </c>
      <c r="Z546" s="2">
        <v>0</v>
      </c>
      <c r="AA546" s="2">
        <v>0</v>
      </c>
      <c r="AB546" s="12">
        <f>(W546*4+X546*1+Y546*-2+Z546*-3)/W546</f>
        <v>4.5</v>
      </c>
      <c r="AC546" s="3">
        <f>W546*12.0107+X546*1.00784+Y546*15.999+Z546*14.0067</f>
        <v>86.08784</v>
      </c>
      <c r="AD546" s="12">
        <v>204</v>
      </c>
      <c r="AE546" s="2" t="s">
        <v>170</v>
      </c>
      <c r="AF546" s="2" t="s">
        <v>120</v>
      </c>
      <c r="AG546" s="2" t="str">
        <f>IF(AD546&gt;37,"Proton symporter", "Diffusion")</f>
        <v>Proton symporter</v>
      </c>
      <c r="AH546" s="3" t="s">
        <v>171</v>
      </c>
    </row>
    <row r="547" spans="1:34" hidden="1" x14ac:dyDescent="0.2">
      <c r="A547" s="8" t="s">
        <v>34</v>
      </c>
      <c r="B547" s="9" t="s">
        <v>35</v>
      </c>
      <c r="C547" s="1" t="s">
        <v>56</v>
      </c>
      <c r="D547" s="14" t="s">
        <v>55</v>
      </c>
      <c r="E547" s="1" t="s">
        <v>146</v>
      </c>
      <c r="F547" s="1" t="s">
        <v>147</v>
      </c>
      <c r="G547" s="1">
        <v>-10</v>
      </c>
      <c r="H547" s="1">
        <v>-20</v>
      </c>
      <c r="I547" s="1" t="s">
        <v>40</v>
      </c>
      <c r="J547" s="1">
        <v>3.15</v>
      </c>
      <c r="K547" s="1">
        <v>-10</v>
      </c>
      <c r="L547" s="1">
        <v>-4.4433691756272404</v>
      </c>
      <c r="M547" s="1" t="s">
        <v>40</v>
      </c>
      <c r="N547" s="1">
        <v>1.0516129032258099</v>
      </c>
      <c r="O547" s="1">
        <v>3.2164874551971399</v>
      </c>
      <c r="Q547" s="1">
        <v>0.32164874551971401</v>
      </c>
      <c r="R547" s="1">
        <v>0.56981464587769803</v>
      </c>
      <c r="S547" s="20" t="s">
        <v>148</v>
      </c>
      <c r="T547" s="3" t="s">
        <v>148</v>
      </c>
      <c r="U547" s="3" t="s">
        <v>106</v>
      </c>
      <c r="V547" s="3" t="s">
        <v>149</v>
      </c>
      <c r="W547" s="3">
        <v>9</v>
      </c>
      <c r="X547" s="3">
        <v>7</v>
      </c>
      <c r="Y547" s="3">
        <v>3</v>
      </c>
      <c r="Z547" s="3">
        <v>0</v>
      </c>
      <c r="AA547" s="3">
        <v>-1</v>
      </c>
      <c r="AB547" s="12">
        <f>(W547*4+X547*1+Y547*-2+Z547*-3)/W547</f>
        <v>4.1111111111111107</v>
      </c>
      <c r="AC547" s="3">
        <f>W547*12.0107+X547*1.00784+Y547*15.999+Z547*14.0067</f>
        <v>163.14818</v>
      </c>
      <c r="AD547" s="12">
        <v>346</v>
      </c>
      <c r="AE547" s="22" t="s">
        <v>139</v>
      </c>
      <c r="AF547" s="2" t="s">
        <v>150</v>
      </c>
      <c r="AG547" s="2" t="str">
        <f>IF(AD547&gt;37,"Proton symporter", "Diffusion")</f>
        <v>Proton symporter</v>
      </c>
      <c r="AH547" s="3" t="s">
        <v>151</v>
      </c>
    </row>
    <row r="548" spans="1:34" hidden="1" x14ac:dyDescent="0.2">
      <c r="A548" s="8" t="s">
        <v>34</v>
      </c>
      <c r="B548" s="9" t="s">
        <v>35</v>
      </c>
      <c r="C548" s="1" t="s">
        <v>56</v>
      </c>
      <c r="D548" s="14" t="s">
        <v>55</v>
      </c>
      <c r="E548" s="1" t="s">
        <v>161</v>
      </c>
      <c r="F548" s="1" t="s">
        <v>162</v>
      </c>
      <c r="G548" s="1">
        <v>-10</v>
      </c>
      <c r="H548" s="1">
        <v>-20</v>
      </c>
      <c r="I548" s="1" t="s">
        <v>40</v>
      </c>
      <c r="J548" s="1">
        <v>3.15</v>
      </c>
      <c r="K548" s="1">
        <v>-10</v>
      </c>
      <c r="L548" s="1">
        <v>-4.1018828451882898</v>
      </c>
      <c r="M548" s="1" t="s">
        <v>40</v>
      </c>
      <c r="N548" s="1">
        <v>1.4786610878661199</v>
      </c>
      <c r="O548" s="1">
        <v>4.7535564853556398</v>
      </c>
      <c r="Q548" s="1">
        <v>0.475355648535564</v>
      </c>
      <c r="R548" s="1">
        <v>0.56834485951346203</v>
      </c>
      <c r="S548" s="20" t="s">
        <v>161</v>
      </c>
      <c r="T548" s="3" t="s">
        <v>161</v>
      </c>
      <c r="U548" s="3" t="s">
        <v>106</v>
      </c>
      <c r="V548" s="20" t="s">
        <v>163</v>
      </c>
      <c r="W548" s="3">
        <v>6</v>
      </c>
      <c r="X548" s="3">
        <v>6</v>
      </c>
      <c r="Y548" s="3">
        <v>2</v>
      </c>
      <c r="Z548" s="3">
        <v>0</v>
      </c>
      <c r="AA548" s="3">
        <v>0</v>
      </c>
      <c r="AB548" s="12">
        <f>(W548*4+X548*1+Y548*-2+Z548*-3)/W548</f>
        <v>4.333333333333333</v>
      </c>
      <c r="AC548" s="3">
        <f>W548*12.0107+X548*1.00784+Y548*15.999+Z548*14.0067</f>
        <v>110.10924</v>
      </c>
      <c r="AD548" s="12">
        <v>245</v>
      </c>
      <c r="AE548" s="3" t="s">
        <v>164</v>
      </c>
      <c r="AF548" s="2" t="s">
        <v>98</v>
      </c>
      <c r="AG548" s="2" t="str">
        <f>IF(AD548&gt;37,"Proton symporter", "Diffusion")</f>
        <v>Proton symporter</v>
      </c>
      <c r="AH548" s="3" t="s">
        <v>165</v>
      </c>
    </row>
    <row r="549" spans="1:34" hidden="1" x14ac:dyDescent="0.2">
      <c r="A549" s="16" t="s">
        <v>317</v>
      </c>
      <c r="B549" s="9" t="s">
        <v>35</v>
      </c>
      <c r="C549" t="s">
        <v>49</v>
      </c>
      <c r="D549" s="10" t="s">
        <v>37</v>
      </c>
      <c r="E549" t="s">
        <v>318</v>
      </c>
      <c r="F549" t="s">
        <v>319</v>
      </c>
      <c r="G549">
        <v>-10</v>
      </c>
      <c r="H549">
        <v>-20</v>
      </c>
      <c r="I549" s="1" t="s">
        <v>40</v>
      </c>
      <c r="J549">
        <v>3.15</v>
      </c>
      <c r="K549">
        <v>-10</v>
      </c>
      <c r="L549">
        <v>-1.4262996941896</v>
      </c>
      <c r="M549" s="1" t="s">
        <v>40</v>
      </c>
      <c r="N549">
        <v>1.6311926605504601</v>
      </c>
      <c r="O549">
        <v>2.0409785932721798</v>
      </c>
      <c r="P549"/>
      <c r="Q549">
        <v>0.204097859327218</v>
      </c>
      <c r="R549">
        <v>0.568214408312674</v>
      </c>
      <c r="S549" s="20" t="s">
        <v>318</v>
      </c>
      <c r="T549" s="3" t="s">
        <v>318</v>
      </c>
      <c r="U549" s="3" t="s">
        <v>106</v>
      </c>
      <c r="V549" s="3" t="s">
        <v>320</v>
      </c>
      <c r="W549" s="3">
        <v>9</v>
      </c>
      <c r="X549" s="3">
        <v>20</v>
      </c>
      <c r="Y549" s="3">
        <v>0</v>
      </c>
      <c r="Z549" s="3">
        <v>0</v>
      </c>
      <c r="AA549" s="3">
        <v>0</v>
      </c>
      <c r="AB549" s="12">
        <f>(W549*4+X549*1+Y549*-2+Z549*-3)/W549</f>
        <v>6.2222222222222223</v>
      </c>
      <c r="AC549" s="3">
        <f>W549*12.0107+X549*1.00784+Y549*15.999+Z549*14.0067</f>
        <v>128.25309999999999</v>
      </c>
      <c r="AD549" s="12">
        <v>151</v>
      </c>
      <c r="AE549" s="3" t="s">
        <v>321</v>
      </c>
      <c r="AF549" s="2" t="s">
        <v>79</v>
      </c>
      <c r="AG549" s="2" t="str">
        <f>IF(AD549&gt;37,"Proton symporter", "Diffusion")</f>
        <v>Proton symporter</v>
      </c>
      <c r="AH549" s="3" t="s">
        <v>322</v>
      </c>
    </row>
    <row r="550" spans="1:34" hidden="1" x14ac:dyDescent="0.2">
      <c r="A550" s="8" t="s">
        <v>34</v>
      </c>
      <c r="B550" s="9" t="s">
        <v>35</v>
      </c>
      <c r="C550" s="1" t="s">
        <v>62</v>
      </c>
      <c r="D550" s="15" t="s">
        <v>55</v>
      </c>
      <c r="E550" s="1" t="s">
        <v>166</v>
      </c>
      <c r="F550" s="1" t="s">
        <v>167</v>
      </c>
      <c r="G550" s="1">
        <v>-10</v>
      </c>
      <c r="H550" s="1">
        <v>-20</v>
      </c>
      <c r="I550" s="1" t="s">
        <v>40</v>
      </c>
      <c r="J550" s="1">
        <v>3.15</v>
      </c>
      <c r="K550" s="1">
        <v>-10</v>
      </c>
      <c r="L550" s="1">
        <v>-5.5201834862385404</v>
      </c>
      <c r="M550" s="1" t="s">
        <v>40</v>
      </c>
      <c r="N550" s="1">
        <v>10.462385321100999</v>
      </c>
      <c r="O550" s="1">
        <v>9.8844036697247795</v>
      </c>
      <c r="Q550" s="1">
        <v>0.98844036697247795</v>
      </c>
      <c r="R550" s="1">
        <v>0.56679342011235601</v>
      </c>
      <c r="S550" s="11" t="s">
        <v>166</v>
      </c>
      <c r="T550" s="2" t="s">
        <v>168</v>
      </c>
      <c r="U550" s="3" t="s">
        <v>41</v>
      </c>
      <c r="V550" s="2" t="s">
        <v>169</v>
      </c>
      <c r="W550" s="2">
        <v>4</v>
      </c>
      <c r="X550" s="2">
        <v>6</v>
      </c>
      <c r="Y550" s="2">
        <v>2</v>
      </c>
      <c r="Z550" s="2">
        <v>0</v>
      </c>
      <c r="AA550" s="2">
        <v>0</v>
      </c>
      <c r="AB550" s="12">
        <f>(W550*4+X550*1+Y550*-2+Z550*-3)/W550</f>
        <v>4.5</v>
      </c>
      <c r="AC550" s="3">
        <f>W550*12.0107+X550*1.00784+Y550*15.999+Z550*14.0067</f>
        <v>86.08784</v>
      </c>
      <c r="AD550" s="12">
        <v>204</v>
      </c>
      <c r="AE550" s="2" t="s">
        <v>170</v>
      </c>
      <c r="AF550" s="2" t="s">
        <v>120</v>
      </c>
      <c r="AG550" s="2" t="str">
        <f>IF(AD550&gt;37,"Proton symporter", "Diffusion")</f>
        <v>Proton symporter</v>
      </c>
      <c r="AH550" s="3" t="s">
        <v>171</v>
      </c>
    </row>
    <row r="551" spans="1:34" hidden="1" x14ac:dyDescent="0.2">
      <c r="A551" s="8" t="s">
        <v>34</v>
      </c>
      <c r="B551" s="9" t="s">
        <v>35</v>
      </c>
      <c r="C551" s="1" t="s">
        <v>36</v>
      </c>
      <c r="D551" s="10" t="s">
        <v>37</v>
      </c>
      <c r="E551" s="1" t="s">
        <v>305</v>
      </c>
      <c r="F551" s="1" t="s">
        <v>301</v>
      </c>
      <c r="G551" s="1">
        <v>-10</v>
      </c>
      <c r="H551" s="1">
        <v>-20</v>
      </c>
      <c r="I551" s="1" t="s">
        <v>40</v>
      </c>
      <c r="J551" s="1">
        <v>3.15</v>
      </c>
      <c r="K551" s="1">
        <v>-10</v>
      </c>
      <c r="L551" s="1">
        <v>-4.79834710743802</v>
      </c>
      <c r="M551" s="1" t="s">
        <v>40</v>
      </c>
      <c r="N551" s="1">
        <v>6.5322314049586803</v>
      </c>
      <c r="O551" s="1">
        <v>3.3669421487603302</v>
      </c>
      <c r="Q551" s="1">
        <v>0.33669421487603302</v>
      </c>
      <c r="R551" s="1">
        <v>0.56651181576978005</v>
      </c>
      <c r="S551" s="20" t="s">
        <v>305</v>
      </c>
      <c r="T551" s="3" t="s">
        <v>306</v>
      </c>
      <c r="U551" s="3" t="s">
        <v>106</v>
      </c>
      <c r="V551" s="3" t="s">
        <v>303</v>
      </c>
      <c r="W551" s="3">
        <v>4</v>
      </c>
      <c r="X551" s="3">
        <v>10</v>
      </c>
      <c r="Y551" s="3">
        <v>1</v>
      </c>
      <c r="Z551" s="3">
        <v>0</v>
      </c>
      <c r="AA551" s="3">
        <v>0</v>
      </c>
      <c r="AB551" s="12">
        <f>(W551*4+X551*1+Y551*-2+Z551*-3)/W551</f>
        <v>6</v>
      </c>
      <c r="AC551" s="3">
        <f>W551*12.0107+X551*1.00784+Y551*15.999+Z551*14.0067</f>
        <v>74.120199999999997</v>
      </c>
      <c r="AD551" s="12">
        <v>117.7</v>
      </c>
      <c r="AE551" s="3" t="s">
        <v>262</v>
      </c>
      <c r="AF551" s="3" t="s">
        <v>44</v>
      </c>
      <c r="AG551" s="2" t="str">
        <f>IF(AD551&gt;37,"Proton symporter", "Diffusion")</f>
        <v>Proton symporter</v>
      </c>
      <c r="AH551" s="3" t="s">
        <v>304</v>
      </c>
    </row>
    <row r="552" spans="1:34" hidden="1" x14ac:dyDescent="0.2">
      <c r="A552" s="8" t="s">
        <v>34</v>
      </c>
      <c r="B552" s="9" t="s">
        <v>35</v>
      </c>
      <c r="C552" s="1" t="s">
        <v>59</v>
      </c>
      <c r="D552" s="13" t="s">
        <v>51</v>
      </c>
      <c r="E552" s="1" t="s">
        <v>279</v>
      </c>
      <c r="F552" s="1" t="s">
        <v>280</v>
      </c>
      <c r="G552" s="1">
        <v>-10</v>
      </c>
      <c r="H552" s="1">
        <v>-20</v>
      </c>
      <c r="I552" s="1" t="s">
        <v>40</v>
      </c>
      <c r="J552" s="1">
        <v>3.15</v>
      </c>
      <c r="K552" s="1">
        <v>-10</v>
      </c>
      <c r="L552" s="1">
        <v>-1.4125000000000001</v>
      </c>
      <c r="M552" s="1" t="s">
        <v>40</v>
      </c>
      <c r="N552" s="1">
        <v>0.94166666666666299</v>
      </c>
      <c r="O552" s="1">
        <v>3.0194444444444399</v>
      </c>
      <c r="Q552" s="1">
        <v>0.30194444444444402</v>
      </c>
      <c r="R552" s="1">
        <v>0.56630445729462298</v>
      </c>
      <c r="S552" s="20" t="s">
        <v>281</v>
      </c>
      <c r="T552" s="3" t="s">
        <v>282</v>
      </c>
      <c r="U552" s="3" t="s">
        <v>174</v>
      </c>
      <c r="V552" s="3" t="s">
        <v>283</v>
      </c>
      <c r="W552" s="3">
        <v>3</v>
      </c>
      <c r="X552" s="3">
        <v>8</v>
      </c>
      <c r="Y552" s="3">
        <v>1</v>
      </c>
      <c r="Z552" s="3">
        <v>0</v>
      </c>
      <c r="AA552" s="3">
        <v>0</v>
      </c>
      <c r="AB552" s="12">
        <f>(W552*4+X552*1+Y552*-2+Z552*-3)/W552</f>
        <v>6</v>
      </c>
      <c r="AC552" s="3">
        <f>W552*12.0107+X552*1.00784+Y552*15.999+Z552*14.0067</f>
        <v>60.093820000000001</v>
      </c>
      <c r="AD552" s="12">
        <v>97</v>
      </c>
      <c r="AE552" s="2" t="s">
        <v>262</v>
      </c>
      <c r="AF552" s="2" t="s">
        <v>284</v>
      </c>
      <c r="AG552" s="2" t="str">
        <f>IF(AD552&gt;37,"Proton symporter", "Diffusion")</f>
        <v>Proton symporter</v>
      </c>
      <c r="AH552" s="3" t="s">
        <v>285</v>
      </c>
    </row>
    <row r="553" spans="1:34" hidden="1" x14ac:dyDescent="0.2">
      <c r="A553" s="8" t="s">
        <v>34</v>
      </c>
      <c r="B553" s="9" t="s">
        <v>35</v>
      </c>
      <c r="C553" s="1" t="s">
        <v>60</v>
      </c>
      <c r="D553" s="13" t="s">
        <v>51</v>
      </c>
      <c r="E553" s="1" t="s">
        <v>279</v>
      </c>
      <c r="F553" s="1" t="s">
        <v>280</v>
      </c>
      <c r="G553" s="1">
        <v>-10</v>
      </c>
      <c r="H553" s="1">
        <v>-20</v>
      </c>
      <c r="I553" s="1" t="s">
        <v>40</v>
      </c>
      <c r="J553" s="1">
        <v>3.15</v>
      </c>
      <c r="K553" s="1">
        <v>-10</v>
      </c>
      <c r="L553" s="1">
        <v>-1.4125000000000001</v>
      </c>
      <c r="M553" s="1" t="s">
        <v>40</v>
      </c>
      <c r="N553" s="1">
        <v>0.94166666666666698</v>
      </c>
      <c r="O553" s="1">
        <v>3.0194444444444399</v>
      </c>
      <c r="Q553" s="1">
        <v>0.30194444444444402</v>
      </c>
      <c r="R553" s="1">
        <v>0.56630445729462298</v>
      </c>
      <c r="S553" s="20" t="s">
        <v>281</v>
      </c>
      <c r="T553" s="3" t="s">
        <v>282</v>
      </c>
      <c r="U553" s="3" t="s">
        <v>174</v>
      </c>
      <c r="V553" s="3" t="s">
        <v>283</v>
      </c>
      <c r="W553" s="3">
        <v>3</v>
      </c>
      <c r="X553" s="3">
        <v>8</v>
      </c>
      <c r="Y553" s="3">
        <v>1</v>
      </c>
      <c r="Z553" s="3">
        <v>0</v>
      </c>
      <c r="AA553" s="3">
        <v>0</v>
      </c>
      <c r="AB553" s="12">
        <f>(W553*4+X553*1+Y553*-2+Z553*-3)/W553</f>
        <v>6</v>
      </c>
      <c r="AC553" s="3">
        <f>W553*12.0107+X553*1.00784+Y553*15.999+Z553*14.0067</f>
        <v>60.093820000000001</v>
      </c>
      <c r="AD553" s="12">
        <v>97</v>
      </c>
      <c r="AE553" s="2" t="s">
        <v>262</v>
      </c>
      <c r="AF553" s="2" t="s">
        <v>284</v>
      </c>
      <c r="AG553" s="2" t="str">
        <f>IF(AD553&gt;37,"Proton symporter", "Diffusion")</f>
        <v>Proton symporter</v>
      </c>
      <c r="AH553" s="3" t="s">
        <v>285</v>
      </c>
    </row>
    <row r="554" spans="1:34" hidden="1" x14ac:dyDescent="0.2">
      <c r="A554" s="8" t="s">
        <v>34</v>
      </c>
      <c r="B554" s="9" t="s">
        <v>35</v>
      </c>
      <c r="C554" s="1" t="s">
        <v>54</v>
      </c>
      <c r="D554" s="14" t="s">
        <v>55</v>
      </c>
      <c r="E554" s="1" t="s">
        <v>186</v>
      </c>
      <c r="F554" s="1" t="s">
        <v>187</v>
      </c>
      <c r="G554" s="1">
        <v>-10</v>
      </c>
      <c r="H554" s="1">
        <v>-20</v>
      </c>
      <c r="I554" s="1" t="s">
        <v>40</v>
      </c>
      <c r="J554" s="1">
        <v>3.15</v>
      </c>
      <c r="K554" s="1">
        <v>-10</v>
      </c>
      <c r="L554" s="1">
        <v>-1.76984126984127</v>
      </c>
      <c r="M554" s="1" t="s">
        <v>40</v>
      </c>
      <c r="N554" s="1">
        <v>13.415873015873</v>
      </c>
      <c r="O554" s="1">
        <v>11.646031746031699</v>
      </c>
      <c r="Q554" s="1">
        <v>1.16460317460317</v>
      </c>
      <c r="R554" s="1">
        <v>0.56303425869615498</v>
      </c>
      <c r="S554" s="11" t="s">
        <v>186</v>
      </c>
      <c r="T554" s="2" t="s">
        <v>186</v>
      </c>
      <c r="U554" s="3" t="s">
        <v>41</v>
      </c>
      <c r="V554" s="2" t="s">
        <v>184</v>
      </c>
      <c r="W554" s="2">
        <v>4</v>
      </c>
      <c r="X554" s="2">
        <v>7</v>
      </c>
      <c r="Y554" s="2">
        <v>2</v>
      </c>
      <c r="Z554" s="2">
        <v>0</v>
      </c>
      <c r="AA554" s="2">
        <v>0</v>
      </c>
      <c r="AB554" s="12">
        <f>(W554*4+X554*1+Y554*-2+Z554*-3)/W554</f>
        <v>4.75</v>
      </c>
      <c r="AC554" s="3">
        <f>W554*12.0107+X554*1.00784+Y554*15.999+Z554*14.0067</f>
        <v>87.095680000000002</v>
      </c>
      <c r="AD554" s="12">
        <v>155</v>
      </c>
      <c r="AE554" s="2" t="s">
        <v>131</v>
      </c>
      <c r="AF554" s="2" t="s">
        <v>135</v>
      </c>
      <c r="AG554" s="2" t="str">
        <f>IF(AD554&gt;37,"Proton symporter", "Diffusion")</f>
        <v>Proton symporter</v>
      </c>
      <c r="AH554" s="3" t="s">
        <v>188</v>
      </c>
    </row>
    <row r="555" spans="1:34" hidden="1" x14ac:dyDescent="0.2">
      <c r="A555" s="8" t="s">
        <v>34</v>
      </c>
      <c r="B555" s="9" t="s">
        <v>35</v>
      </c>
      <c r="C555" s="1" t="s">
        <v>58</v>
      </c>
      <c r="D555" s="10" t="s">
        <v>37</v>
      </c>
      <c r="E555" s="1" t="s">
        <v>182</v>
      </c>
      <c r="F555" s="1" t="s">
        <v>183</v>
      </c>
      <c r="G555" s="1">
        <v>-10</v>
      </c>
      <c r="H555" s="1">
        <v>-20</v>
      </c>
      <c r="I555" s="1" t="s">
        <v>40</v>
      </c>
      <c r="J555" s="1">
        <v>3.15</v>
      </c>
      <c r="K555" s="1">
        <v>-10</v>
      </c>
      <c r="L555" s="1">
        <v>-0.59883720930232398</v>
      </c>
      <c r="M555" s="1" t="s">
        <v>40</v>
      </c>
      <c r="N555" s="1">
        <v>4.4790697674418603</v>
      </c>
      <c r="O555" s="1">
        <v>3.8802325581395398</v>
      </c>
      <c r="Q555" s="1">
        <v>0.38802325581395403</v>
      </c>
      <c r="R555" s="1">
        <v>0.56276475922417701</v>
      </c>
      <c r="S555" s="11" t="s">
        <v>182</v>
      </c>
      <c r="T555" s="2" t="s">
        <v>182</v>
      </c>
      <c r="U555" s="3" t="s">
        <v>41</v>
      </c>
      <c r="V555" s="2" t="s">
        <v>184</v>
      </c>
      <c r="W555" s="2">
        <v>4</v>
      </c>
      <c r="X555" s="2">
        <v>7</v>
      </c>
      <c r="Y555" s="2">
        <v>2</v>
      </c>
      <c r="Z555" s="2">
        <v>0</v>
      </c>
      <c r="AA555" s="2">
        <v>0</v>
      </c>
      <c r="AB555" s="12">
        <f>(W555*4+X555*1+Y555*-2+Z555*-3)/W555</f>
        <v>4.75</v>
      </c>
      <c r="AC555" s="3">
        <f>W555*12.0107+X555*1.00784+Y555*15.999+Z555*14.0067</f>
        <v>87.095680000000002</v>
      </c>
      <c r="AD555" s="12">
        <v>163.5</v>
      </c>
      <c r="AE555" s="2" t="s">
        <v>131</v>
      </c>
      <c r="AF555" s="2" t="s">
        <v>79</v>
      </c>
      <c r="AG555" s="2" t="str">
        <f>IF(AD555&gt;37,"Proton symporter", "Diffusion")</f>
        <v>Proton symporter</v>
      </c>
      <c r="AH555" s="3" t="s">
        <v>185</v>
      </c>
    </row>
    <row r="556" spans="1:34" hidden="1" x14ac:dyDescent="0.2">
      <c r="A556" s="16" t="s">
        <v>74</v>
      </c>
      <c r="B556" s="9" t="s">
        <v>35</v>
      </c>
      <c r="C556" t="s">
        <v>58</v>
      </c>
      <c r="D556" s="10" t="s">
        <v>37</v>
      </c>
      <c r="E556" t="s">
        <v>194</v>
      </c>
      <c r="F556" t="s">
        <v>195</v>
      </c>
      <c r="G556">
        <v>-10</v>
      </c>
      <c r="H556">
        <v>-20</v>
      </c>
      <c r="I556" s="1" t="s">
        <v>40</v>
      </c>
      <c r="J556">
        <v>3.15</v>
      </c>
      <c r="K556">
        <v>-10</v>
      </c>
      <c r="L556">
        <v>-3.9861538461538499</v>
      </c>
      <c r="M556" s="1" t="s">
        <v>40</v>
      </c>
      <c r="N556">
        <v>6.2738461538461596</v>
      </c>
      <c r="O556">
        <v>2.2876923076923101</v>
      </c>
      <c r="P556"/>
      <c r="Q556">
        <v>0.228769230769231</v>
      </c>
      <c r="R556">
        <v>0.56073528173019205</v>
      </c>
      <c r="S556" s="3" t="s">
        <v>194</v>
      </c>
      <c r="T556" s="2" t="s">
        <v>196</v>
      </c>
      <c r="U556" s="3" t="s">
        <v>35</v>
      </c>
      <c r="V556" s="3" t="s">
        <v>197</v>
      </c>
      <c r="W556" s="3">
        <v>6</v>
      </c>
      <c r="X556" s="3">
        <v>15</v>
      </c>
      <c r="Y556" s="3">
        <v>2</v>
      </c>
      <c r="Z556" s="3">
        <v>2</v>
      </c>
      <c r="AA556" s="3">
        <v>1</v>
      </c>
      <c r="AB556" s="12">
        <f>(W556*4+X556*1+Y556*-2+Z556*-3)/W556</f>
        <v>4.833333333333333</v>
      </c>
      <c r="AC556" s="3">
        <f>W556*12.0107+X556*1.00784+Y556*15.999+Z556*14.0067</f>
        <v>147.19319999999999</v>
      </c>
      <c r="AD556" s="12" t="s">
        <v>40</v>
      </c>
      <c r="AE556" s="3" t="s">
        <v>119</v>
      </c>
      <c r="AF556" s="3" t="s">
        <v>44</v>
      </c>
      <c r="AG556" s="2" t="s">
        <v>80</v>
      </c>
      <c r="AH556" s="2" t="s">
        <v>198</v>
      </c>
    </row>
    <row r="557" spans="1:34" hidden="1" x14ac:dyDescent="0.2">
      <c r="A557" s="16" t="s">
        <v>317</v>
      </c>
      <c r="B557" s="9" t="s">
        <v>35</v>
      </c>
      <c r="C557" t="s">
        <v>49</v>
      </c>
      <c r="D557" s="10" t="s">
        <v>37</v>
      </c>
      <c r="E557" t="s">
        <v>327</v>
      </c>
      <c r="F557" t="s">
        <v>328</v>
      </c>
      <c r="G557">
        <v>-10</v>
      </c>
      <c r="H557">
        <v>-20</v>
      </c>
      <c r="I557" s="1" t="s">
        <v>40</v>
      </c>
      <c r="J557">
        <v>3.15</v>
      </c>
      <c r="K557">
        <v>-10</v>
      </c>
      <c r="L557">
        <v>-1.65482625482625</v>
      </c>
      <c r="M557" s="1" t="s">
        <v>40</v>
      </c>
      <c r="N557">
        <v>1.9621621621621701</v>
      </c>
      <c r="O557">
        <v>2.5768339768339801</v>
      </c>
      <c r="P557"/>
      <c r="Q557">
        <v>0.25768339768339799</v>
      </c>
      <c r="R557">
        <v>0.560481851395078</v>
      </c>
      <c r="S557" s="20" t="s">
        <v>327</v>
      </c>
      <c r="T557" s="3" t="s">
        <v>327</v>
      </c>
      <c r="U557" s="3" t="s">
        <v>106</v>
      </c>
      <c r="V557" s="3" t="s">
        <v>329</v>
      </c>
      <c r="W557" s="3">
        <v>7</v>
      </c>
      <c r="X557" s="3">
        <v>16</v>
      </c>
      <c r="Y557" s="3">
        <v>0</v>
      </c>
      <c r="Z557" s="3">
        <v>0</v>
      </c>
      <c r="AA557" s="3">
        <v>0</v>
      </c>
      <c r="AB557" s="12">
        <f>(W557*4+X557*1+Y557*-2+Z557*-3)/W557</f>
        <v>6.2857142857142856</v>
      </c>
      <c r="AC557" s="3">
        <f>W557*12.0107+X557*1.00784+Y557*15.999+Z557*14.0067</f>
        <v>100.20034</v>
      </c>
      <c r="AD557" s="3">
        <v>98</v>
      </c>
      <c r="AE557" s="3" t="s">
        <v>321</v>
      </c>
      <c r="AF557" s="2" t="s">
        <v>79</v>
      </c>
      <c r="AG557" s="2" t="str">
        <f>IF(AD557&gt;37,"Proton symporter", "Diffusion")</f>
        <v>Proton symporter</v>
      </c>
      <c r="AH557" s="3" t="s">
        <v>330</v>
      </c>
    </row>
    <row r="558" spans="1:34" hidden="1" x14ac:dyDescent="0.2">
      <c r="A558" s="8" t="s">
        <v>34</v>
      </c>
      <c r="B558" s="9" t="s">
        <v>35</v>
      </c>
      <c r="C558" s="1" t="s">
        <v>58</v>
      </c>
      <c r="D558" s="10" t="s">
        <v>37</v>
      </c>
      <c r="E558" s="1" t="s">
        <v>205</v>
      </c>
      <c r="F558" s="1" t="s">
        <v>206</v>
      </c>
      <c r="G558" s="1">
        <v>-10</v>
      </c>
      <c r="H558" s="1">
        <v>-20</v>
      </c>
      <c r="I558" s="1" t="s">
        <v>40</v>
      </c>
      <c r="J558" s="1">
        <v>3.15</v>
      </c>
      <c r="K558" s="1">
        <v>-10</v>
      </c>
      <c r="L558" s="1">
        <v>-0.93142857142857305</v>
      </c>
      <c r="M558" s="1" t="s">
        <v>40</v>
      </c>
      <c r="N558" s="1">
        <v>4.7451428571428602</v>
      </c>
      <c r="O558" s="1">
        <v>3.8137142857142901</v>
      </c>
      <c r="Q558" s="1">
        <v>0.38137142857142903</v>
      </c>
      <c r="R558" s="1">
        <v>0.55951783928214605</v>
      </c>
      <c r="S558" s="20" t="s">
        <v>205</v>
      </c>
      <c r="T558" s="3" t="s">
        <v>207</v>
      </c>
      <c r="U558" s="3" t="s">
        <v>106</v>
      </c>
      <c r="V558" s="3" t="s">
        <v>208</v>
      </c>
      <c r="W558" s="3">
        <v>4</v>
      </c>
      <c r="X558" s="3">
        <v>8</v>
      </c>
      <c r="Y558" s="3">
        <v>2</v>
      </c>
      <c r="Z558" s="3">
        <v>0</v>
      </c>
      <c r="AA558" s="3">
        <v>0</v>
      </c>
      <c r="AB558" s="12">
        <f>(W558*4+X558*1+Y558*-2+Z558*-3)/W558</f>
        <v>5</v>
      </c>
      <c r="AC558" s="3">
        <f>W558*12.0107+X558*1.00784+Y558*15.999+Z558*14.0067</f>
        <v>88.103520000000003</v>
      </c>
      <c r="AD558" s="12">
        <v>77.099999999999994</v>
      </c>
      <c r="AE558" s="3" t="s">
        <v>209</v>
      </c>
      <c r="AF558" s="3" t="s">
        <v>79</v>
      </c>
      <c r="AG558" s="2" t="str">
        <f>IF(AD558&gt;37,"Proton symporter", "Diffusion")</f>
        <v>Proton symporter</v>
      </c>
      <c r="AH558" s="3" t="s">
        <v>210</v>
      </c>
    </row>
    <row r="559" spans="1:34" hidden="1" x14ac:dyDescent="0.2">
      <c r="A559" s="8" t="s">
        <v>34</v>
      </c>
      <c r="B559" s="9" t="s">
        <v>35</v>
      </c>
      <c r="C559" s="1" t="s">
        <v>62</v>
      </c>
      <c r="D559" s="15" t="s">
        <v>55</v>
      </c>
      <c r="E559" s="1" t="s">
        <v>186</v>
      </c>
      <c r="F559" s="1" t="s">
        <v>187</v>
      </c>
      <c r="G559" s="1">
        <v>-10</v>
      </c>
      <c r="H559" s="1">
        <v>-20</v>
      </c>
      <c r="I559" s="1" t="s">
        <v>40</v>
      </c>
      <c r="J559" s="1">
        <v>3.15</v>
      </c>
      <c r="K559" s="1">
        <v>-10</v>
      </c>
      <c r="L559" s="1">
        <v>-1.95502645502646</v>
      </c>
      <c r="M559" s="1" t="s">
        <v>40</v>
      </c>
      <c r="N559" s="1">
        <v>11.564021164021201</v>
      </c>
      <c r="O559" s="1">
        <v>9.6089947089947092</v>
      </c>
      <c r="Q559" s="1">
        <v>0.96089947089947103</v>
      </c>
      <c r="R559" s="1">
        <v>0.55745149423586005</v>
      </c>
      <c r="S559" s="11" t="s">
        <v>186</v>
      </c>
      <c r="T559" s="2" t="s">
        <v>186</v>
      </c>
      <c r="U559" s="3" t="s">
        <v>41</v>
      </c>
      <c r="V559" s="2" t="s">
        <v>184</v>
      </c>
      <c r="W559" s="2">
        <v>4</v>
      </c>
      <c r="X559" s="2">
        <v>7</v>
      </c>
      <c r="Y559" s="2">
        <v>2</v>
      </c>
      <c r="Z559" s="2">
        <v>0</v>
      </c>
      <c r="AA559" s="2">
        <v>0</v>
      </c>
      <c r="AB559" s="12">
        <f>(W559*4+X559*1+Y559*-2+Z559*-3)/W559</f>
        <v>4.75</v>
      </c>
      <c r="AC559" s="3">
        <f>W559*12.0107+X559*1.00784+Y559*15.999+Z559*14.0067</f>
        <v>87.095680000000002</v>
      </c>
      <c r="AD559" s="12">
        <v>155</v>
      </c>
      <c r="AE559" s="2" t="s">
        <v>131</v>
      </c>
      <c r="AF559" s="2" t="s">
        <v>135</v>
      </c>
      <c r="AG559" s="2" t="str">
        <f>IF(AD559&gt;37,"Proton symporter", "Diffusion")</f>
        <v>Proton symporter</v>
      </c>
      <c r="AH559" s="3" t="s">
        <v>188</v>
      </c>
    </row>
    <row r="560" spans="1:34" hidden="1" x14ac:dyDescent="0.2">
      <c r="A560" s="8" t="s">
        <v>34</v>
      </c>
      <c r="B560" s="9" t="s">
        <v>35</v>
      </c>
      <c r="C560" s="1" t="s">
        <v>59</v>
      </c>
      <c r="D560" s="13" t="s">
        <v>51</v>
      </c>
      <c r="E560" s="1" t="s">
        <v>152</v>
      </c>
      <c r="F560" s="1" t="s">
        <v>153</v>
      </c>
      <c r="G560" s="1">
        <v>-10</v>
      </c>
      <c r="H560" s="1">
        <v>-20</v>
      </c>
      <c r="I560" s="1" t="s">
        <v>40</v>
      </c>
      <c r="J560" s="1">
        <v>3.15</v>
      </c>
      <c r="K560" s="1">
        <v>-10</v>
      </c>
      <c r="L560" s="1">
        <v>-3.9427934621099601</v>
      </c>
      <c r="M560" s="1" t="s">
        <v>40</v>
      </c>
      <c r="N560" s="1">
        <v>-0.32005943536404102</v>
      </c>
      <c r="O560" s="1">
        <v>1.47429420505201</v>
      </c>
      <c r="Q560" s="1">
        <v>0.147429420505201</v>
      </c>
      <c r="R560" s="1">
        <v>0.55726891429833803</v>
      </c>
      <c r="S560" s="11" t="s">
        <v>152</v>
      </c>
      <c r="T560" s="2" t="s">
        <v>154</v>
      </c>
      <c r="U560" s="3" t="s">
        <v>41</v>
      </c>
      <c r="V560" s="2" t="s">
        <v>155</v>
      </c>
      <c r="W560" s="2">
        <v>7</v>
      </c>
      <c r="X560" s="2">
        <v>5</v>
      </c>
      <c r="Y560" s="2">
        <v>2</v>
      </c>
      <c r="Z560" s="2">
        <v>0</v>
      </c>
      <c r="AA560" s="2">
        <v>0</v>
      </c>
      <c r="AB560" s="12">
        <f>(W560*4+X560*1+Y560*-2+Z560*-3)/W560</f>
        <v>4.1428571428571432</v>
      </c>
      <c r="AC560" s="3">
        <f>W560*12.0107+X560*1.00784+Y560*15.999+Z560*14.0067</f>
        <v>121.1121</v>
      </c>
      <c r="AD560" s="12">
        <v>249.2</v>
      </c>
      <c r="AE560" s="2" t="s">
        <v>156</v>
      </c>
      <c r="AF560" s="2" t="s">
        <v>157</v>
      </c>
      <c r="AG560" s="2" t="str">
        <f>IF(AD560&gt;37,"Proton symporter", "Diffusion")</f>
        <v>Proton symporter</v>
      </c>
      <c r="AH560" s="3" t="s">
        <v>158</v>
      </c>
    </row>
    <row r="561" spans="1:34" hidden="1" x14ac:dyDescent="0.2">
      <c r="A561" s="8" t="s">
        <v>34</v>
      </c>
      <c r="B561" s="9" t="s">
        <v>35</v>
      </c>
      <c r="C561" s="1" t="s">
        <v>59</v>
      </c>
      <c r="D561" s="13" t="s">
        <v>51</v>
      </c>
      <c r="E561" s="1" t="s">
        <v>159</v>
      </c>
      <c r="F561" s="1" t="s">
        <v>153</v>
      </c>
      <c r="G561" s="1">
        <v>-10</v>
      </c>
      <c r="H561" s="1">
        <v>-20</v>
      </c>
      <c r="I561" s="1" t="s">
        <v>40</v>
      </c>
      <c r="J561" s="1">
        <v>3.15</v>
      </c>
      <c r="K561" s="1">
        <v>-10</v>
      </c>
      <c r="L561" s="1">
        <v>-3.9427934621099499</v>
      </c>
      <c r="M561" s="1" t="s">
        <v>40</v>
      </c>
      <c r="N561" s="1">
        <v>-0.32005943536404102</v>
      </c>
      <c r="O561" s="1">
        <v>1.47429420505201</v>
      </c>
      <c r="Q561" s="1">
        <v>0.147429420505201</v>
      </c>
      <c r="R561" s="1">
        <v>0.55726891429833803</v>
      </c>
      <c r="S561" s="11" t="s">
        <v>159</v>
      </c>
      <c r="T561" s="2" t="s">
        <v>160</v>
      </c>
      <c r="U561" s="3" t="s">
        <v>41</v>
      </c>
      <c r="V561" s="2" t="s">
        <v>155</v>
      </c>
      <c r="W561" s="2">
        <v>7</v>
      </c>
      <c r="X561" s="2">
        <v>5</v>
      </c>
      <c r="Y561" s="2">
        <v>2</v>
      </c>
      <c r="Z561" s="2">
        <v>0</v>
      </c>
      <c r="AA561" s="2">
        <v>0</v>
      </c>
      <c r="AB561" s="12">
        <f>(W561*4+X561*1+Y561*-2+Z561*-3)/W561</f>
        <v>4.1428571428571432</v>
      </c>
      <c r="AC561" s="3">
        <f>W561*12.0107+X561*1.00784+Y561*15.999+Z561*14.0067</f>
        <v>121.1121</v>
      </c>
      <c r="AD561" s="12">
        <v>249.2</v>
      </c>
      <c r="AE561" s="2" t="s">
        <v>156</v>
      </c>
      <c r="AF561" s="2" t="s">
        <v>157</v>
      </c>
      <c r="AG561" s="2" t="str">
        <f>IF(AD561&gt;37,"Proton symporter", "Diffusion")</f>
        <v>Proton symporter</v>
      </c>
      <c r="AH561" s="3" t="s">
        <v>158</v>
      </c>
    </row>
    <row r="562" spans="1:34" hidden="1" x14ac:dyDescent="0.2">
      <c r="A562" s="8" t="s">
        <v>34</v>
      </c>
      <c r="B562" s="9" t="s">
        <v>35</v>
      </c>
      <c r="C562" s="1" t="s">
        <v>60</v>
      </c>
      <c r="D562" s="13" t="s">
        <v>51</v>
      </c>
      <c r="E562" s="1" t="s">
        <v>159</v>
      </c>
      <c r="F562" s="1" t="s">
        <v>153</v>
      </c>
      <c r="G562" s="1">
        <v>-10</v>
      </c>
      <c r="H562" s="1">
        <v>-20</v>
      </c>
      <c r="I562" s="1" t="s">
        <v>40</v>
      </c>
      <c r="J562" s="1">
        <v>3.15</v>
      </c>
      <c r="K562" s="1">
        <v>-10</v>
      </c>
      <c r="L562" s="1">
        <v>-3.9427934621099601</v>
      </c>
      <c r="M562" s="1" t="s">
        <v>40</v>
      </c>
      <c r="N562" s="1">
        <v>-0.32005943536403902</v>
      </c>
      <c r="O562" s="1">
        <v>1.47429420505201</v>
      </c>
      <c r="Q562" s="1">
        <v>0.147429420505201</v>
      </c>
      <c r="R562" s="1">
        <v>0.55726891429833803</v>
      </c>
      <c r="S562" s="11" t="s">
        <v>159</v>
      </c>
      <c r="T562" s="2" t="s">
        <v>160</v>
      </c>
      <c r="U562" s="3" t="s">
        <v>41</v>
      </c>
      <c r="V562" s="2" t="s">
        <v>155</v>
      </c>
      <c r="W562" s="2">
        <v>7</v>
      </c>
      <c r="X562" s="2">
        <v>5</v>
      </c>
      <c r="Y562" s="2">
        <v>2</v>
      </c>
      <c r="Z562" s="2">
        <v>0</v>
      </c>
      <c r="AA562" s="2">
        <v>0</v>
      </c>
      <c r="AB562" s="12">
        <f>(W562*4+X562*1+Y562*-2+Z562*-3)/W562</f>
        <v>4.1428571428571432</v>
      </c>
      <c r="AC562" s="3">
        <f>W562*12.0107+X562*1.00784+Y562*15.999+Z562*14.0067</f>
        <v>121.1121</v>
      </c>
      <c r="AD562" s="12">
        <v>249.2</v>
      </c>
      <c r="AE562" s="2" t="s">
        <v>156</v>
      </c>
      <c r="AF562" s="2" t="s">
        <v>157</v>
      </c>
      <c r="AG562" s="2" t="str">
        <f>IF(AD562&gt;37,"Proton symporter", "Diffusion")</f>
        <v>Proton symporter</v>
      </c>
      <c r="AH562" s="3" t="s">
        <v>158</v>
      </c>
    </row>
    <row r="563" spans="1:34" hidden="1" x14ac:dyDescent="0.2">
      <c r="A563" s="8" t="s">
        <v>34</v>
      </c>
      <c r="B563" s="9" t="s">
        <v>35</v>
      </c>
      <c r="C563" s="1" t="s">
        <v>60</v>
      </c>
      <c r="D563" s="13" t="s">
        <v>51</v>
      </c>
      <c r="E563" s="1" t="s">
        <v>152</v>
      </c>
      <c r="F563" s="1" t="s">
        <v>153</v>
      </c>
      <c r="G563" s="1">
        <v>-10</v>
      </c>
      <c r="H563" s="1">
        <v>-20</v>
      </c>
      <c r="I563" s="1" t="s">
        <v>40</v>
      </c>
      <c r="J563" s="1">
        <v>3.15</v>
      </c>
      <c r="K563" s="1">
        <v>-10</v>
      </c>
      <c r="L563" s="1">
        <v>-3.9427934621099601</v>
      </c>
      <c r="M563" s="1" t="s">
        <v>40</v>
      </c>
      <c r="N563" s="1">
        <v>-0.32005943536404602</v>
      </c>
      <c r="O563" s="1">
        <v>1.474294205052</v>
      </c>
      <c r="Q563" s="1">
        <v>0.1474294205052</v>
      </c>
      <c r="R563" s="1">
        <v>0.55726891429833703</v>
      </c>
      <c r="S563" s="11" t="s">
        <v>152</v>
      </c>
      <c r="T563" s="2" t="s">
        <v>154</v>
      </c>
      <c r="U563" s="3" t="s">
        <v>41</v>
      </c>
      <c r="V563" s="2" t="s">
        <v>155</v>
      </c>
      <c r="W563" s="2">
        <v>7</v>
      </c>
      <c r="X563" s="2">
        <v>5</v>
      </c>
      <c r="Y563" s="2">
        <v>2</v>
      </c>
      <c r="Z563" s="2">
        <v>0</v>
      </c>
      <c r="AA563" s="2">
        <v>0</v>
      </c>
      <c r="AB563" s="12">
        <f>(W563*4+X563*1+Y563*-2+Z563*-3)/W563</f>
        <v>4.1428571428571432</v>
      </c>
      <c r="AC563" s="3">
        <f>W563*12.0107+X563*1.00784+Y563*15.999+Z563*14.0067</f>
        <v>121.1121</v>
      </c>
      <c r="AD563" s="12">
        <v>249.2</v>
      </c>
      <c r="AE563" s="2" t="s">
        <v>156</v>
      </c>
      <c r="AF563" s="2" t="s">
        <v>157</v>
      </c>
      <c r="AG563" s="2" t="str">
        <f>IF(AD563&gt;37,"Proton symporter", "Diffusion")</f>
        <v>Proton symporter</v>
      </c>
      <c r="AH563" s="3" t="s">
        <v>158</v>
      </c>
    </row>
    <row r="564" spans="1:34" hidden="1" x14ac:dyDescent="0.2">
      <c r="A564" s="8" t="s">
        <v>350</v>
      </c>
      <c r="B564" s="17" t="s">
        <v>64</v>
      </c>
      <c r="C564" t="s">
        <v>353</v>
      </c>
      <c r="D564" s="13" t="s">
        <v>51</v>
      </c>
      <c r="E564" t="s">
        <v>286</v>
      </c>
      <c r="F564" t="s">
        <v>280</v>
      </c>
      <c r="G564">
        <v>-10</v>
      </c>
      <c r="H564">
        <v>0</v>
      </c>
      <c r="I564">
        <v>0</v>
      </c>
      <c r="J564">
        <v>0.45</v>
      </c>
      <c r="K564">
        <v>-10</v>
      </c>
      <c r="L564">
        <v>0</v>
      </c>
      <c r="M564">
        <v>0</v>
      </c>
      <c r="N564">
        <v>0</v>
      </c>
      <c r="O564" s="26">
        <v>2.9523809523809499</v>
      </c>
      <c r="P564"/>
      <c r="Q564" s="26">
        <v>0.29523809523809502</v>
      </c>
      <c r="R564">
        <v>0.55372652940885703</v>
      </c>
      <c r="S564" s="3" t="str">
        <f>VLOOKUP($E564,'[1]Product Naming'!$A$1:$P$58,2)</f>
        <v>1-propanol-PW2</v>
      </c>
      <c r="T564" s="3" t="str">
        <f>VLOOKUP($E564,'[1]Product Naming'!$A$1:$P$58,3)</f>
        <v>1-Propanol (PW2)</v>
      </c>
      <c r="U564" s="3" t="str">
        <f>VLOOKUP($E564,'[1]Product Naming'!$A$1:$P$58,4)</f>
        <v>E-S</v>
      </c>
      <c r="V564" s="3" t="str">
        <f>VLOOKUP($E564,'[1]Product Naming'!$A$1:$P$58,5)</f>
        <v>C3H8O</v>
      </c>
      <c r="W564" s="3">
        <f>VLOOKUP($E564,'[1]Product Naming'!$A$1:$P$58,6)</f>
        <v>3</v>
      </c>
      <c r="X564" s="3">
        <f>VLOOKUP($E564,'[1]Product Naming'!$A$1:$P$58,7)</f>
        <v>8</v>
      </c>
      <c r="Y564" s="3">
        <f>VLOOKUP($E564,'[1]Product Naming'!$A$1:$P$58,8)</f>
        <v>1</v>
      </c>
      <c r="Z564" s="3">
        <f>VLOOKUP($E564,'[1]Product Naming'!$A$1:$P$58,9)</f>
        <v>0</v>
      </c>
      <c r="AA564" s="3">
        <f>VLOOKUP($E564,'[1]Product Naming'!$A$1:$P$58,10)</f>
        <v>0</v>
      </c>
      <c r="AB564" s="3">
        <f>VLOOKUP($E564,'[1]Product Naming'!$A$1:$P$58,11)</f>
        <v>6</v>
      </c>
      <c r="AC564" s="3">
        <f>VLOOKUP($E564,'[1]Product Naming'!$A$1:$P$58,12)</f>
        <v>60.093820000000001</v>
      </c>
      <c r="AD564" s="3">
        <f>VLOOKUP($E564,'[1]Product Naming'!$A$1:$P$58,13)</f>
        <v>97</v>
      </c>
      <c r="AE564" s="3" t="str">
        <f>VLOOKUP($E564,'[1]Product Naming'!$A$1:$P$58,14)</f>
        <v>Alcohol</v>
      </c>
      <c r="AF564" s="3" t="str">
        <f>VLOOKUP($E564,'[1]Product Naming'!$A$1:$P$58,15)</f>
        <v>Oxaloacetate</v>
      </c>
      <c r="AG564" s="3" t="str">
        <f>VLOOKUP($E564,'[1]Product Naming'!$A$1:$P$58,16)</f>
        <v>Proton symporter</v>
      </c>
      <c r="AH564" s="3" t="str">
        <f>VLOOKUP($E564,'[1]Product Naming'!$A$1:$Q$58,17)</f>
        <v>ppoh_c</v>
      </c>
    </row>
    <row r="565" spans="1:34" hidden="1" x14ac:dyDescent="0.2">
      <c r="A565" s="8" t="s">
        <v>34</v>
      </c>
      <c r="B565" s="9" t="s">
        <v>35</v>
      </c>
      <c r="C565" s="1" t="s">
        <v>47</v>
      </c>
      <c r="D565" s="10" t="s">
        <v>37</v>
      </c>
      <c r="E565" s="1" t="s">
        <v>273</v>
      </c>
      <c r="F565" s="1" t="s">
        <v>274</v>
      </c>
      <c r="G565" s="1">
        <v>-10</v>
      </c>
      <c r="H565" s="1">
        <v>-20</v>
      </c>
      <c r="I565" s="1" t="s">
        <v>40</v>
      </c>
      <c r="J565" s="1">
        <v>3.15</v>
      </c>
      <c r="K565" s="1">
        <v>-10</v>
      </c>
      <c r="L565" s="1">
        <v>-6.9532467532467503</v>
      </c>
      <c r="M565" s="1" t="s">
        <v>40</v>
      </c>
      <c r="N565" s="1">
        <v>6.4649350649350596</v>
      </c>
      <c r="O565" s="1">
        <v>4.5116883116883102</v>
      </c>
      <c r="Q565" s="1">
        <v>0.451168831168831</v>
      </c>
      <c r="R565" s="1">
        <v>0.55346862898904603</v>
      </c>
      <c r="S565" s="22" t="s">
        <v>273</v>
      </c>
      <c r="T565" s="3" t="s">
        <v>275</v>
      </c>
      <c r="U565" s="3" t="s">
        <v>41</v>
      </c>
      <c r="V565" s="2" t="s">
        <v>276</v>
      </c>
      <c r="W565" s="2">
        <v>3</v>
      </c>
      <c r="X565" s="2">
        <v>12</v>
      </c>
      <c r="Y565" s="2">
        <v>0</v>
      </c>
      <c r="Z565" s="2">
        <v>2</v>
      </c>
      <c r="AA565" s="2">
        <v>0</v>
      </c>
      <c r="AB565" s="12">
        <f>(W565*4+X565*1+Y565*-2+Z565*-3)/W565</f>
        <v>6</v>
      </c>
      <c r="AC565" s="3">
        <f>W565*12.0107+X565*1.00784+Y565*15.999+Z565*14.0067</f>
        <v>76.139580000000009</v>
      </c>
      <c r="AD565" s="12">
        <v>139.30000000000001</v>
      </c>
      <c r="AE565" s="2" t="s">
        <v>277</v>
      </c>
      <c r="AF565" s="2" t="s">
        <v>125</v>
      </c>
      <c r="AG565" s="2" t="str">
        <f>IF(AD565&gt;37,"Proton symporter", "Diffusion")</f>
        <v>Proton symporter</v>
      </c>
      <c r="AH565" s="3" t="s">
        <v>278</v>
      </c>
    </row>
    <row r="566" spans="1:34" hidden="1" x14ac:dyDescent="0.2">
      <c r="A566" s="16" t="s">
        <v>317</v>
      </c>
      <c r="B566" s="9" t="s">
        <v>35</v>
      </c>
      <c r="C566" t="s">
        <v>49</v>
      </c>
      <c r="D566" s="10" t="s">
        <v>37</v>
      </c>
      <c r="E566" t="s">
        <v>323</v>
      </c>
      <c r="F566" t="s">
        <v>324</v>
      </c>
      <c r="G566">
        <v>-10</v>
      </c>
      <c r="H566">
        <v>-20</v>
      </c>
      <c r="I566" s="1" t="s">
        <v>40</v>
      </c>
      <c r="J566">
        <v>3.15</v>
      </c>
      <c r="K566">
        <v>-10</v>
      </c>
      <c r="L566">
        <v>-2.2441860465116301</v>
      </c>
      <c r="M566" s="1" t="s">
        <v>40</v>
      </c>
      <c r="N566">
        <v>2.23627906976744</v>
      </c>
      <c r="O566">
        <v>2.2204651162790698</v>
      </c>
      <c r="P566"/>
      <c r="Q566">
        <v>0.22204651162790701</v>
      </c>
      <c r="R566">
        <v>0.550576387806608</v>
      </c>
      <c r="S566" s="11" t="s">
        <v>323</v>
      </c>
      <c r="T566" s="2" t="s">
        <v>323</v>
      </c>
      <c r="U566" s="3" t="s">
        <v>106</v>
      </c>
      <c r="V566" s="2" t="s">
        <v>325</v>
      </c>
      <c r="W566" s="2">
        <v>8</v>
      </c>
      <c r="X566" s="2">
        <v>18</v>
      </c>
      <c r="Y566" s="2">
        <v>0</v>
      </c>
      <c r="Z566" s="2">
        <v>0</v>
      </c>
      <c r="AA566" s="2">
        <v>0</v>
      </c>
      <c r="AB566" s="12">
        <f>(W566*4+X566*1+Y566*-2+Z566*-3)/W566</f>
        <v>6.25</v>
      </c>
      <c r="AC566" s="3">
        <f>W566*12.0107+X566*1.00784+Y566*15.999+Z566*14.0067</f>
        <v>114.22672</v>
      </c>
      <c r="AD566" s="12">
        <v>126</v>
      </c>
      <c r="AE566" s="3" t="s">
        <v>321</v>
      </c>
      <c r="AF566" s="2" t="s">
        <v>313</v>
      </c>
      <c r="AG566" s="2" t="str">
        <f>IF(AD566&gt;37,"Proton symporter", "Diffusion")</f>
        <v>Proton symporter</v>
      </c>
      <c r="AH566" s="3" t="s">
        <v>326</v>
      </c>
    </row>
    <row r="567" spans="1:34" hidden="1" x14ac:dyDescent="0.2">
      <c r="A567" s="8" t="s">
        <v>34</v>
      </c>
      <c r="B567" s="9" t="s">
        <v>35</v>
      </c>
      <c r="C567" s="1" t="s">
        <v>49</v>
      </c>
      <c r="D567" s="10" t="s">
        <v>37</v>
      </c>
      <c r="E567" s="1" t="s">
        <v>199</v>
      </c>
      <c r="F567" s="1" t="s">
        <v>200</v>
      </c>
      <c r="G567" s="1">
        <v>-10</v>
      </c>
      <c r="H567" s="1">
        <v>-20</v>
      </c>
      <c r="I567" s="1" t="s">
        <v>40</v>
      </c>
      <c r="J567" s="1">
        <v>3.15</v>
      </c>
      <c r="K567" s="1">
        <v>-10</v>
      </c>
      <c r="L567" s="1">
        <v>-10.0826785714286</v>
      </c>
      <c r="M567" s="1" t="s">
        <v>40</v>
      </c>
      <c r="N567" s="1">
        <v>3.5974999999999602</v>
      </c>
      <c r="O567" s="1">
        <v>2.3432142857142799</v>
      </c>
      <c r="Q567" s="1">
        <v>0.23432142857142799</v>
      </c>
      <c r="R567" s="1">
        <v>0.550035497507256</v>
      </c>
      <c r="S567" s="20" t="s">
        <v>201</v>
      </c>
      <c r="T567" s="3" t="s">
        <v>201</v>
      </c>
      <c r="U567" s="3" t="s">
        <v>106</v>
      </c>
      <c r="V567" s="3" t="s">
        <v>202</v>
      </c>
      <c r="W567" s="3">
        <v>7</v>
      </c>
      <c r="X567" s="3">
        <v>8</v>
      </c>
      <c r="Y567" s="3">
        <v>1</v>
      </c>
      <c r="Z567" s="3">
        <v>0</v>
      </c>
      <c r="AA567" s="3">
        <v>0</v>
      </c>
      <c r="AB567" s="12">
        <f>(W567*4+X567*1+Y567*-2+Z567*-3)/W567</f>
        <v>4.8571428571428568</v>
      </c>
      <c r="AC567" s="3">
        <f>W567*12.0107+X567*1.00784+Y567*15.999+Z567*14.0067</f>
        <v>108.13661999999999</v>
      </c>
      <c r="AD567" s="12">
        <v>205</v>
      </c>
      <c r="AE567" s="3" t="s">
        <v>176</v>
      </c>
      <c r="AF567" s="3" t="s">
        <v>203</v>
      </c>
      <c r="AG567" s="2" t="str">
        <f>IF(AD567&gt;37,"Proton symporter", "Diffusion")</f>
        <v>Proton symporter</v>
      </c>
      <c r="AH567" s="3" t="s">
        <v>204</v>
      </c>
    </row>
    <row r="568" spans="1:34" hidden="1" x14ac:dyDescent="0.2">
      <c r="A568" s="8" t="s">
        <v>34</v>
      </c>
      <c r="B568" s="9" t="s">
        <v>35</v>
      </c>
      <c r="C568" s="1" t="s">
        <v>36</v>
      </c>
      <c r="D568" s="10" t="s">
        <v>37</v>
      </c>
      <c r="E568" s="1" t="s">
        <v>289</v>
      </c>
      <c r="F568" s="1" t="s">
        <v>290</v>
      </c>
      <c r="G568" s="1">
        <v>-10</v>
      </c>
      <c r="H568" s="1">
        <v>-20</v>
      </c>
      <c r="I568" s="1" t="s">
        <v>40</v>
      </c>
      <c r="J568" s="1">
        <v>3.15</v>
      </c>
      <c r="K568" s="1">
        <v>-10</v>
      </c>
      <c r="L568" s="1">
        <v>-4.4365671641790998</v>
      </c>
      <c r="M568" s="1" t="s">
        <v>40</v>
      </c>
      <c r="N568" s="1">
        <v>6.2910447761194099</v>
      </c>
      <c r="O568" s="1">
        <v>2.7417910447761198</v>
      </c>
      <c r="Q568" s="1">
        <v>0.27417910447761201</v>
      </c>
      <c r="R568" s="1">
        <v>0.54862621532406897</v>
      </c>
      <c r="S568" s="11" t="s">
        <v>289</v>
      </c>
      <c r="T568" s="2" t="s">
        <v>291</v>
      </c>
      <c r="U568" s="3" t="s">
        <v>41</v>
      </c>
      <c r="V568" s="2" t="s">
        <v>292</v>
      </c>
      <c r="W568" s="2">
        <v>5</v>
      </c>
      <c r="X568" s="2">
        <v>12</v>
      </c>
      <c r="Y568" s="2">
        <v>1</v>
      </c>
      <c r="Z568" s="2">
        <v>0</v>
      </c>
      <c r="AA568" s="2">
        <v>0</v>
      </c>
      <c r="AB568" s="12">
        <f>(W568*4+X568*1+Y568*-2+Z568*-3)/W568</f>
        <v>6</v>
      </c>
      <c r="AC568" s="3">
        <f>W568*12.0107+X568*1.00784+Y568*15.999+Z568*14.0067</f>
        <v>88.14658</v>
      </c>
      <c r="AD568" s="12">
        <v>129</v>
      </c>
      <c r="AE568" s="2" t="s">
        <v>262</v>
      </c>
      <c r="AF568" s="2" t="s">
        <v>293</v>
      </c>
      <c r="AG568" s="2" t="str">
        <f>IF(AD568&gt;37,"Proton symporter", "Diffusion")</f>
        <v>Proton symporter</v>
      </c>
      <c r="AH568" s="3" t="s">
        <v>294</v>
      </c>
    </row>
    <row r="569" spans="1:34" x14ac:dyDescent="0.2">
      <c r="A569" s="8" t="s">
        <v>34</v>
      </c>
      <c r="B569" s="9" t="s">
        <v>35</v>
      </c>
      <c r="C569" s="1" t="s">
        <v>61</v>
      </c>
      <c r="D569" s="13" t="s">
        <v>51</v>
      </c>
      <c r="E569" s="1" t="s">
        <v>216</v>
      </c>
      <c r="F569" s="1" t="s">
        <v>217</v>
      </c>
      <c r="G569" s="1">
        <v>-10</v>
      </c>
      <c r="H569" s="1">
        <v>-20</v>
      </c>
      <c r="I569" s="1" t="s">
        <v>40</v>
      </c>
      <c r="J569" s="1">
        <v>3.15</v>
      </c>
      <c r="K569" s="1">
        <v>-10</v>
      </c>
      <c r="L569" s="1">
        <v>-5.78441558441558</v>
      </c>
      <c r="M569" s="1" t="s">
        <v>40</v>
      </c>
      <c r="N569" s="1">
        <v>3.0883116883117001</v>
      </c>
      <c r="O569" s="1">
        <v>2.3038961038961099</v>
      </c>
      <c r="Q569" s="1">
        <v>0.230389610389611</v>
      </c>
      <c r="R569" s="1">
        <v>0.54714154754077404</v>
      </c>
      <c r="S569" s="11" t="s">
        <v>216</v>
      </c>
      <c r="T569" s="2" t="s">
        <v>218</v>
      </c>
      <c r="U569" s="3" t="s">
        <v>41</v>
      </c>
      <c r="V569" s="2" t="s">
        <v>219</v>
      </c>
      <c r="W569" s="2">
        <v>3</v>
      </c>
      <c r="X569" s="2">
        <v>8</v>
      </c>
      <c r="Y569" s="2">
        <v>2</v>
      </c>
      <c r="Z569" s="2">
        <v>0</v>
      </c>
      <c r="AA569" s="2">
        <v>0</v>
      </c>
      <c r="AB569" s="12">
        <f>(W569*4+X569*1+Y569*-2+Z569*-3)/W569</f>
        <v>5.333333333333333</v>
      </c>
      <c r="AC569" s="3">
        <f>W569*12.0107+X569*1.00784+Y569*15.999+Z569*14.0067</f>
        <v>76.092820000000003</v>
      </c>
      <c r="AD569" s="12">
        <v>213</v>
      </c>
      <c r="AE569" s="2" t="s">
        <v>220</v>
      </c>
      <c r="AF569" s="2" t="s">
        <v>98</v>
      </c>
      <c r="AG569" s="2" t="str">
        <f>IF(AD569&gt;37,"Proton symporter", "Diffusion")</f>
        <v>Proton symporter</v>
      </c>
      <c r="AH569" s="3" t="s">
        <v>221</v>
      </c>
    </row>
    <row r="570" spans="1:34" hidden="1" x14ac:dyDescent="0.2">
      <c r="A570" s="8" t="s">
        <v>34</v>
      </c>
      <c r="B570" s="9" t="s">
        <v>35</v>
      </c>
      <c r="C570" s="1" t="s">
        <v>36</v>
      </c>
      <c r="D570" s="10" t="s">
        <v>37</v>
      </c>
      <c r="E570" s="1" t="s">
        <v>315</v>
      </c>
      <c r="F570" s="1" t="s">
        <v>311</v>
      </c>
      <c r="G570" s="1">
        <v>-10</v>
      </c>
      <c r="H570" s="1">
        <v>-20</v>
      </c>
      <c r="I570" s="1" t="s">
        <v>40</v>
      </c>
      <c r="J570" s="1">
        <v>3.15</v>
      </c>
      <c r="K570" s="1">
        <v>-10</v>
      </c>
      <c r="L570" s="1">
        <v>-4.4932885906040303</v>
      </c>
      <c r="M570" s="1" t="s">
        <v>40</v>
      </c>
      <c r="N570" s="1">
        <v>6.3288590604026904</v>
      </c>
      <c r="O570" s="1">
        <v>2.7342281879194599</v>
      </c>
      <c r="Q570" s="1">
        <v>0.27342281879194602</v>
      </c>
      <c r="R570" s="1">
        <v>0.547112904693701</v>
      </c>
      <c r="S570" s="20" t="s">
        <v>315</v>
      </c>
      <c r="T570" s="3" t="s">
        <v>316</v>
      </c>
      <c r="U570" s="3" t="s">
        <v>106</v>
      </c>
      <c r="V570" s="3" t="s">
        <v>292</v>
      </c>
      <c r="W570" s="3">
        <v>5</v>
      </c>
      <c r="X570" s="3">
        <v>12</v>
      </c>
      <c r="Y570" s="3">
        <v>1</v>
      </c>
      <c r="Z570" s="3">
        <v>0</v>
      </c>
      <c r="AA570" s="3">
        <v>0</v>
      </c>
      <c r="AB570" s="12">
        <f>(W570*4+X570*1+Y570*-2+Z570*-3)/W570</f>
        <v>6</v>
      </c>
      <c r="AC570" s="3">
        <f>W570*12.0107+X570*1.00784+Y570*15.999+Z570*14.0067</f>
        <v>88.14658</v>
      </c>
      <c r="AD570" s="12">
        <v>138</v>
      </c>
      <c r="AE570" s="3" t="s">
        <v>262</v>
      </c>
      <c r="AF570" s="3" t="s">
        <v>44</v>
      </c>
      <c r="AG570" s="2" t="str">
        <f>IF(AD570&gt;37,"Proton symporter", "Diffusion")</f>
        <v>Proton symporter</v>
      </c>
      <c r="AH570" s="3" t="s">
        <v>314</v>
      </c>
    </row>
    <row r="571" spans="1:34" hidden="1" x14ac:dyDescent="0.2">
      <c r="A571" s="8" t="s">
        <v>34</v>
      </c>
      <c r="B571" s="9" t="s">
        <v>35</v>
      </c>
      <c r="C571" s="1" t="s">
        <v>54</v>
      </c>
      <c r="D571" s="14" t="s">
        <v>55</v>
      </c>
      <c r="E571" s="1" t="s">
        <v>234</v>
      </c>
      <c r="F571" s="1" t="s">
        <v>235</v>
      </c>
      <c r="G571" s="1">
        <v>-10</v>
      </c>
      <c r="H571" s="1">
        <v>-20</v>
      </c>
      <c r="I571" s="1" t="s">
        <v>40</v>
      </c>
      <c r="J571" s="1">
        <v>3.15</v>
      </c>
      <c r="K571" s="1">
        <v>-10</v>
      </c>
      <c r="L571" s="1">
        <v>-5.9164567891575798E-31</v>
      </c>
      <c r="M571" s="1" t="s">
        <v>40</v>
      </c>
      <c r="N571" s="1">
        <v>16.363636363636399</v>
      </c>
      <c r="O571" s="1">
        <v>10.909090909090899</v>
      </c>
      <c r="Q571" s="1">
        <v>1.0909090909090899</v>
      </c>
      <c r="R571" s="1">
        <v>0.54571529455777401</v>
      </c>
      <c r="S571" s="20" t="s">
        <v>236</v>
      </c>
      <c r="T571" s="3" t="s">
        <v>237</v>
      </c>
      <c r="U571" s="3" t="s">
        <v>106</v>
      </c>
      <c r="V571" s="3" t="s">
        <v>238</v>
      </c>
      <c r="W571" s="3">
        <v>4</v>
      </c>
      <c r="X571" s="3">
        <v>10</v>
      </c>
      <c r="Y571" s="3">
        <v>2</v>
      </c>
      <c r="Z571" s="3">
        <v>0</v>
      </c>
      <c r="AA571" s="3">
        <v>0</v>
      </c>
      <c r="AB571" s="12">
        <f>(W571*4+X571*1+Y571*-2+Z571*-3)/W571</f>
        <v>5.5</v>
      </c>
      <c r="AC571" s="3">
        <f>W571*12.0107+X571*1.00784+Y571*15.999+Z571*14.0067</f>
        <v>90.119200000000006</v>
      </c>
      <c r="AD571" s="12">
        <v>207</v>
      </c>
      <c r="AE571" s="2" t="s">
        <v>220</v>
      </c>
      <c r="AF571" s="3" t="s">
        <v>79</v>
      </c>
      <c r="AG571" s="2" t="str">
        <f>IF(AD571&gt;37,"Proton symporter", "Diffusion")</f>
        <v>Proton symporter</v>
      </c>
      <c r="AH571" s="3" t="s">
        <v>239</v>
      </c>
    </row>
    <row r="572" spans="1:34" hidden="1" x14ac:dyDescent="0.2">
      <c r="A572" s="8" t="s">
        <v>34</v>
      </c>
      <c r="B572" s="9" t="s">
        <v>35</v>
      </c>
      <c r="C572" s="1" t="s">
        <v>54</v>
      </c>
      <c r="D572" s="14" t="s">
        <v>55</v>
      </c>
      <c r="E572" s="1" t="s">
        <v>240</v>
      </c>
      <c r="F572" s="1" t="s">
        <v>235</v>
      </c>
      <c r="G572" s="1">
        <v>-10</v>
      </c>
      <c r="H572" s="1">
        <v>-20</v>
      </c>
      <c r="I572" s="1" t="s">
        <v>40</v>
      </c>
      <c r="J572" s="1">
        <v>3.15</v>
      </c>
      <c r="K572" s="1">
        <v>-10</v>
      </c>
      <c r="L572" s="1">
        <v>0</v>
      </c>
      <c r="M572" s="1" t="s">
        <v>40</v>
      </c>
      <c r="N572" s="1">
        <v>16.363636363636399</v>
      </c>
      <c r="O572" s="1">
        <v>10.909090909090899</v>
      </c>
      <c r="Q572" s="1">
        <v>1.0909090909090899</v>
      </c>
      <c r="R572" s="1">
        <v>0.54571529455777401</v>
      </c>
      <c r="S572" s="20" t="s">
        <v>241</v>
      </c>
      <c r="T572" s="3" t="s">
        <v>242</v>
      </c>
      <c r="U572" s="3" t="s">
        <v>106</v>
      </c>
      <c r="V572" s="3" t="s">
        <v>238</v>
      </c>
      <c r="W572" s="3">
        <v>4</v>
      </c>
      <c r="X572" s="3">
        <v>10</v>
      </c>
      <c r="Y572" s="3">
        <v>2</v>
      </c>
      <c r="Z572" s="3">
        <v>0</v>
      </c>
      <c r="AA572" s="3">
        <v>0</v>
      </c>
      <c r="AB572" s="12">
        <f>(W572*4+X572*1+Y572*-2+Z572*-3)/W572</f>
        <v>5.5</v>
      </c>
      <c r="AC572" s="3">
        <f>W572*12.0107+X572*1.00784+Y572*15.999+Z572*14.0067</f>
        <v>90.119200000000006</v>
      </c>
      <c r="AD572" s="12">
        <v>207</v>
      </c>
      <c r="AE572" s="2" t="s">
        <v>220</v>
      </c>
      <c r="AF572" s="3" t="s">
        <v>243</v>
      </c>
      <c r="AG572" s="2" t="str">
        <f>IF(AD572&gt;37,"Proton symporter", "Diffusion")</f>
        <v>Proton symporter</v>
      </c>
      <c r="AH572" s="3" t="s">
        <v>239</v>
      </c>
    </row>
    <row r="573" spans="1:34" hidden="1" x14ac:dyDescent="0.2">
      <c r="A573" s="8" t="s">
        <v>34</v>
      </c>
      <c r="B573" s="9" t="s">
        <v>35</v>
      </c>
      <c r="C573" s="1" t="s">
        <v>54</v>
      </c>
      <c r="D573" s="14" t="s">
        <v>55</v>
      </c>
      <c r="E573" s="1" t="s">
        <v>249</v>
      </c>
      <c r="F573" s="1" t="s">
        <v>250</v>
      </c>
      <c r="G573" s="1">
        <v>-10</v>
      </c>
      <c r="H573" s="1">
        <v>-20</v>
      </c>
      <c r="I573" s="1" t="s">
        <v>40</v>
      </c>
      <c r="J573" s="1">
        <v>3.15</v>
      </c>
      <c r="K573" s="1">
        <v>-10</v>
      </c>
      <c r="L573" s="1">
        <v>6.9683792957067101E-16</v>
      </c>
      <c r="M573" s="1" t="s">
        <v>40</v>
      </c>
      <c r="N573" s="1">
        <v>16.363636363636399</v>
      </c>
      <c r="O573" s="1">
        <v>10.909090909090899</v>
      </c>
      <c r="Q573" s="1">
        <v>1.0909090909090899</v>
      </c>
      <c r="R573" s="1">
        <v>0.54571529455777401</v>
      </c>
      <c r="S573" s="20" t="s">
        <v>251</v>
      </c>
      <c r="T573" s="3" t="s">
        <v>252</v>
      </c>
      <c r="U573" s="3" t="s">
        <v>106</v>
      </c>
      <c r="V573" s="3" t="s">
        <v>238</v>
      </c>
      <c r="W573" s="3">
        <v>4</v>
      </c>
      <c r="X573" s="3">
        <v>10</v>
      </c>
      <c r="Y573" s="3">
        <v>2</v>
      </c>
      <c r="Z573" s="3">
        <v>0</v>
      </c>
      <c r="AA573" s="3">
        <v>0</v>
      </c>
      <c r="AB573" s="12">
        <f>(W573*4+X573*1+Y573*-2+Z573*-3)/W573</f>
        <v>5.5</v>
      </c>
      <c r="AC573" s="3">
        <f>W573*12.0107+X573*1.00784+Y573*15.999+Z573*14.0067</f>
        <v>90.119200000000006</v>
      </c>
      <c r="AD573" s="12">
        <v>177</v>
      </c>
      <c r="AE573" s="3" t="s">
        <v>220</v>
      </c>
      <c r="AF573" s="3" t="s">
        <v>135</v>
      </c>
      <c r="AG573" s="2" t="str">
        <f>IF(AD573&gt;37,"Proton symporter", "Diffusion")</f>
        <v>Proton symporter</v>
      </c>
      <c r="AH573" s="3" t="s">
        <v>253</v>
      </c>
    </row>
    <row r="574" spans="1:34" hidden="1" x14ac:dyDescent="0.2">
      <c r="A574" s="8" t="s">
        <v>34</v>
      </c>
      <c r="B574" s="9" t="s">
        <v>35</v>
      </c>
      <c r="C574" s="1" t="s">
        <v>62</v>
      </c>
      <c r="D574" s="15" t="s">
        <v>55</v>
      </c>
      <c r="E574" s="1" t="s">
        <v>234</v>
      </c>
      <c r="F574" s="1" t="s">
        <v>235</v>
      </c>
      <c r="G574" s="1">
        <v>-10</v>
      </c>
      <c r="H574" s="1">
        <v>-20</v>
      </c>
      <c r="I574" s="1" t="s">
        <v>40</v>
      </c>
      <c r="J574" s="1">
        <v>3.15</v>
      </c>
      <c r="K574" s="1">
        <v>-10</v>
      </c>
      <c r="L574" s="1">
        <v>-2.4000162127029198E-16</v>
      </c>
      <c r="M574" s="1" t="s">
        <v>40</v>
      </c>
      <c r="N574" s="1">
        <v>13.636363636363701</v>
      </c>
      <c r="O574" s="1">
        <v>9.0909090909091006</v>
      </c>
      <c r="Q574" s="1">
        <v>0.90909090909090995</v>
      </c>
      <c r="R574" s="1">
        <v>0.54570402620759095</v>
      </c>
      <c r="S574" s="20" t="s">
        <v>236</v>
      </c>
      <c r="T574" s="3" t="s">
        <v>237</v>
      </c>
      <c r="U574" s="3" t="s">
        <v>106</v>
      </c>
      <c r="V574" s="3" t="s">
        <v>238</v>
      </c>
      <c r="W574" s="3">
        <v>4</v>
      </c>
      <c r="X574" s="3">
        <v>10</v>
      </c>
      <c r="Y574" s="3">
        <v>2</v>
      </c>
      <c r="Z574" s="3">
        <v>0</v>
      </c>
      <c r="AA574" s="3">
        <v>0</v>
      </c>
      <c r="AB574" s="12">
        <f>(W574*4+X574*1+Y574*-2+Z574*-3)/W574</f>
        <v>5.5</v>
      </c>
      <c r="AC574" s="3">
        <f>W574*12.0107+X574*1.00784+Y574*15.999+Z574*14.0067</f>
        <v>90.119200000000006</v>
      </c>
      <c r="AD574" s="12">
        <v>207</v>
      </c>
      <c r="AE574" s="2" t="s">
        <v>220</v>
      </c>
      <c r="AF574" s="3" t="s">
        <v>79</v>
      </c>
      <c r="AG574" s="2" t="str">
        <f>IF(AD574&gt;37,"Proton symporter", "Diffusion")</f>
        <v>Proton symporter</v>
      </c>
      <c r="AH574" s="3" t="s">
        <v>239</v>
      </c>
    </row>
    <row r="575" spans="1:34" hidden="1" x14ac:dyDescent="0.2">
      <c r="A575" s="8" t="s">
        <v>34</v>
      </c>
      <c r="B575" s="9" t="s">
        <v>35</v>
      </c>
      <c r="C575" s="1" t="s">
        <v>62</v>
      </c>
      <c r="D575" s="15" t="s">
        <v>55</v>
      </c>
      <c r="E575" s="1" t="s">
        <v>240</v>
      </c>
      <c r="F575" s="1" t="s">
        <v>235</v>
      </c>
      <c r="G575" s="1">
        <v>-10</v>
      </c>
      <c r="H575" s="1">
        <v>-20</v>
      </c>
      <c r="I575" s="1" t="s">
        <v>40</v>
      </c>
      <c r="J575" s="1">
        <v>3.15</v>
      </c>
      <c r="K575" s="1">
        <v>-10</v>
      </c>
      <c r="L575" s="1">
        <v>0</v>
      </c>
      <c r="M575" s="1" t="s">
        <v>40</v>
      </c>
      <c r="N575" s="1">
        <v>13.636363636363599</v>
      </c>
      <c r="O575" s="1">
        <v>9.0909090909090899</v>
      </c>
      <c r="Q575" s="1">
        <v>0.90909090909090895</v>
      </c>
      <c r="R575" s="1">
        <v>0.54570402620758995</v>
      </c>
      <c r="S575" s="20" t="s">
        <v>241</v>
      </c>
      <c r="T575" s="3" t="s">
        <v>242</v>
      </c>
      <c r="U575" s="3" t="s">
        <v>106</v>
      </c>
      <c r="V575" s="3" t="s">
        <v>238</v>
      </c>
      <c r="W575" s="3">
        <v>4</v>
      </c>
      <c r="X575" s="3">
        <v>10</v>
      </c>
      <c r="Y575" s="3">
        <v>2</v>
      </c>
      <c r="Z575" s="3">
        <v>0</v>
      </c>
      <c r="AA575" s="3">
        <v>0</v>
      </c>
      <c r="AB575" s="12">
        <f>(W575*4+X575*1+Y575*-2+Z575*-3)/W575</f>
        <v>5.5</v>
      </c>
      <c r="AC575" s="3">
        <f>W575*12.0107+X575*1.00784+Y575*15.999+Z575*14.0067</f>
        <v>90.119200000000006</v>
      </c>
      <c r="AD575" s="12">
        <v>207</v>
      </c>
      <c r="AE575" s="2" t="s">
        <v>220</v>
      </c>
      <c r="AF575" s="3" t="s">
        <v>243</v>
      </c>
      <c r="AG575" s="2" t="str">
        <f>IF(AD575&gt;37,"Proton symporter", "Diffusion")</f>
        <v>Proton symporter</v>
      </c>
      <c r="AH575" s="3" t="s">
        <v>239</v>
      </c>
    </row>
    <row r="576" spans="1:34" hidden="1" x14ac:dyDescent="0.2">
      <c r="A576" s="8" t="s">
        <v>34</v>
      </c>
      <c r="B576" s="9" t="s">
        <v>35</v>
      </c>
      <c r="C576" s="1" t="s">
        <v>62</v>
      </c>
      <c r="D576" s="15" t="s">
        <v>55</v>
      </c>
      <c r="E576" s="1" t="s">
        <v>249</v>
      </c>
      <c r="F576" s="1" t="s">
        <v>250</v>
      </c>
      <c r="G576" s="1">
        <v>-10</v>
      </c>
      <c r="H576" s="1">
        <v>-20</v>
      </c>
      <c r="I576" s="1" t="s">
        <v>40</v>
      </c>
      <c r="J576" s="1">
        <v>3.15</v>
      </c>
      <c r="K576" s="1">
        <v>-10</v>
      </c>
      <c r="L576" s="1">
        <v>1.7040170444273E-15</v>
      </c>
      <c r="M576" s="1" t="s">
        <v>40</v>
      </c>
      <c r="N576" s="1">
        <v>13.636363636363599</v>
      </c>
      <c r="O576" s="1">
        <v>9.0909090909090899</v>
      </c>
      <c r="Q576" s="1">
        <v>0.90909090909090895</v>
      </c>
      <c r="R576" s="1">
        <v>0.54570402620758995</v>
      </c>
      <c r="S576" s="20" t="s">
        <v>251</v>
      </c>
      <c r="T576" s="3" t="s">
        <v>252</v>
      </c>
      <c r="U576" s="3" t="s">
        <v>106</v>
      </c>
      <c r="V576" s="3" t="s">
        <v>238</v>
      </c>
      <c r="W576" s="3">
        <v>4</v>
      </c>
      <c r="X576" s="3">
        <v>10</v>
      </c>
      <c r="Y576" s="3">
        <v>2</v>
      </c>
      <c r="Z576" s="3">
        <v>0</v>
      </c>
      <c r="AA576" s="3">
        <v>0</v>
      </c>
      <c r="AB576" s="12">
        <f>(W576*4+X576*1+Y576*-2+Z576*-3)/W576</f>
        <v>5.5</v>
      </c>
      <c r="AC576" s="3">
        <f>W576*12.0107+X576*1.00784+Y576*15.999+Z576*14.0067</f>
        <v>90.119200000000006</v>
      </c>
      <c r="AD576" s="12">
        <v>177</v>
      </c>
      <c r="AE576" s="3" t="s">
        <v>220</v>
      </c>
      <c r="AF576" s="3" t="s">
        <v>135</v>
      </c>
      <c r="AG576" s="2" t="str">
        <f>IF(AD576&gt;37,"Proton symporter", "Diffusion")</f>
        <v>Proton symporter</v>
      </c>
      <c r="AH576" s="3" t="s">
        <v>253</v>
      </c>
    </row>
    <row r="577" spans="1:34" hidden="1" x14ac:dyDescent="0.2">
      <c r="A577" s="16" t="s">
        <v>63</v>
      </c>
      <c r="B577" s="17" t="s">
        <v>64</v>
      </c>
      <c r="C577" t="s">
        <v>68</v>
      </c>
      <c r="D577" s="18" t="s">
        <v>66</v>
      </c>
      <c r="E577" t="s">
        <v>240</v>
      </c>
      <c r="F577" t="s">
        <v>235</v>
      </c>
      <c r="G577">
        <v>-10</v>
      </c>
      <c r="H577">
        <v>0</v>
      </c>
      <c r="I577">
        <v>-10</v>
      </c>
      <c r="J577">
        <v>0.45</v>
      </c>
      <c r="K577">
        <v>-10</v>
      </c>
      <c r="L577">
        <v>0</v>
      </c>
      <c r="M577">
        <v>-10</v>
      </c>
      <c r="N577">
        <v>2.7272727272727302</v>
      </c>
      <c r="O577">
        <v>1.8181818181818199</v>
      </c>
      <c r="P577"/>
      <c r="Q577">
        <v>0.18181818181818199</v>
      </c>
      <c r="R577">
        <v>0.545631338358611</v>
      </c>
      <c r="S577" s="20" t="s">
        <v>241</v>
      </c>
      <c r="T577" s="3" t="s">
        <v>242</v>
      </c>
      <c r="U577" s="3" t="s">
        <v>106</v>
      </c>
      <c r="V577" s="3" t="s">
        <v>238</v>
      </c>
      <c r="W577" s="3">
        <v>4</v>
      </c>
      <c r="X577" s="3">
        <v>10</v>
      </c>
      <c r="Y577" s="3">
        <v>2</v>
      </c>
      <c r="Z577" s="3">
        <v>0</v>
      </c>
      <c r="AA577" s="3">
        <v>0</v>
      </c>
      <c r="AB577" s="12">
        <f>(W577*4+X577*1+Y577*-2+Z577*-3)/W577</f>
        <v>5.5</v>
      </c>
      <c r="AC577" s="3">
        <f>W577*12.0107+X577*1.00784+Y577*15.999+Z577*14.0067</f>
        <v>90.119200000000006</v>
      </c>
      <c r="AD577" s="12">
        <v>207</v>
      </c>
      <c r="AE577" s="2" t="s">
        <v>220</v>
      </c>
      <c r="AF577" s="3" t="s">
        <v>243</v>
      </c>
      <c r="AG577" s="2" t="str">
        <f>IF(AD577&gt;37,"Proton symporter", "Diffusion")</f>
        <v>Proton symporter</v>
      </c>
      <c r="AH577" s="3" t="s">
        <v>239</v>
      </c>
    </row>
    <row r="578" spans="1:34" hidden="1" x14ac:dyDescent="0.2">
      <c r="A578" s="16" t="s">
        <v>63</v>
      </c>
      <c r="B578" s="17" t="s">
        <v>64</v>
      </c>
      <c r="C578" t="s">
        <v>68</v>
      </c>
      <c r="D578" s="18" t="s">
        <v>66</v>
      </c>
      <c r="E578" t="s">
        <v>249</v>
      </c>
      <c r="F578" t="s">
        <v>250</v>
      </c>
      <c r="G578">
        <v>-10</v>
      </c>
      <c r="H578">
        <v>0</v>
      </c>
      <c r="I578">
        <v>-10</v>
      </c>
      <c r="J578">
        <v>0.45</v>
      </c>
      <c r="K578">
        <v>-10</v>
      </c>
      <c r="L578">
        <v>0</v>
      </c>
      <c r="M578">
        <v>-10</v>
      </c>
      <c r="N578">
        <v>2.7272727272727302</v>
      </c>
      <c r="O578">
        <v>1.8181818181818199</v>
      </c>
      <c r="P578"/>
      <c r="Q578">
        <v>0.18181818181818199</v>
      </c>
      <c r="R578">
        <v>0.545631338358611</v>
      </c>
      <c r="S578" s="20" t="s">
        <v>251</v>
      </c>
      <c r="T578" s="3" t="s">
        <v>252</v>
      </c>
      <c r="U578" s="3" t="s">
        <v>106</v>
      </c>
      <c r="V578" s="3" t="s">
        <v>238</v>
      </c>
      <c r="W578" s="3">
        <v>4</v>
      </c>
      <c r="X578" s="3">
        <v>10</v>
      </c>
      <c r="Y578" s="3">
        <v>2</v>
      </c>
      <c r="Z578" s="3">
        <v>0</v>
      </c>
      <c r="AA578" s="3">
        <v>0</v>
      </c>
      <c r="AB578" s="12">
        <f>(W578*4+X578*1+Y578*-2+Z578*-3)/W578</f>
        <v>5.5</v>
      </c>
      <c r="AC578" s="3">
        <f>W578*12.0107+X578*1.00784+Y578*15.999+Z578*14.0067</f>
        <v>90.119200000000006</v>
      </c>
      <c r="AD578" s="12">
        <v>177</v>
      </c>
      <c r="AE578" s="3" t="s">
        <v>220</v>
      </c>
      <c r="AF578" s="3" t="s">
        <v>135</v>
      </c>
      <c r="AG578" s="2" t="str">
        <f>IF(AD578&gt;37,"Proton symporter", "Diffusion")</f>
        <v>Proton symporter</v>
      </c>
      <c r="AH578" s="3" t="s">
        <v>253</v>
      </c>
    </row>
    <row r="579" spans="1:34" hidden="1" x14ac:dyDescent="0.2">
      <c r="A579" s="16" t="s">
        <v>63</v>
      </c>
      <c r="B579" s="17" t="s">
        <v>64</v>
      </c>
      <c r="C579" t="s">
        <v>68</v>
      </c>
      <c r="D579" s="18" t="s">
        <v>66</v>
      </c>
      <c r="E579" t="s">
        <v>234</v>
      </c>
      <c r="F579" t="s">
        <v>235</v>
      </c>
      <c r="G579">
        <v>-10</v>
      </c>
      <c r="H579">
        <v>0</v>
      </c>
      <c r="I579">
        <v>-10</v>
      </c>
      <c r="J579">
        <v>0.45</v>
      </c>
      <c r="K579">
        <v>-10</v>
      </c>
      <c r="L579">
        <v>0</v>
      </c>
      <c r="M579">
        <v>-10</v>
      </c>
      <c r="N579">
        <v>2.7272727272727502</v>
      </c>
      <c r="O579">
        <v>1.8181818181818199</v>
      </c>
      <c r="P579"/>
      <c r="Q579">
        <v>0.18181818181818199</v>
      </c>
      <c r="R579">
        <v>0.54563133835861</v>
      </c>
      <c r="S579" s="20" t="s">
        <v>236</v>
      </c>
      <c r="T579" s="3" t="s">
        <v>237</v>
      </c>
      <c r="U579" s="3" t="s">
        <v>106</v>
      </c>
      <c r="V579" s="3" t="s">
        <v>238</v>
      </c>
      <c r="W579" s="3">
        <v>4</v>
      </c>
      <c r="X579" s="3">
        <v>10</v>
      </c>
      <c r="Y579" s="3">
        <v>2</v>
      </c>
      <c r="Z579" s="3">
        <v>0</v>
      </c>
      <c r="AA579" s="3">
        <v>0</v>
      </c>
      <c r="AB579" s="12">
        <f>(W579*4+X579*1+Y579*-2+Z579*-3)/W579</f>
        <v>5.5</v>
      </c>
      <c r="AC579" s="3">
        <f>W579*12.0107+X579*1.00784+Y579*15.999+Z579*14.0067</f>
        <v>90.119200000000006</v>
      </c>
      <c r="AD579" s="12">
        <v>207</v>
      </c>
      <c r="AE579" s="2" t="s">
        <v>220</v>
      </c>
      <c r="AF579" s="3" t="s">
        <v>79</v>
      </c>
      <c r="AG579" s="2" t="str">
        <f>IF(AD579&gt;37,"Proton symporter", "Diffusion")</f>
        <v>Proton symporter</v>
      </c>
      <c r="AH579" s="3" t="s">
        <v>239</v>
      </c>
    </row>
    <row r="580" spans="1:34" hidden="1" x14ac:dyDescent="0.2">
      <c r="A580" s="8" t="s">
        <v>34</v>
      </c>
      <c r="B580" s="9" t="s">
        <v>35</v>
      </c>
      <c r="C580" s="1" t="s">
        <v>49</v>
      </c>
      <c r="D580" s="10" t="s">
        <v>37</v>
      </c>
      <c r="E580" s="1" t="s">
        <v>335</v>
      </c>
      <c r="F580" s="1" t="s">
        <v>336</v>
      </c>
      <c r="G580" s="1">
        <v>-10</v>
      </c>
      <c r="H580" s="1">
        <v>-20</v>
      </c>
      <c r="I580" s="1" t="s">
        <v>40</v>
      </c>
      <c r="J580" s="1">
        <v>3.15</v>
      </c>
      <c r="K580" s="1">
        <v>-10</v>
      </c>
      <c r="L580" s="1">
        <v>-2.19166666666667</v>
      </c>
      <c r="M580" s="1" t="s">
        <v>40</v>
      </c>
      <c r="N580" s="1">
        <v>2.6197916666666701</v>
      </c>
      <c r="O580" s="1">
        <v>3.4760416666666698</v>
      </c>
      <c r="Q580" s="1">
        <v>0.34760416666666699</v>
      </c>
      <c r="R580" s="1">
        <v>0.54439316408545102</v>
      </c>
      <c r="S580" s="11" t="s">
        <v>335</v>
      </c>
      <c r="T580" s="2" t="s">
        <v>335</v>
      </c>
      <c r="U580" s="3" t="s">
        <v>106</v>
      </c>
      <c r="V580" s="2" t="s">
        <v>337</v>
      </c>
      <c r="W580" s="2">
        <v>5</v>
      </c>
      <c r="X580" s="2">
        <v>12</v>
      </c>
      <c r="Y580" s="2">
        <v>0</v>
      </c>
      <c r="Z580" s="2">
        <v>0</v>
      </c>
      <c r="AA580" s="2">
        <v>0</v>
      </c>
      <c r="AB580" s="12">
        <f>(W580*4+X580*1+Y580*-2+Z580*-3)/W580</f>
        <v>6.4</v>
      </c>
      <c r="AC580" s="3">
        <f>W580*12.0107+X580*1.00784+Y580*15.999+Z580*14.0067</f>
        <v>72.147580000000005</v>
      </c>
      <c r="AD580" s="24">
        <v>36.1</v>
      </c>
      <c r="AE580" s="3" t="s">
        <v>321</v>
      </c>
      <c r="AF580" s="2" t="s">
        <v>79</v>
      </c>
      <c r="AG580" s="25" t="str">
        <f>IF(AD580&gt;37,"Proton symporter", "Diffusion")</f>
        <v>Diffusion</v>
      </c>
      <c r="AH580" s="3" t="s">
        <v>338</v>
      </c>
    </row>
    <row r="581" spans="1:34" hidden="1" x14ac:dyDescent="0.2">
      <c r="A581" s="8" t="s">
        <v>34</v>
      </c>
      <c r="B581" s="9" t="s">
        <v>35</v>
      </c>
      <c r="C581" s="1" t="s">
        <v>47</v>
      </c>
      <c r="D581" s="10" t="s">
        <v>37</v>
      </c>
      <c r="E581" s="1" t="s">
        <v>244</v>
      </c>
      <c r="F581" s="1" t="s">
        <v>245</v>
      </c>
      <c r="G581" s="1">
        <v>-10</v>
      </c>
      <c r="H581" s="1">
        <v>-20</v>
      </c>
      <c r="I581" s="1" t="s">
        <v>40</v>
      </c>
      <c r="J581" s="1">
        <v>3.15</v>
      </c>
      <c r="K581" s="1">
        <v>-10</v>
      </c>
      <c r="L581" s="1">
        <v>-4.4548387096774196</v>
      </c>
      <c r="M581" s="1" t="s">
        <v>40</v>
      </c>
      <c r="N581" s="1">
        <v>5.0580645161290301</v>
      </c>
      <c r="O581" s="1">
        <v>3.73548387096774</v>
      </c>
      <c r="Q581" s="1">
        <v>0.37354838709677401</v>
      </c>
      <c r="R581" s="1">
        <v>0.54238495879335002</v>
      </c>
      <c r="S581" s="20" t="s">
        <v>246</v>
      </c>
      <c r="T581" s="3" t="s">
        <v>247</v>
      </c>
      <c r="U581" s="3" t="s">
        <v>106</v>
      </c>
      <c r="V581" s="3" t="s">
        <v>238</v>
      </c>
      <c r="W581" s="3">
        <v>4</v>
      </c>
      <c r="X581" s="3">
        <v>10</v>
      </c>
      <c r="Y581" s="3">
        <v>2</v>
      </c>
      <c r="Z581" s="3">
        <v>0</v>
      </c>
      <c r="AA581" s="3">
        <v>0</v>
      </c>
      <c r="AB581" s="12">
        <f>(W581*4+X581*1+Y581*-2+Z581*-3)/W581</f>
        <v>5.5</v>
      </c>
      <c r="AC581" s="3">
        <f>W581*12.0107+X581*1.00784+Y581*15.999+Z581*14.0067</f>
        <v>90.119200000000006</v>
      </c>
      <c r="AD581" s="12">
        <v>230</v>
      </c>
      <c r="AE581" s="2" t="s">
        <v>220</v>
      </c>
      <c r="AF581" s="3" t="s">
        <v>120</v>
      </c>
      <c r="AG581" s="2" t="str">
        <f>IF(AD581&gt;37,"Proton symporter", "Diffusion")</f>
        <v>Proton symporter</v>
      </c>
      <c r="AH581" s="3" t="s">
        <v>248</v>
      </c>
    </row>
    <row r="582" spans="1:34" hidden="1" x14ac:dyDescent="0.2">
      <c r="A582" s="8" t="s">
        <v>34</v>
      </c>
      <c r="B582" s="9" t="s">
        <v>35</v>
      </c>
      <c r="C582" s="1" t="s">
        <v>56</v>
      </c>
      <c r="D582" s="14" t="s">
        <v>55</v>
      </c>
      <c r="E582" s="1" t="s">
        <v>259</v>
      </c>
      <c r="F582" s="1" t="s">
        <v>260</v>
      </c>
      <c r="G582" s="1">
        <v>-10</v>
      </c>
      <c r="H582" s="1">
        <v>-20</v>
      </c>
      <c r="I582" s="1" t="s">
        <v>40</v>
      </c>
      <c r="J582" s="1">
        <v>3.15</v>
      </c>
      <c r="K582" s="1">
        <v>-10</v>
      </c>
      <c r="L582" s="1">
        <v>-0.21702127659574799</v>
      </c>
      <c r="M582" s="1" t="s">
        <v>40</v>
      </c>
      <c r="N582" s="1">
        <v>6.8113475177304998</v>
      </c>
      <c r="O582" s="1">
        <v>5.7971631205673804</v>
      </c>
      <c r="Q582" s="1">
        <v>0.57971631205673702</v>
      </c>
      <c r="R582" s="1">
        <v>0.54218065557632</v>
      </c>
      <c r="S582" s="20" t="s">
        <v>259</v>
      </c>
      <c r="T582" s="3" t="s">
        <v>259</v>
      </c>
      <c r="U582" s="3" t="s">
        <v>106</v>
      </c>
      <c r="V582" s="3" t="s">
        <v>261</v>
      </c>
      <c r="W582" s="3">
        <v>5</v>
      </c>
      <c r="X582" s="3">
        <v>10</v>
      </c>
      <c r="Y582" s="3">
        <v>1</v>
      </c>
      <c r="Z582" s="3">
        <v>0</v>
      </c>
      <c r="AA582" s="3">
        <v>0</v>
      </c>
      <c r="AB582" s="12">
        <f>(W582*4+X582*1+Y582*-2+Z582*-3)/W582+0.02</f>
        <v>5.6199999999999992</v>
      </c>
      <c r="AC582" s="3">
        <f>W582*12.0107+X582*1.00784+Y582*15.999+Z582*14.0067</f>
        <v>86.130899999999997</v>
      </c>
      <c r="AD582" s="12">
        <v>108</v>
      </c>
      <c r="AE582" s="3" t="s">
        <v>262</v>
      </c>
      <c r="AF582" s="3" t="s">
        <v>135</v>
      </c>
      <c r="AG582" s="2" t="str">
        <f>IF(AD582&gt;37,"Proton symporter", "Diffusion")</f>
        <v>Proton symporter</v>
      </c>
      <c r="AH582" s="3" t="s">
        <v>263</v>
      </c>
    </row>
    <row r="583" spans="1:34" hidden="1" x14ac:dyDescent="0.2">
      <c r="A583" s="8" t="s">
        <v>34</v>
      </c>
      <c r="B583" s="9" t="s">
        <v>35</v>
      </c>
      <c r="C583" s="1" t="s">
        <v>48</v>
      </c>
      <c r="D583" s="10" t="s">
        <v>37</v>
      </c>
      <c r="E583" s="1" t="s">
        <v>189</v>
      </c>
      <c r="F583" s="1" t="s">
        <v>190</v>
      </c>
      <c r="G583" s="1">
        <v>-10</v>
      </c>
      <c r="H583" s="1">
        <v>-20</v>
      </c>
      <c r="I583" s="1" t="s">
        <v>40</v>
      </c>
      <c r="J583" s="1">
        <v>3.15</v>
      </c>
      <c r="K583" s="1">
        <v>-10</v>
      </c>
      <c r="L583" s="1">
        <v>-7.7781249999999904</v>
      </c>
      <c r="M583" s="1" t="s">
        <v>40</v>
      </c>
      <c r="N583" s="1">
        <v>5.6484374999999902</v>
      </c>
      <c r="O583" s="1">
        <v>2.8703124999999998</v>
      </c>
      <c r="Q583" s="1">
        <v>0.28703125000000002</v>
      </c>
      <c r="R583" s="1">
        <v>0.54174424557812295</v>
      </c>
      <c r="S583" s="11" t="s">
        <v>189</v>
      </c>
      <c r="T583" s="2" t="s">
        <v>189</v>
      </c>
      <c r="U583" s="3" t="s">
        <v>41</v>
      </c>
      <c r="V583" s="2" t="s">
        <v>191</v>
      </c>
      <c r="W583" s="2">
        <v>5</v>
      </c>
      <c r="X583" s="2">
        <v>11</v>
      </c>
      <c r="Y583" s="2">
        <v>2</v>
      </c>
      <c r="Z583" s="2">
        <v>1</v>
      </c>
      <c r="AA583" s="2">
        <v>0</v>
      </c>
      <c r="AB583" s="12">
        <f>(W583*4+X583*1+Y583*-2+Z583*-3)/W583</f>
        <v>4.8</v>
      </c>
      <c r="AC583" s="3">
        <f>W583*12.0107+X583*1.00784+Y583*15.999+Z583*14.0067</f>
        <v>117.14444</v>
      </c>
      <c r="AD583" s="12">
        <v>247.5</v>
      </c>
      <c r="AE583" s="2" t="s">
        <v>192</v>
      </c>
      <c r="AF583" s="2" t="s">
        <v>44</v>
      </c>
      <c r="AG583" s="2" t="str">
        <f>IF(AD583&gt;37,"Proton symporter", "Diffusion")</f>
        <v>Proton symporter</v>
      </c>
      <c r="AH583" s="3" t="s">
        <v>193</v>
      </c>
    </row>
    <row r="584" spans="1:34" hidden="1" x14ac:dyDescent="0.2">
      <c r="A584" s="8" t="s">
        <v>34</v>
      </c>
      <c r="B584" s="9" t="s">
        <v>35</v>
      </c>
      <c r="C584" s="1" t="s">
        <v>58</v>
      </c>
      <c r="D584" s="10" t="s">
        <v>37</v>
      </c>
      <c r="E584" s="1" t="s">
        <v>166</v>
      </c>
      <c r="F584" s="1" t="s">
        <v>167</v>
      </c>
      <c r="G584" s="1">
        <v>-10</v>
      </c>
      <c r="H584" s="1">
        <v>-20</v>
      </c>
      <c r="I584" s="1" t="s">
        <v>40</v>
      </c>
      <c r="J584" s="1">
        <v>3.15</v>
      </c>
      <c r="K584" s="1">
        <v>-10</v>
      </c>
      <c r="L584" s="1">
        <v>-2.9964285714285701</v>
      </c>
      <c r="M584" s="1" t="s">
        <v>40</v>
      </c>
      <c r="N584" s="1">
        <v>4.8857142857142799</v>
      </c>
      <c r="O584" s="1">
        <v>3.77857142857142</v>
      </c>
      <c r="Q584" s="1">
        <v>0.377857142857142</v>
      </c>
      <c r="R584" s="1">
        <v>0.54167896584864506</v>
      </c>
      <c r="S584" s="11" t="s">
        <v>166</v>
      </c>
      <c r="T584" s="2" t="s">
        <v>168</v>
      </c>
      <c r="U584" s="3" t="s">
        <v>41</v>
      </c>
      <c r="V584" s="2" t="s">
        <v>169</v>
      </c>
      <c r="W584" s="2">
        <v>4</v>
      </c>
      <c r="X584" s="2">
        <v>6</v>
      </c>
      <c r="Y584" s="2">
        <v>2</v>
      </c>
      <c r="Z584" s="2">
        <v>0</v>
      </c>
      <c r="AA584" s="2">
        <v>0</v>
      </c>
      <c r="AB584" s="12">
        <f>(W584*4+X584*1+Y584*-2+Z584*-3)/W584</f>
        <v>4.5</v>
      </c>
      <c r="AC584" s="3">
        <f>W584*12.0107+X584*1.00784+Y584*15.999+Z584*14.0067</f>
        <v>86.08784</v>
      </c>
      <c r="AD584" s="12">
        <v>204</v>
      </c>
      <c r="AE584" s="2" t="s">
        <v>170</v>
      </c>
      <c r="AF584" s="2" t="s">
        <v>120</v>
      </c>
      <c r="AG584" s="2" t="str">
        <f>IF(AD584&gt;37,"Proton symporter", "Diffusion")</f>
        <v>Proton symporter</v>
      </c>
      <c r="AH584" s="3" t="s">
        <v>171</v>
      </c>
    </row>
    <row r="585" spans="1:34" hidden="1" x14ac:dyDescent="0.2">
      <c r="A585" s="8" t="s">
        <v>34</v>
      </c>
      <c r="B585" s="9" t="s">
        <v>35</v>
      </c>
      <c r="C585" s="1" t="s">
        <v>54</v>
      </c>
      <c r="D585" s="14" t="s">
        <v>55</v>
      </c>
      <c r="E585" s="1" t="s">
        <v>244</v>
      </c>
      <c r="F585" s="1" t="s">
        <v>245</v>
      </c>
      <c r="G585" s="1">
        <v>-10</v>
      </c>
      <c r="H585" s="1">
        <v>-20</v>
      </c>
      <c r="I585" s="1" t="s">
        <v>40</v>
      </c>
      <c r="J585" s="1">
        <v>3.15</v>
      </c>
      <c r="K585" s="1">
        <v>-10</v>
      </c>
      <c r="L585" s="1">
        <v>-0.689534883720892</v>
      </c>
      <c r="M585" s="1" t="s">
        <v>40</v>
      </c>
      <c r="N585" s="1">
        <v>16.865116279069799</v>
      </c>
      <c r="O585" s="1">
        <v>10.783720930232599</v>
      </c>
      <c r="Q585" s="1">
        <v>1.0783720930232601</v>
      </c>
      <c r="R585" s="1">
        <v>0.53944379902148198</v>
      </c>
      <c r="S585" s="20" t="s">
        <v>246</v>
      </c>
      <c r="T585" s="3" t="s">
        <v>247</v>
      </c>
      <c r="U585" s="3" t="s">
        <v>106</v>
      </c>
      <c r="V585" s="3" t="s">
        <v>238</v>
      </c>
      <c r="W585" s="3">
        <v>4</v>
      </c>
      <c r="X585" s="3">
        <v>10</v>
      </c>
      <c r="Y585" s="3">
        <v>2</v>
      </c>
      <c r="Z585" s="3">
        <v>0</v>
      </c>
      <c r="AA585" s="3">
        <v>0</v>
      </c>
      <c r="AB585" s="12">
        <f>(W585*4+X585*1+Y585*-2+Z585*-3)/W585</f>
        <v>5.5</v>
      </c>
      <c r="AC585" s="3">
        <f>W585*12.0107+X585*1.00784+Y585*15.999+Z585*14.0067</f>
        <v>90.119200000000006</v>
      </c>
      <c r="AD585" s="12">
        <v>230</v>
      </c>
      <c r="AE585" s="2" t="s">
        <v>220</v>
      </c>
      <c r="AF585" s="3" t="s">
        <v>120</v>
      </c>
      <c r="AG585" s="2" t="str">
        <f>IF(AD585&gt;37,"Proton symporter", "Diffusion")</f>
        <v>Proton symporter</v>
      </c>
      <c r="AH585" s="3" t="s">
        <v>248</v>
      </c>
    </row>
    <row r="586" spans="1:34" hidden="1" x14ac:dyDescent="0.2">
      <c r="A586" s="8" t="s">
        <v>34</v>
      </c>
      <c r="B586" s="9" t="s">
        <v>35</v>
      </c>
      <c r="C586" s="1" t="s">
        <v>58</v>
      </c>
      <c r="D586" s="10" t="s">
        <v>37</v>
      </c>
      <c r="E586" s="1" t="s">
        <v>186</v>
      </c>
      <c r="F586" s="1" t="s">
        <v>187</v>
      </c>
      <c r="G586" s="1">
        <v>-10</v>
      </c>
      <c r="H586" s="1">
        <v>-20</v>
      </c>
      <c r="I586" s="1" t="s">
        <v>40</v>
      </c>
      <c r="J586" s="1">
        <v>3.15</v>
      </c>
      <c r="K586" s="1">
        <v>-10</v>
      </c>
      <c r="L586" s="1">
        <v>-1.4125000000000101</v>
      </c>
      <c r="M586" s="1" t="s">
        <v>40</v>
      </c>
      <c r="N586" s="1">
        <v>5.1300000000000203</v>
      </c>
      <c r="O586" s="1">
        <v>3.7174999999999998</v>
      </c>
      <c r="Q586" s="1">
        <v>0.37175000000000002</v>
      </c>
      <c r="R586" s="1">
        <v>0.53916304269632997</v>
      </c>
      <c r="S586" s="11" t="s">
        <v>186</v>
      </c>
      <c r="T586" s="2" t="s">
        <v>186</v>
      </c>
      <c r="U586" s="3" t="s">
        <v>41</v>
      </c>
      <c r="V586" s="2" t="s">
        <v>184</v>
      </c>
      <c r="W586" s="2">
        <v>4</v>
      </c>
      <c r="X586" s="2">
        <v>7</v>
      </c>
      <c r="Y586" s="2">
        <v>2</v>
      </c>
      <c r="Z586" s="2">
        <v>0</v>
      </c>
      <c r="AA586" s="2">
        <v>0</v>
      </c>
      <c r="AB586" s="12">
        <f>(W586*4+X586*1+Y586*-2+Z586*-3)/W586</f>
        <v>4.75</v>
      </c>
      <c r="AC586" s="3">
        <f>W586*12.0107+X586*1.00784+Y586*15.999+Z586*14.0067</f>
        <v>87.095680000000002</v>
      </c>
      <c r="AD586" s="12">
        <v>155</v>
      </c>
      <c r="AE586" s="2" t="s">
        <v>131</v>
      </c>
      <c r="AF586" s="2" t="s">
        <v>135</v>
      </c>
      <c r="AG586" s="2" t="str">
        <f>IF(AD586&gt;37,"Proton symporter", "Diffusion")</f>
        <v>Proton symporter</v>
      </c>
      <c r="AH586" s="3" t="s">
        <v>188</v>
      </c>
    </row>
    <row r="587" spans="1:34" hidden="1" x14ac:dyDescent="0.2">
      <c r="A587" s="16" t="s">
        <v>317</v>
      </c>
      <c r="B587" s="9" t="s">
        <v>35</v>
      </c>
      <c r="C587" t="s">
        <v>49</v>
      </c>
      <c r="D587" s="10" t="s">
        <v>37</v>
      </c>
      <c r="E587" t="s">
        <v>331</v>
      </c>
      <c r="F587" t="s">
        <v>332</v>
      </c>
      <c r="G587">
        <v>-10</v>
      </c>
      <c r="H587">
        <v>-20</v>
      </c>
      <c r="I587" s="1" t="s">
        <v>40</v>
      </c>
      <c r="J587">
        <v>3.15</v>
      </c>
      <c r="K587">
        <v>-10</v>
      </c>
      <c r="L587">
        <v>-2.6789156626506001</v>
      </c>
      <c r="M587" s="1" t="s">
        <v>40</v>
      </c>
      <c r="N587">
        <v>2.7445783132530202</v>
      </c>
      <c r="O587">
        <v>2.87590361445783</v>
      </c>
      <c r="P587"/>
      <c r="Q587">
        <v>0.28759036144578298</v>
      </c>
      <c r="R587">
        <v>0.53796782073443805</v>
      </c>
      <c r="S587" s="11" t="s">
        <v>331</v>
      </c>
      <c r="T587" s="2" t="s">
        <v>331</v>
      </c>
      <c r="U587" s="3" t="s">
        <v>106</v>
      </c>
      <c r="V587" s="3" t="s">
        <v>333</v>
      </c>
      <c r="W587" s="2">
        <v>6</v>
      </c>
      <c r="X587" s="2">
        <v>14</v>
      </c>
      <c r="Y587" s="2">
        <v>0</v>
      </c>
      <c r="Z587" s="2">
        <v>0</v>
      </c>
      <c r="AA587" s="2">
        <v>0</v>
      </c>
      <c r="AB587" s="12">
        <f>(W587*4+X587*1+Y587*-2+Z587*-3)/W587</f>
        <v>6.333333333333333</v>
      </c>
      <c r="AC587" s="3">
        <f>W587*12.0107+X587*1.00784+Y587*15.999+Z587*14.0067</f>
        <v>86.173959999999994</v>
      </c>
      <c r="AD587" s="12">
        <v>69</v>
      </c>
      <c r="AE587" s="3" t="s">
        <v>321</v>
      </c>
      <c r="AF587" s="2" t="s">
        <v>313</v>
      </c>
      <c r="AG587" s="2" t="str">
        <f>IF(AD587&gt;37,"Proton symporter", "Diffusion")</f>
        <v>Proton symporter</v>
      </c>
      <c r="AH587" s="3" t="s">
        <v>334</v>
      </c>
    </row>
    <row r="588" spans="1:34" hidden="1" x14ac:dyDescent="0.2">
      <c r="A588" s="8" t="s">
        <v>34</v>
      </c>
      <c r="B588" s="9" t="s">
        <v>35</v>
      </c>
      <c r="C588" s="1" t="s">
        <v>48</v>
      </c>
      <c r="D588" s="10" t="s">
        <v>37</v>
      </c>
      <c r="E588" s="1" t="s">
        <v>222</v>
      </c>
      <c r="F588" s="1" t="s">
        <v>223</v>
      </c>
      <c r="G588" s="1">
        <v>-10</v>
      </c>
      <c r="H588" s="1">
        <v>-20</v>
      </c>
      <c r="I588" s="1" t="s">
        <v>40</v>
      </c>
      <c r="J588" s="1">
        <v>3.15</v>
      </c>
      <c r="K588" s="1">
        <v>-10</v>
      </c>
      <c r="L588" s="1">
        <v>-2.0306306306306299</v>
      </c>
      <c r="M588" s="1" t="s">
        <v>40</v>
      </c>
      <c r="N588" s="1">
        <v>2.77297297297297</v>
      </c>
      <c r="O588" s="1">
        <v>5.7423423423423401</v>
      </c>
      <c r="Q588" s="1">
        <v>0.57423423423423403</v>
      </c>
      <c r="R588" s="1">
        <v>0.53733511607969298</v>
      </c>
      <c r="S588" s="11" t="s">
        <v>222</v>
      </c>
      <c r="T588" s="2" t="s">
        <v>222</v>
      </c>
      <c r="U588" s="3" t="s">
        <v>41</v>
      </c>
      <c r="V588" s="2" t="s">
        <v>224</v>
      </c>
      <c r="W588" s="2">
        <v>3</v>
      </c>
      <c r="X588" s="2">
        <v>6</v>
      </c>
      <c r="Y588" s="2">
        <v>1</v>
      </c>
      <c r="Z588" s="2">
        <v>0</v>
      </c>
      <c r="AA588" s="2">
        <v>0</v>
      </c>
      <c r="AB588" s="12">
        <f>(W588*4+X588*1+Y588*-2+Z588*-3)/W588</f>
        <v>5.333333333333333</v>
      </c>
      <c r="AC588" s="3">
        <f>W588*12.0107+X588*1.00784+Y588*15.999+Z588*14.0067</f>
        <v>58.078140000000005</v>
      </c>
      <c r="AD588" s="12">
        <v>56</v>
      </c>
      <c r="AE588" s="2" t="s">
        <v>225</v>
      </c>
      <c r="AF588" s="2" t="s">
        <v>79</v>
      </c>
      <c r="AG588" s="2" t="str">
        <f>IF(AD588&gt;37,"Proton symporter", "Diffusion")</f>
        <v>Proton symporter</v>
      </c>
      <c r="AH588" s="3" t="s">
        <v>226</v>
      </c>
    </row>
    <row r="589" spans="1:34" hidden="1" x14ac:dyDescent="0.2">
      <c r="A589" s="8" t="s">
        <v>34</v>
      </c>
      <c r="B589" s="9" t="s">
        <v>35</v>
      </c>
      <c r="C589" s="1" t="s">
        <v>48</v>
      </c>
      <c r="D589" s="10" t="s">
        <v>37</v>
      </c>
      <c r="E589" s="1" t="s">
        <v>259</v>
      </c>
      <c r="F589" s="1" t="s">
        <v>260</v>
      </c>
      <c r="G589" s="1">
        <v>-10</v>
      </c>
      <c r="H589" s="1">
        <v>-20</v>
      </c>
      <c r="I589" s="1" t="s">
        <v>40</v>
      </c>
      <c r="J589" s="1">
        <v>3.15</v>
      </c>
      <c r="K589" s="1">
        <v>-10</v>
      </c>
      <c r="L589" s="1">
        <v>-1.7957894736842099</v>
      </c>
      <c r="M589" s="1" t="s">
        <v>40</v>
      </c>
      <c r="N589" s="1">
        <v>4.5305263157894604</v>
      </c>
      <c r="O589" s="1">
        <v>3.86736842105263</v>
      </c>
      <c r="Q589" s="1">
        <v>0.38673684210526299</v>
      </c>
      <c r="R589" s="1">
        <v>0.53668316953591899</v>
      </c>
      <c r="S589" s="20" t="s">
        <v>259</v>
      </c>
      <c r="T589" s="3" t="s">
        <v>259</v>
      </c>
      <c r="U589" s="3" t="s">
        <v>106</v>
      </c>
      <c r="V589" s="3" t="s">
        <v>261</v>
      </c>
      <c r="W589" s="3">
        <v>5</v>
      </c>
      <c r="X589" s="3">
        <v>10</v>
      </c>
      <c r="Y589" s="3">
        <v>1</v>
      </c>
      <c r="Z589" s="3">
        <v>0</v>
      </c>
      <c r="AA589" s="3">
        <v>0</v>
      </c>
      <c r="AB589" s="12">
        <f>(W589*4+X589*1+Y589*-2+Z589*-3)/W589+0.02</f>
        <v>5.6199999999999992</v>
      </c>
      <c r="AC589" s="3">
        <f>W589*12.0107+X589*1.00784+Y589*15.999+Z589*14.0067</f>
        <v>86.130899999999997</v>
      </c>
      <c r="AD589" s="12">
        <v>108</v>
      </c>
      <c r="AE589" s="3" t="s">
        <v>262</v>
      </c>
      <c r="AF589" s="3" t="s">
        <v>135</v>
      </c>
      <c r="AG589" s="2" t="str">
        <f>IF(AD589&gt;37,"Proton symporter", "Diffusion")</f>
        <v>Proton symporter</v>
      </c>
      <c r="AH589" s="3" t="s">
        <v>263</v>
      </c>
    </row>
    <row r="590" spans="1:34" hidden="1" x14ac:dyDescent="0.2">
      <c r="A590" s="16" t="s">
        <v>74</v>
      </c>
      <c r="B590" s="9" t="s">
        <v>35</v>
      </c>
      <c r="C590" t="s">
        <v>61</v>
      </c>
      <c r="D590" s="13" t="s">
        <v>51</v>
      </c>
      <c r="E590" t="s">
        <v>194</v>
      </c>
      <c r="F590" t="s">
        <v>195</v>
      </c>
      <c r="G590">
        <v>-10</v>
      </c>
      <c r="H590">
        <v>-20</v>
      </c>
      <c r="I590" s="1" t="s">
        <v>40</v>
      </c>
      <c r="J590">
        <v>3.15</v>
      </c>
      <c r="K590">
        <v>-10</v>
      </c>
      <c r="L590">
        <v>-6.8302631578947404</v>
      </c>
      <c r="M590" s="1" t="s">
        <v>40</v>
      </c>
      <c r="N590">
        <v>2.9973684210526401</v>
      </c>
      <c r="O590">
        <v>1.16710526315789</v>
      </c>
      <c r="P590"/>
      <c r="Q590">
        <v>0.116710526315789</v>
      </c>
      <c r="R590">
        <v>0.53615566532771597</v>
      </c>
      <c r="S590" s="3" t="s">
        <v>194</v>
      </c>
      <c r="T590" s="2" t="s">
        <v>196</v>
      </c>
      <c r="U590" s="3" t="s">
        <v>35</v>
      </c>
      <c r="V590" s="3" t="s">
        <v>197</v>
      </c>
      <c r="W590" s="3">
        <v>6</v>
      </c>
      <c r="X590" s="3">
        <v>15</v>
      </c>
      <c r="Y590" s="3">
        <v>2</v>
      </c>
      <c r="Z590" s="3">
        <v>2</v>
      </c>
      <c r="AA590" s="3">
        <v>1</v>
      </c>
      <c r="AB590" s="12">
        <f>(W590*4+X590*1+Y590*-2+Z590*-3)/W590</f>
        <v>4.833333333333333</v>
      </c>
      <c r="AC590" s="3">
        <f>W590*12.0107+X590*1.00784+Y590*15.999+Z590*14.0067</f>
        <v>147.19319999999999</v>
      </c>
      <c r="AD590" s="12" t="s">
        <v>40</v>
      </c>
      <c r="AE590" s="3" t="s">
        <v>119</v>
      </c>
      <c r="AF590" s="3" t="s">
        <v>44</v>
      </c>
      <c r="AG590" s="2" t="s">
        <v>80</v>
      </c>
      <c r="AH590" s="2" t="s">
        <v>198</v>
      </c>
    </row>
    <row r="591" spans="1:34" hidden="1" x14ac:dyDescent="0.2">
      <c r="A591" s="16" t="s">
        <v>74</v>
      </c>
      <c r="B591" s="9" t="s">
        <v>35</v>
      </c>
      <c r="C591" t="s">
        <v>49</v>
      </c>
      <c r="D591" s="10" t="s">
        <v>37</v>
      </c>
      <c r="E591" t="s">
        <v>268</v>
      </c>
      <c r="F591" t="s">
        <v>269</v>
      </c>
      <c r="G591">
        <v>-10</v>
      </c>
      <c r="H591">
        <v>-20</v>
      </c>
      <c r="I591" s="1" t="s">
        <v>40</v>
      </c>
      <c r="J591">
        <v>3.15</v>
      </c>
      <c r="K591">
        <v>-10</v>
      </c>
      <c r="L591">
        <v>-4.6268041237113398</v>
      </c>
      <c r="M591" s="1" t="s">
        <v>40</v>
      </c>
      <c r="N591">
        <v>1.87628865979381</v>
      </c>
      <c r="O591">
        <v>1.8123711340206199</v>
      </c>
      <c r="P591"/>
      <c r="Q591">
        <v>0.181237113402062</v>
      </c>
      <c r="R591">
        <v>0.53596149856209896</v>
      </c>
      <c r="S591" s="3" t="s">
        <v>268</v>
      </c>
      <c r="T591" s="3" t="s">
        <v>268</v>
      </c>
      <c r="U591" s="3" t="s">
        <v>106</v>
      </c>
      <c r="V591" s="3" t="s">
        <v>270</v>
      </c>
      <c r="W591" s="3">
        <v>10</v>
      </c>
      <c r="X591" s="3">
        <v>16</v>
      </c>
      <c r="Y591" s="3">
        <v>0</v>
      </c>
      <c r="Z591" s="3">
        <v>0</v>
      </c>
      <c r="AA591" s="3">
        <v>0</v>
      </c>
      <c r="AB591" s="12">
        <f>(W591*4+X591*1+Y591*-2+Z591*-3)/W591</f>
        <v>5.6</v>
      </c>
      <c r="AC591" s="3">
        <f>W591*12.0107+X591*1.00784+Y591*15.999+Z591*14.0067</f>
        <v>136.23244</v>
      </c>
      <c r="AD591" s="12">
        <v>176</v>
      </c>
      <c r="AE591" s="3" t="s">
        <v>271</v>
      </c>
      <c r="AF591" s="3" t="s">
        <v>79</v>
      </c>
      <c r="AG591" s="2" t="str">
        <f>IF(AD591&gt;37,"Proton symporter", "Diffusion")</f>
        <v>Proton symporter</v>
      </c>
      <c r="AH591" s="3" t="s">
        <v>272</v>
      </c>
    </row>
    <row r="592" spans="1:34" hidden="1" x14ac:dyDescent="0.2">
      <c r="A592" s="8" t="s">
        <v>34</v>
      </c>
      <c r="B592" s="9" t="s">
        <v>35</v>
      </c>
      <c r="C592" s="1" t="s">
        <v>61</v>
      </c>
      <c r="D592" s="13" t="s">
        <v>51</v>
      </c>
      <c r="E592" s="1" t="s">
        <v>182</v>
      </c>
      <c r="F592" s="1" t="s">
        <v>183</v>
      </c>
      <c r="G592" s="1">
        <v>-10</v>
      </c>
      <c r="H592" s="1">
        <v>-20</v>
      </c>
      <c r="I592" s="1" t="s">
        <v>40</v>
      </c>
      <c r="J592" s="1">
        <v>3.15</v>
      </c>
      <c r="K592" s="1">
        <v>-10</v>
      </c>
      <c r="L592" s="1">
        <v>-5.1444444444444501</v>
      </c>
      <c r="M592" s="1" t="s">
        <v>40</v>
      </c>
      <c r="N592" s="1">
        <v>2.1155555555555501</v>
      </c>
      <c r="O592" s="1">
        <v>1.9711111111111099</v>
      </c>
      <c r="Q592" s="1">
        <v>0.19711111111111099</v>
      </c>
      <c r="R592" s="1">
        <v>0.53579770013157302</v>
      </c>
      <c r="S592" s="11" t="s">
        <v>182</v>
      </c>
      <c r="T592" s="2" t="s">
        <v>182</v>
      </c>
      <c r="U592" s="3" t="s">
        <v>41</v>
      </c>
      <c r="V592" s="2" t="s">
        <v>184</v>
      </c>
      <c r="W592" s="2">
        <v>4</v>
      </c>
      <c r="X592" s="2">
        <v>7</v>
      </c>
      <c r="Y592" s="2">
        <v>2</v>
      </c>
      <c r="Z592" s="2">
        <v>0</v>
      </c>
      <c r="AA592" s="2">
        <v>0</v>
      </c>
      <c r="AB592" s="12">
        <f>(W592*4+X592*1+Y592*-2+Z592*-3)/W592</f>
        <v>4.75</v>
      </c>
      <c r="AC592" s="3">
        <f>W592*12.0107+X592*1.00784+Y592*15.999+Z592*14.0067</f>
        <v>87.095680000000002</v>
      </c>
      <c r="AD592" s="12">
        <v>163.5</v>
      </c>
      <c r="AE592" s="2" t="s">
        <v>131</v>
      </c>
      <c r="AF592" s="2" t="s">
        <v>79</v>
      </c>
      <c r="AG592" s="2" t="str">
        <f>IF(AD592&gt;37,"Proton symporter", "Diffusion")</f>
        <v>Proton symporter</v>
      </c>
      <c r="AH592" s="3" t="s">
        <v>185</v>
      </c>
    </row>
    <row r="593" spans="1:34" hidden="1" x14ac:dyDescent="0.2">
      <c r="A593" s="8" t="s">
        <v>34</v>
      </c>
      <c r="B593" s="9" t="s">
        <v>35</v>
      </c>
      <c r="C593" s="1" t="s">
        <v>49</v>
      </c>
      <c r="D593" s="10" t="s">
        <v>37</v>
      </c>
      <c r="E593" s="1" t="s">
        <v>254</v>
      </c>
      <c r="F593" s="1" t="s">
        <v>255</v>
      </c>
      <c r="G593" s="1">
        <v>-10</v>
      </c>
      <c r="H593" s="1">
        <v>-20</v>
      </c>
      <c r="I593" s="1" t="s">
        <v>40</v>
      </c>
      <c r="J593" s="1">
        <v>3.15</v>
      </c>
      <c r="K593" s="1">
        <v>-10</v>
      </c>
      <c r="L593" s="1">
        <v>-4.6558352402745902</v>
      </c>
      <c r="M593" s="1" t="s">
        <v>40</v>
      </c>
      <c r="N593" s="1">
        <v>1.89702517162469</v>
      </c>
      <c r="O593" s="1">
        <v>1.20686498855835</v>
      </c>
      <c r="Q593" s="1">
        <v>0.120686498855835</v>
      </c>
      <c r="R593" s="1">
        <v>0.53534827030287502</v>
      </c>
      <c r="S593" s="11" t="s">
        <v>254</v>
      </c>
      <c r="T593" s="2" t="s">
        <v>254</v>
      </c>
      <c r="U593" s="3" t="s">
        <v>41</v>
      </c>
      <c r="V593" s="2" t="s">
        <v>256</v>
      </c>
      <c r="W593" s="2">
        <v>15</v>
      </c>
      <c r="X593" s="2">
        <v>24</v>
      </c>
      <c r="Y593" s="2">
        <v>0</v>
      </c>
      <c r="Z593" s="2">
        <v>0</v>
      </c>
      <c r="AA593" s="2">
        <v>0</v>
      </c>
      <c r="AB593" s="12">
        <f>(W593*4+X593*1+Y593*-2+Z593*-3)/W593+0.01</f>
        <v>5.6099999999999994</v>
      </c>
      <c r="AC593" s="3">
        <f>W593*12.0107+X593*1.00784+Y593*15.999+Z593*14.0067</f>
        <v>204.34866000000002</v>
      </c>
      <c r="AD593" s="12" t="s">
        <v>257</v>
      </c>
      <c r="AE593" s="2" t="s">
        <v>231</v>
      </c>
      <c r="AF593" s="2" t="s">
        <v>79</v>
      </c>
      <c r="AG593" s="2" t="str">
        <f>IF(AD593&gt;37,"Proton symporter", "Diffusion")</f>
        <v>Proton symporter</v>
      </c>
      <c r="AH593" s="3" t="s">
        <v>258</v>
      </c>
    </row>
    <row r="594" spans="1:34" hidden="1" x14ac:dyDescent="0.2">
      <c r="A594" s="8" t="s">
        <v>34</v>
      </c>
      <c r="B594" s="9" t="s">
        <v>35</v>
      </c>
      <c r="C594" s="1" t="s">
        <v>49</v>
      </c>
      <c r="D594" s="10" t="s">
        <v>37</v>
      </c>
      <c r="E594" s="1" t="s">
        <v>264</v>
      </c>
      <c r="F594" s="1" t="s">
        <v>265</v>
      </c>
      <c r="G594" s="1">
        <v>-10</v>
      </c>
      <c r="H594" s="1">
        <v>-20</v>
      </c>
      <c r="I594" s="1" t="s">
        <v>40</v>
      </c>
      <c r="J594" s="1">
        <v>3.15</v>
      </c>
      <c r="K594" s="1">
        <v>-10</v>
      </c>
      <c r="L594" s="1">
        <v>-4.7136986301369799</v>
      </c>
      <c r="M594" s="1" t="s">
        <v>40</v>
      </c>
      <c r="N594" s="1">
        <v>1.93835616438358</v>
      </c>
      <c r="O594" s="1">
        <v>3.61232876712329</v>
      </c>
      <c r="Q594" s="1">
        <v>0.36123287671232901</v>
      </c>
      <c r="R594" s="1">
        <v>0.53412601397798298</v>
      </c>
      <c r="S594" s="20" t="s">
        <v>264</v>
      </c>
      <c r="T594" s="3" t="s">
        <v>264</v>
      </c>
      <c r="U594" s="3" t="s">
        <v>106</v>
      </c>
      <c r="V594" s="3" t="s">
        <v>266</v>
      </c>
      <c r="W594" s="3">
        <v>5</v>
      </c>
      <c r="X594" s="3">
        <v>8</v>
      </c>
      <c r="Y594" s="3">
        <v>0</v>
      </c>
      <c r="Z594" s="3">
        <v>0</v>
      </c>
      <c r="AA594" s="3">
        <v>0</v>
      </c>
      <c r="AB594" s="12">
        <f>(W594*4+X594*1+Y594*-2+Z594*-3)/W594</f>
        <v>5.6</v>
      </c>
      <c r="AC594" s="3">
        <f>W594*12.0107+X594*1.00784+Y594*15.999+Z594*14.0067</f>
        <v>68.116219999999998</v>
      </c>
      <c r="AD594" s="24">
        <v>34.07</v>
      </c>
      <c r="AE594" s="3" t="s">
        <v>231</v>
      </c>
      <c r="AF594" s="3" t="s">
        <v>79</v>
      </c>
      <c r="AG594" s="25" t="str">
        <f>IF(AD594&gt;37,"Proton symporter", "Diffusion")</f>
        <v>Diffusion</v>
      </c>
      <c r="AH594" s="3" t="s">
        <v>267</v>
      </c>
    </row>
    <row r="595" spans="1:34" hidden="1" x14ac:dyDescent="0.2">
      <c r="A595" s="8" t="s">
        <v>34</v>
      </c>
      <c r="B595" s="9" t="s">
        <v>35</v>
      </c>
      <c r="C595" s="1" t="s">
        <v>59</v>
      </c>
      <c r="D595" s="13" t="s">
        <v>51</v>
      </c>
      <c r="E595" s="1" t="s">
        <v>222</v>
      </c>
      <c r="F595" s="1" t="s">
        <v>223</v>
      </c>
      <c r="G595" s="1">
        <v>-10</v>
      </c>
      <c r="H595" s="1">
        <v>-20</v>
      </c>
      <c r="I595" s="1" t="s">
        <v>40</v>
      </c>
      <c r="J595" s="1">
        <v>3.15</v>
      </c>
      <c r="K595" s="1">
        <v>-10</v>
      </c>
      <c r="L595" s="1">
        <v>-3.2217821782178202</v>
      </c>
      <c r="M595" s="1" t="s">
        <v>40</v>
      </c>
      <c r="N595" s="1">
        <v>1.1663366336633501</v>
      </c>
      <c r="O595" s="1">
        <v>2.9445544554455401</v>
      </c>
      <c r="Q595" s="1">
        <v>0.294455445544554</v>
      </c>
      <c r="R595" s="1">
        <v>0.53373467014196796</v>
      </c>
      <c r="S595" s="11" t="s">
        <v>222</v>
      </c>
      <c r="T595" s="2" t="s">
        <v>222</v>
      </c>
      <c r="U595" s="3" t="s">
        <v>41</v>
      </c>
      <c r="V595" s="2" t="s">
        <v>224</v>
      </c>
      <c r="W595" s="2">
        <v>3</v>
      </c>
      <c r="X595" s="2">
        <v>6</v>
      </c>
      <c r="Y595" s="2">
        <v>1</v>
      </c>
      <c r="Z595" s="2">
        <v>0</v>
      </c>
      <c r="AA595" s="2">
        <v>0</v>
      </c>
      <c r="AB595" s="12">
        <f>(W595*4+X595*1+Y595*-2+Z595*-3)/W595</f>
        <v>5.333333333333333</v>
      </c>
      <c r="AC595" s="3">
        <f>W595*12.0107+X595*1.00784+Y595*15.999+Z595*14.0067</f>
        <v>58.078140000000005</v>
      </c>
      <c r="AD595" s="12">
        <v>56</v>
      </c>
      <c r="AE595" s="2" t="s">
        <v>225</v>
      </c>
      <c r="AF595" s="2" t="s">
        <v>79</v>
      </c>
      <c r="AG595" s="2" t="str">
        <f>IF(AD595&gt;37,"Proton symporter", "Diffusion")</f>
        <v>Proton symporter</v>
      </c>
      <c r="AH595" s="3" t="s">
        <v>226</v>
      </c>
    </row>
    <row r="596" spans="1:34" hidden="1" x14ac:dyDescent="0.2">
      <c r="A596" s="8" t="s">
        <v>34</v>
      </c>
      <c r="B596" s="9" t="s">
        <v>35</v>
      </c>
      <c r="C596" s="1" t="s">
        <v>60</v>
      </c>
      <c r="D596" s="13" t="s">
        <v>51</v>
      </c>
      <c r="E596" s="1" t="s">
        <v>222</v>
      </c>
      <c r="F596" s="1" t="s">
        <v>223</v>
      </c>
      <c r="G596" s="1">
        <v>-10</v>
      </c>
      <c r="H596" s="1">
        <v>-20</v>
      </c>
      <c r="I596" s="1" t="s">
        <v>40</v>
      </c>
      <c r="J596" s="1">
        <v>3.15</v>
      </c>
      <c r="K596" s="1">
        <v>-10</v>
      </c>
      <c r="L596" s="1">
        <v>-3.22178217821783</v>
      </c>
      <c r="M596" s="1" t="s">
        <v>40</v>
      </c>
      <c r="N596" s="1">
        <v>1.16633663366336</v>
      </c>
      <c r="O596" s="1">
        <v>2.9445544554455401</v>
      </c>
      <c r="Q596" s="1">
        <v>0.294455445544554</v>
      </c>
      <c r="R596" s="1">
        <v>0.53373467014196696</v>
      </c>
      <c r="S596" s="11" t="s">
        <v>222</v>
      </c>
      <c r="T596" s="2" t="s">
        <v>222</v>
      </c>
      <c r="U596" s="3" t="s">
        <v>41</v>
      </c>
      <c r="V596" s="2" t="s">
        <v>224</v>
      </c>
      <c r="W596" s="2">
        <v>3</v>
      </c>
      <c r="X596" s="2">
        <v>6</v>
      </c>
      <c r="Y596" s="2">
        <v>1</v>
      </c>
      <c r="Z596" s="2">
        <v>0</v>
      </c>
      <c r="AA596" s="2">
        <v>0</v>
      </c>
      <c r="AB596" s="12">
        <f>(W596*4+X596*1+Y596*-2+Z596*-3)/W596</f>
        <v>5.333333333333333</v>
      </c>
      <c r="AC596" s="3">
        <f>W596*12.0107+X596*1.00784+Y596*15.999+Z596*14.0067</f>
        <v>58.078140000000005</v>
      </c>
      <c r="AD596" s="12">
        <v>56</v>
      </c>
      <c r="AE596" s="2" t="s">
        <v>225</v>
      </c>
      <c r="AF596" s="2" t="s">
        <v>79</v>
      </c>
      <c r="AG596" s="2" t="str">
        <f>IF(AD596&gt;37,"Proton symporter", "Diffusion")</f>
        <v>Proton symporter</v>
      </c>
      <c r="AH596" s="3" t="s">
        <v>226</v>
      </c>
    </row>
    <row r="597" spans="1:34" hidden="1" x14ac:dyDescent="0.2">
      <c r="A597" s="8" t="s">
        <v>34</v>
      </c>
      <c r="B597" s="9" t="s">
        <v>35</v>
      </c>
      <c r="C597" s="1" t="s">
        <v>36</v>
      </c>
      <c r="D597" s="10" t="s">
        <v>37</v>
      </c>
      <c r="E597" s="1" t="s">
        <v>295</v>
      </c>
      <c r="F597" s="1" t="s">
        <v>296</v>
      </c>
      <c r="G597" s="1">
        <v>-10</v>
      </c>
      <c r="H597" s="1">
        <v>-20</v>
      </c>
      <c r="I597" s="1" t="s">
        <v>40</v>
      </c>
      <c r="J597" s="1">
        <v>3.15</v>
      </c>
      <c r="K597" s="1">
        <v>-10</v>
      </c>
      <c r="L597" s="1">
        <v>-4.3337500000000002</v>
      </c>
      <c r="M597" s="1" t="s">
        <v>40</v>
      </c>
      <c r="N597" s="1">
        <v>6.2225000000000001</v>
      </c>
      <c r="O597" s="1">
        <v>2.2962500000000001</v>
      </c>
      <c r="Q597" s="1">
        <v>0.229625</v>
      </c>
      <c r="R597" s="1">
        <v>0.53258861711768102</v>
      </c>
      <c r="S597" s="11" t="s">
        <v>295</v>
      </c>
      <c r="T597" s="2" t="s">
        <v>297</v>
      </c>
      <c r="U597" s="3" t="s">
        <v>41</v>
      </c>
      <c r="V597" s="2" t="s">
        <v>298</v>
      </c>
      <c r="W597" s="2">
        <v>6</v>
      </c>
      <c r="X597" s="2">
        <v>14</v>
      </c>
      <c r="Y597" s="2">
        <v>1</v>
      </c>
      <c r="Z597" s="2">
        <v>0</v>
      </c>
      <c r="AA597" s="2">
        <v>0</v>
      </c>
      <c r="AB597" s="12">
        <f>(W597*4+X597*1+Y597*-2+Z597*-3)/W597</f>
        <v>6</v>
      </c>
      <c r="AC597" s="3">
        <f>W597*12.0107+X597*1.00784+Y597*15.999+Z597*14.0067</f>
        <v>102.17295999999999</v>
      </c>
      <c r="AD597" s="12">
        <v>153</v>
      </c>
      <c r="AE597" s="2" t="s">
        <v>262</v>
      </c>
      <c r="AF597" s="2" t="s">
        <v>44</v>
      </c>
      <c r="AG597" s="2" t="str">
        <f>IF(AD597&gt;37,"Proton symporter", "Diffusion")</f>
        <v>Proton symporter</v>
      </c>
      <c r="AH597" s="3" t="s">
        <v>299</v>
      </c>
    </row>
    <row r="598" spans="1:34" hidden="1" x14ac:dyDescent="0.2">
      <c r="A598" s="8" t="s">
        <v>34</v>
      </c>
      <c r="B598" s="9" t="s">
        <v>35</v>
      </c>
      <c r="C598" s="1" t="s">
        <v>36</v>
      </c>
      <c r="D598" s="10" t="s">
        <v>37</v>
      </c>
      <c r="E598" s="1" t="s">
        <v>178</v>
      </c>
      <c r="F598" s="1" t="s">
        <v>179</v>
      </c>
      <c r="G598" s="1">
        <v>-10</v>
      </c>
      <c r="H598" s="1">
        <v>-20</v>
      </c>
      <c r="I598" s="1" t="s">
        <v>40</v>
      </c>
      <c r="J598" s="1">
        <v>3.15</v>
      </c>
      <c r="K598" s="1">
        <v>-10</v>
      </c>
      <c r="L598" s="1">
        <v>-6.5001766784452499</v>
      </c>
      <c r="M598" s="1" t="s">
        <v>40</v>
      </c>
      <c r="N598" s="1">
        <v>4.4212014134275801</v>
      </c>
      <c r="O598" s="1">
        <v>1.94734982332156</v>
      </c>
      <c r="Q598" s="1">
        <v>0.194734982332156</v>
      </c>
      <c r="R598" s="1">
        <v>0.53112262114966202</v>
      </c>
      <c r="S598" s="20" t="s">
        <v>178</v>
      </c>
      <c r="T598" s="3" t="s">
        <v>178</v>
      </c>
      <c r="U598" s="3" t="s">
        <v>106</v>
      </c>
      <c r="V598" s="3" t="s">
        <v>180</v>
      </c>
      <c r="W598" s="3">
        <v>8</v>
      </c>
      <c r="X598" s="3">
        <v>8</v>
      </c>
      <c r="Y598" s="3">
        <v>1</v>
      </c>
      <c r="Z598" s="3">
        <v>0</v>
      </c>
      <c r="AA598" s="3">
        <v>0</v>
      </c>
      <c r="AB598" s="12">
        <f>(W598*4+X598*1+Y598*-2+Z598*-3)/W598</f>
        <v>4.75</v>
      </c>
      <c r="AC598" s="3">
        <f>W598*12.0107+X598*1.00784+Y598*15.999+Z598*14.0067</f>
        <v>120.14731999999999</v>
      </c>
      <c r="AD598" s="12">
        <v>229</v>
      </c>
      <c r="AE598" s="3" t="s">
        <v>176</v>
      </c>
      <c r="AF598" s="2" t="s">
        <v>150</v>
      </c>
      <c r="AG598" s="2" t="str">
        <f>IF(AD598&gt;37,"Proton symporter", "Diffusion")</f>
        <v>Proton symporter</v>
      </c>
      <c r="AH598" s="3" t="s">
        <v>181</v>
      </c>
    </row>
    <row r="599" spans="1:34" hidden="1" x14ac:dyDescent="0.2">
      <c r="A599" s="8" t="s">
        <v>34</v>
      </c>
      <c r="B599" s="9" t="s">
        <v>35</v>
      </c>
      <c r="C599" s="1" t="s">
        <v>62</v>
      </c>
      <c r="D599" s="15" t="s">
        <v>55</v>
      </c>
      <c r="E599" s="1" t="s">
        <v>244</v>
      </c>
      <c r="F599" s="1" t="s">
        <v>245</v>
      </c>
      <c r="G599" s="1">
        <v>-10</v>
      </c>
      <c r="H599" s="1">
        <v>-20</v>
      </c>
      <c r="I599" s="1" t="s">
        <v>40</v>
      </c>
      <c r="J599" s="1">
        <v>3.15</v>
      </c>
      <c r="K599" s="1">
        <v>-10</v>
      </c>
      <c r="L599" s="1">
        <v>-1.34844961240311</v>
      </c>
      <c r="M599" s="1" t="s">
        <v>40</v>
      </c>
      <c r="N599" s="1">
        <v>14.617054263565899</v>
      </c>
      <c r="O599" s="1">
        <v>8.8457364341085292</v>
      </c>
      <c r="Q599" s="1">
        <v>0.88457364341085298</v>
      </c>
      <c r="R599" s="1">
        <v>0.53098693855506096</v>
      </c>
      <c r="S599" s="20" t="s">
        <v>246</v>
      </c>
      <c r="T599" s="3" t="s">
        <v>247</v>
      </c>
      <c r="U599" s="3" t="s">
        <v>106</v>
      </c>
      <c r="V599" s="3" t="s">
        <v>238</v>
      </c>
      <c r="W599" s="3">
        <v>4</v>
      </c>
      <c r="X599" s="3">
        <v>10</v>
      </c>
      <c r="Y599" s="3">
        <v>2</v>
      </c>
      <c r="Z599" s="3">
        <v>0</v>
      </c>
      <c r="AA599" s="3">
        <v>0</v>
      </c>
      <c r="AB599" s="12">
        <f>(W599*4+X599*1+Y599*-2+Z599*-3)/W599</f>
        <v>5.5</v>
      </c>
      <c r="AC599" s="3">
        <f>W599*12.0107+X599*1.00784+Y599*15.999+Z599*14.0067</f>
        <v>90.119200000000006</v>
      </c>
      <c r="AD599" s="12">
        <v>230</v>
      </c>
      <c r="AE599" s="2" t="s">
        <v>220</v>
      </c>
      <c r="AF599" s="3" t="s">
        <v>120</v>
      </c>
      <c r="AG599" s="2" t="str">
        <f>IF(AD599&gt;37,"Proton symporter", "Diffusion")</f>
        <v>Proton symporter</v>
      </c>
      <c r="AH599" s="3" t="s">
        <v>248</v>
      </c>
    </row>
    <row r="600" spans="1:34" hidden="1" x14ac:dyDescent="0.2">
      <c r="A600" s="8" t="s">
        <v>34</v>
      </c>
      <c r="B600" s="9" t="s">
        <v>35</v>
      </c>
      <c r="C600" s="1" t="s">
        <v>36</v>
      </c>
      <c r="D600" s="10" t="s">
        <v>37</v>
      </c>
      <c r="E600" s="1" t="s">
        <v>172</v>
      </c>
      <c r="F600" s="1" t="s">
        <v>173</v>
      </c>
      <c r="G600" s="1">
        <v>-10</v>
      </c>
      <c r="H600" s="1">
        <v>-20</v>
      </c>
      <c r="I600" s="1" t="s">
        <v>40</v>
      </c>
      <c r="J600" s="1">
        <v>3.15</v>
      </c>
      <c r="K600" s="1">
        <v>-10</v>
      </c>
      <c r="L600" s="1">
        <v>-7.7008968609865498</v>
      </c>
      <c r="M600" s="1" t="s">
        <v>40</v>
      </c>
      <c r="N600" s="1">
        <v>5.1721973094170401</v>
      </c>
      <c r="O600" s="1">
        <v>2.4713004484304899</v>
      </c>
      <c r="Q600" s="1">
        <v>0.24713004484304901</v>
      </c>
      <c r="R600" s="1">
        <v>0.52795774405813001</v>
      </c>
      <c r="S600" s="20" t="s">
        <v>172</v>
      </c>
      <c r="T600" s="3" t="s">
        <v>172</v>
      </c>
      <c r="U600" s="3" t="s">
        <v>174</v>
      </c>
      <c r="V600" s="3" t="s">
        <v>175</v>
      </c>
      <c r="W600" s="3">
        <v>6</v>
      </c>
      <c r="X600" s="3">
        <v>6</v>
      </c>
      <c r="Y600" s="3">
        <v>1</v>
      </c>
      <c r="Z600" s="3">
        <v>0</v>
      </c>
      <c r="AA600" s="3">
        <v>0</v>
      </c>
      <c r="AB600" s="12">
        <f>(W600*4+X600*1+Y600*-2+Z600*-3)/W600</f>
        <v>4.666666666666667</v>
      </c>
      <c r="AC600" s="3">
        <f>W600*12.0107+X600*1.00784+Y600*15.999+Z600*14.0067</f>
        <v>94.11023999999999</v>
      </c>
      <c r="AD600" s="12">
        <v>181.7</v>
      </c>
      <c r="AE600" s="3" t="s">
        <v>176</v>
      </c>
      <c r="AF600" s="2" t="s">
        <v>150</v>
      </c>
      <c r="AG600" s="2" t="str">
        <f>IF(AD600&gt;37,"Proton symporter", "Diffusion")</f>
        <v>Proton symporter</v>
      </c>
      <c r="AH600" s="3" t="s">
        <v>177</v>
      </c>
    </row>
    <row r="601" spans="1:34" hidden="1" x14ac:dyDescent="0.2">
      <c r="A601" s="8" t="s">
        <v>34</v>
      </c>
      <c r="B601" s="9" t="s">
        <v>35</v>
      </c>
      <c r="C601" s="1" t="s">
        <v>54</v>
      </c>
      <c r="D601" s="14" t="s">
        <v>55</v>
      </c>
      <c r="E601" s="1" t="s">
        <v>161</v>
      </c>
      <c r="F601" s="1" t="s">
        <v>162</v>
      </c>
      <c r="G601" s="1">
        <v>-10</v>
      </c>
      <c r="H601" s="1">
        <v>-20</v>
      </c>
      <c r="I601" s="1" t="s">
        <v>40</v>
      </c>
      <c r="J601" s="1">
        <v>3.15</v>
      </c>
      <c r="K601" s="1">
        <v>-10</v>
      </c>
      <c r="L601" s="1">
        <v>-3.8802491103202899</v>
      </c>
      <c r="M601" s="1" t="s">
        <v>40</v>
      </c>
      <c r="N601" s="1">
        <v>8.1971530249110405</v>
      </c>
      <c r="O601" s="1">
        <v>8.6338078291814995</v>
      </c>
      <c r="Q601" s="1">
        <v>0.86338078291815001</v>
      </c>
      <c r="R601" s="1">
        <v>0.52769913229919996</v>
      </c>
      <c r="S601" s="20" t="s">
        <v>161</v>
      </c>
      <c r="T601" s="3" t="s">
        <v>161</v>
      </c>
      <c r="U601" s="3" t="s">
        <v>106</v>
      </c>
      <c r="V601" s="20" t="s">
        <v>163</v>
      </c>
      <c r="W601" s="3">
        <v>6</v>
      </c>
      <c r="X601" s="3">
        <v>6</v>
      </c>
      <c r="Y601" s="3">
        <v>2</v>
      </c>
      <c r="Z601" s="3">
        <v>0</v>
      </c>
      <c r="AA601" s="3">
        <v>0</v>
      </c>
      <c r="AB601" s="12">
        <f>(W601*4+X601*1+Y601*-2+Z601*-3)/W601</f>
        <v>4.333333333333333</v>
      </c>
      <c r="AC601" s="3">
        <f>W601*12.0107+X601*1.00784+Y601*15.999+Z601*14.0067</f>
        <v>110.10924</v>
      </c>
      <c r="AD601" s="12">
        <v>245</v>
      </c>
      <c r="AE601" s="3" t="s">
        <v>164</v>
      </c>
      <c r="AF601" s="2" t="s">
        <v>98</v>
      </c>
      <c r="AG601" s="2" t="str">
        <f>IF(AD601&gt;37,"Proton symporter", "Diffusion")</f>
        <v>Proton symporter</v>
      </c>
      <c r="AH601" s="3" t="s">
        <v>165</v>
      </c>
    </row>
    <row r="602" spans="1:34" hidden="1" x14ac:dyDescent="0.2">
      <c r="A602" s="8" t="s">
        <v>350</v>
      </c>
      <c r="B602" s="17" t="s">
        <v>64</v>
      </c>
      <c r="C602" t="s">
        <v>352</v>
      </c>
      <c r="D602" s="13" t="s">
        <v>51</v>
      </c>
      <c r="E602" t="s">
        <v>259</v>
      </c>
      <c r="F602" t="s">
        <v>260</v>
      </c>
      <c r="G602">
        <v>-10</v>
      </c>
      <c r="H602">
        <v>0</v>
      </c>
      <c r="I602">
        <v>0</v>
      </c>
      <c r="J602">
        <v>0.45</v>
      </c>
      <c r="K602">
        <v>-10</v>
      </c>
      <c r="L602">
        <v>0</v>
      </c>
      <c r="M602">
        <v>0</v>
      </c>
      <c r="N602">
        <v>0</v>
      </c>
      <c r="O602" s="26">
        <v>1.9624999999999899</v>
      </c>
      <c r="P602"/>
      <c r="Q602" s="26">
        <v>0.19624999999999901</v>
      </c>
      <c r="R602" s="26">
        <v>0.52754775044895397</v>
      </c>
      <c r="S602" s="3" t="str">
        <f>VLOOKUP($E602,'[1]Product Naming'!$A$1:$P$58,2)</f>
        <v>Isobutanol</v>
      </c>
      <c r="T602" s="3" t="str">
        <f>VLOOKUP($E602,'[1]Product Naming'!$A$1:$P$58,3)</f>
        <v>Isobutanol</v>
      </c>
      <c r="U602" s="3" t="str">
        <f>VLOOKUP($E602,'[1]Product Naming'!$A$1:$P$58,4)</f>
        <v>E</v>
      </c>
      <c r="V602" s="3" t="str">
        <f>VLOOKUP($E602,'[1]Product Naming'!$A$1:$P$58,5)</f>
        <v>C5H10O</v>
      </c>
      <c r="W602" s="3">
        <f>VLOOKUP($E602,'[1]Product Naming'!$A$1:$P$58,6)</f>
        <v>5</v>
      </c>
      <c r="X602" s="3">
        <f>VLOOKUP($E602,'[1]Product Naming'!$A$1:$P$58,7)</f>
        <v>10</v>
      </c>
      <c r="Y602" s="3">
        <f>VLOOKUP($E602,'[1]Product Naming'!$A$1:$P$58,8)</f>
        <v>1</v>
      </c>
      <c r="Z602" s="3">
        <f>VLOOKUP($E602,'[1]Product Naming'!$A$1:$P$58,9)</f>
        <v>0</v>
      </c>
      <c r="AA602" s="3">
        <f>VLOOKUP($E602,'[1]Product Naming'!$A$1:$P$58,10)</f>
        <v>0</v>
      </c>
      <c r="AB602" s="3">
        <f>VLOOKUP($E602,'[1]Product Naming'!$A$1:$P$58,11)</f>
        <v>5.6</v>
      </c>
      <c r="AC602" s="3">
        <f>VLOOKUP($E602,'[1]Product Naming'!$A$1:$P$58,12)</f>
        <v>86.130899999999997</v>
      </c>
      <c r="AD602" s="3">
        <f>VLOOKUP($E602,'[1]Product Naming'!$A$1:$P$58,13)</f>
        <v>108</v>
      </c>
      <c r="AE602" s="3" t="str">
        <f>VLOOKUP($E602,'[1]Product Naming'!$A$1:$P$58,14)</f>
        <v>Alcohol</v>
      </c>
      <c r="AF602" s="3" t="str">
        <f>VLOOKUP($E602,'[1]Product Naming'!$A$1:$P$58,15)</f>
        <v>Pyruvate</v>
      </c>
      <c r="AG602" s="3" t="str">
        <f>VLOOKUP($E602,'[1]Product Naming'!$A$1:$P$58,16)</f>
        <v>Proton symporter</v>
      </c>
      <c r="AH602" s="3" t="str">
        <f>VLOOKUP($E602,'[1]Product Naming'!$A$1:$Q$58,17)</f>
        <v>ibutoh_c</v>
      </c>
    </row>
    <row r="603" spans="1:34" hidden="1" x14ac:dyDescent="0.2">
      <c r="A603" s="8" t="s">
        <v>34</v>
      </c>
      <c r="B603" s="9" t="s">
        <v>35</v>
      </c>
      <c r="C603" s="1" t="s">
        <v>49</v>
      </c>
      <c r="D603" s="10" t="s">
        <v>37</v>
      </c>
      <c r="E603" s="1" t="s">
        <v>227</v>
      </c>
      <c r="F603" s="1" t="s">
        <v>228</v>
      </c>
      <c r="G603" s="1">
        <v>-10</v>
      </c>
      <c r="H603" s="1">
        <v>-20</v>
      </c>
      <c r="I603" s="1" t="s">
        <v>40</v>
      </c>
      <c r="J603" s="1">
        <v>3.15</v>
      </c>
      <c r="K603" s="1">
        <v>-10</v>
      </c>
      <c r="L603" s="1">
        <v>-5.6054140127388496</v>
      </c>
      <c r="M603" s="1" t="s">
        <v>40</v>
      </c>
      <c r="N603" s="1">
        <v>1.9299363057324801</v>
      </c>
      <c r="O603" s="1">
        <v>0.45175159235668799</v>
      </c>
      <c r="Q603" s="1">
        <v>4.5175159235668803E-2</v>
      </c>
      <c r="R603" s="1">
        <v>0.52646845625418204</v>
      </c>
      <c r="S603" s="11" t="s">
        <v>227</v>
      </c>
      <c r="T603" s="2" t="s">
        <v>229</v>
      </c>
      <c r="U603" s="3" t="s">
        <v>41</v>
      </c>
      <c r="V603" s="2" t="s">
        <v>230</v>
      </c>
      <c r="W603" s="2">
        <v>40</v>
      </c>
      <c r="X603" s="2">
        <v>56</v>
      </c>
      <c r="Y603" s="2">
        <v>0</v>
      </c>
      <c r="Z603" s="2">
        <v>0</v>
      </c>
      <c r="AA603" s="2">
        <v>0</v>
      </c>
      <c r="AB603" s="12">
        <f>(W603*4+X603*1+Y603*-2+Z603*-3)/W603</f>
        <v>5.4</v>
      </c>
      <c r="AC603" s="3">
        <f>W603*12.0107+X603*1.00784+Y603*15.999+Z603*14.0067</f>
        <v>536.86703999999997</v>
      </c>
      <c r="AD603" s="12">
        <v>633</v>
      </c>
      <c r="AE603" s="2" t="s">
        <v>231</v>
      </c>
      <c r="AF603" s="2" t="s">
        <v>79</v>
      </c>
      <c r="AG603" s="2" t="s">
        <v>232</v>
      </c>
      <c r="AH603" s="3" t="s">
        <v>233</v>
      </c>
    </row>
    <row r="604" spans="1:34" hidden="1" x14ac:dyDescent="0.2">
      <c r="A604" s="8" t="s">
        <v>34</v>
      </c>
      <c r="B604" s="9" t="s">
        <v>35</v>
      </c>
      <c r="C604" s="1" t="s">
        <v>62</v>
      </c>
      <c r="D604" s="15" t="s">
        <v>55</v>
      </c>
      <c r="E604" s="1" t="s">
        <v>161</v>
      </c>
      <c r="F604" s="1" t="s">
        <v>162</v>
      </c>
      <c r="G604" s="1">
        <v>-10</v>
      </c>
      <c r="H604" s="1">
        <v>-20</v>
      </c>
      <c r="I604" s="1" t="s">
        <v>40</v>
      </c>
      <c r="J604" s="1">
        <v>3.15</v>
      </c>
      <c r="K604" s="1">
        <v>-10</v>
      </c>
      <c r="L604" s="1">
        <v>-3.3642348754448399</v>
      </c>
      <c r="M604" s="1" t="s">
        <v>40</v>
      </c>
      <c r="N604" s="1">
        <v>6.9516014234875501</v>
      </c>
      <c r="O604" s="1">
        <v>7.1747330960854097</v>
      </c>
      <c r="Q604" s="1">
        <v>0.71747330960854105</v>
      </c>
      <c r="R604" s="1">
        <v>0.52621355386186097</v>
      </c>
      <c r="S604" s="20" t="s">
        <v>161</v>
      </c>
      <c r="T604" s="3" t="s">
        <v>161</v>
      </c>
      <c r="U604" s="3" t="s">
        <v>106</v>
      </c>
      <c r="V604" s="20" t="s">
        <v>163</v>
      </c>
      <c r="W604" s="3">
        <v>6</v>
      </c>
      <c r="X604" s="3">
        <v>6</v>
      </c>
      <c r="Y604" s="3">
        <v>2</v>
      </c>
      <c r="Z604" s="3">
        <v>0</v>
      </c>
      <c r="AA604" s="3">
        <v>0</v>
      </c>
      <c r="AB604" s="12">
        <f>(W604*4+X604*1+Y604*-2+Z604*-3)/W604</f>
        <v>4.333333333333333</v>
      </c>
      <c r="AC604" s="3">
        <f>W604*12.0107+X604*1.00784+Y604*15.999+Z604*14.0067</f>
        <v>110.10924</v>
      </c>
      <c r="AD604" s="12">
        <v>245</v>
      </c>
      <c r="AE604" s="3" t="s">
        <v>164</v>
      </c>
      <c r="AF604" s="2" t="s">
        <v>98</v>
      </c>
      <c r="AG604" s="2" t="str">
        <f>IF(AD604&gt;37,"Proton symporter", "Diffusion")</f>
        <v>Proton symporter</v>
      </c>
      <c r="AH604" s="3" t="s">
        <v>165</v>
      </c>
    </row>
    <row r="605" spans="1:34" hidden="1" x14ac:dyDescent="0.2">
      <c r="A605" s="8" t="s">
        <v>34</v>
      </c>
      <c r="B605" s="9" t="s">
        <v>35</v>
      </c>
      <c r="C605" s="1" t="s">
        <v>47</v>
      </c>
      <c r="D605" s="10" t="s">
        <v>37</v>
      </c>
      <c r="E605" s="1" t="s">
        <v>182</v>
      </c>
      <c r="F605" s="1" t="s">
        <v>183</v>
      </c>
      <c r="G605" s="1">
        <v>-10</v>
      </c>
      <c r="H605" s="1">
        <v>-20</v>
      </c>
      <c r="I605" s="1" t="s">
        <v>40</v>
      </c>
      <c r="J605" s="1">
        <v>3.15</v>
      </c>
      <c r="K605" s="1">
        <v>-10</v>
      </c>
      <c r="L605" s="1">
        <v>-6.2543859649122702</v>
      </c>
      <c r="M605" s="1" t="s">
        <v>40</v>
      </c>
      <c r="N605" s="1">
        <v>5.0035087719298401</v>
      </c>
      <c r="O605" s="1">
        <v>3.74912280701755</v>
      </c>
      <c r="Q605" s="1">
        <v>0.37491228070175497</v>
      </c>
      <c r="R605" s="1">
        <v>0.52610172376793596</v>
      </c>
      <c r="S605" s="11" t="s">
        <v>182</v>
      </c>
      <c r="T605" s="2" t="s">
        <v>182</v>
      </c>
      <c r="U605" s="3" t="s">
        <v>41</v>
      </c>
      <c r="V605" s="2" t="s">
        <v>184</v>
      </c>
      <c r="W605" s="2">
        <v>4</v>
      </c>
      <c r="X605" s="2">
        <v>7</v>
      </c>
      <c r="Y605" s="2">
        <v>2</v>
      </c>
      <c r="Z605" s="2">
        <v>0</v>
      </c>
      <c r="AA605" s="2">
        <v>0</v>
      </c>
      <c r="AB605" s="12">
        <f>(W605*4+X605*1+Y605*-2+Z605*-3)/W605</f>
        <v>4.75</v>
      </c>
      <c r="AC605" s="3">
        <f>W605*12.0107+X605*1.00784+Y605*15.999+Z605*14.0067</f>
        <v>87.095680000000002</v>
      </c>
      <c r="AD605" s="12">
        <v>163.5</v>
      </c>
      <c r="AE605" s="2" t="s">
        <v>131</v>
      </c>
      <c r="AF605" s="2" t="s">
        <v>79</v>
      </c>
      <c r="AG605" s="2" t="str">
        <f>IF(AD605&gt;37,"Proton symporter", "Diffusion")</f>
        <v>Proton symporter</v>
      </c>
      <c r="AH605" s="3" t="s">
        <v>185</v>
      </c>
    </row>
    <row r="606" spans="1:34" hidden="1" x14ac:dyDescent="0.2">
      <c r="A606" s="8" t="s">
        <v>34</v>
      </c>
      <c r="B606" s="9" t="s">
        <v>35</v>
      </c>
      <c r="C606" s="1" t="s">
        <v>61</v>
      </c>
      <c r="D606" s="13" t="s">
        <v>51</v>
      </c>
      <c r="E606" s="1" t="s">
        <v>205</v>
      </c>
      <c r="F606" s="1" t="s">
        <v>206</v>
      </c>
      <c r="G606" s="1">
        <v>-10</v>
      </c>
      <c r="H606" s="1">
        <v>-20</v>
      </c>
      <c r="I606" s="1" t="s">
        <v>40</v>
      </c>
      <c r="J606" s="1">
        <v>3.15</v>
      </c>
      <c r="K606" s="1">
        <v>-10</v>
      </c>
      <c r="L606" s="1">
        <v>-5.4623655913978704</v>
      </c>
      <c r="M606" s="1" t="s">
        <v>40</v>
      </c>
      <c r="N606" s="1">
        <v>2.3698924731182802</v>
      </c>
      <c r="O606" s="1">
        <v>1.9075268817204301</v>
      </c>
      <c r="Q606" s="1">
        <v>0.19075268817204299</v>
      </c>
      <c r="R606" s="1">
        <v>0.524513960443861</v>
      </c>
      <c r="S606" s="20" t="s">
        <v>205</v>
      </c>
      <c r="T606" s="3" t="s">
        <v>207</v>
      </c>
      <c r="U606" s="3" t="s">
        <v>106</v>
      </c>
      <c r="V606" s="3" t="s">
        <v>208</v>
      </c>
      <c r="W606" s="3">
        <v>4</v>
      </c>
      <c r="X606" s="3">
        <v>8</v>
      </c>
      <c r="Y606" s="3">
        <v>2</v>
      </c>
      <c r="Z606" s="3">
        <v>0</v>
      </c>
      <c r="AA606" s="3">
        <v>0</v>
      </c>
      <c r="AB606" s="12">
        <f>(W606*4+X606*1+Y606*-2+Z606*-3)/W606</f>
        <v>5</v>
      </c>
      <c r="AC606" s="3">
        <f>W606*12.0107+X606*1.00784+Y606*15.999+Z606*14.0067</f>
        <v>88.103520000000003</v>
      </c>
      <c r="AD606" s="12">
        <v>77.099999999999994</v>
      </c>
      <c r="AE606" s="3" t="s">
        <v>209</v>
      </c>
      <c r="AF606" s="3" t="s">
        <v>79</v>
      </c>
      <c r="AG606" s="2" t="str">
        <f>IF(AD606&gt;37,"Proton symporter", "Diffusion")</f>
        <v>Proton symporter</v>
      </c>
      <c r="AH606" s="3" t="s">
        <v>210</v>
      </c>
    </row>
    <row r="607" spans="1:34" hidden="1" x14ac:dyDescent="0.2">
      <c r="A607" s="16" t="s">
        <v>63</v>
      </c>
      <c r="B607" s="17" t="s">
        <v>64</v>
      </c>
      <c r="C607" t="s">
        <v>69</v>
      </c>
      <c r="D607" s="18" t="s">
        <v>66</v>
      </c>
      <c r="E607" t="s">
        <v>194</v>
      </c>
      <c r="F607" t="s">
        <v>195</v>
      </c>
      <c r="G607">
        <v>-10</v>
      </c>
      <c r="H607">
        <v>0</v>
      </c>
      <c r="I607">
        <v>-20</v>
      </c>
      <c r="J607">
        <v>0.45</v>
      </c>
      <c r="K607">
        <v>-10</v>
      </c>
      <c r="L607">
        <v>0</v>
      </c>
      <c r="M607">
        <v>-15.5809523809524</v>
      </c>
      <c r="N607">
        <v>0</v>
      </c>
      <c r="O607">
        <v>1.1047619047618999</v>
      </c>
      <c r="P607"/>
      <c r="Q607">
        <v>0.11047619047619001</v>
      </c>
      <c r="R607" s="19">
        <v>0.52191032797578396</v>
      </c>
      <c r="S607" s="3" t="s">
        <v>194</v>
      </c>
      <c r="T607" s="2" t="s">
        <v>196</v>
      </c>
      <c r="U607" s="3" t="s">
        <v>35</v>
      </c>
      <c r="V607" s="3" t="s">
        <v>197</v>
      </c>
      <c r="W607" s="3">
        <v>6</v>
      </c>
      <c r="X607" s="3">
        <v>15</v>
      </c>
      <c r="Y607" s="3">
        <v>2</v>
      </c>
      <c r="Z607" s="3">
        <v>2</v>
      </c>
      <c r="AA607" s="3">
        <v>1</v>
      </c>
      <c r="AB607" s="12">
        <f>(W607*4+X607*1+Y607*-2+Z607*-3)/W607</f>
        <v>4.833333333333333</v>
      </c>
      <c r="AC607" s="3">
        <f>W607*12.0107+X607*1.00784+Y607*15.999+Z607*14.0067</f>
        <v>147.19319999999999</v>
      </c>
      <c r="AD607" s="12" t="s">
        <v>40</v>
      </c>
      <c r="AE607" s="3" t="s">
        <v>119</v>
      </c>
      <c r="AF607" s="3" t="s">
        <v>44</v>
      </c>
      <c r="AG607" s="2" t="s">
        <v>80</v>
      </c>
      <c r="AH607" s="2" t="s">
        <v>198</v>
      </c>
    </row>
    <row r="608" spans="1:34" hidden="1" x14ac:dyDescent="0.2">
      <c r="A608" s="8" t="s">
        <v>34</v>
      </c>
      <c r="B608" s="9" t="s">
        <v>35</v>
      </c>
      <c r="C608" s="1" t="s">
        <v>48</v>
      </c>
      <c r="D608" s="10" t="s">
        <v>37</v>
      </c>
      <c r="E608" s="1" t="s">
        <v>161</v>
      </c>
      <c r="F608" s="1" t="s">
        <v>162</v>
      </c>
      <c r="G608" s="1">
        <v>-10</v>
      </c>
      <c r="H608" s="1">
        <v>-20</v>
      </c>
      <c r="I608" s="1" t="s">
        <v>40</v>
      </c>
      <c r="J608" s="1">
        <v>3.15</v>
      </c>
      <c r="K608" s="1">
        <v>-10</v>
      </c>
      <c r="L608" s="1">
        <v>-5.9965517241379303</v>
      </c>
      <c r="M608" s="1" t="s">
        <v>40</v>
      </c>
      <c r="N608" s="1">
        <v>2.4583554376657899</v>
      </c>
      <c r="O608" s="1">
        <v>2.9236074270557002</v>
      </c>
      <c r="Q608" s="1">
        <v>0.29236074270557</v>
      </c>
      <c r="R608" s="1">
        <v>0.51866419165838296</v>
      </c>
      <c r="S608" s="20" t="s">
        <v>161</v>
      </c>
      <c r="T608" s="3" t="s">
        <v>161</v>
      </c>
      <c r="U608" s="3" t="s">
        <v>106</v>
      </c>
      <c r="V608" s="20" t="s">
        <v>163</v>
      </c>
      <c r="W608" s="3">
        <v>6</v>
      </c>
      <c r="X608" s="3">
        <v>6</v>
      </c>
      <c r="Y608" s="3">
        <v>2</v>
      </c>
      <c r="Z608" s="3">
        <v>0</v>
      </c>
      <c r="AA608" s="3">
        <v>0</v>
      </c>
      <c r="AB608" s="12">
        <f>(W608*4+X608*1+Y608*-2+Z608*-3)/W608</f>
        <v>4.333333333333333</v>
      </c>
      <c r="AC608" s="3">
        <f>W608*12.0107+X608*1.00784+Y608*15.999+Z608*14.0067</f>
        <v>110.10924</v>
      </c>
      <c r="AD608" s="12">
        <v>245</v>
      </c>
      <c r="AE608" s="3" t="s">
        <v>164</v>
      </c>
      <c r="AF608" s="2" t="s">
        <v>98</v>
      </c>
      <c r="AG608" s="2" t="str">
        <f>IF(AD608&gt;37,"Proton symporter", "Diffusion")</f>
        <v>Proton symporter</v>
      </c>
      <c r="AH608" s="3" t="s">
        <v>165</v>
      </c>
    </row>
    <row r="609" spans="1:34" hidden="1" x14ac:dyDescent="0.2">
      <c r="A609" s="8" t="s">
        <v>34</v>
      </c>
      <c r="B609" s="9" t="s">
        <v>35</v>
      </c>
      <c r="C609" s="1" t="s">
        <v>47</v>
      </c>
      <c r="D609" s="10" t="s">
        <v>37</v>
      </c>
      <c r="E609" s="1" t="s">
        <v>205</v>
      </c>
      <c r="F609" s="1" t="s">
        <v>206</v>
      </c>
      <c r="G609" s="1">
        <v>-10</v>
      </c>
      <c r="H609" s="1">
        <v>-20</v>
      </c>
      <c r="I609" s="1" t="s">
        <v>40</v>
      </c>
      <c r="J609" s="1">
        <v>3.15</v>
      </c>
      <c r="K609" s="1">
        <v>-10</v>
      </c>
      <c r="L609" s="1">
        <v>-6.7350427350427404</v>
      </c>
      <c r="M609" s="1" t="s">
        <v>40</v>
      </c>
      <c r="N609" s="1">
        <v>5.3880341880341902</v>
      </c>
      <c r="O609" s="1">
        <v>3.6529914529914498</v>
      </c>
      <c r="Q609" s="1">
        <v>0.36529914529914498</v>
      </c>
      <c r="R609" s="1">
        <v>0.51854369761813401</v>
      </c>
      <c r="S609" s="20" t="s">
        <v>205</v>
      </c>
      <c r="T609" s="3" t="s">
        <v>207</v>
      </c>
      <c r="U609" s="3" t="s">
        <v>106</v>
      </c>
      <c r="V609" s="3" t="s">
        <v>208</v>
      </c>
      <c r="W609" s="3">
        <v>4</v>
      </c>
      <c r="X609" s="3">
        <v>8</v>
      </c>
      <c r="Y609" s="3">
        <v>2</v>
      </c>
      <c r="Z609" s="3">
        <v>0</v>
      </c>
      <c r="AA609" s="3">
        <v>0</v>
      </c>
      <c r="AB609" s="12">
        <f>(W609*4+X609*1+Y609*-2+Z609*-3)/W609</f>
        <v>5</v>
      </c>
      <c r="AC609" s="3">
        <f>W609*12.0107+X609*1.00784+Y609*15.999+Z609*14.0067</f>
        <v>88.103520000000003</v>
      </c>
      <c r="AD609" s="12">
        <v>77.099999999999994</v>
      </c>
      <c r="AE609" s="3" t="s">
        <v>209</v>
      </c>
      <c r="AF609" s="3" t="s">
        <v>79</v>
      </c>
      <c r="AG609" s="2" t="str">
        <f>IF(AD609&gt;37,"Proton symporter", "Diffusion")</f>
        <v>Proton symporter</v>
      </c>
      <c r="AH609" s="3" t="s">
        <v>210</v>
      </c>
    </row>
    <row r="610" spans="1:34" hidden="1" x14ac:dyDescent="0.2">
      <c r="A610" s="8" t="s">
        <v>34</v>
      </c>
      <c r="B610" s="9" t="s">
        <v>35</v>
      </c>
      <c r="C610" s="1" t="s">
        <v>54</v>
      </c>
      <c r="D610" s="14" t="s">
        <v>55</v>
      </c>
      <c r="E610" s="1" t="s">
        <v>146</v>
      </c>
      <c r="F610" s="1" t="s">
        <v>147</v>
      </c>
      <c r="G610" s="1">
        <v>-10</v>
      </c>
      <c r="H610" s="1">
        <v>-20</v>
      </c>
      <c r="I610" s="1" t="s">
        <v>40</v>
      </c>
      <c r="J610" s="1">
        <v>3.15</v>
      </c>
      <c r="K610" s="1">
        <v>-10</v>
      </c>
      <c r="L610" s="1">
        <v>-5.7010810810810701</v>
      </c>
      <c r="M610" s="1" t="s">
        <v>40</v>
      </c>
      <c r="N610" s="1">
        <v>8.5589189189189199</v>
      </c>
      <c r="O610" s="1">
        <v>5.7156756756756799</v>
      </c>
      <c r="Q610" s="1">
        <v>0.57156756756756799</v>
      </c>
      <c r="R610" s="1">
        <v>0.51761880779791303</v>
      </c>
      <c r="S610" s="20" t="s">
        <v>148</v>
      </c>
      <c r="T610" s="3" t="s">
        <v>148</v>
      </c>
      <c r="U610" s="3" t="s">
        <v>106</v>
      </c>
      <c r="V610" s="3" t="s">
        <v>149</v>
      </c>
      <c r="W610" s="3">
        <v>9</v>
      </c>
      <c r="X610" s="3">
        <v>7</v>
      </c>
      <c r="Y610" s="3">
        <v>3</v>
      </c>
      <c r="Z610" s="3">
        <v>0</v>
      </c>
      <c r="AA610" s="3">
        <v>-1</v>
      </c>
      <c r="AB610" s="12">
        <f>(W610*4+X610*1+Y610*-2+Z610*-3)/W610</f>
        <v>4.1111111111111107</v>
      </c>
      <c r="AC610" s="3">
        <f>W610*12.0107+X610*1.00784+Y610*15.999+Z610*14.0067</f>
        <v>163.14818</v>
      </c>
      <c r="AD610" s="12">
        <v>346</v>
      </c>
      <c r="AE610" s="22" t="s">
        <v>139</v>
      </c>
      <c r="AF610" s="2" t="s">
        <v>150</v>
      </c>
      <c r="AG610" s="2" t="str">
        <f>IF(AD610&gt;37,"Proton symporter", "Diffusion")</f>
        <v>Proton symporter</v>
      </c>
      <c r="AH610" s="3" t="s">
        <v>151</v>
      </c>
    </row>
    <row r="611" spans="1:34" hidden="1" x14ac:dyDescent="0.2">
      <c r="A611" s="8" t="s">
        <v>34</v>
      </c>
      <c r="B611" s="9" t="s">
        <v>35</v>
      </c>
      <c r="C611" s="1" t="s">
        <v>59</v>
      </c>
      <c r="D611" s="13" t="s">
        <v>51</v>
      </c>
      <c r="E611" s="1" t="s">
        <v>300</v>
      </c>
      <c r="F611" s="1" t="s">
        <v>301</v>
      </c>
      <c r="G611" s="1">
        <v>-10</v>
      </c>
      <c r="H611" s="1">
        <v>-20</v>
      </c>
      <c r="I611" s="1" t="s">
        <v>40</v>
      </c>
      <c r="J611" s="1">
        <v>3.15</v>
      </c>
      <c r="K611" s="1">
        <v>-10</v>
      </c>
      <c r="L611" s="1">
        <v>-1.5834586466165399</v>
      </c>
      <c r="M611" s="1" t="s">
        <v>40</v>
      </c>
      <c r="N611" s="1">
        <v>1.0556390977443599</v>
      </c>
      <c r="O611" s="1">
        <v>2.2360902255639101</v>
      </c>
      <c r="Q611" s="1">
        <v>0.22360902255639101</v>
      </c>
      <c r="R611" s="1">
        <v>0.51727207132611097</v>
      </c>
      <c r="S611" s="20" t="s">
        <v>300</v>
      </c>
      <c r="T611" s="3" t="s">
        <v>302</v>
      </c>
      <c r="U611" s="3" t="s">
        <v>106</v>
      </c>
      <c r="V611" s="3" t="s">
        <v>303</v>
      </c>
      <c r="W611" s="3">
        <v>4</v>
      </c>
      <c r="X611" s="3">
        <v>10</v>
      </c>
      <c r="Y611" s="3">
        <v>1</v>
      </c>
      <c r="Z611" s="3">
        <v>0</v>
      </c>
      <c r="AA611" s="3">
        <v>0</v>
      </c>
      <c r="AB611" s="12">
        <f>(W611*4+X611*1+Y611*-2+Z611*-3)/W611</f>
        <v>6</v>
      </c>
      <c r="AC611" s="3">
        <f>W611*12.0107+X611*1.00784+Y611*15.999+Z611*14.0067</f>
        <v>74.120199999999997</v>
      </c>
      <c r="AD611" s="12">
        <v>117.7</v>
      </c>
      <c r="AE611" s="3" t="s">
        <v>262</v>
      </c>
      <c r="AF611" s="2" t="s">
        <v>79</v>
      </c>
      <c r="AG611" s="2" t="str">
        <f>IF(AD611&gt;37,"Proton symporter", "Diffusion")</f>
        <v>Proton symporter</v>
      </c>
      <c r="AH611" s="3" t="s">
        <v>304</v>
      </c>
    </row>
    <row r="612" spans="1:34" hidden="1" x14ac:dyDescent="0.2">
      <c r="A612" s="8" t="s">
        <v>34</v>
      </c>
      <c r="B612" s="9" t="s">
        <v>35</v>
      </c>
      <c r="C612" s="1" t="s">
        <v>60</v>
      </c>
      <c r="D612" s="13" t="s">
        <v>51</v>
      </c>
      <c r="E612" s="1" t="s">
        <v>300</v>
      </c>
      <c r="F612" s="1" t="s">
        <v>301</v>
      </c>
      <c r="G612" s="1">
        <v>-10</v>
      </c>
      <c r="H612" s="1">
        <v>-20</v>
      </c>
      <c r="I612" s="1" t="s">
        <v>40</v>
      </c>
      <c r="J612" s="1">
        <v>3.15</v>
      </c>
      <c r="K612" s="1">
        <v>-10</v>
      </c>
      <c r="L612" s="1">
        <v>-1.5834586466165399</v>
      </c>
      <c r="M612" s="1" t="s">
        <v>40</v>
      </c>
      <c r="N612" s="1">
        <v>1.0556390977443599</v>
      </c>
      <c r="O612" s="1">
        <v>2.2360902255639101</v>
      </c>
      <c r="Q612" s="1">
        <v>0.22360902255639101</v>
      </c>
      <c r="R612" s="1">
        <v>0.51727207132611097</v>
      </c>
      <c r="S612" s="20" t="s">
        <v>300</v>
      </c>
      <c r="T612" s="3" t="s">
        <v>302</v>
      </c>
      <c r="U612" s="3" t="s">
        <v>106</v>
      </c>
      <c r="V612" s="3" t="s">
        <v>303</v>
      </c>
      <c r="W612" s="3">
        <v>4</v>
      </c>
      <c r="X612" s="3">
        <v>10</v>
      </c>
      <c r="Y612" s="3">
        <v>1</v>
      </c>
      <c r="Z612" s="3">
        <v>0</v>
      </c>
      <c r="AA612" s="3">
        <v>0</v>
      </c>
      <c r="AB612" s="12">
        <f>(W612*4+X612*1+Y612*-2+Z612*-3)/W612</f>
        <v>6</v>
      </c>
      <c r="AC612" s="3">
        <f>W612*12.0107+X612*1.00784+Y612*15.999+Z612*14.0067</f>
        <v>74.120199999999997</v>
      </c>
      <c r="AD612" s="12">
        <v>117.7</v>
      </c>
      <c r="AE612" s="3" t="s">
        <v>262</v>
      </c>
      <c r="AF612" s="2" t="s">
        <v>79</v>
      </c>
      <c r="AG612" s="2" t="str">
        <f>IF(AD612&gt;37,"Proton symporter", "Diffusion")</f>
        <v>Proton symporter</v>
      </c>
      <c r="AH612" s="3" t="s">
        <v>304</v>
      </c>
    </row>
    <row r="613" spans="1:34" hidden="1" x14ac:dyDescent="0.2">
      <c r="A613" s="8" t="s">
        <v>34</v>
      </c>
      <c r="B613" s="9" t="s">
        <v>35</v>
      </c>
      <c r="C613" s="1" t="s">
        <v>54</v>
      </c>
      <c r="D613" s="14" t="s">
        <v>55</v>
      </c>
      <c r="E613" s="1" t="s">
        <v>189</v>
      </c>
      <c r="F613" s="1" t="s">
        <v>190</v>
      </c>
      <c r="G613" s="1">
        <v>-10</v>
      </c>
      <c r="H613" s="1">
        <v>-20</v>
      </c>
      <c r="I613" s="1" t="s">
        <v>40</v>
      </c>
      <c r="J613" s="1">
        <v>3.15</v>
      </c>
      <c r="K613" s="1">
        <v>-10</v>
      </c>
      <c r="L613" s="1">
        <v>-12.2977443609023</v>
      </c>
      <c r="M613" s="1" t="s">
        <v>40</v>
      </c>
      <c r="N613" s="1">
        <v>20.2481203007519</v>
      </c>
      <c r="O613" s="1">
        <v>7.9503759398496303</v>
      </c>
      <c r="Q613" s="1">
        <v>0.79503759398496199</v>
      </c>
      <c r="R613" s="1">
        <v>0.516975048699444</v>
      </c>
      <c r="S613" s="11" t="s">
        <v>189</v>
      </c>
      <c r="T613" s="2" t="s">
        <v>189</v>
      </c>
      <c r="U613" s="3" t="s">
        <v>41</v>
      </c>
      <c r="V613" s="2" t="s">
        <v>191</v>
      </c>
      <c r="W613" s="2">
        <v>5</v>
      </c>
      <c r="X613" s="2">
        <v>11</v>
      </c>
      <c r="Y613" s="2">
        <v>2</v>
      </c>
      <c r="Z613" s="2">
        <v>1</v>
      </c>
      <c r="AA613" s="2">
        <v>0</v>
      </c>
      <c r="AB613" s="12">
        <f>(W613*4+X613*1+Y613*-2+Z613*-3)/W613</f>
        <v>4.8</v>
      </c>
      <c r="AC613" s="3">
        <f>W613*12.0107+X613*1.00784+Y613*15.999+Z613*14.0067</f>
        <v>117.14444</v>
      </c>
      <c r="AD613" s="12">
        <v>247.5</v>
      </c>
      <c r="AE613" s="2" t="s">
        <v>192</v>
      </c>
      <c r="AF613" s="2" t="s">
        <v>44</v>
      </c>
      <c r="AG613" s="2" t="str">
        <f>IF(AD613&gt;37,"Proton symporter", "Diffusion")</f>
        <v>Proton symporter</v>
      </c>
      <c r="AH613" s="3" t="s">
        <v>193</v>
      </c>
    </row>
    <row r="614" spans="1:34" x14ac:dyDescent="0.2">
      <c r="A614" s="8" t="s">
        <v>34</v>
      </c>
      <c r="B614" s="9" t="s">
        <v>35</v>
      </c>
      <c r="C614" s="1" t="s">
        <v>58</v>
      </c>
      <c r="D614" s="10" t="s">
        <v>37</v>
      </c>
      <c r="E614" s="1" t="s">
        <v>216</v>
      </c>
      <c r="F614" s="1" t="s">
        <v>217</v>
      </c>
      <c r="G614" s="1">
        <v>-10</v>
      </c>
      <c r="H614" s="1">
        <v>-20</v>
      </c>
      <c r="I614" s="1" t="s">
        <v>40</v>
      </c>
      <c r="J614" s="1">
        <v>3.15</v>
      </c>
      <c r="K614" s="1">
        <v>-10</v>
      </c>
      <c r="L614" s="1">
        <v>-3.6823529411764699</v>
      </c>
      <c r="M614" s="1" t="s">
        <v>40</v>
      </c>
      <c r="N614" s="1">
        <v>7.7617647058823698</v>
      </c>
      <c r="O614" s="1">
        <v>4.0794117647058901</v>
      </c>
      <c r="Q614" s="1">
        <v>0.40794117647058897</v>
      </c>
      <c r="R614" s="1">
        <v>0.51690858775336002</v>
      </c>
      <c r="S614" s="11" t="s">
        <v>216</v>
      </c>
      <c r="T614" s="2" t="s">
        <v>218</v>
      </c>
      <c r="U614" s="3" t="s">
        <v>41</v>
      </c>
      <c r="V614" s="2" t="s">
        <v>219</v>
      </c>
      <c r="W614" s="2">
        <v>3</v>
      </c>
      <c r="X614" s="2">
        <v>8</v>
      </c>
      <c r="Y614" s="2">
        <v>2</v>
      </c>
      <c r="Z614" s="2">
        <v>0</v>
      </c>
      <c r="AA614" s="2">
        <v>0</v>
      </c>
      <c r="AB614" s="12">
        <f>(W614*4+X614*1+Y614*-2+Z614*-3)/W614</f>
        <v>5.333333333333333</v>
      </c>
      <c r="AC614" s="3">
        <f>W614*12.0107+X614*1.00784+Y614*15.999+Z614*14.0067</f>
        <v>76.092820000000003</v>
      </c>
      <c r="AD614" s="12">
        <v>213</v>
      </c>
      <c r="AE614" s="2" t="s">
        <v>220</v>
      </c>
      <c r="AF614" s="2" t="s">
        <v>98</v>
      </c>
      <c r="AG614" s="2" t="str">
        <f>IF(AD614&gt;37,"Proton symporter", "Diffusion")</f>
        <v>Proton symporter</v>
      </c>
      <c r="AH614" s="3" t="s">
        <v>221</v>
      </c>
    </row>
    <row r="615" spans="1:34" hidden="1" x14ac:dyDescent="0.2">
      <c r="A615" s="8" t="s">
        <v>34</v>
      </c>
      <c r="B615" s="9" t="s">
        <v>35</v>
      </c>
      <c r="C615" s="1" t="s">
        <v>62</v>
      </c>
      <c r="D615" s="15" t="s">
        <v>55</v>
      </c>
      <c r="E615" s="1" t="s">
        <v>146</v>
      </c>
      <c r="F615" s="1" t="s">
        <v>147</v>
      </c>
      <c r="G615" s="1">
        <v>-10</v>
      </c>
      <c r="H615" s="1">
        <v>-20</v>
      </c>
      <c r="I615" s="1" t="s">
        <v>40</v>
      </c>
      <c r="J615" s="1">
        <v>3.15</v>
      </c>
      <c r="K615" s="1">
        <v>-10</v>
      </c>
      <c r="L615" s="1">
        <v>-4.9443243243243398</v>
      </c>
      <c r="M615" s="1" t="s">
        <v>40</v>
      </c>
      <c r="N615" s="1">
        <v>7.31567567567566</v>
      </c>
      <c r="O615" s="1">
        <v>4.7427027027027</v>
      </c>
      <c r="Q615" s="1">
        <v>0.47427027027027002</v>
      </c>
      <c r="R615" s="1">
        <v>0.51539553335577604</v>
      </c>
      <c r="S615" s="20" t="s">
        <v>148</v>
      </c>
      <c r="T615" s="3" t="s">
        <v>148</v>
      </c>
      <c r="U615" s="3" t="s">
        <v>106</v>
      </c>
      <c r="V615" s="3" t="s">
        <v>149</v>
      </c>
      <c r="W615" s="3">
        <v>9</v>
      </c>
      <c r="X615" s="3">
        <v>7</v>
      </c>
      <c r="Y615" s="3">
        <v>3</v>
      </c>
      <c r="Z615" s="3">
        <v>0</v>
      </c>
      <c r="AA615" s="3">
        <v>-1</v>
      </c>
      <c r="AB615" s="12">
        <f>(W615*4+X615*1+Y615*-2+Z615*-3)/W615</f>
        <v>4.1111111111111107</v>
      </c>
      <c r="AC615" s="3">
        <f>W615*12.0107+X615*1.00784+Y615*15.999+Z615*14.0067</f>
        <v>163.14818</v>
      </c>
      <c r="AD615" s="12">
        <v>346</v>
      </c>
      <c r="AE615" s="22" t="s">
        <v>139</v>
      </c>
      <c r="AF615" s="2" t="s">
        <v>150</v>
      </c>
      <c r="AG615" s="2" t="str">
        <f>IF(AD615&gt;37,"Proton symporter", "Diffusion")</f>
        <v>Proton symporter</v>
      </c>
      <c r="AH615" s="3" t="s">
        <v>151</v>
      </c>
    </row>
    <row r="616" spans="1:34" hidden="1" x14ac:dyDescent="0.2">
      <c r="A616" s="8" t="s">
        <v>34</v>
      </c>
      <c r="B616" s="9" t="s">
        <v>35</v>
      </c>
      <c r="C616" s="1" t="s">
        <v>49</v>
      </c>
      <c r="D616" s="10" t="s">
        <v>37</v>
      </c>
      <c r="E616" s="1" t="s">
        <v>343</v>
      </c>
      <c r="F616" s="1" t="s">
        <v>344</v>
      </c>
      <c r="G616" s="1">
        <v>-10</v>
      </c>
      <c r="H616" s="1">
        <v>-20</v>
      </c>
      <c r="I616" s="1" t="s">
        <v>40</v>
      </c>
      <c r="J616" s="1">
        <v>3.15</v>
      </c>
      <c r="K616" s="1">
        <v>-10</v>
      </c>
      <c r="L616" s="1">
        <v>-3.0887096774193501</v>
      </c>
      <c r="M616" s="1" t="s">
        <v>40</v>
      </c>
      <c r="N616" s="1">
        <v>3.8532258064516101</v>
      </c>
      <c r="O616" s="1">
        <v>5.3822580645161304</v>
      </c>
      <c r="Q616" s="1">
        <v>0.538225806451613</v>
      </c>
      <c r="R616" s="1">
        <v>0.51517883465716197</v>
      </c>
      <c r="S616" s="20" t="s">
        <v>343</v>
      </c>
      <c r="T616" s="3" t="s">
        <v>345</v>
      </c>
      <c r="U616" s="3" t="s">
        <v>106</v>
      </c>
      <c r="V616" s="3" t="s">
        <v>346</v>
      </c>
      <c r="W616" s="3">
        <v>3</v>
      </c>
      <c r="X616" s="3">
        <v>8</v>
      </c>
      <c r="Y616" s="3">
        <v>0</v>
      </c>
      <c r="Z616" s="3">
        <v>0</v>
      </c>
      <c r="AA616" s="3">
        <v>0</v>
      </c>
      <c r="AB616" s="12">
        <f>(W616*4+X616*1+Y616*-2+Z616*-3)/W616</f>
        <v>6.666666666666667</v>
      </c>
      <c r="AC616" s="3">
        <f>W616*12.0107+X616*1.00784+Y616*15.999+Z616*14.0067</f>
        <v>44.094819999999999</v>
      </c>
      <c r="AD616" s="24">
        <v>-42</v>
      </c>
      <c r="AE616" s="3" t="s">
        <v>231</v>
      </c>
      <c r="AF616" s="2" t="s">
        <v>79</v>
      </c>
      <c r="AG616" s="25" t="str">
        <f>IF(AD616&gt;37,"Proton symporter", "Diffusion")</f>
        <v>Diffusion</v>
      </c>
      <c r="AH616" s="3" t="s">
        <v>347</v>
      </c>
    </row>
    <row r="617" spans="1:34" hidden="1" x14ac:dyDescent="0.2">
      <c r="A617" s="8" t="s">
        <v>34</v>
      </c>
      <c r="B617" s="9" t="s">
        <v>35</v>
      </c>
      <c r="C617" s="1" t="s">
        <v>46</v>
      </c>
      <c r="D617" s="10" t="s">
        <v>37</v>
      </c>
      <c r="E617" s="1" t="s">
        <v>182</v>
      </c>
      <c r="F617" s="1" t="s">
        <v>183</v>
      </c>
      <c r="G617" s="1">
        <v>-10</v>
      </c>
      <c r="H617" s="1">
        <v>-20</v>
      </c>
      <c r="I617" s="1" t="s">
        <v>40</v>
      </c>
      <c r="J617" s="1">
        <v>3.15</v>
      </c>
      <c r="K617" s="1">
        <v>-10</v>
      </c>
      <c r="L617" s="1">
        <v>-2.5441176470588198</v>
      </c>
      <c r="M617" s="1" t="s">
        <v>40</v>
      </c>
      <c r="N617" s="1">
        <v>6.0352941176470596</v>
      </c>
      <c r="O617" s="1">
        <v>3.49117647058823</v>
      </c>
      <c r="Q617" s="1">
        <v>0.34911764705882298</v>
      </c>
      <c r="R617" s="1">
        <v>0.51499212556879304</v>
      </c>
      <c r="S617" s="11" t="s">
        <v>182</v>
      </c>
      <c r="T617" s="2" t="s">
        <v>182</v>
      </c>
      <c r="U617" s="3" t="s">
        <v>41</v>
      </c>
      <c r="V617" s="2" t="s">
        <v>184</v>
      </c>
      <c r="W617" s="2">
        <v>4</v>
      </c>
      <c r="X617" s="2">
        <v>7</v>
      </c>
      <c r="Y617" s="2">
        <v>2</v>
      </c>
      <c r="Z617" s="2">
        <v>0</v>
      </c>
      <c r="AA617" s="2">
        <v>0</v>
      </c>
      <c r="AB617" s="12">
        <f>(W617*4+X617*1+Y617*-2+Z617*-3)/W617</f>
        <v>4.75</v>
      </c>
      <c r="AC617" s="3">
        <f>W617*12.0107+X617*1.00784+Y617*15.999+Z617*14.0067</f>
        <v>87.095680000000002</v>
      </c>
      <c r="AD617" s="12">
        <v>163.5</v>
      </c>
      <c r="AE617" s="2" t="s">
        <v>131</v>
      </c>
      <c r="AF617" s="2" t="s">
        <v>79</v>
      </c>
      <c r="AG617" s="2" t="str">
        <f>IF(AD617&gt;37,"Proton symporter", "Diffusion")</f>
        <v>Proton symporter</v>
      </c>
      <c r="AH617" s="3" t="s">
        <v>185</v>
      </c>
    </row>
    <row r="618" spans="1:34" hidden="1" x14ac:dyDescent="0.2">
      <c r="A618" s="8" t="s">
        <v>34</v>
      </c>
      <c r="B618" s="9" t="s">
        <v>35</v>
      </c>
      <c r="C618" s="1" t="s">
        <v>48</v>
      </c>
      <c r="D618" s="10" t="s">
        <v>37</v>
      </c>
      <c r="E618" s="1" t="s">
        <v>307</v>
      </c>
      <c r="F618" s="1" t="s">
        <v>308</v>
      </c>
      <c r="G618" s="1">
        <v>-10</v>
      </c>
      <c r="H618" s="1">
        <v>-20</v>
      </c>
      <c r="I618" s="1" t="s">
        <v>40</v>
      </c>
      <c r="J618" s="1">
        <v>3.15</v>
      </c>
      <c r="K618" s="1">
        <v>-10</v>
      </c>
      <c r="L618" s="1">
        <v>-1.0975000000000099</v>
      </c>
      <c r="M618" s="1" t="s">
        <v>40</v>
      </c>
      <c r="N618" s="1">
        <v>4.0650000000000004</v>
      </c>
      <c r="O618" s="1">
        <v>5.3116666666666701</v>
      </c>
      <c r="Q618" s="1">
        <v>0.53116666666666701</v>
      </c>
      <c r="R618" s="1">
        <v>0.51428525025886196</v>
      </c>
      <c r="S618" s="11" t="s">
        <v>307</v>
      </c>
      <c r="T618" s="2" t="s">
        <v>307</v>
      </c>
      <c r="U618" s="3" t="s">
        <v>41</v>
      </c>
      <c r="V618" s="2" t="s">
        <v>283</v>
      </c>
      <c r="W618" s="2">
        <v>3</v>
      </c>
      <c r="X618" s="2">
        <v>8</v>
      </c>
      <c r="Y618" s="2">
        <v>1</v>
      </c>
      <c r="Z618" s="2">
        <v>0</v>
      </c>
      <c r="AA618" s="2">
        <v>0</v>
      </c>
      <c r="AB618" s="12">
        <f>(W618*4+X618*1+Y618*-2+Z618*-3)/W618</f>
        <v>6</v>
      </c>
      <c r="AC618" s="3">
        <f>W618*12.0107+X618*1.00784+Y618*15.999+Z618*14.0067</f>
        <v>60.093820000000001</v>
      </c>
      <c r="AD618" s="12">
        <v>82.5</v>
      </c>
      <c r="AE618" s="2" t="s">
        <v>262</v>
      </c>
      <c r="AF618" s="2" t="s">
        <v>79</v>
      </c>
      <c r="AG618" s="2" t="str">
        <f>IF(AD618&gt;37,"Proton symporter", "Diffusion")</f>
        <v>Proton symporter</v>
      </c>
      <c r="AH618" s="3" t="s">
        <v>309</v>
      </c>
    </row>
    <row r="619" spans="1:34" hidden="1" x14ac:dyDescent="0.2">
      <c r="A619" s="8" t="s">
        <v>34</v>
      </c>
      <c r="B619" s="9" t="s">
        <v>35</v>
      </c>
      <c r="C619" s="1" t="s">
        <v>58</v>
      </c>
      <c r="D619" s="10" t="s">
        <v>37</v>
      </c>
      <c r="E619" s="1" t="s">
        <v>234</v>
      </c>
      <c r="F619" s="1" t="s">
        <v>235</v>
      </c>
      <c r="G619" s="1">
        <v>-10</v>
      </c>
      <c r="H619" s="1">
        <v>-20</v>
      </c>
      <c r="I619" s="1" t="s">
        <v>40</v>
      </c>
      <c r="J619" s="1">
        <v>3.15</v>
      </c>
      <c r="K619" s="1">
        <v>-10</v>
      </c>
      <c r="L619" s="1">
        <v>-1.1758974358974399</v>
      </c>
      <c r="M619" s="1" t="s">
        <v>40</v>
      </c>
      <c r="N619" s="1">
        <v>6.3097435897435998</v>
      </c>
      <c r="O619" s="1">
        <v>3.42256410256411</v>
      </c>
      <c r="Q619" s="1">
        <v>0.34225641025641101</v>
      </c>
      <c r="R619" s="1">
        <v>0.51361942794877002</v>
      </c>
      <c r="S619" s="20" t="s">
        <v>236</v>
      </c>
      <c r="T619" s="3" t="s">
        <v>237</v>
      </c>
      <c r="U619" s="3" t="s">
        <v>106</v>
      </c>
      <c r="V619" s="3" t="s">
        <v>238</v>
      </c>
      <c r="W619" s="3">
        <v>4</v>
      </c>
      <c r="X619" s="3">
        <v>10</v>
      </c>
      <c r="Y619" s="3">
        <v>2</v>
      </c>
      <c r="Z619" s="3">
        <v>0</v>
      </c>
      <c r="AA619" s="3">
        <v>0</v>
      </c>
      <c r="AB619" s="12">
        <f>(W619*4+X619*1+Y619*-2+Z619*-3)/W619</f>
        <v>5.5</v>
      </c>
      <c r="AC619" s="3">
        <f>W619*12.0107+X619*1.00784+Y619*15.999+Z619*14.0067</f>
        <v>90.119200000000006</v>
      </c>
      <c r="AD619" s="12">
        <v>207</v>
      </c>
      <c r="AE619" s="2" t="s">
        <v>220</v>
      </c>
      <c r="AF619" s="3" t="s">
        <v>79</v>
      </c>
      <c r="AG619" s="2" t="str">
        <f>IF(AD619&gt;37,"Proton symporter", "Diffusion")</f>
        <v>Proton symporter</v>
      </c>
      <c r="AH619" s="3" t="s">
        <v>239</v>
      </c>
    </row>
    <row r="620" spans="1:34" hidden="1" x14ac:dyDescent="0.2">
      <c r="A620" s="8" t="s">
        <v>34</v>
      </c>
      <c r="B620" s="9" t="s">
        <v>35</v>
      </c>
      <c r="C620" s="1" t="s">
        <v>58</v>
      </c>
      <c r="D620" s="10" t="s">
        <v>37</v>
      </c>
      <c r="E620" s="1" t="s">
        <v>240</v>
      </c>
      <c r="F620" s="1" t="s">
        <v>235</v>
      </c>
      <c r="G620" s="1">
        <v>-10</v>
      </c>
      <c r="H620" s="1">
        <v>-20</v>
      </c>
      <c r="I620" s="1" t="s">
        <v>40</v>
      </c>
      <c r="J620" s="1">
        <v>3.15</v>
      </c>
      <c r="K620" s="1">
        <v>-10</v>
      </c>
      <c r="L620" s="1">
        <v>-1.1758974358974399</v>
      </c>
      <c r="M620" s="1" t="s">
        <v>40</v>
      </c>
      <c r="N620" s="1">
        <v>6.3097435897435901</v>
      </c>
      <c r="O620" s="1">
        <v>3.4225641025640998</v>
      </c>
      <c r="Q620" s="1">
        <v>0.34225641025641101</v>
      </c>
      <c r="R620" s="1">
        <v>0.51361942794877002</v>
      </c>
      <c r="S620" s="20" t="s">
        <v>241</v>
      </c>
      <c r="T620" s="3" t="s">
        <v>242</v>
      </c>
      <c r="U620" s="3" t="s">
        <v>106</v>
      </c>
      <c r="V620" s="3" t="s">
        <v>238</v>
      </c>
      <c r="W620" s="3">
        <v>4</v>
      </c>
      <c r="X620" s="3">
        <v>10</v>
      </c>
      <c r="Y620" s="3">
        <v>2</v>
      </c>
      <c r="Z620" s="3">
        <v>0</v>
      </c>
      <c r="AA620" s="3">
        <v>0</v>
      </c>
      <c r="AB620" s="12">
        <f>(W620*4+X620*1+Y620*-2+Z620*-3)/W620</f>
        <v>5.5</v>
      </c>
      <c r="AC620" s="3">
        <f>W620*12.0107+X620*1.00784+Y620*15.999+Z620*14.0067</f>
        <v>90.119200000000006</v>
      </c>
      <c r="AD620" s="12">
        <v>207</v>
      </c>
      <c r="AE620" s="2" t="s">
        <v>220</v>
      </c>
      <c r="AF620" s="3" t="s">
        <v>243</v>
      </c>
      <c r="AG620" s="2" t="str">
        <f>IF(AD620&gt;37,"Proton symporter", "Diffusion")</f>
        <v>Proton symporter</v>
      </c>
      <c r="AH620" s="3" t="s">
        <v>239</v>
      </c>
    </row>
    <row r="621" spans="1:34" x14ac:dyDescent="0.2">
      <c r="A621" s="8" t="s">
        <v>368</v>
      </c>
      <c r="B621" s="17" t="s">
        <v>64</v>
      </c>
      <c r="C621" t="s">
        <v>369</v>
      </c>
      <c r="D621" s="18" t="s">
        <v>66</v>
      </c>
      <c r="E621" t="s">
        <v>216</v>
      </c>
      <c r="F621" t="s">
        <v>217</v>
      </c>
      <c r="G621">
        <v>-10</v>
      </c>
      <c r="H621">
        <v>0</v>
      </c>
      <c r="I621">
        <v>-20</v>
      </c>
      <c r="J621">
        <v>0.45</v>
      </c>
      <c r="K621">
        <v>-7.5</v>
      </c>
      <c r="L621">
        <v>0</v>
      </c>
      <c r="M621">
        <v>-20</v>
      </c>
      <c r="N621">
        <v>-7.5</v>
      </c>
      <c r="O621">
        <v>2.5</v>
      </c>
      <c r="P621"/>
      <c r="Q621">
        <v>0.33333333333333298</v>
      </c>
      <c r="R621">
        <v>0.51359238110665595</v>
      </c>
      <c r="S621" s="1" t="str">
        <f>VLOOKUP($E621,'[1]Product Naming'!$A$1:$P$58,2)</f>
        <v>1-3-Propanediol</v>
      </c>
      <c r="T621" s="1" t="str">
        <f>VLOOKUP($E621,'[1]Product Naming'!$A$1:$P$58,3)</f>
        <v>1,3-Propanediol</v>
      </c>
      <c r="U621" s="1" t="str">
        <f>VLOOKUP($E621,'[1]Product Naming'!$A$1:$P$58,4)</f>
        <v>A</v>
      </c>
      <c r="V621" s="1" t="str">
        <f>VLOOKUP($E621,'[1]Product Naming'!$A$1:$P$58,5)</f>
        <v>C3H8O2</v>
      </c>
      <c r="W621" s="1">
        <f>VLOOKUP($E621,'[1]Product Naming'!$A$1:$P$58,6)</f>
        <v>3</v>
      </c>
      <c r="X621" s="1">
        <f>VLOOKUP($E621,'[1]Product Naming'!$A$1:$P$58,7)</f>
        <v>8</v>
      </c>
      <c r="Y621" s="1">
        <f>VLOOKUP($E621,'[1]Product Naming'!$A$1:$P$58,8)</f>
        <v>2</v>
      </c>
      <c r="Z621" s="1">
        <f>VLOOKUP($E621,'[1]Product Naming'!$A$1:$P$58,9)</f>
        <v>0</v>
      </c>
      <c r="AA621" s="1">
        <f>VLOOKUP($E621,'[1]Product Naming'!$A$1:$P$58,10)</f>
        <v>0</v>
      </c>
      <c r="AB621" s="27">
        <f>VLOOKUP($E621,'[1]Product Naming'!$A$1:$P$58,11)</f>
        <v>5.333333333333333</v>
      </c>
      <c r="AC621" s="3">
        <f>VLOOKUP($E621,'[1]Product Naming'!$A$1:$P$58,12)</f>
        <v>76.092820000000003</v>
      </c>
      <c r="AD621" s="1">
        <f>VLOOKUP($E621,'[1]Product Naming'!$A$1:$P$58,13)</f>
        <v>213</v>
      </c>
      <c r="AE621" s="1" t="str">
        <f>VLOOKUP($E621,'[1]Product Naming'!$A$1:$P$58,14)</f>
        <v>Diol</v>
      </c>
      <c r="AF621" s="1" t="str">
        <f>VLOOKUP($E621,'[1]Product Naming'!$A$1:$P$58,15)</f>
        <v>Glyceraldehyde 3-P</v>
      </c>
      <c r="AG621" s="28" t="str">
        <f>VLOOKUP($E621,'[1]Product Naming'!$A$1:$P$58,16)</f>
        <v>Proton symporter</v>
      </c>
      <c r="AH621" s="3" t="str">
        <f>VLOOKUP($E621,'[1]Product Naming'!$A$1:$Q$58,17)</f>
        <v>13ppd_c</v>
      </c>
    </row>
    <row r="622" spans="1:34" x14ac:dyDescent="0.2">
      <c r="A622" s="16" t="s">
        <v>63</v>
      </c>
      <c r="B622" s="17" t="s">
        <v>64</v>
      </c>
      <c r="C622" t="s">
        <v>73</v>
      </c>
      <c r="D622" s="18" t="s">
        <v>66</v>
      </c>
      <c r="E622" t="s">
        <v>216</v>
      </c>
      <c r="F622" t="s">
        <v>217</v>
      </c>
      <c r="G622">
        <v>-10</v>
      </c>
      <c r="H622">
        <v>0</v>
      </c>
      <c r="I622">
        <v>-20</v>
      </c>
      <c r="J622">
        <v>0.45</v>
      </c>
      <c r="K622">
        <v>-10</v>
      </c>
      <c r="L622">
        <v>0</v>
      </c>
      <c r="M622">
        <v>-16.6666666666667</v>
      </c>
      <c r="N622">
        <v>0</v>
      </c>
      <c r="O622">
        <v>3.3333333333333299</v>
      </c>
      <c r="P622"/>
      <c r="Q622">
        <v>0.33333333333333298</v>
      </c>
      <c r="R622" s="19">
        <v>0.513481476482893</v>
      </c>
      <c r="S622" s="11" t="s">
        <v>216</v>
      </c>
      <c r="T622" s="2" t="s">
        <v>218</v>
      </c>
      <c r="U622" s="3" t="s">
        <v>41</v>
      </c>
      <c r="V622" s="2" t="s">
        <v>219</v>
      </c>
      <c r="W622" s="2">
        <v>3</v>
      </c>
      <c r="X622" s="2">
        <v>8</v>
      </c>
      <c r="Y622" s="2">
        <v>2</v>
      </c>
      <c r="Z622" s="2">
        <v>0</v>
      </c>
      <c r="AA622" s="2">
        <v>0</v>
      </c>
      <c r="AB622" s="12">
        <f>(W622*4+X622*1+Y622*-2+Z622*-3)/W622</f>
        <v>5.333333333333333</v>
      </c>
      <c r="AC622" s="3">
        <f>W622*12.0107+X622*1.00784+Y622*15.999+Z622*14.0067</f>
        <v>76.092820000000003</v>
      </c>
      <c r="AD622" s="12">
        <v>213</v>
      </c>
      <c r="AE622" s="2" t="s">
        <v>220</v>
      </c>
      <c r="AF622" s="2" t="s">
        <v>98</v>
      </c>
      <c r="AG622" s="2" t="str">
        <f>IF(AD622&gt;37,"Proton symporter", "Diffusion")</f>
        <v>Proton symporter</v>
      </c>
      <c r="AH622" s="3" t="s">
        <v>221</v>
      </c>
    </row>
    <row r="623" spans="1:34" hidden="1" x14ac:dyDescent="0.2">
      <c r="A623" s="8" t="s">
        <v>34</v>
      </c>
      <c r="B623" s="9" t="s">
        <v>35</v>
      </c>
      <c r="C623" s="1" t="s">
        <v>58</v>
      </c>
      <c r="D623" s="10" t="s">
        <v>37</v>
      </c>
      <c r="E623" s="1" t="s">
        <v>249</v>
      </c>
      <c r="F623" s="1" t="s">
        <v>250</v>
      </c>
      <c r="G623" s="1">
        <v>-10</v>
      </c>
      <c r="H623" s="1">
        <v>-20</v>
      </c>
      <c r="I623" s="1" t="s">
        <v>40</v>
      </c>
      <c r="J623" s="1">
        <v>3.15</v>
      </c>
      <c r="K623" s="1">
        <v>-10</v>
      </c>
      <c r="L623" s="1">
        <v>-1.2160305343511399</v>
      </c>
      <c r="M623" s="1" t="s">
        <v>40</v>
      </c>
      <c r="N623" s="1">
        <v>6.3389312977099204</v>
      </c>
      <c r="O623" s="1">
        <v>3.4152671755725201</v>
      </c>
      <c r="Q623" s="1">
        <v>0.341526717557252</v>
      </c>
      <c r="R623" s="1">
        <v>0.51252438827825098</v>
      </c>
      <c r="S623" s="20" t="s">
        <v>251</v>
      </c>
      <c r="T623" s="3" t="s">
        <v>252</v>
      </c>
      <c r="U623" s="3" t="s">
        <v>106</v>
      </c>
      <c r="V623" s="3" t="s">
        <v>238</v>
      </c>
      <c r="W623" s="3">
        <v>4</v>
      </c>
      <c r="X623" s="3">
        <v>10</v>
      </c>
      <c r="Y623" s="3">
        <v>2</v>
      </c>
      <c r="Z623" s="3">
        <v>0</v>
      </c>
      <c r="AA623" s="3">
        <v>0</v>
      </c>
      <c r="AB623" s="12">
        <f>(W623*4+X623*1+Y623*-2+Z623*-3)/W623</f>
        <v>5.5</v>
      </c>
      <c r="AC623" s="3">
        <f>W623*12.0107+X623*1.00784+Y623*15.999+Z623*14.0067</f>
        <v>90.119200000000006</v>
      </c>
      <c r="AD623" s="12">
        <v>177</v>
      </c>
      <c r="AE623" s="3" t="s">
        <v>220</v>
      </c>
      <c r="AF623" s="3" t="s">
        <v>135</v>
      </c>
      <c r="AG623" s="2" t="str">
        <f>IF(AD623&gt;37,"Proton symporter", "Diffusion")</f>
        <v>Proton symporter</v>
      </c>
      <c r="AH623" s="3" t="s">
        <v>253</v>
      </c>
    </row>
    <row r="624" spans="1:34" hidden="1" x14ac:dyDescent="0.2">
      <c r="A624" s="8" t="s">
        <v>34</v>
      </c>
      <c r="B624" s="9" t="s">
        <v>35</v>
      </c>
      <c r="C624" s="1" t="s">
        <v>62</v>
      </c>
      <c r="D624" s="15" t="s">
        <v>55</v>
      </c>
      <c r="E624" s="1" t="s">
        <v>189</v>
      </c>
      <c r="F624" s="1" t="s">
        <v>190</v>
      </c>
      <c r="G624" s="1">
        <v>-10</v>
      </c>
      <c r="H624" s="1">
        <v>-20</v>
      </c>
      <c r="I624" s="1" t="s">
        <v>40</v>
      </c>
      <c r="J624" s="1">
        <v>3.15</v>
      </c>
      <c r="K624" s="1">
        <v>-10</v>
      </c>
      <c r="L624" s="1">
        <v>-10.7134328358209</v>
      </c>
      <c r="M624" s="1" t="s">
        <v>40</v>
      </c>
      <c r="N624" s="1">
        <v>17.261194029850699</v>
      </c>
      <c r="O624" s="1">
        <v>6.5477611940298504</v>
      </c>
      <c r="Q624" s="1">
        <v>0.65477611940298497</v>
      </c>
      <c r="R624" s="1">
        <v>0.51091308754303499</v>
      </c>
      <c r="S624" s="11" t="s">
        <v>189</v>
      </c>
      <c r="T624" s="2" t="s">
        <v>189</v>
      </c>
      <c r="U624" s="3" t="s">
        <v>41</v>
      </c>
      <c r="V624" s="2" t="s">
        <v>191</v>
      </c>
      <c r="W624" s="2">
        <v>5</v>
      </c>
      <c r="X624" s="2">
        <v>11</v>
      </c>
      <c r="Y624" s="2">
        <v>2</v>
      </c>
      <c r="Z624" s="2">
        <v>1</v>
      </c>
      <c r="AA624" s="2">
        <v>0</v>
      </c>
      <c r="AB624" s="12">
        <f>(W624*4+X624*1+Y624*-2+Z624*-3)/W624</f>
        <v>4.8</v>
      </c>
      <c r="AC624" s="3">
        <f>W624*12.0107+X624*1.00784+Y624*15.999+Z624*14.0067</f>
        <v>117.14444</v>
      </c>
      <c r="AD624" s="12">
        <v>247.5</v>
      </c>
      <c r="AE624" s="2" t="s">
        <v>192</v>
      </c>
      <c r="AF624" s="2" t="s">
        <v>44</v>
      </c>
      <c r="AG624" s="2" t="str">
        <f>IF(AD624&gt;37,"Proton symporter", "Diffusion")</f>
        <v>Proton symporter</v>
      </c>
      <c r="AH624" s="3" t="s">
        <v>193</v>
      </c>
    </row>
    <row r="625" spans="1:34" hidden="1" x14ac:dyDescent="0.2">
      <c r="A625" s="16" t="s">
        <v>63</v>
      </c>
      <c r="B625" s="17" t="s">
        <v>64</v>
      </c>
      <c r="C625" t="s">
        <v>69</v>
      </c>
      <c r="D625" s="18" t="s">
        <v>66</v>
      </c>
      <c r="E625" t="s">
        <v>289</v>
      </c>
      <c r="F625" t="s">
        <v>290</v>
      </c>
      <c r="G625">
        <v>-10</v>
      </c>
      <c r="H625">
        <v>0</v>
      </c>
      <c r="I625">
        <v>-20</v>
      </c>
      <c r="J625">
        <v>0.45</v>
      </c>
      <c r="K625">
        <v>-10</v>
      </c>
      <c r="L625">
        <v>0</v>
      </c>
      <c r="M625">
        <v>-20</v>
      </c>
      <c r="N625">
        <v>0</v>
      </c>
      <c r="O625">
        <v>1.8560000000000001</v>
      </c>
      <c r="P625"/>
      <c r="Q625">
        <v>0.18559999999999999</v>
      </c>
      <c r="R625" s="19">
        <v>0.51045258184087405</v>
      </c>
      <c r="S625" s="11" t="s">
        <v>289</v>
      </c>
      <c r="T625" s="2" t="s">
        <v>291</v>
      </c>
      <c r="U625" s="3" t="s">
        <v>41</v>
      </c>
      <c r="V625" s="2" t="s">
        <v>292</v>
      </c>
      <c r="W625" s="2">
        <v>5</v>
      </c>
      <c r="X625" s="2">
        <v>12</v>
      </c>
      <c r="Y625" s="2">
        <v>1</v>
      </c>
      <c r="Z625" s="2">
        <v>0</v>
      </c>
      <c r="AA625" s="2">
        <v>0</v>
      </c>
      <c r="AB625" s="12">
        <f>(W625*4+X625*1+Y625*-2+Z625*-3)/W625</f>
        <v>6</v>
      </c>
      <c r="AC625" s="3">
        <f>W625*12.0107+X625*1.00784+Y625*15.999+Z625*14.0067</f>
        <v>88.14658</v>
      </c>
      <c r="AD625" s="12">
        <v>129</v>
      </c>
      <c r="AE625" s="2" t="s">
        <v>262</v>
      </c>
      <c r="AF625" s="2" t="s">
        <v>293</v>
      </c>
      <c r="AG625" s="2" t="str">
        <f>IF(AD625&gt;37,"Proton symporter", "Diffusion")</f>
        <v>Proton symporter</v>
      </c>
      <c r="AH625" s="3" t="s">
        <v>294</v>
      </c>
    </row>
    <row r="626" spans="1:34" hidden="1" x14ac:dyDescent="0.2">
      <c r="A626" s="8" t="s">
        <v>34</v>
      </c>
      <c r="B626" s="9" t="s">
        <v>35</v>
      </c>
      <c r="C626" s="1" t="s">
        <v>58</v>
      </c>
      <c r="D626" s="10" t="s">
        <v>37</v>
      </c>
      <c r="E626" s="1" t="s">
        <v>273</v>
      </c>
      <c r="F626" s="1" t="s">
        <v>274</v>
      </c>
      <c r="G626" s="1">
        <v>-10</v>
      </c>
      <c r="H626" s="1">
        <v>-20</v>
      </c>
      <c r="I626" s="1" t="s">
        <v>40</v>
      </c>
      <c r="J626" s="1">
        <v>3.15</v>
      </c>
      <c r="K626" s="1">
        <v>-10</v>
      </c>
      <c r="L626" s="1">
        <v>-3.9243243243243202</v>
      </c>
      <c r="M626" s="1" t="s">
        <v>40</v>
      </c>
      <c r="N626" s="1">
        <v>7.9432432432432396</v>
      </c>
      <c r="O626" s="1">
        <v>4.0189189189189198</v>
      </c>
      <c r="Q626" s="1">
        <v>0.40189189189189201</v>
      </c>
      <c r="R626" s="1">
        <v>0.50955638203646902</v>
      </c>
      <c r="S626" s="22" t="s">
        <v>273</v>
      </c>
      <c r="T626" s="3" t="s">
        <v>275</v>
      </c>
      <c r="U626" s="3" t="s">
        <v>41</v>
      </c>
      <c r="V626" s="2" t="s">
        <v>276</v>
      </c>
      <c r="W626" s="2">
        <v>3</v>
      </c>
      <c r="X626" s="2">
        <v>12</v>
      </c>
      <c r="Y626" s="2">
        <v>0</v>
      </c>
      <c r="Z626" s="2">
        <v>2</v>
      </c>
      <c r="AA626" s="2">
        <v>0</v>
      </c>
      <c r="AB626" s="12">
        <f>(W626*4+X626*1+Y626*-2+Z626*-3)/W626</f>
        <v>6</v>
      </c>
      <c r="AC626" s="3">
        <f>W626*12.0107+X626*1.00784+Y626*15.999+Z626*14.0067</f>
        <v>76.139580000000009</v>
      </c>
      <c r="AD626" s="12">
        <v>139.30000000000001</v>
      </c>
      <c r="AE626" s="2" t="s">
        <v>277</v>
      </c>
      <c r="AF626" s="2" t="s">
        <v>125</v>
      </c>
      <c r="AG626" s="2" t="str">
        <f>IF(AD626&gt;37,"Proton symporter", "Diffusion")</f>
        <v>Proton symporter</v>
      </c>
      <c r="AH626" s="3" t="s">
        <v>278</v>
      </c>
    </row>
    <row r="627" spans="1:34" hidden="1" x14ac:dyDescent="0.2">
      <c r="A627" s="8" t="s">
        <v>34</v>
      </c>
      <c r="B627" s="9" t="s">
        <v>35</v>
      </c>
      <c r="C627" s="1" t="s">
        <v>56</v>
      </c>
      <c r="D627" s="14" t="s">
        <v>55</v>
      </c>
      <c r="E627" s="1" t="s">
        <v>159</v>
      </c>
      <c r="F627" s="1" t="s">
        <v>153</v>
      </c>
      <c r="G627" s="1">
        <v>-10</v>
      </c>
      <c r="H627" s="1">
        <v>-20</v>
      </c>
      <c r="I627" s="1" t="s">
        <v>40</v>
      </c>
      <c r="J627" s="1">
        <v>3.15</v>
      </c>
      <c r="K627" s="1">
        <v>-10</v>
      </c>
      <c r="L627" s="1">
        <v>-5.9537037037037104</v>
      </c>
      <c r="M627" s="1" t="s">
        <v>40</v>
      </c>
      <c r="N627" s="1">
        <v>2.8901234567901302</v>
      </c>
      <c r="O627" s="1">
        <v>3.8728395061728502</v>
      </c>
      <c r="Q627" s="1">
        <v>0.38728395061728499</v>
      </c>
      <c r="R627" s="1">
        <v>0.50931509362469396</v>
      </c>
      <c r="S627" s="11" t="s">
        <v>159</v>
      </c>
      <c r="T627" s="2" t="s">
        <v>160</v>
      </c>
      <c r="U627" s="3" t="s">
        <v>41</v>
      </c>
      <c r="V627" s="2" t="s">
        <v>155</v>
      </c>
      <c r="W627" s="2">
        <v>7</v>
      </c>
      <c r="X627" s="2">
        <v>5</v>
      </c>
      <c r="Y627" s="2">
        <v>2</v>
      </c>
      <c r="Z627" s="2">
        <v>0</v>
      </c>
      <c r="AA627" s="2">
        <v>0</v>
      </c>
      <c r="AB627" s="12">
        <f>(W627*4+X627*1+Y627*-2+Z627*-3)/W627</f>
        <v>4.1428571428571432</v>
      </c>
      <c r="AC627" s="3">
        <f>W627*12.0107+X627*1.00784+Y627*15.999+Z627*14.0067</f>
        <v>121.1121</v>
      </c>
      <c r="AD627" s="12">
        <v>249.2</v>
      </c>
      <c r="AE627" s="2" t="s">
        <v>156</v>
      </c>
      <c r="AF627" s="2" t="s">
        <v>157</v>
      </c>
      <c r="AG627" s="2" t="str">
        <f>IF(AD627&gt;37,"Proton symporter", "Diffusion")</f>
        <v>Proton symporter</v>
      </c>
      <c r="AH627" s="3" t="s">
        <v>158</v>
      </c>
    </row>
    <row r="628" spans="1:34" hidden="1" x14ac:dyDescent="0.2">
      <c r="A628" s="8" t="s">
        <v>34</v>
      </c>
      <c r="B628" s="9" t="s">
        <v>35</v>
      </c>
      <c r="C628" s="1" t="s">
        <v>56</v>
      </c>
      <c r="D628" s="14" t="s">
        <v>55</v>
      </c>
      <c r="E628" s="1" t="s">
        <v>152</v>
      </c>
      <c r="F628" s="1" t="s">
        <v>153</v>
      </c>
      <c r="G628" s="1">
        <v>-10</v>
      </c>
      <c r="H628" s="1">
        <v>-20</v>
      </c>
      <c r="I628" s="1" t="s">
        <v>40</v>
      </c>
      <c r="J628" s="1">
        <v>3.15</v>
      </c>
      <c r="K628" s="1">
        <v>-10</v>
      </c>
      <c r="L628" s="1">
        <v>-5.9537037037037104</v>
      </c>
      <c r="M628" s="1" t="s">
        <v>40</v>
      </c>
      <c r="N628" s="1">
        <v>2.8901234567901302</v>
      </c>
      <c r="O628" s="1">
        <v>3.87283950617284</v>
      </c>
      <c r="Q628" s="1">
        <v>0.38728395061728399</v>
      </c>
      <c r="R628" s="1">
        <v>0.50931509362469196</v>
      </c>
      <c r="S628" s="11" t="s">
        <v>152</v>
      </c>
      <c r="T628" s="2" t="s">
        <v>154</v>
      </c>
      <c r="U628" s="3" t="s">
        <v>41</v>
      </c>
      <c r="V628" s="2" t="s">
        <v>155</v>
      </c>
      <c r="W628" s="2">
        <v>7</v>
      </c>
      <c r="X628" s="2">
        <v>5</v>
      </c>
      <c r="Y628" s="2">
        <v>2</v>
      </c>
      <c r="Z628" s="2">
        <v>0</v>
      </c>
      <c r="AA628" s="2">
        <v>0</v>
      </c>
      <c r="AB628" s="12">
        <f>(W628*4+X628*1+Y628*-2+Z628*-3)/W628</f>
        <v>4.1428571428571432</v>
      </c>
      <c r="AC628" s="3">
        <f>W628*12.0107+X628*1.00784+Y628*15.999+Z628*14.0067</f>
        <v>121.1121</v>
      </c>
      <c r="AD628" s="12">
        <v>249.2</v>
      </c>
      <c r="AE628" s="2" t="s">
        <v>156</v>
      </c>
      <c r="AF628" s="2" t="s">
        <v>157</v>
      </c>
      <c r="AG628" s="2" t="str">
        <f>IF(AD628&gt;37,"Proton symporter", "Diffusion")</f>
        <v>Proton symporter</v>
      </c>
      <c r="AH628" s="3" t="s">
        <v>158</v>
      </c>
    </row>
    <row r="629" spans="1:34" hidden="1" x14ac:dyDescent="0.2">
      <c r="A629" s="8" t="s">
        <v>34</v>
      </c>
      <c r="B629" s="9" t="s">
        <v>35</v>
      </c>
      <c r="C629" s="1" t="s">
        <v>48</v>
      </c>
      <c r="D629" s="10" t="s">
        <v>37</v>
      </c>
      <c r="E629" s="1" t="s">
        <v>146</v>
      </c>
      <c r="F629" s="1" t="s">
        <v>147</v>
      </c>
      <c r="G629" s="1">
        <v>-10</v>
      </c>
      <c r="H629" s="1">
        <v>-20</v>
      </c>
      <c r="I629" s="1" t="s">
        <v>40</v>
      </c>
      <c r="J629" s="1">
        <v>3.15</v>
      </c>
      <c r="K629" s="1">
        <v>-10</v>
      </c>
      <c r="L629" s="1">
        <v>-6.5977152899824301</v>
      </c>
      <c r="M629" s="1" t="s">
        <v>40</v>
      </c>
      <c r="N629" s="1">
        <v>2.5662565905096701</v>
      </c>
      <c r="O629" s="1">
        <v>1.9370826010544799</v>
      </c>
      <c r="Q629" s="1">
        <v>0.193708260105448</v>
      </c>
      <c r="R629" s="1">
        <v>0.50918290874241801</v>
      </c>
      <c r="S629" s="20" t="s">
        <v>148</v>
      </c>
      <c r="T629" s="3" t="s">
        <v>148</v>
      </c>
      <c r="U629" s="3" t="s">
        <v>106</v>
      </c>
      <c r="V629" s="3" t="s">
        <v>149</v>
      </c>
      <c r="W629" s="3">
        <v>9</v>
      </c>
      <c r="X629" s="3">
        <v>7</v>
      </c>
      <c r="Y629" s="3">
        <v>3</v>
      </c>
      <c r="Z629" s="3">
        <v>0</v>
      </c>
      <c r="AA629" s="3">
        <v>-1</v>
      </c>
      <c r="AB629" s="12">
        <f>(W629*4+X629*1+Y629*-2+Z629*-3)/W629</f>
        <v>4.1111111111111107</v>
      </c>
      <c r="AC629" s="3">
        <f>W629*12.0107+X629*1.00784+Y629*15.999+Z629*14.0067</f>
        <v>163.14818</v>
      </c>
      <c r="AD629" s="12">
        <v>346</v>
      </c>
      <c r="AE629" s="22" t="s">
        <v>139</v>
      </c>
      <c r="AF629" s="2" t="s">
        <v>150</v>
      </c>
      <c r="AG629" s="2" t="str">
        <f>IF(AD629&gt;37,"Proton symporter", "Diffusion")</f>
        <v>Proton symporter</v>
      </c>
      <c r="AH629" s="3" t="s">
        <v>151</v>
      </c>
    </row>
    <row r="630" spans="1:34" hidden="1" x14ac:dyDescent="0.2">
      <c r="A630" s="8" t="s">
        <v>34</v>
      </c>
      <c r="B630" s="9" t="s">
        <v>35</v>
      </c>
      <c r="C630" s="1" t="s">
        <v>59</v>
      </c>
      <c r="D630" s="13" t="s">
        <v>51</v>
      </c>
      <c r="E630" s="1" t="s">
        <v>307</v>
      </c>
      <c r="F630" s="1" t="s">
        <v>308</v>
      </c>
      <c r="G630" s="1">
        <v>-10</v>
      </c>
      <c r="H630" s="1">
        <v>-20</v>
      </c>
      <c r="I630" s="1" t="s">
        <v>40</v>
      </c>
      <c r="J630" s="1">
        <v>3.15</v>
      </c>
      <c r="K630" s="1">
        <v>-10</v>
      </c>
      <c r="L630" s="1">
        <v>-2.83363636363636</v>
      </c>
      <c r="M630" s="1" t="s">
        <v>40</v>
      </c>
      <c r="N630" s="1">
        <v>1.88909090909091</v>
      </c>
      <c r="O630" s="1">
        <v>2.7036363636363698</v>
      </c>
      <c r="Q630" s="1">
        <v>0.27036363636363703</v>
      </c>
      <c r="R630" s="1">
        <v>0.50707385143256301</v>
      </c>
      <c r="S630" s="11" t="s">
        <v>307</v>
      </c>
      <c r="T630" s="2" t="s">
        <v>307</v>
      </c>
      <c r="U630" s="3" t="s">
        <v>41</v>
      </c>
      <c r="V630" s="2" t="s">
        <v>283</v>
      </c>
      <c r="W630" s="2">
        <v>3</v>
      </c>
      <c r="X630" s="2">
        <v>8</v>
      </c>
      <c r="Y630" s="2">
        <v>1</v>
      </c>
      <c r="Z630" s="2">
        <v>0</v>
      </c>
      <c r="AA630" s="2">
        <v>0</v>
      </c>
      <c r="AB630" s="12">
        <f>(W630*4+X630*1+Y630*-2+Z630*-3)/W630</f>
        <v>6</v>
      </c>
      <c r="AC630" s="3">
        <f>W630*12.0107+X630*1.00784+Y630*15.999+Z630*14.0067</f>
        <v>60.093820000000001</v>
      </c>
      <c r="AD630" s="12">
        <v>82.5</v>
      </c>
      <c r="AE630" s="2" t="s">
        <v>262</v>
      </c>
      <c r="AF630" s="2" t="s">
        <v>79</v>
      </c>
      <c r="AG630" s="2" t="str">
        <f>IF(AD630&gt;37,"Proton symporter", "Diffusion")</f>
        <v>Proton symporter</v>
      </c>
      <c r="AH630" s="3" t="s">
        <v>309</v>
      </c>
    </row>
    <row r="631" spans="1:34" hidden="1" x14ac:dyDescent="0.2">
      <c r="A631" s="8" t="s">
        <v>34</v>
      </c>
      <c r="B631" s="9" t="s">
        <v>35</v>
      </c>
      <c r="C631" s="1" t="s">
        <v>60</v>
      </c>
      <c r="D631" s="13" t="s">
        <v>51</v>
      </c>
      <c r="E631" s="1" t="s">
        <v>307</v>
      </c>
      <c r="F631" s="1" t="s">
        <v>308</v>
      </c>
      <c r="G631" s="1">
        <v>-10</v>
      </c>
      <c r="H631" s="1">
        <v>-20</v>
      </c>
      <c r="I631" s="1" t="s">
        <v>40</v>
      </c>
      <c r="J631" s="1">
        <v>3.15</v>
      </c>
      <c r="K631" s="1">
        <v>-10</v>
      </c>
      <c r="L631" s="1">
        <v>-2.83363636363636</v>
      </c>
      <c r="M631" s="1" t="s">
        <v>40</v>
      </c>
      <c r="N631" s="1">
        <v>1.88909090909091</v>
      </c>
      <c r="O631" s="1">
        <v>2.7036363636363698</v>
      </c>
      <c r="Q631" s="1">
        <v>0.27036363636363703</v>
      </c>
      <c r="R631" s="1">
        <v>0.50707385143256301</v>
      </c>
      <c r="S631" s="11" t="s">
        <v>307</v>
      </c>
      <c r="T631" s="2" t="s">
        <v>307</v>
      </c>
      <c r="U631" s="3" t="s">
        <v>41</v>
      </c>
      <c r="V631" s="2" t="s">
        <v>283</v>
      </c>
      <c r="W631" s="2">
        <v>3</v>
      </c>
      <c r="X631" s="2">
        <v>8</v>
      </c>
      <c r="Y631" s="2">
        <v>1</v>
      </c>
      <c r="Z631" s="2">
        <v>0</v>
      </c>
      <c r="AA631" s="2">
        <v>0</v>
      </c>
      <c r="AB631" s="12">
        <f>(W631*4+X631*1+Y631*-2+Z631*-3)/W631</f>
        <v>6</v>
      </c>
      <c r="AC631" s="3">
        <f>W631*12.0107+X631*1.00784+Y631*15.999+Z631*14.0067</f>
        <v>60.093820000000001</v>
      </c>
      <c r="AD631" s="12">
        <v>82.5</v>
      </c>
      <c r="AE631" s="2" t="s">
        <v>262</v>
      </c>
      <c r="AF631" s="2" t="s">
        <v>79</v>
      </c>
      <c r="AG631" s="2" t="str">
        <f>IF(AD631&gt;37,"Proton symporter", "Diffusion")</f>
        <v>Proton symporter</v>
      </c>
      <c r="AH631" s="3" t="s">
        <v>309</v>
      </c>
    </row>
    <row r="632" spans="1:34" hidden="1" x14ac:dyDescent="0.2">
      <c r="A632" s="8" t="s">
        <v>34</v>
      </c>
      <c r="B632" s="9" t="s">
        <v>35</v>
      </c>
      <c r="C632" s="1" t="s">
        <v>60</v>
      </c>
      <c r="D632" s="13" t="s">
        <v>51</v>
      </c>
      <c r="E632" s="1" t="s">
        <v>286</v>
      </c>
      <c r="F632" s="1" t="s">
        <v>280</v>
      </c>
      <c r="G632" s="1">
        <v>-10</v>
      </c>
      <c r="H632" s="1">
        <v>-20</v>
      </c>
      <c r="I632" s="1" t="s">
        <v>40</v>
      </c>
      <c r="J632" s="1">
        <v>3.15</v>
      </c>
      <c r="K632" s="1">
        <v>-10</v>
      </c>
      <c r="L632" s="1">
        <v>-2.8602272727272799</v>
      </c>
      <c r="M632" s="1" t="s">
        <v>40</v>
      </c>
      <c r="N632" s="1">
        <v>1.9068181818182099</v>
      </c>
      <c r="O632" s="1">
        <v>2.6977272727272799</v>
      </c>
      <c r="Q632" s="1">
        <v>0.269772727272728</v>
      </c>
      <c r="R632" s="1">
        <v>0.50596558645801404</v>
      </c>
      <c r="S632" s="20" t="s">
        <v>287</v>
      </c>
      <c r="T632" s="3" t="s">
        <v>288</v>
      </c>
      <c r="U632" s="3" t="s">
        <v>174</v>
      </c>
      <c r="V632" s="3" t="s">
        <v>283</v>
      </c>
      <c r="W632" s="3">
        <v>3</v>
      </c>
      <c r="X632" s="3">
        <v>8</v>
      </c>
      <c r="Y632" s="3">
        <v>1</v>
      </c>
      <c r="Z632" s="3">
        <v>0</v>
      </c>
      <c r="AA632" s="3">
        <v>0</v>
      </c>
      <c r="AB632" s="12">
        <f>(W632*4+X632*1+Y632*-2+Z632*-3)/W632</f>
        <v>6</v>
      </c>
      <c r="AC632" s="3">
        <f>W632*12.0107+X632*1.00784+Y632*15.999+Z632*14.0067</f>
        <v>60.093820000000001</v>
      </c>
      <c r="AD632" s="12">
        <v>97</v>
      </c>
      <c r="AE632" s="2" t="s">
        <v>262</v>
      </c>
      <c r="AF632" s="3" t="s">
        <v>44</v>
      </c>
      <c r="AG632" s="2" t="str">
        <f>IF(AD632&gt;37,"Proton symporter", "Diffusion")</f>
        <v>Proton symporter</v>
      </c>
      <c r="AH632" s="3" t="s">
        <v>285</v>
      </c>
    </row>
    <row r="633" spans="1:34" hidden="1" x14ac:dyDescent="0.2">
      <c r="A633" s="8" t="s">
        <v>34</v>
      </c>
      <c r="B633" s="9" t="s">
        <v>35</v>
      </c>
      <c r="C633" s="1" t="s">
        <v>59</v>
      </c>
      <c r="D633" s="13" t="s">
        <v>51</v>
      </c>
      <c r="E633" s="1" t="s">
        <v>286</v>
      </c>
      <c r="F633" s="1" t="s">
        <v>280</v>
      </c>
      <c r="G633" s="1">
        <v>-10</v>
      </c>
      <c r="H633" s="1">
        <v>-20</v>
      </c>
      <c r="I633" s="1" t="s">
        <v>40</v>
      </c>
      <c r="J633" s="1">
        <v>3.15</v>
      </c>
      <c r="K633" s="1">
        <v>-10</v>
      </c>
      <c r="L633" s="1">
        <v>-2.8602272727272702</v>
      </c>
      <c r="M633" s="1" t="s">
        <v>40</v>
      </c>
      <c r="N633" s="1">
        <v>1.90681818181816</v>
      </c>
      <c r="O633" s="1">
        <v>2.6977272727272701</v>
      </c>
      <c r="Q633" s="1">
        <v>0.269772727272727</v>
      </c>
      <c r="R633" s="1">
        <v>0.50596558645801104</v>
      </c>
      <c r="S633" s="20" t="s">
        <v>287</v>
      </c>
      <c r="T633" s="3" t="s">
        <v>288</v>
      </c>
      <c r="U633" s="3" t="s">
        <v>174</v>
      </c>
      <c r="V633" s="3" t="s">
        <v>283</v>
      </c>
      <c r="W633" s="3">
        <v>3</v>
      </c>
      <c r="X633" s="3">
        <v>8</v>
      </c>
      <c r="Y633" s="3">
        <v>1</v>
      </c>
      <c r="Z633" s="3">
        <v>0</v>
      </c>
      <c r="AA633" s="3">
        <v>0</v>
      </c>
      <c r="AB633" s="12">
        <f>(W633*4+X633*1+Y633*-2+Z633*-3)/W633</f>
        <v>6</v>
      </c>
      <c r="AC633" s="3">
        <f>W633*12.0107+X633*1.00784+Y633*15.999+Z633*14.0067</f>
        <v>60.093820000000001</v>
      </c>
      <c r="AD633" s="12">
        <v>97</v>
      </c>
      <c r="AE633" s="2" t="s">
        <v>262</v>
      </c>
      <c r="AF633" s="3" t="s">
        <v>44</v>
      </c>
      <c r="AG633" s="2" t="str">
        <f>IF(AD633&gt;37,"Proton symporter", "Diffusion")</f>
        <v>Proton symporter</v>
      </c>
      <c r="AH633" s="3" t="s">
        <v>285</v>
      </c>
    </row>
    <row r="634" spans="1:34" hidden="1" x14ac:dyDescent="0.2">
      <c r="A634" s="8" t="s">
        <v>34</v>
      </c>
      <c r="B634" s="9" t="s">
        <v>35</v>
      </c>
      <c r="C634" s="1" t="s">
        <v>49</v>
      </c>
      <c r="D634" s="10" t="s">
        <v>37</v>
      </c>
      <c r="E634" s="1" t="s">
        <v>211</v>
      </c>
      <c r="F634" s="1" t="s">
        <v>212</v>
      </c>
      <c r="G634" s="1">
        <v>-10</v>
      </c>
      <c r="H634" s="1">
        <v>-20</v>
      </c>
      <c r="I634" s="1" t="s">
        <v>40</v>
      </c>
      <c r="J634" s="1">
        <v>3.15</v>
      </c>
      <c r="K634" s="1">
        <v>-10</v>
      </c>
      <c r="L634" s="1">
        <v>-7.6456558773424099</v>
      </c>
      <c r="M634" s="1" t="s">
        <v>40</v>
      </c>
      <c r="N634" s="1">
        <v>2.1165247018739102</v>
      </c>
      <c r="O634" s="1">
        <v>2.2354344122657501</v>
      </c>
      <c r="Q634" s="1">
        <v>0.22354344122657499</v>
      </c>
      <c r="R634" s="1">
        <v>0.50538241002249196</v>
      </c>
      <c r="S634" s="20" t="s">
        <v>211</v>
      </c>
      <c r="T634" s="3" t="s">
        <v>211</v>
      </c>
      <c r="U634" s="3" t="s">
        <v>174</v>
      </c>
      <c r="V634" s="3" t="s">
        <v>213</v>
      </c>
      <c r="W634" s="3">
        <v>8</v>
      </c>
      <c r="X634" s="3">
        <v>8</v>
      </c>
      <c r="Y634" s="3">
        <v>0</v>
      </c>
      <c r="Z634" s="3">
        <v>0</v>
      </c>
      <c r="AA634" s="3">
        <v>0</v>
      </c>
      <c r="AB634" s="12">
        <f>(W634*4+X634*1+Y634*-2+Z634*-3)/W634</f>
        <v>5</v>
      </c>
      <c r="AC634" s="3">
        <f>W634*12.0107+X634*1.00784+Y634*15.999+Z634*14.0067</f>
        <v>104.14832</v>
      </c>
      <c r="AD634" s="12">
        <v>145</v>
      </c>
      <c r="AE634" s="3" t="s">
        <v>214</v>
      </c>
      <c r="AF634" s="3" t="s">
        <v>203</v>
      </c>
      <c r="AG634" s="2" t="str">
        <f>IF(AD634&gt;37,"Proton symporter", "Diffusion")</f>
        <v>Proton symporter</v>
      </c>
      <c r="AH634" s="3" t="s">
        <v>215</v>
      </c>
    </row>
    <row r="635" spans="1:34" hidden="1" x14ac:dyDescent="0.2">
      <c r="A635" s="8" t="s">
        <v>34</v>
      </c>
      <c r="B635" s="9" t="s">
        <v>35</v>
      </c>
      <c r="C635" s="1" t="s">
        <v>47</v>
      </c>
      <c r="D635" s="10" t="s">
        <v>37</v>
      </c>
      <c r="E635" s="1" t="s">
        <v>166</v>
      </c>
      <c r="F635" s="1" t="s">
        <v>167</v>
      </c>
      <c r="G635" s="1">
        <v>-10</v>
      </c>
      <c r="H635" s="1">
        <v>-20</v>
      </c>
      <c r="I635" s="1" t="s">
        <v>40</v>
      </c>
      <c r="J635" s="1">
        <v>3.15</v>
      </c>
      <c r="K635" s="1">
        <v>-10</v>
      </c>
      <c r="L635" s="1">
        <v>-8.6320895522387708</v>
      </c>
      <c r="M635" s="1" t="s">
        <v>40</v>
      </c>
      <c r="N635" s="1">
        <v>5.4507462686566601</v>
      </c>
      <c r="O635" s="1">
        <v>3.6373134328358199</v>
      </c>
      <c r="Q635" s="1">
        <v>0.36373134328358198</v>
      </c>
      <c r="R635" s="1">
        <v>0.50450558891094199</v>
      </c>
      <c r="S635" s="11" t="s">
        <v>166</v>
      </c>
      <c r="T635" s="2" t="s">
        <v>168</v>
      </c>
      <c r="U635" s="3" t="s">
        <v>41</v>
      </c>
      <c r="V635" s="2" t="s">
        <v>169</v>
      </c>
      <c r="W635" s="2">
        <v>4</v>
      </c>
      <c r="X635" s="2">
        <v>6</v>
      </c>
      <c r="Y635" s="2">
        <v>2</v>
      </c>
      <c r="Z635" s="2">
        <v>0</v>
      </c>
      <c r="AA635" s="2">
        <v>0</v>
      </c>
      <c r="AB635" s="12">
        <f>(W635*4+X635*1+Y635*-2+Z635*-3)/W635</f>
        <v>4.5</v>
      </c>
      <c r="AC635" s="3">
        <f>W635*12.0107+X635*1.00784+Y635*15.999+Z635*14.0067</f>
        <v>86.08784</v>
      </c>
      <c r="AD635" s="12">
        <v>204</v>
      </c>
      <c r="AE635" s="2" t="s">
        <v>170</v>
      </c>
      <c r="AF635" s="2" t="s">
        <v>120</v>
      </c>
      <c r="AG635" s="2" t="str">
        <f>IF(AD635&gt;37,"Proton symporter", "Diffusion")</f>
        <v>Proton symporter</v>
      </c>
      <c r="AH635" s="3" t="s">
        <v>171</v>
      </c>
    </row>
    <row r="636" spans="1:34" hidden="1" x14ac:dyDescent="0.2">
      <c r="A636" s="8" t="s">
        <v>34</v>
      </c>
      <c r="B636" s="9" t="s">
        <v>35</v>
      </c>
      <c r="C636" s="1" t="s">
        <v>47</v>
      </c>
      <c r="D636" s="10" t="s">
        <v>37</v>
      </c>
      <c r="E636" s="1" t="s">
        <v>240</v>
      </c>
      <c r="F636" s="1" t="s">
        <v>235</v>
      </c>
      <c r="G636" s="1">
        <v>-10</v>
      </c>
      <c r="H636" s="1">
        <v>-20</v>
      </c>
      <c r="I636" s="1" t="s">
        <v>40</v>
      </c>
      <c r="J636" s="1">
        <v>3.15</v>
      </c>
      <c r="K636" s="1">
        <v>-10</v>
      </c>
      <c r="L636" s="1">
        <v>-6.0427419354838703</v>
      </c>
      <c r="M636" s="1" t="s">
        <v>40</v>
      </c>
      <c r="N636" s="1">
        <v>6.2129032258064498</v>
      </c>
      <c r="O636" s="1">
        <v>3.4467741935483902</v>
      </c>
      <c r="Q636" s="1">
        <v>0.34467741935483898</v>
      </c>
      <c r="R636" s="1">
        <v>0.50046487778125603</v>
      </c>
      <c r="S636" s="20" t="s">
        <v>241</v>
      </c>
      <c r="T636" s="3" t="s">
        <v>242</v>
      </c>
      <c r="U636" s="3" t="s">
        <v>106</v>
      </c>
      <c r="V636" s="3" t="s">
        <v>238</v>
      </c>
      <c r="W636" s="3">
        <v>4</v>
      </c>
      <c r="X636" s="3">
        <v>10</v>
      </c>
      <c r="Y636" s="3">
        <v>2</v>
      </c>
      <c r="Z636" s="3">
        <v>0</v>
      </c>
      <c r="AA636" s="3">
        <v>0</v>
      </c>
      <c r="AB636" s="12">
        <f>(W636*4+X636*1+Y636*-2+Z636*-3)/W636</f>
        <v>5.5</v>
      </c>
      <c r="AC636" s="3">
        <f>W636*12.0107+X636*1.00784+Y636*15.999+Z636*14.0067</f>
        <v>90.119200000000006</v>
      </c>
      <c r="AD636" s="12">
        <v>207</v>
      </c>
      <c r="AE636" s="2" t="s">
        <v>220</v>
      </c>
      <c r="AF636" s="3" t="s">
        <v>243</v>
      </c>
      <c r="AG636" s="2" t="str">
        <f>IF(AD636&gt;37,"Proton symporter", "Diffusion")</f>
        <v>Proton symporter</v>
      </c>
      <c r="AH636" s="3" t="s">
        <v>239</v>
      </c>
    </row>
    <row r="637" spans="1:34" hidden="1" x14ac:dyDescent="0.2">
      <c r="A637" s="16" t="s">
        <v>74</v>
      </c>
      <c r="B637" s="9" t="s">
        <v>35</v>
      </c>
      <c r="C637" t="s">
        <v>57</v>
      </c>
      <c r="D637" s="10" t="s">
        <v>37</v>
      </c>
      <c r="E637" t="s">
        <v>194</v>
      </c>
      <c r="F637" t="s">
        <v>195</v>
      </c>
      <c r="G637">
        <v>-10</v>
      </c>
      <c r="H637">
        <v>-20</v>
      </c>
      <c r="I637" s="1" t="s">
        <v>40</v>
      </c>
      <c r="J637">
        <v>3.15</v>
      </c>
      <c r="K637">
        <v>-10</v>
      </c>
      <c r="L637">
        <v>-5.7220588235294096</v>
      </c>
      <c r="M637" s="1" t="s">
        <v>40</v>
      </c>
      <c r="N637">
        <v>7.7617647058823502</v>
      </c>
      <c r="O637">
        <v>2.0397058823529401</v>
      </c>
      <c r="P637"/>
      <c r="Q637">
        <v>0.20397058823529399</v>
      </c>
      <c r="R637">
        <v>0.49995143522672503</v>
      </c>
      <c r="S637" s="3" t="s">
        <v>194</v>
      </c>
      <c r="T637" s="2" t="s">
        <v>196</v>
      </c>
      <c r="U637" s="3" t="s">
        <v>35</v>
      </c>
      <c r="V637" s="3" t="s">
        <v>197</v>
      </c>
      <c r="W637" s="3">
        <v>6</v>
      </c>
      <c r="X637" s="3">
        <v>15</v>
      </c>
      <c r="Y637" s="3">
        <v>2</v>
      </c>
      <c r="Z637" s="3">
        <v>2</v>
      </c>
      <c r="AA637" s="3">
        <v>1</v>
      </c>
      <c r="AB637" s="12">
        <f>(W637*4+X637*1+Y637*-2+Z637*-3)/W637</f>
        <v>4.833333333333333</v>
      </c>
      <c r="AC637" s="3">
        <f>W637*12.0107+X637*1.00784+Y637*15.999+Z637*14.0067</f>
        <v>147.19319999999999</v>
      </c>
      <c r="AD637" s="12" t="s">
        <v>40</v>
      </c>
      <c r="AE637" s="3" t="s">
        <v>119</v>
      </c>
      <c r="AF637" s="3" t="s">
        <v>44</v>
      </c>
      <c r="AG637" s="2" t="s">
        <v>80</v>
      </c>
      <c r="AH637" s="2" t="s">
        <v>198</v>
      </c>
    </row>
    <row r="638" spans="1:34" hidden="1" x14ac:dyDescent="0.2">
      <c r="A638" s="8" t="s">
        <v>34</v>
      </c>
      <c r="B638" s="9" t="s">
        <v>35</v>
      </c>
      <c r="C638" s="1" t="s">
        <v>61</v>
      </c>
      <c r="D638" s="13" t="s">
        <v>51</v>
      </c>
      <c r="E638" s="1" t="s">
        <v>240</v>
      </c>
      <c r="F638" s="1" t="s">
        <v>235</v>
      </c>
      <c r="G638" s="1">
        <v>-10</v>
      </c>
      <c r="H638" s="1">
        <v>-20</v>
      </c>
      <c r="I638" s="1" t="s">
        <v>40</v>
      </c>
      <c r="J638" s="1">
        <v>3.15</v>
      </c>
      <c r="K638" s="1">
        <v>-10</v>
      </c>
      <c r="L638" s="1">
        <v>-5.2429999999999799</v>
      </c>
      <c r="M638" s="1" t="s">
        <v>40</v>
      </c>
      <c r="N638" s="1">
        <v>2.9039999999999999</v>
      </c>
      <c r="O638" s="1">
        <v>1.77399999999999</v>
      </c>
      <c r="Q638" s="1">
        <v>0.177399999999999</v>
      </c>
      <c r="R638" s="1">
        <v>0.49895808940153502</v>
      </c>
      <c r="S638" s="20" t="s">
        <v>241</v>
      </c>
      <c r="T638" s="3" t="s">
        <v>242</v>
      </c>
      <c r="U638" s="3" t="s">
        <v>106</v>
      </c>
      <c r="V638" s="3" t="s">
        <v>238</v>
      </c>
      <c r="W638" s="3">
        <v>4</v>
      </c>
      <c r="X638" s="3">
        <v>10</v>
      </c>
      <c r="Y638" s="3">
        <v>2</v>
      </c>
      <c r="Z638" s="3">
        <v>0</v>
      </c>
      <c r="AA638" s="3">
        <v>0</v>
      </c>
      <c r="AB638" s="12">
        <f>(W638*4+X638*1+Y638*-2+Z638*-3)/W638</f>
        <v>5.5</v>
      </c>
      <c r="AC638" s="3">
        <f>W638*12.0107+X638*1.00784+Y638*15.999+Z638*14.0067</f>
        <v>90.119200000000006</v>
      </c>
      <c r="AD638" s="12">
        <v>207</v>
      </c>
      <c r="AE638" s="2" t="s">
        <v>220</v>
      </c>
      <c r="AF638" s="3" t="s">
        <v>243</v>
      </c>
      <c r="AG638" s="2" t="str">
        <f>IF(AD638&gt;37,"Proton symporter", "Diffusion")</f>
        <v>Proton symporter</v>
      </c>
      <c r="AH638" s="3" t="s">
        <v>239</v>
      </c>
    </row>
    <row r="639" spans="1:34" hidden="1" x14ac:dyDescent="0.2">
      <c r="A639" s="8" t="s">
        <v>34</v>
      </c>
      <c r="B639" s="9" t="s">
        <v>35</v>
      </c>
      <c r="C639" s="1" t="s">
        <v>46</v>
      </c>
      <c r="D639" s="10" t="s">
        <v>37</v>
      </c>
      <c r="E639" s="1" t="s">
        <v>205</v>
      </c>
      <c r="F639" s="1" t="s">
        <v>206</v>
      </c>
      <c r="G639" s="1">
        <v>-10</v>
      </c>
      <c r="H639" s="1">
        <v>-20</v>
      </c>
      <c r="I639" s="1" t="s">
        <v>40</v>
      </c>
      <c r="J639" s="1">
        <v>3.15</v>
      </c>
      <c r="K639" s="1">
        <v>-10</v>
      </c>
      <c r="L639" s="1">
        <v>-3.28169014084507</v>
      </c>
      <c r="M639" s="1" t="s">
        <v>40</v>
      </c>
      <c r="N639" s="1">
        <v>6.6253521126760599</v>
      </c>
      <c r="O639" s="1">
        <v>3.3436619718309801</v>
      </c>
      <c r="Q639" s="1">
        <v>0.33436619718309801</v>
      </c>
      <c r="R639" s="1">
        <v>0.49893939765928003</v>
      </c>
      <c r="S639" s="20" t="s">
        <v>205</v>
      </c>
      <c r="T639" s="3" t="s">
        <v>207</v>
      </c>
      <c r="U639" s="3" t="s">
        <v>106</v>
      </c>
      <c r="V639" s="3" t="s">
        <v>208</v>
      </c>
      <c r="W639" s="3">
        <v>4</v>
      </c>
      <c r="X639" s="3">
        <v>8</v>
      </c>
      <c r="Y639" s="3">
        <v>2</v>
      </c>
      <c r="Z639" s="3">
        <v>0</v>
      </c>
      <c r="AA639" s="3">
        <v>0</v>
      </c>
      <c r="AB639" s="12">
        <f>(W639*4+X639*1+Y639*-2+Z639*-3)/W639</f>
        <v>5</v>
      </c>
      <c r="AC639" s="3">
        <f>W639*12.0107+X639*1.00784+Y639*15.999+Z639*14.0067</f>
        <v>88.103520000000003</v>
      </c>
      <c r="AD639" s="12">
        <v>77.099999999999994</v>
      </c>
      <c r="AE639" s="3" t="s">
        <v>209</v>
      </c>
      <c r="AF639" s="3" t="s">
        <v>79</v>
      </c>
      <c r="AG639" s="2" t="str">
        <f>IF(AD639&gt;37,"Proton symporter", "Diffusion")</f>
        <v>Proton symporter</v>
      </c>
      <c r="AH639" s="3" t="s">
        <v>210</v>
      </c>
    </row>
    <row r="640" spans="1:34" hidden="1" x14ac:dyDescent="0.2">
      <c r="A640" s="8" t="s">
        <v>34</v>
      </c>
      <c r="B640" s="9" t="s">
        <v>35</v>
      </c>
      <c r="C640" s="1" t="s">
        <v>47</v>
      </c>
      <c r="D640" s="10" t="s">
        <v>37</v>
      </c>
      <c r="E640" s="1" t="s">
        <v>186</v>
      </c>
      <c r="F640" s="1" t="s">
        <v>187</v>
      </c>
      <c r="G640" s="1">
        <v>-10</v>
      </c>
      <c r="H640" s="1">
        <v>-20</v>
      </c>
      <c r="I640" s="1" t="s">
        <v>40</v>
      </c>
      <c r="J640" s="1">
        <v>3.15</v>
      </c>
      <c r="K640" s="1">
        <v>-10</v>
      </c>
      <c r="L640" s="1">
        <v>-7.2460317460317398</v>
      </c>
      <c r="M640" s="1" t="s">
        <v>40</v>
      </c>
      <c r="N640" s="1">
        <v>5.7968253968253904</v>
      </c>
      <c r="O640" s="1">
        <v>3.5507936507936502</v>
      </c>
      <c r="Q640" s="1">
        <v>0.35507936507936499</v>
      </c>
      <c r="R640" s="1">
        <v>0.49827086403521997</v>
      </c>
      <c r="S640" s="11" t="s">
        <v>186</v>
      </c>
      <c r="T640" s="2" t="s">
        <v>186</v>
      </c>
      <c r="U640" s="3" t="s">
        <v>41</v>
      </c>
      <c r="V640" s="2" t="s">
        <v>184</v>
      </c>
      <c r="W640" s="2">
        <v>4</v>
      </c>
      <c r="X640" s="2">
        <v>7</v>
      </c>
      <c r="Y640" s="2">
        <v>2</v>
      </c>
      <c r="Z640" s="2">
        <v>0</v>
      </c>
      <c r="AA640" s="2">
        <v>0</v>
      </c>
      <c r="AB640" s="12">
        <f>(W640*4+X640*1+Y640*-2+Z640*-3)/W640</f>
        <v>4.75</v>
      </c>
      <c r="AC640" s="3">
        <f>W640*12.0107+X640*1.00784+Y640*15.999+Z640*14.0067</f>
        <v>87.095680000000002</v>
      </c>
      <c r="AD640" s="12">
        <v>155</v>
      </c>
      <c r="AE640" s="2" t="s">
        <v>131</v>
      </c>
      <c r="AF640" s="2" t="s">
        <v>135</v>
      </c>
      <c r="AG640" s="2" t="str">
        <f>IF(AD640&gt;37,"Proton symporter", "Diffusion")</f>
        <v>Proton symporter</v>
      </c>
      <c r="AH640" s="3" t="s">
        <v>188</v>
      </c>
    </row>
    <row r="641" spans="1:34" hidden="1" x14ac:dyDescent="0.2">
      <c r="A641" s="8" t="s">
        <v>34</v>
      </c>
      <c r="B641" s="9" t="s">
        <v>35</v>
      </c>
      <c r="C641" s="1" t="s">
        <v>56</v>
      </c>
      <c r="D641" s="14" t="s">
        <v>55</v>
      </c>
      <c r="E641" s="1" t="s">
        <v>222</v>
      </c>
      <c r="F641" s="1" t="s">
        <v>223</v>
      </c>
      <c r="G641" s="1">
        <v>-10</v>
      </c>
      <c r="H641" s="1">
        <v>-20</v>
      </c>
      <c r="I641" s="1" t="s">
        <v>40</v>
      </c>
      <c r="J641" s="1">
        <v>3.15</v>
      </c>
      <c r="K641" s="1">
        <v>-10</v>
      </c>
      <c r="L641" s="1">
        <v>-3.5898989898989799</v>
      </c>
      <c r="M641" s="1" t="s">
        <v>40</v>
      </c>
      <c r="N641" s="1">
        <v>6.4424242424241696</v>
      </c>
      <c r="O641" s="1">
        <v>7.8525252525252096</v>
      </c>
      <c r="Q641" s="1">
        <v>0.78525252525252098</v>
      </c>
      <c r="R641" s="1">
        <v>0.49521244853313101</v>
      </c>
      <c r="S641" s="11" t="s">
        <v>222</v>
      </c>
      <c r="T641" s="2" t="s">
        <v>222</v>
      </c>
      <c r="U641" s="3" t="s">
        <v>41</v>
      </c>
      <c r="V641" s="2" t="s">
        <v>224</v>
      </c>
      <c r="W641" s="2">
        <v>3</v>
      </c>
      <c r="X641" s="2">
        <v>6</v>
      </c>
      <c r="Y641" s="2">
        <v>1</v>
      </c>
      <c r="Z641" s="2">
        <v>0</v>
      </c>
      <c r="AA641" s="2">
        <v>0</v>
      </c>
      <c r="AB641" s="12">
        <f>(W641*4+X641*1+Y641*-2+Z641*-3)/W641</f>
        <v>5.333333333333333</v>
      </c>
      <c r="AC641" s="3">
        <f>W641*12.0107+X641*1.00784+Y641*15.999+Z641*14.0067</f>
        <v>58.078140000000005</v>
      </c>
      <c r="AD641" s="12">
        <v>56</v>
      </c>
      <c r="AE641" s="2" t="s">
        <v>225</v>
      </c>
      <c r="AF641" s="2" t="s">
        <v>79</v>
      </c>
      <c r="AG641" s="2" t="str">
        <f>IF(AD641&gt;37,"Proton symporter", "Diffusion")</f>
        <v>Proton symporter</v>
      </c>
      <c r="AH641" s="3" t="s">
        <v>226</v>
      </c>
    </row>
    <row r="642" spans="1:34" hidden="1" x14ac:dyDescent="0.2">
      <c r="A642" s="16" t="s">
        <v>74</v>
      </c>
      <c r="B642" s="9" t="s">
        <v>35</v>
      </c>
      <c r="C642" t="s">
        <v>46</v>
      </c>
      <c r="D642" s="10" t="s">
        <v>37</v>
      </c>
      <c r="E642" t="s">
        <v>194</v>
      </c>
      <c r="F642" t="s">
        <v>195</v>
      </c>
      <c r="G642">
        <v>-10</v>
      </c>
      <c r="H642">
        <v>-20</v>
      </c>
      <c r="I642" s="1" t="s">
        <v>40</v>
      </c>
      <c r="J642">
        <v>3.15</v>
      </c>
      <c r="K642">
        <v>-10</v>
      </c>
      <c r="L642">
        <v>-6.14</v>
      </c>
      <c r="M642" s="1" t="s">
        <v>40</v>
      </c>
      <c r="N642">
        <v>8.1200000000000099</v>
      </c>
      <c r="O642">
        <v>1.98</v>
      </c>
      <c r="P642"/>
      <c r="Q642">
        <v>0.19800000000000001</v>
      </c>
      <c r="R642">
        <v>0.49361131868139402</v>
      </c>
      <c r="S642" s="3" t="s">
        <v>194</v>
      </c>
      <c r="T642" s="2" t="s">
        <v>196</v>
      </c>
      <c r="U642" s="3" t="s">
        <v>35</v>
      </c>
      <c r="V642" s="3" t="s">
        <v>197</v>
      </c>
      <c r="W642" s="3">
        <v>6</v>
      </c>
      <c r="X642" s="3">
        <v>15</v>
      </c>
      <c r="Y642" s="3">
        <v>2</v>
      </c>
      <c r="Z642" s="3">
        <v>2</v>
      </c>
      <c r="AA642" s="3">
        <v>1</v>
      </c>
      <c r="AB642" s="12">
        <f>(W642*4+X642*1+Y642*-2+Z642*-3)/W642</f>
        <v>4.833333333333333</v>
      </c>
      <c r="AC642" s="3">
        <f>W642*12.0107+X642*1.00784+Y642*15.999+Z642*14.0067</f>
        <v>147.19319999999999</v>
      </c>
      <c r="AD642" s="12" t="s">
        <v>40</v>
      </c>
      <c r="AE642" s="3" t="s">
        <v>119</v>
      </c>
      <c r="AF642" s="3" t="s">
        <v>44</v>
      </c>
      <c r="AG642" s="2" t="s">
        <v>80</v>
      </c>
      <c r="AH642" s="2" t="s">
        <v>198</v>
      </c>
    </row>
    <row r="643" spans="1:34" hidden="1" x14ac:dyDescent="0.2">
      <c r="A643" s="8" t="s">
        <v>34</v>
      </c>
      <c r="B643" s="9" t="s">
        <v>35</v>
      </c>
      <c r="C643" s="1" t="s">
        <v>47</v>
      </c>
      <c r="D643" s="23" t="s">
        <v>37</v>
      </c>
      <c r="E643" s="1" t="s">
        <v>234</v>
      </c>
      <c r="F643" s="1" t="s">
        <v>235</v>
      </c>
      <c r="G643" s="1">
        <v>-10</v>
      </c>
      <c r="H643" s="1">
        <v>-20</v>
      </c>
      <c r="I643" s="1" t="s">
        <v>40</v>
      </c>
      <c r="J643" s="1">
        <v>3.15</v>
      </c>
      <c r="K643" s="1">
        <v>-10</v>
      </c>
      <c r="L643" s="1">
        <v>-6.3436507936507898</v>
      </c>
      <c r="M643" s="1" t="s">
        <v>40</v>
      </c>
      <c r="N643" s="1">
        <v>6.4317460317460302</v>
      </c>
      <c r="O643" s="1">
        <v>3.3920634920634898</v>
      </c>
      <c r="Q643" s="1">
        <v>0.33920634920634901</v>
      </c>
      <c r="R643" s="1">
        <v>0.49252099083234802</v>
      </c>
      <c r="S643" s="20" t="s">
        <v>236</v>
      </c>
      <c r="T643" s="3" t="s">
        <v>237</v>
      </c>
      <c r="U643" s="3" t="s">
        <v>106</v>
      </c>
      <c r="V643" s="3" t="s">
        <v>238</v>
      </c>
      <c r="W643" s="3">
        <v>4</v>
      </c>
      <c r="X643" s="3">
        <v>10</v>
      </c>
      <c r="Y643" s="3">
        <v>2</v>
      </c>
      <c r="Z643" s="3">
        <v>0</v>
      </c>
      <c r="AA643" s="3">
        <v>0</v>
      </c>
      <c r="AB643" s="12">
        <f>(W643*4+X643*1+Y643*-2+Z643*-3)/W643</f>
        <v>5.5</v>
      </c>
      <c r="AC643" s="3">
        <f>W643*12.0107+X643*1.00784+Y643*15.999+Z643*14.0067</f>
        <v>90.119200000000006</v>
      </c>
      <c r="AD643" s="12">
        <v>207</v>
      </c>
      <c r="AE643" s="2" t="s">
        <v>220</v>
      </c>
      <c r="AF643" s="3" t="s">
        <v>79</v>
      </c>
      <c r="AG643" s="2" t="str">
        <f>IF(AD643&gt;37,"Proton symporter", "Diffusion")</f>
        <v>Proton symporter</v>
      </c>
      <c r="AH643" s="3" t="s">
        <v>239</v>
      </c>
    </row>
    <row r="644" spans="1:34" hidden="1" x14ac:dyDescent="0.2">
      <c r="A644" s="8" t="s">
        <v>34</v>
      </c>
      <c r="B644" s="9" t="s">
        <v>35</v>
      </c>
      <c r="C644" s="1" t="s">
        <v>59</v>
      </c>
      <c r="D644" s="13" t="s">
        <v>51</v>
      </c>
      <c r="E644" s="1" t="s">
        <v>310</v>
      </c>
      <c r="F644" s="1" t="s">
        <v>311</v>
      </c>
      <c r="G644" s="1">
        <v>-10</v>
      </c>
      <c r="H644" s="1">
        <v>-20</v>
      </c>
      <c r="I644" s="1" t="s">
        <v>40</v>
      </c>
      <c r="J644" s="1">
        <v>3.15</v>
      </c>
      <c r="K644" s="1">
        <v>-10</v>
      </c>
      <c r="L644" s="1">
        <v>-1.5774193548387101</v>
      </c>
      <c r="M644" s="1" t="s">
        <v>40</v>
      </c>
      <c r="N644" s="1">
        <v>1.0516129032258099</v>
      </c>
      <c r="O644" s="1">
        <v>1.7896774193548399</v>
      </c>
      <c r="Q644" s="1">
        <v>0.17896774193548401</v>
      </c>
      <c r="R644" s="1">
        <v>0.492349328703092</v>
      </c>
      <c r="S644" s="20" t="s">
        <v>310</v>
      </c>
      <c r="T644" s="3" t="s">
        <v>312</v>
      </c>
      <c r="U644" s="3" t="s">
        <v>106</v>
      </c>
      <c r="V644" s="3" t="s">
        <v>292</v>
      </c>
      <c r="W644" s="3">
        <v>5</v>
      </c>
      <c r="X644" s="3">
        <v>12</v>
      </c>
      <c r="Y644" s="3">
        <v>1</v>
      </c>
      <c r="Z644" s="3">
        <v>0</v>
      </c>
      <c r="AA644" s="3">
        <v>0</v>
      </c>
      <c r="AB644" s="12">
        <f>(W644*4+X644*1+Y644*-2+Z644*-3)/W644</f>
        <v>6</v>
      </c>
      <c r="AC644" s="3">
        <f>W644*12.0107+X644*1.00784+Y644*15.999+Z644*14.0067</f>
        <v>88.14658</v>
      </c>
      <c r="AD644" s="12">
        <v>138</v>
      </c>
      <c r="AE644" s="3" t="s">
        <v>262</v>
      </c>
      <c r="AF644" s="2" t="s">
        <v>313</v>
      </c>
      <c r="AG644" s="2" t="str">
        <f>IF(AD644&gt;37,"Proton symporter", "Diffusion")</f>
        <v>Proton symporter</v>
      </c>
      <c r="AH644" s="3" t="s">
        <v>314</v>
      </c>
    </row>
    <row r="645" spans="1:34" hidden="1" x14ac:dyDescent="0.2">
      <c r="A645" s="8" t="s">
        <v>34</v>
      </c>
      <c r="B645" s="9" t="s">
        <v>35</v>
      </c>
      <c r="C645" s="1" t="s">
        <v>60</v>
      </c>
      <c r="D645" s="13" t="s">
        <v>51</v>
      </c>
      <c r="E645" s="1" t="s">
        <v>310</v>
      </c>
      <c r="F645" s="1" t="s">
        <v>311</v>
      </c>
      <c r="G645" s="1">
        <v>-10</v>
      </c>
      <c r="H645" s="1">
        <v>-20</v>
      </c>
      <c r="I645" s="1" t="s">
        <v>40</v>
      </c>
      <c r="J645" s="1">
        <v>3.15</v>
      </c>
      <c r="K645" s="1">
        <v>-10</v>
      </c>
      <c r="L645" s="1">
        <v>-1.5774193548387101</v>
      </c>
      <c r="M645" s="1" t="s">
        <v>40</v>
      </c>
      <c r="N645" s="1">
        <v>1.0516129032258099</v>
      </c>
      <c r="O645" s="1">
        <v>1.7896774193548399</v>
      </c>
      <c r="Q645" s="1">
        <v>0.17896774193548401</v>
      </c>
      <c r="R645" s="1">
        <v>0.492349328703092</v>
      </c>
      <c r="S645" s="20" t="s">
        <v>310</v>
      </c>
      <c r="T645" s="3" t="s">
        <v>312</v>
      </c>
      <c r="U645" s="3" t="s">
        <v>106</v>
      </c>
      <c r="V645" s="3" t="s">
        <v>292</v>
      </c>
      <c r="W645" s="3">
        <v>5</v>
      </c>
      <c r="X645" s="3">
        <v>12</v>
      </c>
      <c r="Y645" s="3">
        <v>1</v>
      </c>
      <c r="Z645" s="3">
        <v>0</v>
      </c>
      <c r="AA645" s="3">
        <v>0</v>
      </c>
      <c r="AB645" s="12">
        <f>(W645*4+X645*1+Y645*-2+Z645*-3)/W645</f>
        <v>6</v>
      </c>
      <c r="AC645" s="3">
        <f>W645*12.0107+X645*1.00784+Y645*15.999+Z645*14.0067</f>
        <v>88.14658</v>
      </c>
      <c r="AD645" s="12">
        <v>138</v>
      </c>
      <c r="AE645" s="3" t="s">
        <v>262</v>
      </c>
      <c r="AF645" s="2" t="s">
        <v>313</v>
      </c>
      <c r="AG645" s="2" t="str">
        <f>IF(AD645&gt;37,"Proton symporter", "Diffusion")</f>
        <v>Proton symporter</v>
      </c>
      <c r="AH645" s="3" t="s">
        <v>314</v>
      </c>
    </row>
    <row r="646" spans="1:34" hidden="1" x14ac:dyDescent="0.2">
      <c r="A646" s="8" t="s">
        <v>34</v>
      </c>
      <c r="B646" s="9" t="s">
        <v>35</v>
      </c>
      <c r="C646" s="1" t="s">
        <v>47</v>
      </c>
      <c r="D646" s="10" t="s">
        <v>37</v>
      </c>
      <c r="E646" s="1" t="s">
        <v>249</v>
      </c>
      <c r="F646" s="1" t="s">
        <v>250</v>
      </c>
      <c r="G646" s="1">
        <v>-10</v>
      </c>
      <c r="H646" s="1">
        <v>-20</v>
      </c>
      <c r="I646" s="1" t="s">
        <v>40</v>
      </c>
      <c r="J646" s="1">
        <v>3.15</v>
      </c>
      <c r="K646" s="1">
        <v>-10</v>
      </c>
      <c r="L646" s="1">
        <v>-6.3583333333333298</v>
      </c>
      <c r="M646" s="1" t="s">
        <v>40</v>
      </c>
      <c r="N646" s="1">
        <v>6.4424242424242797</v>
      </c>
      <c r="O646" s="1">
        <v>3.3893939393939498</v>
      </c>
      <c r="Q646" s="1">
        <v>0.33893939393939498</v>
      </c>
      <c r="R646" s="1">
        <v>0.49213337700113402</v>
      </c>
      <c r="S646" s="20" t="s">
        <v>251</v>
      </c>
      <c r="T646" s="3" t="s">
        <v>252</v>
      </c>
      <c r="U646" s="3" t="s">
        <v>106</v>
      </c>
      <c r="V646" s="3" t="s">
        <v>238</v>
      </c>
      <c r="W646" s="3">
        <v>4</v>
      </c>
      <c r="X646" s="3">
        <v>10</v>
      </c>
      <c r="Y646" s="3">
        <v>2</v>
      </c>
      <c r="Z646" s="3">
        <v>0</v>
      </c>
      <c r="AA646" s="3">
        <v>0</v>
      </c>
      <c r="AB646" s="12">
        <f>(W646*4+X646*1+Y646*-2+Z646*-3)/W646</f>
        <v>5.5</v>
      </c>
      <c r="AC646" s="3">
        <f>W646*12.0107+X646*1.00784+Y646*15.999+Z646*14.0067</f>
        <v>90.119200000000006</v>
      </c>
      <c r="AD646" s="12">
        <v>177</v>
      </c>
      <c r="AE646" s="3" t="s">
        <v>220</v>
      </c>
      <c r="AF646" s="3" t="s">
        <v>135</v>
      </c>
      <c r="AG646" s="2" t="str">
        <f>IF(AD646&gt;37,"Proton symporter", "Diffusion")</f>
        <v>Proton symporter</v>
      </c>
      <c r="AH646" s="3" t="s">
        <v>253</v>
      </c>
    </row>
    <row r="647" spans="1:34" hidden="1" x14ac:dyDescent="0.2">
      <c r="A647" s="8" t="s">
        <v>34</v>
      </c>
      <c r="B647" s="9" t="s">
        <v>35</v>
      </c>
      <c r="C647" s="1" t="s">
        <v>61</v>
      </c>
      <c r="D647" s="13" t="s">
        <v>51</v>
      </c>
      <c r="E647" s="1" t="s">
        <v>186</v>
      </c>
      <c r="F647" s="1" t="s">
        <v>187</v>
      </c>
      <c r="G647" s="1">
        <v>-10</v>
      </c>
      <c r="H647" s="1">
        <v>-20</v>
      </c>
      <c r="I647" s="1" t="s">
        <v>40</v>
      </c>
      <c r="J647" s="1">
        <v>3.15</v>
      </c>
      <c r="K647" s="1">
        <v>-10</v>
      </c>
      <c r="L647" s="1">
        <v>-5.9489795918367303</v>
      </c>
      <c r="M647" s="1" t="s">
        <v>40</v>
      </c>
      <c r="N647" s="1">
        <v>2.75918367346938</v>
      </c>
      <c r="O647" s="1">
        <v>1.8102040816326499</v>
      </c>
      <c r="Q647" s="1">
        <v>0.18102040816326501</v>
      </c>
      <c r="R647" s="1">
        <v>0.49205911236573002</v>
      </c>
      <c r="S647" s="11" t="s">
        <v>186</v>
      </c>
      <c r="T647" s="2" t="s">
        <v>186</v>
      </c>
      <c r="U647" s="3" t="s">
        <v>41</v>
      </c>
      <c r="V647" s="2" t="s">
        <v>184</v>
      </c>
      <c r="W647" s="2">
        <v>4</v>
      </c>
      <c r="X647" s="2">
        <v>7</v>
      </c>
      <c r="Y647" s="2">
        <v>2</v>
      </c>
      <c r="Z647" s="2">
        <v>0</v>
      </c>
      <c r="AA647" s="2">
        <v>0</v>
      </c>
      <c r="AB647" s="12">
        <f>(W647*4+X647*1+Y647*-2+Z647*-3)/W647</f>
        <v>4.75</v>
      </c>
      <c r="AC647" s="3">
        <f>W647*12.0107+X647*1.00784+Y647*15.999+Z647*14.0067</f>
        <v>87.095680000000002</v>
      </c>
      <c r="AD647" s="12">
        <v>155</v>
      </c>
      <c r="AE647" s="2" t="s">
        <v>131</v>
      </c>
      <c r="AF647" s="2" t="s">
        <v>135</v>
      </c>
      <c r="AG647" s="2" t="str">
        <f>IF(AD647&gt;37,"Proton symporter", "Diffusion")</f>
        <v>Proton symporter</v>
      </c>
      <c r="AH647" s="3" t="s">
        <v>188</v>
      </c>
    </row>
    <row r="648" spans="1:34" x14ac:dyDescent="0.2">
      <c r="A648" s="16" t="s">
        <v>63</v>
      </c>
      <c r="B648" s="17" t="s">
        <v>64</v>
      </c>
      <c r="C648" t="s">
        <v>67</v>
      </c>
      <c r="D648" s="18" t="s">
        <v>66</v>
      </c>
      <c r="E648" t="s">
        <v>216</v>
      </c>
      <c r="F648" t="s">
        <v>217</v>
      </c>
      <c r="G648">
        <v>-10</v>
      </c>
      <c r="H648">
        <v>0</v>
      </c>
      <c r="I648">
        <v>-5</v>
      </c>
      <c r="J648">
        <v>0.45</v>
      </c>
      <c r="K648">
        <v>-10</v>
      </c>
      <c r="L648">
        <v>0</v>
      </c>
      <c r="M648">
        <v>-5</v>
      </c>
      <c r="N648">
        <v>4.375</v>
      </c>
      <c r="O648">
        <v>1.875</v>
      </c>
      <c r="P648"/>
      <c r="Q648">
        <v>0.1875</v>
      </c>
      <c r="R648">
        <v>0.49164037732598198</v>
      </c>
      <c r="S648" s="11" t="s">
        <v>216</v>
      </c>
      <c r="T648" s="2" t="s">
        <v>218</v>
      </c>
      <c r="U648" s="3" t="s">
        <v>41</v>
      </c>
      <c r="V648" s="2" t="s">
        <v>219</v>
      </c>
      <c r="W648" s="2">
        <v>3</v>
      </c>
      <c r="X648" s="2">
        <v>8</v>
      </c>
      <c r="Y648" s="2">
        <v>2</v>
      </c>
      <c r="Z648" s="2">
        <v>0</v>
      </c>
      <c r="AA648" s="2">
        <v>0</v>
      </c>
      <c r="AB648" s="12">
        <f>(W648*4+X648*1+Y648*-2+Z648*-3)/W648</f>
        <v>5.333333333333333</v>
      </c>
      <c r="AC648" s="3">
        <f>W648*12.0107+X648*1.00784+Y648*15.999+Z648*14.0067</f>
        <v>76.092820000000003</v>
      </c>
      <c r="AD648" s="12">
        <v>213</v>
      </c>
      <c r="AE648" s="2" t="s">
        <v>220</v>
      </c>
      <c r="AF648" s="2" t="s">
        <v>98</v>
      </c>
      <c r="AG648" s="2" t="str">
        <f>IF(AD648&gt;37,"Proton symporter", "Diffusion")</f>
        <v>Proton symporter</v>
      </c>
      <c r="AH648" s="3" t="s">
        <v>221</v>
      </c>
    </row>
    <row r="649" spans="1:34" hidden="1" x14ac:dyDescent="0.2">
      <c r="A649" s="16" t="s">
        <v>317</v>
      </c>
      <c r="B649" s="9" t="s">
        <v>35</v>
      </c>
      <c r="C649" t="s">
        <v>36</v>
      </c>
      <c r="D649" s="10" t="s">
        <v>37</v>
      </c>
      <c r="E649" t="s">
        <v>318</v>
      </c>
      <c r="F649" t="s">
        <v>319</v>
      </c>
      <c r="G649">
        <v>-10</v>
      </c>
      <c r="H649">
        <v>-20</v>
      </c>
      <c r="I649" s="1" t="s">
        <v>40</v>
      </c>
      <c r="J649">
        <v>3.15</v>
      </c>
      <c r="K649">
        <v>-10</v>
      </c>
      <c r="L649">
        <v>-1.3743190661478599</v>
      </c>
      <c r="M649" s="1" t="s">
        <v>40</v>
      </c>
      <c r="N649">
        <v>4.8120622568093401</v>
      </c>
      <c r="O649">
        <v>1.6875486381322999</v>
      </c>
      <c r="P649"/>
      <c r="Q649">
        <v>0.16875486381322999</v>
      </c>
      <c r="R649">
        <v>0.49131599791074299</v>
      </c>
      <c r="S649" s="20" t="s">
        <v>318</v>
      </c>
      <c r="T649" s="3" t="s">
        <v>318</v>
      </c>
      <c r="U649" s="3" t="s">
        <v>106</v>
      </c>
      <c r="V649" s="3" t="s">
        <v>320</v>
      </c>
      <c r="W649" s="3">
        <v>9</v>
      </c>
      <c r="X649" s="3">
        <v>20</v>
      </c>
      <c r="Y649" s="3">
        <v>0</v>
      </c>
      <c r="Z649" s="3">
        <v>0</v>
      </c>
      <c r="AA649" s="3">
        <v>0</v>
      </c>
      <c r="AB649" s="12">
        <f>(W649*4+X649*1+Y649*-2+Z649*-3)/W649</f>
        <v>6.2222222222222223</v>
      </c>
      <c r="AC649" s="3">
        <f>W649*12.0107+X649*1.00784+Y649*15.999+Z649*14.0067</f>
        <v>128.25309999999999</v>
      </c>
      <c r="AD649" s="12">
        <v>151</v>
      </c>
      <c r="AE649" s="3" t="s">
        <v>321</v>
      </c>
      <c r="AF649" s="2" t="s">
        <v>79</v>
      </c>
      <c r="AG649" s="2" t="str">
        <f>IF(AD649&gt;37,"Proton symporter", "Diffusion")</f>
        <v>Proton symporter</v>
      </c>
      <c r="AH649" s="3" t="s">
        <v>322</v>
      </c>
    </row>
    <row r="650" spans="1:34" hidden="1" x14ac:dyDescent="0.2">
      <c r="A650" s="8" t="s">
        <v>34</v>
      </c>
      <c r="B650" s="9" t="s">
        <v>35</v>
      </c>
      <c r="C650" s="1" t="s">
        <v>61</v>
      </c>
      <c r="D650" s="13" t="s">
        <v>51</v>
      </c>
      <c r="E650" s="1" t="s">
        <v>234</v>
      </c>
      <c r="F650" s="1" t="s">
        <v>235</v>
      </c>
      <c r="G650" s="1">
        <v>-10</v>
      </c>
      <c r="H650" s="1">
        <v>-20</v>
      </c>
      <c r="I650" s="1" t="s">
        <v>40</v>
      </c>
      <c r="J650" s="1">
        <v>3.15</v>
      </c>
      <c r="K650" s="1">
        <v>-10</v>
      </c>
      <c r="L650" s="1">
        <v>-5.4343137254901999</v>
      </c>
      <c r="M650" s="1" t="s">
        <v>40</v>
      </c>
      <c r="N650" s="1">
        <v>3.0431372549019602</v>
      </c>
      <c r="O650" s="1">
        <v>1.7392156862745101</v>
      </c>
      <c r="Q650" s="1">
        <v>0.17392156862745101</v>
      </c>
      <c r="R650" s="1">
        <v>0.48917459745248698</v>
      </c>
      <c r="S650" s="20" t="s">
        <v>236</v>
      </c>
      <c r="T650" s="3" t="s">
        <v>237</v>
      </c>
      <c r="U650" s="3" t="s">
        <v>106</v>
      </c>
      <c r="V650" s="3" t="s">
        <v>238</v>
      </c>
      <c r="W650" s="3">
        <v>4</v>
      </c>
      <c r="X650" s="3">
        <v>10</v>
      </c>
      <c r="Y650" s="3">
        <v>2</v>
      </c>
      <c r="Z650" s="3">
        <v>0</v>
      </c>
      <c r="AA650" s="3">
        <v>0</v>
      </c>
      <c r="AB650" s="12">
        <f>(W650*4+X650*1+Y650*-2+Z650*-3)/W650</f>
        <v>5.5</v>
      </c>
      <c r="AC650" s="3">
        <f>W650*12.0107+X650*1.00784+Y650*15.999+Z650*14.0067</f>
        <v>90.119200000000006</v>
      </c>
      <c r="AD650" s="12">
        <v>207</v>
      </c>
      <c r="AE650" s="2" t="s">
        <v>220</v>
      </c>
      <c r="AF650" s="3" t="s">
        <v>79</v>
      </c>
      <c r="AG650" s="2" t="str">
        <f>IF(AD650&gt;37,"Proton symporter", "Diffusion")</f>
        <v>Proton symporter</v>
      </c>
      <c r="AH650" s="3" t="s">
        <v>239</v>
      </c>
    </row>
    <row r="651" spans="1:34" hidden="1" x14ac:dyDescent="0.2">
      <c r="A651" s="8" t="s">
        <v>34</v>
      </c>
      <c r="B651" s="9" t="s">
        <v>35</v>
      </c>
      <c r="C651" s="1" t="s">
        <v>56</v>
      </c>
      <c r="D651" s="14" t="s">
        <v>55</v>
      </c>
      <c r="E651" s="1" t="s">
        <v>279</v>
      </c>
      <c r="F651" s="1" t="s">
        <v>280</v>
      </c>
      <c r="G651" s="1">
        <v>-10</v>
      </c>
      <c r="H651" s="1">
        <v>-20</v>
      </c>
      <c r="I651" s="1" t="s">
        <v>40</v>
      </c>
      <c r="J651" s="1">
        <v>3.15</v>
      </c>
      <c r="K651" s="1">
        <v>-10</v>
      </c>
      <c r="L651" s="1">
        <v>-1.4125000000000001</v>
      </c>
      <c r="M651" s="1" t="s">
        <v>40</v>
      </c>
      <c r="N651" s="1">
        <v>7.6083333333333298</v>
      </c>
      <c r="O651" s="1">
        <v>7.4638888888888903</v>
      </c>
      <c r="Q651" s="1">
        <v>0.74638888888888899</v>
      </c>
      <c r="R651" s="1">
        <v>0.48703984196647399</v>
      </c>
      <c r="S651" s="20" t="s">
        <v>281</v>
      </c>
      <c r="T651" s="3" t="s">
        <v>282</v>
      </c>
      <c r="U651" s="3" t="s">
        <v>174</v>
      </c>
      <c r="V651" s="3" t="s">
        <v>283</v>
      </c>
      <c r="W651" s="3">
        <v>3</v>
      </c>
      <c r="X651" s="3">
        <v>8</v>
      </c>
      <c r="Y651" s="3">
        <v>1</v>
      </c>
      <c r="Z651" s="3">
        <v>0</v>
      </c>
      <c r="AA651" s="3">
        <v>0</v>
      </c>
      <c r="AB651" s="12">
        <f>(W651*4+X651*1+Y651*-2+Z651*-3)/W651</f>
        <v>6</v>
      </c>
      <c r="AC651" s="3">
        <f>W651*12.0107+X651*1.00784+Y651*15.999+Z651*14.0067</f>
        <v>60.093820000000001</v>
      </c>
      <c r="AD651" s="12">
        <v>97</v>
      </c>
      <c r="AE651" s="2" t="s">
        <v>262</v>
      </c>
      <c r="AF651" s="2" t="s">
        <v>284</v>
      </c>
      <c r="AG651" s="2" t="str">
        <f>IF(AD651&gt;37,"Proton symporter", "Diffusion")</f>
        <v>Proton symporter</v>
      </c>
      <c r="AH651" s="3" t="s">
        <v>285</v>
      </c>
    </row>
    <row r="652" spans="1:34" hidden="1" x14ac:dyDescent="0.2">
      <c r="A652" s="16" t="s">
        <v>317</v>
      </c>
      <c r="B652" s="9" t="s">
        <v>35</v>
      </c>
      <c r="C652" t="s">
        <v>36</v>
      </c>
      <c r="D652" s="10" t="s">
        <v>37</v>
      </c>
      <c r="E652" t="s">
        <v>323</v>
      </c>
      <c r="F652" t="s">
        <v>324</v>
      </c>
      <c r="G652">
        <v>-10</v>
      </c>
      <c r="H652">
        <v>-20</v>
      </c>
      <c r="I652" s="1" t="s">
        <v>40</v>
      </c>
      <c r="J652">
        <v>3.15</v>
      </c>
      <c r="K652">
        <v>-10</v>
      </c>
      <c r="L652">
        <v>-1.5270270270270301</v>
      </c>
      <c r="M652" s="1" t="s">
        <v>40</v>
      </c>
      <c r="N652">
        <v>4.97729729729729</v>
      </c>
      <c r="O652">
        <v>1.87783783783784</v>
      </c>
      <c r="P652"/>
      <c r="Q652">
        <v>0.18778378378378399</v>
      </c>
      <c r="R652">
        <v>0.486925509691572</v>
      </c>
      <c r="S652" s="11" t="s">
        <v>323</v>
      </c>
      <c r="T652" s="2" t="s">
        <v>323</v>
      </c>
      <c r="U652" s="3" t="s">
        <v>106</v>
      </c>
      <c r="V652" s="2" t="s">
        <v>325</v>
      </c>
      <c r="W652" s="2">
        <v>8</v>
      </c>
      <c r="X652" s="2">
        <v>18</v>
      </c>
      <c r="Y652" s="2">
        <v>0</v>
      </c>
      <c r="Z652" s="2">
        <v>0</v>
      </c>
      <c r="AA652" s="2">
        <v>0</v>
      </c>
      <c r="AB652" s="12">
        <f>(W652*4+X652*1+Y652*-2+Z652*-3)/W652</f>
        <v>6.25</v>
      </c>
      <c r="AC652" s="3">
        <f>W652*12.0107+X652*1.00784+Y652*15.999+Z652*14.0067</f>
        <v>114.22672</v>
      </c>
      <c r="AD652" s="12">
        <v>126</v>
      </c>
      <c r="AE652" s="3" t="s">
        <v>321</v>
      </c>
      <c r="AF652" s="2" t="s">
        <v>313</v>
      </c>
      <c r="AG652" s="2" t="str">
        <f>IF(AD652&gt;37,"Proton symporter", "Diffusion")</f>
        <v>Proton symporter</v>
      </c>
      <c r="AH652" s="3" t="s">
        <v>326</v>
      </c>
    </row>
    <row r="653" spans="1:34" hidden="1" x14ac:dyDescent="0.2">
      <c r="A653" s="8" t="s">
        <v>34</v>
      </c>
      <c r="B653" s="9" t="s">
        <v>35</v>
      </c>
      <c r="C653" s="1" t="s">
        <v>61</v>
      </c>
      <c r="D653" s="13" t="s">
        <v>51</v>
      </c>
      <c r="E653" s="1" t="s">
        <v>166</v>
      </c>
      <c r="F653" s="1" t="s">
        <v>167</v>
      </c>
      <c r="G653" s="1">
        <v>-10</v>
      </c>
      <c r="H653" s="1">
        <v>-20</v>
      </c>
      <c r="I653" s="1" t="s">
        <v>40</v>
      </c>
      <c r="J653" s="1">
        <v>3.15</v>
      </c>
      <c r="K653" s="1">
        <v>-10</v>
      </c>
      <c r="L653" s="1">
        <v>-6.85408163265304</v>
      </c>
      <c r="M653" s="1" t="s">
        <v>40</v>
      </c>
      <c r="N653" s="1">
        <v>2.7591836734693902</v>
      </c>
      <c r="O653" s="1">
        <v>1.8102040816326499</v>
      </c>
      <c r="Q653" s="1">
        <v>0.18102040816326501</v>
      </c>
      <c r="R653" s="1">
        <v>0.48636518063677903</v>
      </c>
      <c r="S653" s="11" t="s">
        <v>166</v>
      </c>
      <c r="T653" s="2" t="s">
        <v>168</v>
      </c>
      <c r="U653" s="3" t="s">
        <v>41</v>
      </c>
      <c r="V653" s="2" t="s">
        <v>169</v>
      </c>
      <c r="W653" s="2">
        <v>4</v>
      </c>
      <c r="X653" s="2">
        <v>6</v>
      </c>
      <c r="Y653" s="2">
        <v>2</v>
      </c>
      <c r="Z653" s="2">
        <v>0</v>
      </c>
      <c r="AA653" s="2">
        <v>0</v>
      </c>
      <c r="AB653" s="12">
        <f>(W653*4+X653*1+Y653*-2+Z653*-3)/W653</f>
        <v>4.5</v>
      </c>
      <c r="AC653" s="3">
        <f>W653*12.0107+X653*1.00784+Y653*15.999+Z653*14.0067</f>
        <v>86.08784</v>
      </c>
      <c r="AD653" s="12">
        <v>204</v>
      </c>
      <c r="AE653" s="2" t="s">
        <v>170</v>
      </c>
      <c r="AF653" s="2" t="s">
        <v>120</v>
      </c>
      <c r="AG653" s="2" t="str">
        <f>IF(AD653&gt;37,"Proton symporter", "Diffusion")</f>
        <v>Proton symporter</v>
      </c>
      <c r="AH653" s="3" t="s">
        <v>171</v>
      </c>
    </row>
    <row r="654" spans="1:34" hidden="1" x14ac:dyDescent="0.2">
      <c r="A654" s="16" t="s">
        <v>317</v>
      </c>
      <c r="B654" s="9" t="s">
        <v>35</v>
      </c>
      <c r="C654" t="s">
        <v>36</v>
      </c>
      <c r="D654" s="10" t="s">
        <v>37</v>
      </c>
      <c r="E654" t="s">
        <v>327</v>
      </c>
      <c r="F654" t="s">
        <v>328</v>
      </c>
      <c r="G654">
        <v>-10</v>
      </c>
      <c r="H654">
        <v>-20</v>
      </c>
      <c r="I654" s="1" t="s">
        <v>40</v>
      </c>
      <c r="J654">
        <v>3.15</v>
      </c>
      <c r="K654">
        <v>-10</v>
      </c>
      <c r="L654">
        <v>-1.49901477832513</v>
      </c>
      <c r="M654" s="1" t="s">
        <v>40</v>
      </c>
      <c r="N654">
        <v>5.0448275862068801</v>
      </c>
      <c r="O654">
        <v>2.1364532019704399</v>
      </c>
      <c r="P654"/>
      <c r="Q654">
        <v>0.21364532019704399</v>
      </c>
      <c r="R654">
        <v>0.48595864780777598</v>
      </c>
      <c r="S654" s="20" t="s">
        <v>327</v>
      </c>
      <c r="T654" s="3" t="s">
        <v>327</v>
      </c>
      <c r="U654" s="3" t="s">
        <v>106</v>
      </c>
      <c r="V654" s="3" t="s">
        <v>329</v>
      </c>
      <c r="W654" s="3">
        <v>7</v>
      </c>
      <c r="X654" s="3">
        <v>16</v>
      </c>
      <c r="Y654" s="3">
        <v>0</v>
      </c>
      <c r="Z654" s="3">
        <v>0</v>
      </c>
      <c r="AA654" s="3">
        <v>0</v>
      </c>
      <c r="AB654" s="12">
        <f>(W654*4+X654*1+Y654*-2+Z654*-3)/W654</f>
        <v>6.2857142857142856</v>
      </c>
      <c r="AC654" s="3">
        <f>W654*12.0107+X654*1.00784+Y654*15.999+Z654*14.0067</f>
        <v>100.20034</v>
      </c>
      <c r="AD654" s="3">
        <v>98</v>
      </c>
      <c r="AE654" s="3" t="s">
        <v>321</v>
      </c>
      <c r="AF654" s="2" t="s">
        <v>79</v>
      </c>
      <c r="AG654" s="2" t="str">
        <f>IF(AD654&gt;37,"Proton symporter", "Diffusion")</f>
        <v>Proton symporter</v>
      </c>
      <c r="AH654" s="3" t="s">
        <v>330</v>
      </c>
    </row>
    <row r="655" spans="1:34" hidden="1" x14ac:dyDescent="0.2">
      <c r="A655" s="8" t="s">
        <v>34</v>
      </c>
      <c r="B655" s="9" t="s">
        <v>35</v>
      </c>
      <c r="C655" s="1" t="s">
        <v>49</v>
      </c>
      <c r="D655" s="10" t="s">
        <v>37</v>
      </c>
      <c r="E655" s="1" t="s">
        <v>339</v>
      </c>
      <c r="F655" s="1" t="s">
        <v>340</v>
      </c>
      <c r="G655" s="1">
        <v>-10</v>
      </c>
      <c r="H655" s="1">
        <v>-20</v>
      </c>
      <c r="I655" s="1" t="s">
        <v>40</v>
      </c>
      <c r="J655" s="1">
        <v>3.15</v>
      </c>
      <c r="K655" s="1">
        <v>-10</v>
      </c>
      <c r="L655" s="1">
        <v>-4.9750000000000103</v>
      </c>
      <c r="M655" s="1" t="s">
        <v>40</v>
      </c>
      <c r="N655" s="1">
        <v>4.5999999999999703</v>
      </c>
      <c r="O655" s="1">
        <v>3.8499999999999899</v>
      </c>
      <c r="Q655" s="1">
        <v>0.38499999999999901</v>
      </c>
      <c r="R655" s="1">
        <v>0.48573704117268002</v>
      </c>
      <c r="S655" s="11" t="s">
        <v>339</v>
      </c>
      <c r="T655" s="2" t="s">
        <v>339</v>
      </c>
      <c r="U655" s="3" t="s">
        <v>106</v>
      </c>
      <c r="V655" s="2" t="s">
        <v>341</v>
      </c>
      <c r="W655" s="2">
        <v>4</v>
      </c>
      <c r="X655" s="2">
        <v>10</v>
      </c>
      <c r="Y655" s="2">
        <v>0</v>
      </c>
      <c r="Z655" s="2">
        <v>0</v>
      </c>
      <c r="AA655" s="2">
        <v>0</v>
      </c>
      <c r="AB655" s="12">
        <f>(W655*4+X655*1+Y655*-2+Z655*-3)/W655</f>
        <v>6.5</v>
      </c>
      <c r="AC655" s="3">
        <f>W655*12.0107+X655*1.00784+Y655*15.999+Z655*14.0067</f>
        <v>58.121200000000002</v>
      </c>
      <c r="AD655" s="24">
        <v>-1</v>
      </c>
      <c r="AE655" s="3" t="s">
        <v>321</v>
      </c>
      <c r="AF655" s="2" t="s">
        <v>313</v>
      </c>
      <c r="AG655" s="25" t="str">
        <f>IF(AD655&gt;37,"Proton symporter", "Diffusion")</f>
        <v>Diffusion</v>
      </c>
      <c r="AH655" s="3" t="s">
        <v>342</v>
      </c>
    </row>
    <row r="656" spans="1:34" hidden="1" x14ac:dyDescent="0.2">
      <c r="A656" s="8" t="s">
        <v>34</v>
      </c>
      <c r="B656" s="9" t="s">
        <v>35</v>
      </c>
      <c r="C656" s="1" t="s">
        <v>47</v>
      </c>
      <c r="D656" s="10" t="s">
        <v>37</v>
      </c>
      <c r="E656" s="1" t="s">
        <v>189</v>
      </c>
      <c r="F656" s="1" t="s">
        <v>190</v>
      </c>
      <c r="G656" s="1">
        <v>-10</v>
      </c>
      <c r="H656" s="1">
        <v>-20</v>
      </c>
      <c r="I656" s="1" t="s">
        <v>40</v>
      </c>
      <c r="J656" s="1">
        <v>3.15</v>
      </c>
      <c r="K656" s="1">
        <v>-10</v>
      </c>
      <c r="L656" s="1">
        <v>-9.5724137931034505</v>
      </c>
      <c r="M656" s="1" t="s">
        <v>40</v>
      </c>
      <c r="N656" s="1">
        <v>7.1436781609195403</v>
      </c>
      <c r="O656" s="1">
        <v>2.5712643678160898</v>
      </c>
      <c r="Q656" s="1">
        <v>0.25712643678160901</v>
      </c>
      <c r="R656" s="1">
        <v>0.485301748546347</v>
      </c>
      <c r="S656" s="11" t="s">
        <v>189</v>
      </c>
      <c r="T656" s="2" t="s">
        <v>189</v>
      </c>
      <c r="U656" s="3" t="s">
        <v>41</v>
      </c>
      <c r="V656" s="2" t="s">
        <v>191</v>
      </c>
      <c r="W656" s="2">
        <v>5</v>
      </c>
      <c r="X656" s="2">
        <v>11</v>
      </c>
      <c r="Y656" s="2">
        <v>2</v>
      </c>
      <c r="Z656" s="2">
        <v>1</v>
      </c>
      <c r="AA656" s="2">
        <v>0</v>
      </c>
      <c r="AB656" s="12">
        <f>(W656*4+X656*1+Y656*-2+Z656*-3)/W656</f>
        <v>4.8</v>
      </c>
      <c r="AC656" s="3">
        <f>W656*12.0107+X656*1.00784+Y656*15.999+Z656*14.0067</f>
        <v>117.14444</v>
      </c>
      <c r="AD656" s="12">
        <v>247.5</v>
      </c>
      <c r="AE656" s="2" t="s">
        <v>192</v>
      </c>
      <c r="AF656" s="2" t="s">
        <v>44</v>
      </c>
      <c r="AG656" s="2" t="str">
        <f>IF(AD656&gt;37,"Proton symporter", "Diffusion")</f>
        <v>Proton symporter</v>
      </c>
      <c r="AH656" s="3" t="s">
        <v>193</v>
      </c>
    </row>
    <row r="657" spans="1:34" hidden="1" x14ac:dyDescent="0.2">
      <c r="A657" s="8" t="s">
        <v>34</v>
      </c>
      <c r="B657" s="9" t="s">
        <v>35</v>
      </c>
      <c r="C657" s="1" t="s">
        <v>61</v>
      </c>
      <c r="D657" s="13" t="s">
        <v>51</v>
      </c>
      <c r="E657" s="1" t="s">
        <v>273</v>
      </c>
      <c r="F657" s="1" t="s">
        <v>274</v>
      </c>
      <c r="G657" s="1">
        <v>-10</v>
      </c>
      <c r="H657" s="1">
        <v>-20</v>
      </c>
      <c r="I657" s="1" t="s">
        <v>40</v>
      </c>
      <c r="J657" s="1">
        <v>3.15</v>
      </c>
      <c r="K657" s="1">
        <v>-10</v>
      </c>
      <c r="L657" s="1">
        <v>-6.8436781609195396</v>
      </c>
      <c r="M657" s="1" t="s">
        <v>40</v>
      </c>
      <c r="N657" s="1">
        <v>3.88275862068966</v>
      </c>
      <c r="O657" s="1">
        <v>2.03908045977012</v>
      </c>
      <c r="Q657" s="1">
        <v>0.20390804597701201</v>
      </c>
      <c r="R657" s="1">
        <v>0.48454929329149399</v>
      </c>
      <c r="S657" s="22" t="s">
        <v>273</v>
      </c>
      <c r="T657" s="3" t="s">
        <v>275</v>
      </c>
      <c r="U657" s="3" t="s">
        <v>41</v>
      </c>
      <c r="V657" s="2" t="s">
        <v>276</v>
      </c>
      <c r="W657" s="2">
        <v>3</v>
      </c>
      <c r="X657" s="2">
        <v>12</v>
      </c>
      <c r="Y657" s="2">
        <v>0</v>
      </c>
      <c r="Z657" s="2">
        <v>2</v>
      </c>
      <c r="AA657" s="2">
        <v>0</v>
      </c>
      <c r="AB657" s="12">
        <f>(W657*4+X657*1+Y657*-2+Z657*-3)/W657</f>
        <v>6</v>
      </c>
      <c r="AC657" s="3">
        <f>W657*12.0107+X657*1.00784+Y657*15.999+Z657*14.0067</f>
        <v>76.139580000000009</v>
      </c>
      <c r="AD657" s="12">
        <v>139.30000000000001</v>
      </c>
      <c r="AE657" s="2" t="s">
        <v>277</v>
      </c>
      <c r="AF657" s="2" t="s">
        <v>125</v>
      </c>
      <c r="AG657" s="2" t="str">
        <f>IF(AD657&gt;37,"Proton symporter", "Diffusion")</f>
        <v>Proton symporter</v>
      </c>
      <c r="AH657" s="3" t="s">
        <v>278</v>
      </c>
    </row>
    <row r="658" spans="1:34" hidden="1" x14ac:dyDescent="0.2">
      <c r="A658" s="8" t="s">
        <v>34</v>
      </c>
      <c r="B658" s="9" t="s">
        <v>35</v>
      </c>
      <c r="C658" s="1" t="s">
        <v>61</v>
      </c>
      <c r="D658" s="13" t="s">
        <v>51</v>
      </c>
      <c r="E658" s="1" t="s">
        <v>244</v>
      </c>
      <c r="F658" s="1" t="s">
        <v>245</v>
      </c>
      <c r="G658" s="1">
        <v>-10</v>
      </c>
      <c r="H658" s="1">
        <v>-20</v>
      </c>
      <c r="I658" s="1" t="s">
        <v>40</v>
      </c>
      <c r="J658" s="1">
        <v>3.15</v>
      </c>
      <c r="K658" s="1">
        <v>-10</v>
      </c>
      <c r="L658" s="1">
        <v>-5.5271844660194196</v>
      </c>
      <c r="M658" s="1" t="s">
        <v>40</v>
      </c>
      <c r="N658" s="1">
        <v>3.11067961165049</v>
      </c>
      <c r="O658" s="1">
        <v>1.7223300970873801</v>
      </c>
      <c r="Q658" s="1">
        <v>0.17223300970873801</v>
      </c>
      <c r="R658" s="1">
        <v>0.48442532951605499</v>
      </c>
      <c r="S658" s="20" t="s">
        <v>246</v>
      </c>
      <c r="T658" s="3" t="s">
        <v>247</v>
      </c>
      <c r="U658" s="3" t="s">
        <v>106</v>
      </c>
      <c r="V658" s="3" t="s">
        <v>238</v>
      </c>
      <c r="W658" s="3">
        <v>4</v>
      </c>
      <c r="X658" s="3">
        <v>10</v>
      </c>
      <c r="Y658" s="3">
        <v>2</v>
      </c>
      <c r="Z658" s="3">
        <v>0</v>
      </c>
      <c r="AA658" s="3">
        <v>0</v>
      </c>
      <c r="AB658" s="12">
        <f>(W658*4+X658*1+Y658*-2+Z658*-3)/W658</f>
        <v>5.5</v>
      </c>
      <c r="AC658" s="3">
        <f>W658*12.0107+X658*1.00784+Y658*15.999+Z658*14.0067</f>
        <v>90.119200000000006</v>
      </c>
      <c r="AD658" s="12">
        <v>230</v>
      </c>
      <c r="AE658" s="2" t="s">
        <v>220</v>
      </c>
      <c r="AF658" s="3" t="s">
        <v>120</v>
      </c>
      <c r="AG658" s="2" t="str">
        <f>IF(AD658&gt;37,"Proton symporter", "Diffusion")</f>
        <v>Proton symporter</v>
      </c>
      <c r="AH658" s="3" t="s">
        <v>248</v>
      </c>
    </row>
    <row r="659" spans="1:34" hidden="1" x14ac:dyDescent="0.2">
      <c r="A659" s="8" t="s">
        <v>34</v>
      </c>
      <c r="B659" s="9" t="s">
        <v>35</v>
      </c>
      <c r="C659" s="1" t="s">
        <v>58</v>
      </c>
      <c r="D659" s="10" t="s">
        <v>37</v>
      </c>
      <c r="E659" s="1" t="s">
        <v>244</v>
      </c>
      <c r="F659" s="1" t="s">
        <v>245</v>
      </c>
      <c r="G659" s="1">
        <v>-10</v>
      </c>
      <c r="H659" s="1">
        <v>-20</v>
      </c>
      <c r="I659" s="1" t="s">
        <v>40</v>
      </c>
      <c r="J659" s="1">
        <v>3.15</v>
      </c>
      <c r="K659" s="1">
        <v>-10</v>
      </c>
      <c r="L659" s="1">
        <v>-2.2593023255813902</v>
      </c>
      <c r="M659" s="1" t="s">
        <v>40</v>
      </c>
      <c r="N659" s="1">
        <v>7.0976744186046297</v>
      </c>
      <c r="O659" s="1">
        <v>3.2255813953488301</v>
      </c>
      <c r="Q659" s="1">
        <v>0.32255813953488299</v>
      </c>
      <c r="R659" s="1">
        <v>0.48405850743309198</v>
      </c>
      <c r="S659" s="20" t="s">
        <v>246</v>
      </c>
      <c r="T659" s="3" t="s">
        <v>247</v>
      </c>
      <c r="U659" s="3" t="s">
        <v>106</v>
      </c>
      <c r="V659" s="3" t="s">
        <v>238</v>
      </c>
      <c r="W659" s="3">
        <v>4</v>
      </c>
      <c r="X659" s="3">
        <v>10</v>
      </c>
      <c r="Y659" s="3">
        <v>2</v>
      </c>
      <c r="Z659" s="3">
        <v>0</v>
      </c>
      <c r="AA659" s="3">
        <v>0</v>
      </c>
      <c r="AB659" s="12">
        <f>(W659*4+X659*1+Y659*-2+Z659*-3)/W659</f>
        <v>5.5</v>
      </c>
      <c r="AC659" s="3">
        <f>W659*12.0107+X659*1.00784+Y659*15.999+Z659*14.0067</f>
        <v>90.119200000000006</v>
      </c>
      <c r="AD659" s="12">
        <v>230</v>
      </c>
      <c r="AE659" s="2" t="s">
        <v>220</v>
      </c>
      <c r="AF659" s="3" t="s">
        <v>120</v>
      </c>
      <c r="AG659" s="2" t="str">
        <f>IF(AD659&gt;37,"Proton symporter", "Diffusion")</f>
        <v>Proton symporter</v>
      </c>
      <c r="AH659" s="3" t="s">
        <v>248</v>
      </c>
    </row>
    <row r="660" spans="1:34" hidden="1" x14ac:dyDescent="0.2">
      <c r="A660" s="8" t="s">
        <v>34</v>
      </c>
      <c r="B660" s="9" t="s">
        <v>35</v>
      </c>
      <c r="C660" s="1" t="s">
        <v>58</v>
      </c>
      <c r="D660" s="10" t="s">
        <v>37</v>
      </c>
      <c r="E660" s="1" t="s">
        <v>222</v>
      </c>
      <c r="F660" s="1" t="s">
        <v>223</v>
      </c>
      <c r="G660" s="1">
        <v>-10</v>
      </c>
      <c r="H660" s="1">
        <v>-20</v>
      </c>
      <c r="I660" s="1" t="s">
        <v>40</v>
      </c>
      <c r="J660" s="1">
        <v>3.15</v>
      </c>
      <c r="K660" s="1">
        <v>-10</v>
      </c>
      <c r="L660" s="1">
        <v>1.79522129840311E-16</v>
      </c>
      <c r="M660" s="1" t="s">
        <v>40</v>
      </c>
      <c r="N660" s="1">
        <v>5</v>
      </c>
      <c r="O660" s="1">
        <v>5</v>
      </c>
      <c r="Q660" s="1">
        <v>0.5</v>
      </c>
      <c r="R660" s="1">
        <v>0.483565409978019</v>
      </c>
      <c r="S660" s="11" t="s">
        <v>222</v>
      </c>
      <c r="T660" s="2" t="s">
        <v>222</v>
      </c>
      <c r="U660" s="3" t="s">
        <v>41</v>
      </c>
      <c r="V660" s="2" t="s">
        <v>224</v>
      </c>
      <c r="W660" s="2">
        <v>3</v>
      </c>
      <c r="X660" s="2">
        <v>6</v>
      </c>
      <c r="Y660" s="2">
        <v>1</v>
      </c>
      <c r="Z660" s="2">
        <v>0</v>
      </c>
      <c r="AA660" s="2">
        <v>0</v>
      </c>
      <c r="AB660" s="12">
        <f>(W660*4+X660*1+Y660*-2+Z660*-3)/W660</f>
        <v>5.333333333333333</v>
      </c>
      <c r="AC660" s="3">
        <f>W660*12.0107+X660*1.00784+Y660*15.999+Z660*14.0067</f>
        <v>58.078140000000005</v>
      </c>
      <c r="AD660" s="12">
        <v>56</v>
      </c>
      <c r="AE660" s="2" t="s">
        <v>225</v>
      </c>
      <c r="AF660" s="2" t="s">
        <v>79</v>
      </c>
      <c r="AG660" s="2" t="str">
        <f>IF(AD660&gt;37,"Proton symporter", "Diffusion")</f>
        <v>Proton symporter</v>
      </c>
      <c r="AH660" s="3" t="s">
        <v>226</v>
      </c>
    </row>
    <row r="661" spans="1:34" hidden="1" x14ac:dyDescent="0.2">
      <c r="A661" s="16" t="s">
        <v>63</v>
      </c>
      <c r="B661" s="17" t="s">
        <v>64</v>
      </c>
      <c r="C661" t="s">
        <v>68</v>
      </c>
      <c r="D661" s="18" t="s">
        <v>66</v>
      </c>
      <c r="E661" t="s">
        <v>222</v>
      </c>
      <c r="F661" t="s">
        <v>223</v>
      </c>
      <c r="G661">
        <v>-10</v>
      </c>
      <c r="H661">
        <v>0</v>
      </c>
      <c r="I661">
        <v>-10</v>
      </c>
      <c r="J661">
        <v>0.45</v>
      </c>
      <c r="K661">
        <v>-10</v>
      </c>
      <c r="L661">
        <v>0</v>
      </c>
      <c r="M661">
        <v>-10</v>
      </c>
      <c r="N661">
        <v>2.5</v>
      </c>
      <c r="O661">
        <v>2.5</v>
      </c>
      <c r="P661"/>
      <c r="Q661">
        <v>0.25</v>
      </c>
      <c r="R661">
        <v>0.48350099900099902</v>
      </c>
      <c r="S661" s="11" t="s">
        <v>222</v>
      </c>
      <c r="T661" s="2" t="s">
        <v>222</v>
      </c>
      <c r="U661" s="3" t="s">
        <v>41</v>
      </c>
      <c r="V661" s="2" t="s">
        <v>224</v>
      </c>
      <c r="W661" s="2">
        <v>3</v>
      </c>
      <c r="X661" s="2">
        <v>6</v>
      </c>
      <c r="Y661" s="2">
        <v>1</v>
      </c>
      <c r="Z661" s="2">
        <v>0</v>
      </c>
      <c r="AA661" s="2">
        <v>0</v>
      </c>
      <c r="AB661" s="12">
        <f>(W661*4+X661*1+Y661*-2+Z661*-3)/W661</f>
        <v>5.333333333333333</v>
      </c>
      <c r="AC661" s="3">
        <f>W661*12.0107+X661*1.00784+Y661*15.999+Z661*14.0067</f>
        <v>58.078140000000005</v>
      </c>
      <c r="AD661" s="12">
        <v>56</v>
      </c>
      <c r="AE661" s="2" t="s">
        <v>225</v>
      </c>
      <c r="AF661" s="2" t="s">
        <v>79</v>
      </c>
      <c r="AG661" s="2" t="str">
        <f>IF(AD661&gt;37,"Proton symporter", "Diffusion")</f>
        <v>Proton symporter</v>
      </c>
      <c r="AH661" s="3" t="s">
        <v>226</v>
      </c>
    </row>
    <row r="662" spans="1:34" hidden="1" x14ac:dyDescent="0.2">
      <c r="A662" s="8" t="s">
        <v>34</v>
      </c>
      <c r="B662" s="9" t="s">
        <v>35</v>
      </c>
      <c r="C662" s="1" t="s">
        <v>36</v>
      </c>
      <c r="D662" s="10" t="s">
        <v>37</v>
      </c>
      <c r="E662" s="1" t="s">
        <v>199</v>
      </c>
      <c r="F662" s="1" t="s">
        <v>200</v>
      </c>
      <c r="G662" s="1">
        <v>-10</v>
      </c>
      <c r="H662" s="1">
        <v>-20</v>
      </c>
      <c r="I662" s="1" t="s">
        <v>40</v>
      </c>
      <c r="J662" s="1">
        <v>3.15</v>
      </c>
      <c r="K662" s="1">
        <v>-10</v>
      </c>
      <c r="L662" s="1">
        <v>-8.2701785714285698</v>
      </c>
      <c r="M662" s="1" t="s">
        <v>40</v>
      </c>
      <c r="N662" s="1">
        <v>6.2225000000000099</v>
      </c>
      <c r="O662" s="1">
        <v>1.9682142857142899</v>
      </c>
      <c r="Q662" s="1">
        <v>0.19682142857142901</v>
      </c>
      <c r="R662" s="1">
        <v>0.48314991340381702</v>
      </c>
      <c r="S662" s="20" t="s">
        <v>201</v>
      </c>
      <c r="T662" s="3" t="s">
        <v>201</v>
      </c>
      <c r="U662" s="3" t="s">
        <v>106</v>
      </c>
      <c r="V662" s="3" t="s">
        <v>202</v>
      </c>
      <c r="W662" s="3">
        <v>7</v>
      </c>
      <c r="X662" s="3">
        <v>8</v>
      </c>
      <c r="Y662" s="3">
        <v>1</v>
      </c>
      <c r="Z662" s="3">
        <v>0</v>
      </c>
      <c r="AA662" s="3">
        <v>0</v>
      </c>
      <c r="AB662" s="12">
        <f>(W662*4+X662*1+Y662*-2+Z662*-3)/W662</f>
        <v>4.8571428571428568</v>
      </c>
      <c r="AC662" s="3">
        <f>W662*12.0107+X662*1.00784+Y662*15.999+Z662*14.0067</f>
        <v>108.13661999999999</v>
      </c>
      <c r="AD662" s="12">
        <v>205</v>
      </c>
      <c r="AE662" s="3" t="s">
        <v>176</v>
      </c>
      <c r="AF662" s="3" t="s">
        <v>203</v>
      </c>
      <c r="AG662" s="2" t="str">
        <f>IF(AD662&gt;37,"Proton symporter", "Diffusion")</f>
        <v>Proton symporter</v>
      </c>
      <c r="AH662" s="3" t="s">
        <v>204</v>
      </c>
    </row>
    <row r="663" spans="1:34" hidden="1" x14ac:dyDescent="0.2">
      <c r="A663" s="8" t="s">
        <v>34</v>
      </c>
      <c r="B663" s="9" t="s">
        <v>35</v>
      </c>
      <c r="C663" s="1" t="s">
        <v>48</v>
      </c>
      <c r="D663" s="10" t="s">
        <v>37</v>
      </c>
      <c r="E663" s="1" t="s">
        <v>300</v>
      </c>
      <c r="F663" s="1" t="s">
        <v>301</v>
      </c>
      <c r="G663" s="1">
        <v>-10</v>
      </c>
      <c r="H663" s="1">
        <v>-20</v>
      </c>
      <c r="I663" s="1" t="s">
        <v>40</v>
      </c>
      <c r="J663" s="1">
        <v>3.15</v>
      </c>
      <c r="K663" s="1">
        <v>-10</v>
      </c>
      <c r="L663" s="1">
        <v>-0.79348837209302803</v>
      </c>
      <c r="M663" s="1" t="s">
        <v>40</v>
      </c>
      <c r="N663" s="1">
        <v>3.8623255813953401</v>
      </c>
      <c r="O663" s="1">
        <v>4.0344186046511599</v>
      </c>
      <c r="Q663" s="1">
        <v>0.40344186046511599</v>
      </c>
      <c r="R663" s="1">
        <v>0.48179355313094502</v>
      </c>
      <c r="S663" s="20" t="s">
        <v>300</v>
      </c>
      <c r="T663" s="3" t="s">
        <v>302</v>
      </c>
      <c r="U663" s="3" t="s">
        <v>106</v>
      </c>
      <c r="V663" s="3" t="s">
        <v>303</v>
      </c>
      <c r="W663" s="3">
        <v>4</v>
      </c>
      <c r="X663" s="3">
        <v>10</v>
      </c>
      <c r="Y663" s="3">
        <v>1</v>
      </c>
      <c r="Z663" s="3">
        <v>0</v>
      </c>
      <c r="AA663" s="3">
        <v>0</v>
      </c>
      <c r="AB663" s="12">
        <f>(W663*4+X663*1+Y663*-2+Z663*-3)/W663</f>
        <v>6</v>
      </c>
      <c r="AC663" s="3">
        <f>W663*12.0107+X663*1.00784+Y663*15.999+Z663*14.0067</f>
        <v>74.120199999999997</v>
      </c>
      <c r="AD663" s="12">
        <v>117.7</v>
      </c>
      <c r="AE663" s="3" t="s">
        <v>262</v>
      </c>
      <c r="AF663" s="2" t="s">
        <v>79</v>
      </c>
      <c r="AG663" s="2" t="str">
        <f>IF(AD663&gt;37,"Proton symporter", "Diffusion")</f>
        <v>Proton symporter</v>
      </c>
      <c r="AH663" s="3" t="s">
        <v>304</v>
      </c>
    </row>
    <row r="664" spans="1:34" hidden="1" x14ac:dyDescent="0.2">
      <c r="A664" s="8" t="s">
        <v>34</v>
      </c>
      <c r="B664" s="9" t="s">
        <v>35</v>
      </c>
      <c r="C664" s="1" t="s">
        <v>46</v>
      </c>
      <c r="D664" s="10" t="s">
        <v>37</v>
      </c>
      <c r="E664" s="1" t="s">
        <v>166</v>
      </c>
      <c r="F664" s="1" t="s">
        <v>167</v>
      </c>
      <c r="G664" s="1">
        <v>-10</v>
      </c>
      <c r="H664" s="1">
        <v>-20</v>
      </c>
      <c r="I664" s="1" t="s">
        <v>40</v>
      </c>
      <c r="J664" s="1">
        <v>3.15</v>
      </c>
      <c r="K664" s="1">
        <v>-10</v>
      </c>
      <c r="L664" s="1">
        <v>-5.1624999999999996</v>
      </c>
      <c r="M664" s="1" t="s">
        <v>40</v>
      </c>
      <c r="N664" s="1">
        <v>6.8111111111110896</v>
      </c>
      <c r="O664" s="1">
        <v>3.2972222222222198</v>
      </c>
      <c r="Q664" s="1">
        <v>0.32972222222222197</v>
      </c>
      <c r="R664" s="1">
        <v>0.48075322004926402</v>
      </c>
      <c r="S664" s="11" t="s">
        <v>166</v>
      </c>
      <c r="T664" s="2" t="s">
        <v>168</v>
      </c>
      <c r="U664" s="3" t="s">
        <v>41</v>
      </c>
      <c r="V664" s="2" t="s">
        <v>169</v>
      </c>
      <c r="W664" s="2">
        <v>4</v>
      </c>
      <c r="X664" s="2">
        <v>6</v>
      </c>
      <c r="Y664" s="2">
        <v>2</v>
      </c>
      <c r="Z664" s="2">
        <v>0</v>
      </c>
      <c r="AA664" s="2">
        <v>0</v>
      </c>
      <c r="AB664" s="12">
        <f>(W664*4+X664*1+Y664*-2+Z664*-3)/W664</f>
        <v>4.5</v>
      </c>
      <c r="AC664" s="3">
        <f>W664*12.0107+X664*1.00784+Y664*15.999+Z664*14.0067</f>
        <v>86.08784</v>
      </c>
      <c r="AD664" s="12">
        <v>204</v>
      </c>
      <c r="AE664" s="2" t="s">
        <v>170</v>
      </c>
      <c r="AF664" s="2" t="s">
        <v>120</v>
      </c>
      <c r="AG664" s="2" t="str">
        <f>IF(AD664&gt;37,"Proton symporter", "Diffusion")</f>
        <v>Proton symporter</v>
      </c>
      <c r="AH664" s="3" t="s">
        <v>171</v>
      </c>
    </row>
    <row r="665" spans="1:34" hidden="1" x14ac:dyDescent="0.2">
      <c r="A665" s="8" t="s">
        <v>34</v>
      </c>
      <c r="B665" s="9" t="s">
        <v>35</v>
      </c>
      <c r="C665" s="1" t="s">
        <v>61</v>
      </c>
      <c r="D665" s="13" t="s">
        <v>51</v>
      </c>
      <c r="E665" s="1" t="s">
        <v>249</v>
      </c>
      <c r="F665" s="1" t="s">
        <v>250</v>
      </c>
      <c r="G665" s="1">
        <v>-10</v>
      </c>
      <c r="H665" s="1">
        <v>-20</v>
      </c>
      <c r="I665" s="1" t="s">
        <v>40</v>
      </c>
      <c r="J665" s="1">
        <v>3.15</v>
      </c>
      <c r="K665" s="1">
        <v>-10</v>
      </c>
      <c r="L665" s="1">
        <v>-5.6182692307692301</v>
      </c>
      <c r="M665" s="1" t="s">
        <v>40</v>
      </c>
      <c r="N665" s="1">
        <v>3.1769230769230798</v>
      </c>
      <c r="O665" s="1">
        <v>1.70576923076923</v>
      </c>
      <c r="Q665" s="1">
        <v>0.17057692307692299</v>
      </c>
      <c r="R665" s="1">
        <v>0.479767393655324</v>
      </c>
      <c r="S665" s="20" t="s">
        <v>251</v>
      </c>
      <c r="T665" s="3" t="s">
        <v>252</v>
      </c>
      <c r="U665" s="3" t="s">
        <v>106</v>
      </c>
      <c r="V665" s="3" t="s">
        <v>238</v>
      </c>
      <c r="W665" s="3">
        <v>4</v>
      </c>
      <c r="X665" s="3">
        <v>10</v>
      </c>
      <c r="Y665" s="3">
        <v>2</v>
      </c>
      <c r="Z665" s="3">
        <v>0</v>
      </c>
      <c r="AA665" s="3">
        <v>0</v>
      </c>
      <c r="AB665" s="12">
        <f>(W665*4+X665*1+Y665*-2+Z665*-3)/W665</f>
        <v>5.5</v>
      </c>
      <c r="AC665" s="3">
        <f>W665*12.0107+X665*1.00784+Y665*15.999+Z665*14.0067</f>
        <v>90.119200000000006</v>
      </c>
      <c r="AD665" s="12">
        <v>177</v>
      </c>
      <c r="AE665" s="3" t="s">
        <v>220</v>
      </c>
      <c r="AF665" s="3" t="s">
        <v>135</v>
      </c>
      <c r="AG665" s="2" t="str">
        <f>IF(AD665&gt;37,"Proton symporter", "Diffusion")</f>
        <v>Proton symporter</v>
      </c>
      <c r="AH665" s="3" t="s">
        <v>253</v>
      </c>
    </row>
    <row r="666" spans="1:34" hidden="1" x14ac:dyDescent="0.2">
      <c r="A666" s="16" t="s">
        <v>74</v>
      </c>
      <c r="B666" s="9" t="s">
        <v>35</v>
      </c>
      <c r="C666" t="s">
        <v>36</v>
      </c>
      <c r="D666" s="10" t="s">
        <v>37</v>
      </c>
      <c r="E666" t="s">
        <v>268</v>
      </c>
      <c r="F666" t="s">
        <v>269</v>
      </c>
      <c r="G666">
        <v>-10</v>
      </c>
      <c r="H666">
        <v>-20</v>
      </c>
      <c r="I666" s="1" t="s">
        <v>40</v>
      </c>
      <c r="J666">
        <v>3.15</v>
      </c>
      <c r="K666">
        <v>-10</v>
      </c>
      <c r="L666">
        <v>-3.2970464135020898</v>
      </c>
      <c r="M666" s="1" t="s">
        <v>40</v>
      </c>
      <c r="N666">
        <v>4.4978902953586397</v>
      </c>
      <c r="O666">
        <v>1.55021097046413</v>
      </c>
      <c r="P666"/>
      <c r="Q666">
        <v>0.15502109704641301</v>
      </c>
      <c r="R666">
        <v>0.47941109054688602</v>
      </c>
      <c r="S666" s="3" t="s">
        <v>268</v>
      </c>
      <c r="T666" s="3" t="s">
        <v>268</v>
      </c>
      <c r="U666" s="3" t="s">
        <v>106</v>
      </c>
      <c r="V666" s="3" t="s">
        <v>270</v>
      </c>
      <c r="W666" s="3">
        <v>10</v>
      </c>
      <c r="X666" s="3">
        <v>16</v>
      </c>
      <c r="Y666" s="3">
        <v>0</v>
      </c>
      <c r="Z666" s="3">
        <v>0</v>
      </c>
      <c r="AA666" s="3">
        <v>0</v>
      </c>
      <c r="AB666" s="12">
        <f>(W666*4+X666*1+Y666*-2+Z666*-3)/W666</f>
        <v>5.6</v>
      </c>
      <c r="AC666" s="3">
        <f>W666*12.0107+X666*1.00784+Y666*15.999+Z666*14.0067</f>
        <v>136.23244</v>
      </c>
      <c r="AD666" s="12">
        <v>176</v>
      </c>
      <c r="AE666" s="3" t="s">
        <v>271</v>
      </c>
      <c r="AF666" s="3" t="s">
        <v>79</v>
      </c>
      <c r="AG666" s="2" t="str">
        <f>IF(AD666&gt;37,"Proton symporter", "Diffusion")</f>
        <v>Proton symporter</v>
      </c>
      <c r="AH666" s="3" t="s">
        <v>272</v>
      </c>
    </row>
    <row r="667" spans="1:34" hidden="1" x14ac:dyDescent="0.2">
      <c r="A667" s="8" t="s">
        <v>34</v>
      </c>
      <c r="B667" s="9" t="s">
        <v>35</v>
      </c>
      <c r="C667" s="1" t="s">
        <v>36</v>
      </c>
      <c r="D667" s="10" t="s">
        <v>37</v>
      </c>
      <c r="E667" s="1" t="s">
        <v>254</v>
      </c>
      <c r="F667" s="1" t="s">
        <v>255</v>
      </c>
      <c r="G667" s="1">
        <v>-10</v>
      </c>
      <c r="H667" s="1">
        <v>-20</v>
      </c>
      <c r="I667" s="1" t="s">
        <v>40</v>
      </c>
      <c r="J667" s="1">
        <v>3.15</v>
      </c>
      <c r="K667" s="1">
        <v>-10</v>
      </c>
      <c r="L667" s="1">
        <v>-3.32752808988764</v>
      </c>
      <c r="M667" s="1" t="s">
        <v>40</v>
      </c>
      <c r="N667" s="1">
        <v>4.5196629213483099</v>
      </c>
      <c r="O667" s="1">
        <v>1.0320224719101101</v>
      </c>
      <c r="Q667" s="1">
        <v>0.103202247191011</v>
      </c>
      <c r="R667" s="1">
        <v>0.47873776036353399</v>
      </c>
      <c r="S667" s="11" t="s">
        <v>254</v>
      </c>
      <c r="T667" s="2" t="s">
        <v>254</v>
      </c>
      <c r="U667" s="3" t="s">
        <v>41</v>
      </c>
      <c r="V667" s="2" t="s">
        <v>256</v>
      </c>
      <c r="W667" s="2">
        <v>15</v>
      </c>
      <c r="X667" s="2">
        <v>24</v>
      </c>
      <c r="Y667" s="2">
        <v>0</v>
      </c>
      <c r="Z667" s="2">
        <v>0</v>
      </c>
      <c r="AA667" s="2">
        <v>0</v>
      </c>
      <c r="AB667" s="12">
        <f>(W667*4+X667*1+Y667*-2+Z667*-3)/W667+0.01</f>
        <v>5.6099999999999994</v>
      </c>
      <c r="AC667" s="3">
        <f>W667*12.0107+X667*1.00784+Y667*15.999+Z667*14.0067</f>
        <v>204.34866000000002</v>
      </c>
      <c r="AD667" s="12" t="s">
        <v>257</v>
      </c>
      <c r="AE667" s="2" t="s">
        <v>231</v>
      </c>
      <c r="AF667" s="2" t="s">
        <v>79</v>
      </c>
      <c r="AG667" s="2" t="str">
        <f>IF(AD667&gt;37,"Proton symporter", "Diffusion")</f>
        <v>Proton symporter</v>
      </c>
      <c r="AH667" s="3" t="s">
        <v>258</v>
      </c>
    </row>
    <row r="668" spans="1:34" hidden="1" x14ac:dyDescent="0.2">
      <c r="A668" s="16" t="s">
        <v>317</v>
      </c>
      <c r="B668" s="9" t="s">
        <v>35</v>
      </c>
      <c r="C668" t="s">
        <v>36</v>
      </c>
      <c r="D668" s="10" t="s">
        <v>37</v>
      </c>
      <c r="E668" t="s">
        <v>331</v>
      </c>
      <c r="F668" t="s">
        <v>332</v>
      </c>
      <c r="G668">
        <v>-10</v>
      </c>
      <c r="H668">
        <v>-20</v>
      </c>
      <c r="I668" s="1" t="s">
        <v>40</v>
      </c>
      <c r="J668">
        <v>3.15</v>
      </c>
      <c r="K668">
        <v>-10</v>
      </c>
      <c r="L668">
        <v>-1.7584507042253501</v>
      </c>
      <c r="M668" s="1" t="s">
        <v>40</v>
      </c>
      <c r="N668">
        <v>5.3211267605633799</v>
      </c>
      <c r="O668">
        <v>2.4464788732394398</v>
      </c>
      <c r="P668"/>
      <c r="Q668">
        <v>0.24464788732394399</v>
      </c>
      <c r="R668">
        <v>0.47857968118272698</v>
      </c>
      <c r="S668" s="11" t="s">
        <v>331</v>
      </c>
      <c r="T668" s="2" t="s">
        <v>331</v>
      </c>
      <c r="U668" s="3" t="s">
        <v>106</v>
      </c>
      <c r="V668" s="3" t="s">
        <v>333</v>
      </c>
      <c r="W668" s="2">
        <v>6</v>
      </c>
      <c r="X668" s="2">
        <v>14</v>
      </c>
      <c r="Y668" s="2">
        <v>0</v>
      </c>
      <c r="Z668" s="2">
        <v>0</v>
      </c>
      <c r="AA668" s="2">
        <v>0</v>
      </c>
      <c r="AB668" s="12">
        <f>(W668*4+X668*1+Y668*-2+Z668*-3)/W668</f>
        <v>6.333333333333333</v>
      </c>
      <c r="AC668" s="3">
        <f>W668*12.0107+X668*1.00784+Y668*15.999+Z668*14.0067</f>
        <v>86.173959999999994</v>
      </c>
      <c r="AD668" s="12">
        <v>69</v>
      </c>
      <c r="AE668" s="3" t="s">
        <v>321</v>
      </c>
      <c r="AF668" s="2" t="s">
        <v>313</v>
      </c>
      <c r="AG668" s="2" t="str">
        <f>IF(AD668&gt;37,"Proton symporter", "Diffusion")</f>
        <v>Proton symporter</v>
      </c>
      <c r="AH668" s="3" t="s">
        <v>334</v>
      </c>
    </row>
    <row r="669" spans="1:34" hidden="1" x14ac:dyDescent="0.2">
      <c r="A669" s="8" t="s">
        <v>34</v>
      </c>
      <c r="B669" s="9" t="s">
        <v>35</v>
      </c>
      <c r="C669" s="1" t="s">
        <v>54</v>
      </c>
      <c r="D669" s="14" t="s">
        <v>55</v>
      </c>
      <c r="E669" s="1" t="s">
        <v>259</v>
      </c>
      <c r="F669" s="1" t="s">
        <v>260</v>
      </c>
      <c r="G669" s="1">
        <v>-10</v>
      </c>
      <c r="H669" s="1">
        <v>-20</v>
      </c>
      <c r="I669" s="1" t="s">
        <v>40</v>
      </c>
      <c r="J669" s="1">
        <v>3.15</v>
      </c>
      <c r="K669" s="1">
        <v>-10</v>
      </c>
      <c r="L669" s="1">
        <v>0</v>
      </c>
      <c r="M669" s="1" t="s">
        <v>40</v>
      </c>
      <c r="N669" s="1">
        <v>20</v>
      </c>
      <c r="O669" s="1">
        <v>10</v>
      </c>
      <c r="Q669" s="1">
        <v>1</v>
      </c>
      <c r="R669" s="1">
        <v>0.47810052695419702</v>
      </c>
      <c r="S669" s="20" t="s">
        <v>259</v>
      </c>
      <c r="T669" s="3" t="s">
        <v>259</v>
      </c>
      <c r="U669" s="3" t="s">
        <v>106</v>
      </c>
      <c r="V669" s="3" t="s">
        <v>261</v>
      </c>
      <c r="W669" s="3">
        <v>5</v>
      </c>
      <c r="X669" s="3">
        <v>10</v>
      </c>
      <c r="Y669" s="3">
        <v>1</v>
      </c>
      <c r="Z669" s="3">
        <v>0</v>
      </c>
      <c r="AA669" s="3">
        <v>0</v>
      </c>
      <c r="AB669" s="12">
        <f>(W669*4+X669*1+Y669*-2+Z669*-3)/W669+0.02</f>
        <v>5.6199999999999992</v>
      </c>
      <c r="AC669" s="3">
        <f>W669*12.0107+X669*1.00784+Y669*15.999+Z669*14.0067</f>
        <v>86.130899999999997</v>
      </c>
      <c r="AD669" s="12">
        <v>108</v>
      </c>
      <c r="AE669" s="3" t="s">
        <v>262</v>
      </c>
      <c r="AF669" s="3" t="s">
        <v>135</v>
      </c>
      <c r="AG669" s="2" t="str">
        <f>IF(AD669&gt;37,"Proton symporter", "Diffusion")</f>
        <v>Proton symporter</v>
      </c>
      <c r="AH669" s="3" t="s">
        <v>263</v>
      </c>
    </row>
    <row r="670" spans="1:34" hidden="1" x14ac:dyDescent="0.2">
      <c r="A670" s="8" t="s">
        <v>34</v>
      </c>
      <c r="B670" s="9" t="s">
        <v>35</v>
      </c>
      <c r="C670" s="1" t="s">
        <v>62</v>
      </c>
      <c r="D670" s="15" t="s">
        <v>55</v>
      </c>
      <c r="E670" s="1" t="s">
        <v>259</v>
      </c>
      <c r="F670" s="1" t="s">
        <v>260</v>
      </c>
      <c r="G670" s="1">
        <v>-10</v>
      </c>
      <c r="H670" s="1">
        <v>-20</v>
      </c>
      <c r="I670" s="1" t="s">
        <v>40</v>
      </c>
      <c r="J670" s="1">
        <v>3.15</v>
      </c>
      <c r="K670" s="1">
        <v>-10</v>
      </c>
      <c r="L670" s="1">
        <v>-3.3730734255104699E-15</v>
      </c>
      <c r="M670" s="1" t="s">
        <v>40</v>
      </c>
      <c r="N670" s="1">
        <v>16.666666666666501</v>
      </c>
      <c r="O670" s="1">
        <v>8.3333333333333002</v>
      </c>
      <c r="Q670" s="1">
        <v>0.83333333333333004</v>
      </c>
      <c r="R670" s="1">
        <v>0.47809065476586798</v>
      </c>
      <c r="S670" s="20" t="s">
        <v>259</v>
      </c>
      <c r="T670" s="3" t="s">
        <v>259</v>
      </c>
      <c r="U670" s="3" t="s">
        <v>106</v>
      </c>
      <c r="V670" s="3" t="s">
        <v>261</v>
      </c>
      <c r="W670" s="3">
        <v>5</v>
      </c>
      <c r="X670" s="3">
        <v>10</v>
      </c>
      <c r="Y670" s="3">
        <v>1</v>
      </c>
      <c r="Z670" s="3">
        <v>0</v>
      </c>
      <c r="AA670" s="3">
        <v>0</v>
      </c>
      <c r="AB670" s="12">
        <f>(W670*4+X670*1+Y670*-2+Z670*-3)/W670+0.02</f>
        <v>5.6199999999999992</v>
      </c>
      <c r="AC670" s="3">
        <f>W670*12.0107+X670*1.00784+Y670*15.999+Z670*14.0067</f>
        <v>86.130899999999997</v>
      </c>
      <c r="AD670" s="12">
        <v>108</v>
      </c>
      <c r="AE670" s="3" t="s">
        <v>262</v>
      </c>
      <c r="AF670" s="3" t="s">
        <v>135</v>
      </c>
      <c r="AG670" s="2" t="str">
        <f>IF(AD670&gt;37,"Proton symporter", "Diffusion")</f>
        <v>Proton symporter</v>
      </c>
      <c r="AH670" s="3" t="s">
        <v>263</v>
      </c>
    </row>
    <row r="671" spans="1:34" hidden="1" x14ac:dyDescent="0.2">
      <c r="A671" s="16" t="s">
        <v>63</v>
      </c>
      <c r="B671" s="17" t="s">
        <v>64</v>
      </c>
      <c r="C671" t="s">
        <v>68</v>
      </c>
      <c r="D671" s="18" t="s">
        <v>66</v>
      </c>
      <c r="E671" t="s">
        <v>259</v>
      </c>
      <c r="F671" t="s">
        <v>260</v>
      </c>
      <c r="G671">
        <v>-10</v>
      </c>
      <c r="H671">
        <v>0</v>
      </c>
      <c r="I671">
        <v>-10</v>
      </c>
      <c r="J671">
        <v>0.45</v>
      </c>
      <c r="K671">
        <v>-10</v>
      </c>
      <c r="L671">
        <v>0</v>
      </c>
      <c r="M671">
        <v>-10</v>
      </c>
      <c r="N671">
        <v>3.3333333333333401</v>
      </c>
      <c r="O671">
        <v>1.6666666666666701</v>
      </c>
      <c r="P671"/>
      <c r="Q671">
        <v>0.16666666666666699</v>
      </c>
      <c r="R671">
        <v>0.478026973026973</v>
      </c>
      <c r="S671" s="20" t="s">
        <v>259</v>
      </c>
      <c r="T671" s="3" t="s">
        <v>259</v>
      </c>
      <c r="U671" s="3" t="s">
        <v>106</v>
      </c>
      <c r="V671" s="3" t="s">
        <v>261</v>
      </c>
      <c r="W671" s="3">
        <v>5</v>
      </c>
      <c r="X671" s="3">
        <v>10</v>
      </c>
      <c r="Y671" s="3">
        <v>1</v>
      </c>
      <c r="Z671" s="3">
        <v>0</v>
      </c>
      <c r="AA671" s="3">
        <v>0</v>
      </c>
      <c r="AB671" s="12">
        <f>(W671*4+X671*1+Y671*-2+Z671*-3)/W671+0.02</f>
        <v>5.6199999999999992</v>
      </c>
      <c r="AC671" s="3">
        <f>W671*12.0107+X671*1.00784+Y671*15.999+Z671*14.0067</f>
        <v>86.130899999999997</v>
      </c>
      <c r="AD671" s="12">
        <v>108</v>
      </c>
      <c r="AE671" s="3" t="s">
        <v>262</v>
      </c>
      <c r="AF671" s="3" t="s">
        <v>135</v>
      </c>
      <c r="AG671" s="2" t="str">
        <f>IF(AD671&gt;37,"Proton symporter", "Diffusion")</f>
        <v>Proton symporter</v>
      </c>
      <c r="AH671" s="3" t="s">
        <v>263</v>
      </c>
    </row>
    <row r="672" spans="1:34" hidden="1" x14ac:dyDescent="0.2">
      <c r="A672" s="8" t="s">
        <v>34</v>
      </c>
      <c r="B672" s="9" t="s">
        <v>35</v>
      </c>
      <c r="C672" s="1" t="s">
        <v>36</v>
      </c>
      <c r="D672" s="10" t="s">
        <v>37</v>
      </c>
      <c r="E672" s="1" t="s">
        <v>264</v>
      </c>
      <c r="F672" s="1" t="s">
        <v>265</v>
      </c>
      <c r="G672" s="1">
        <v>-10</v>
      </c>
      <c r="H672" s="1">
        <v>-20</v>
      </c>
      <c r="I672" s="1" t="s">
        <v>40</v>
      </c>
      <c r="J672" s="1">
        <v>3.15</v>
      </c>
      <c r="K672" s="1">
        <v>-10</v>
      </c>
      <c r="L672" s="1">
        <v>-3.3882352941176301</v>
      </c>
      <c r="M672" s="1" t="s">
        <v>40</v>
      </c>
      <c r="N672" s="1">
        <v>4.5630252100840298</v>
      </c>
      <c r="O672" s="1">
        <v>3.0873949579831899</v>
      </c>
      <c r="Q672" s="1">
        <v>0.308739495798319</v>
      </c>
      <c r="R672" s="1">
        <v>0.47739675823366401</v>
      </c>
      <c r="S672" s="20" t="s">
        <v>264</v>
      </c>
      <c r="T672" s="3" t="s">
        <v>264</v>
      </c>
      <c r="U672" s="3" t="s">
        <v>106</v>
      </c>
      <c r="V672" s="3" t="s">
        <v>266</v>
      </c>
      <c r="W672" s="3">
        <v>5</v>
      </c>
      <c r="X672" s="3">
        <v>8</v>
      </c>
      <c r="Y672" s="3">
        <v>0</v>
      </c>
      <c r="Z672" s="3">
        <v>0</v>
      </c>
      <c r="AA672" s="3">
        <v>0</v>
      </c>
      <c r="AB672" s="12">
        <f>(W672*4+X672*1+Y672*-2+Z672*-3)/W672</f>
        <v>5.6</v>
      </c>
      <c r="AC672" s="3">
        <f>W672*12.0107+X672*1.00784+Y672*15.999+Z672*14.0067</f>
        <v>68.116219999999998</v>
      </c>
      <c r="AD672" s="24">
        <v>34.07</v>
      </c>
      <c r="AE672" s="3" t="s">
        <v>231</v>
      </c>
      <c r="AF672" s="3" t="s">
        <v>79</v>
      </c>
      <c r="AG672" s="25" t="str">
        <f>IF(AD672&gt;37,"Proton symporter", "Diffusion")</f>
        <v>Diffusion</v>
      </c>
      <c r="AH672" s="3" t="s">
        <v>267</v>
      </c>
    </row>
    <row r="673" spans="1:34" x14ac:dyDescent="0.2">
      <c r="A673" s="8" t="s">
        <v>34</v>
      </c>
      <c r="B673" s="9" t="s">
        <v>35</v>
      </c>
      <c r="C673" s="1" t="s">
        <v>57</v>
      </c>
      <c r="D673" s="10" t="s">
        <v>37</v>
      </c>
      <c r="E673" s="1" t="s">
        <v>216</v>
      </c>
      <c r="F673" s="1" t="s">
        <v>217</v>
      </c>
      <c r="G673" s="1">
        <v>-10</v>
      </c>
      <c r="H673" s="1">
        <v>-20</v>
      </c>
      <c r="I673" s="1" t="s">
        <v>40</v>
      </c>
      <c r="J673" s="1">
        <v>3.15</v>
      </c>
      <c r="K673" s="1">
        <v>-10</v>
      </c>
      <c r="L673" s="1">
        <v>-5</v>
      </c>
      <c r="M673" s="1" t="s">
        <v>40</v>
      </c>
      <c r="N673" s="1">
        <v>8.75</v>
      </c>
      <c r="O673" s="1">
        <v>3.75</v>
      </c>
      <c r="Q673" s="1">
        <v>0.375</v>
      </c>
      <c r="R673" s="1">
        <v>0.47516831246253299</v>
      </c>
      <c r="S673" s="11" t="s">
        <v>216</v>
      </c>
      <c r="T673" s="2" t="s">
        <v>218</v>
      </c>
      <c r="U673" s="3" t="s">
        <v>41</v>
      </c>
      <c r="V673" s="2" t="s">
        <v>219</v>
      </c>
      <c r="W673" s="2">
        <v>3</v>
      </c>
      <c r="X673" s="2">
        <v>8</v>
      </c>
      <c r="Y673" s="2">
        <v>2</v>
      </c>
      <c r="Z673" s="2">
        <v>0</v>
      </c>
      <c r="AA673" s="2">
        <v>0</v>
      </c>
      <c r="AB673" s="12">
        <f>(W673*4+X673*1+Y673*-2+Z673*-3)/W673</f>
        <v>5.333333333333333</v>
      </c>
      <c r="AC673" s="3">
        <f>W673*12.0107+X673*1.00784+Y673*15.999+Z673*14.0067</f>
        <v>76.092820000000003</v>
      </c>
      <c r="AD673" s="12">
        <v>213</v>
      </c>
      <c r="AE673" s="2" t="s">
        <v>220</v>
      </c>
      <c r="AF673" s="2" t="s">
        <v>98</v>
      </c>
      <c r="AG673" s="2" t="str">
        <f>IF(AD673&gt;37,"Proton symporter", "Diffusion")</f>
        <v>Proton symporter</v>
      </c>
      <c r="AH673" s="3" t="s">
        <v>221</v>
      </c>
    </row>
    <row r="674" spans="1:34" hidden="1" x14ac:dyDescent="0.2">
      <c r="A674" s="8" t="s">
        <v>34</v>
      </c>
      <c r="B674" s="9" t="s">
        <v>35</v>
      </c>
      <c r="C674" s="1" t="s">
        <v>36</v>
      </c>
      <c r="D674" s="10" t="s">
        <v>37</v>
      </c>
      <c r="E674" s="1" t="s">
        <v>335</v>
      </c>
      <c r="F674" s="1" t="s">
        <v>336</v>
      </c>
      <c r="G674" s="1">
        <v>-10</v>
      </c>
      <c r="H674" s="1">
        <v>-20</v>
      </c>
      <c r="I674" s="1" t="s">
        <v>40</v>
      </c>
      <c r="J674" s="1">
        <v>3.15</v>
      </c>
      <c r="K674" s="1">
        <v>-10</v>
      </c>
      <c r="L674" s="1">
        <v>-1.7919732441471501</v>
      </c>
      <c r="M674" s="1" t="s">
        <v>40</v>
      </c>
      <c r="N674" s="1">
        <v>5.4949832775919702</v>
      </c>
      <c r="O674" s="1">
        <v>2.9010033444815999</v>
      </c>
      <c r="Q674" s="1">
        <v>0.29010033444816002</v>
      </c>
      <c r="R674" s="1">
        <v>0.47512374278860497</v>
      </c>
      <c r="S674" s="11" t="s">
        <v>335</v>
      </c>
      <c r="T674" s="2" t="s">
        <v>335</v>
      </c>
      <c r="U674" s="3" t="s">
        <v>106</v>
      </c>
      <c r="V674" s="2" t="s">
        <v>337</v>
      </c>
      <c r="W674" s="2">
        <v>5</v>
      </c>
      <c r="X674" s="2">
        <v>12</v>
      </c>
      <c r="Y674" s="2">
        <v>0</v>
      </c>
      <c r="Z674" s="2">
        <v>0</v>
      </c>
      <c r="AA674" s="2">
        <v>0</v>
      </c>
      <c r="AB674" s="12">
        <f>(W674*4+X674*1+Y674*-2+Z674*-3)/W674</f>
        <v>6.4</v>
      </c>
      <c r="AC674" s="3">
        <f>W674*12.0107+X674*1.00784+Y674*15.999+Z674*14.0067</f>
        <v>72.147580000000005</v>
      </c>
      <c r="AD674" s="24">
        <v>36.1</v>
      </c>
      <c r="AE674" s="3" t="s">
        <v>321</v>
      </c>
      <c r="AF674" s="2" t="s">
        <v>79</v>
      </c>
      <c r="AG674" s="25" t="str">
        <f>IF(AD674&gt;37,"Proton symporter", "Diffusion")</f>
        <v>Diffusion</v>
      </c>
      <c r="AH674" s="3" t="s">
        <v>338</v>
      </c>
    </row>
    <row r="675" spans="1:34" hidden="1" x14ac:dyDescent="0.2">
      <c r="A675" s="8" t="s">
        <v>34</v>
      </c>
      <c r="B675" s="9" t="s">
        <v>35</v>
      </c>
      <c r="C675" s="1" t="s">
        <v>46</v>
      </c>
      <c r="D675" s="10" t="s">
        <v>37</v>
      </c>
      <c r="E675" s="1" t="s">
        <v>186</v>
      </c>
      <c r="F675" s="1" t="s">
        <v>187</v>
      </c>
      <c r="G675" s="1">
        <v>-10</v>
      </c>
      <c r="H675" s="1">
        <v>-20</v>
      </c>
      <c r="I675" s="1" t="s">
        <v>40</v>
      </c>
      <c r="J675" s="1">
        <v>3.15</v>
      </c>
      <c r="K675" s="1">
        <v>-10</v>
      </c>
      <c r="L675" s="1">
        <v>-3.9125000000000001</v>
      </c>
      <c r="M675" s="1" t="s">
        <v>40</v>
      </c>
      <c r="N675" s="1">
        <v>7.13</v>
      </c>
      <c r="O675" s="1">
        <v>3.2174999999999998</v>
      </c>
      <c r="Q675" s="1">
        <v>0.32174999999999998</v>
      </c>
      <c r="R675" s="1">
        <v>0.47462142861498002</v>
      </c>
      <c r="S675" s="11" t="s">
        <v>186</v>
      </c>
      <c r="T675" s="2" t="s">
        <v>186</v>
      </c>
      <c r="U675" s="3" t="s">
        <v>41</v>
      </c>
      <c r="V675" s="2" t="s">
        <v>184</v>
      </c>
      <c r="W675" s="2">
        <v>4</v>
      </c>
      <c r="X675" s="2">
        <v>7</v>
      </c>
      <c r="Y675" s="2">
        <v>2</v>
      </c>
      <c r="Z675" s="2">
        <v>0</v>
      </c>
      <c r="AA675" s="2">
        <v>0</v>
      </c>
      <c r="AB675" s="12">
        <f>(W675*4+X675*1+Y675*-2+Z675*-3)/W675</f>
        <v>4.75</v>
      </c>
      <c r="AC675" s="3">
        <f>W675*12.0107+X675*1.00784+Y675*15.999+Z675*14.0067</f>
        <v>87.095680000000002</v>
      </c>
      <c r="AD675" s="12">
        <v>155</v>
      </c>
      <c r="AE675" s="2" t="s">
        <v>131</v>
      </c>
      <c r="AF675" s="2" t="s">
        <v>135</v>
      </c>
      <c r="AG675" s="2" t="str">
        <f>IF(AD675&gt;37,"Proton symporter", "Diffusion")</f>
        <v>Proton symporter</v>
      </c>
      <c r="AH675" s="3" t="s">
        <v>188</v>
      </c>
    </row>
    <row r="676" spans="1:34" hidden="1" x14ac:dyDescent="0.2">
      <c r="A676" s="8" t="s">
        <v>34</v>
      </c>
      <c r="B676" s="9" t="s">
        <v>35</v>
      </c>
      <c r="C676" s="1" t="s">
        <v>36</v>
      </c>
      <c r="D676" s="10" t="s">
        <v>37</v>
      </c>
      <c r="E676" s="1" t="s">
        <v>227</v>
      </c>
      <c r="F676" s="1" t="s">
        <v>228</v>
      </c>
      <c r="G676" s="1">
        <v>-10</v>
      </c>
      <c r="H676" s="1">
        <v>-20</v>
      </c>
      <c r="I676" s="1" t="s">
        <v>40</v>
      </c>
      <c r="J676" s="1">
        <v>3.15</v>
      </c>
      <c r="K676" s="1">
        <v>-10</v>
      </c>
      <c r="L676" s="1">
        <v>-4.0629464285714203</v>
      </c>
      <c r="M676" s="1" t="s">
        <v>40</v>
      </c>
      <c r="N676" s="1">
        <v>4.4910714285714297</v>
      </c>
      <c r="O676" s="1">
        <v>0.38772321428571399</v>
      </c>
      <c r="Q676" s="1">
        <v>3.8772321428571399E-2</v>
      </c>
      <c r="R676" s="1">
        <v>0.47252553449137402</v>
      </c>
      <c r="S676" s="11" t="s">
        <v>227</v>
      </c>
      <c r="T676" s="2" t="s">
        <v>229</v>
      </c>
      <c r="U676" s="3" t="s">
        <v>41</v>
      </c>
      <c r="V676" s="2" t="s">
        <v>230</v>
      </c>
      <c r="W676" s="2">
        <v>40</v>
      </c>
      <c r="X676" s="2">
        <v>56</v>
      </c>
      <c r="Y676" s="2">
        <v>0</v>
      </c>
      <c r="Z676" s="2">
        <v>0</v>
      </c>
      <c r="AA676" s="2">
        <v>0</v>
      </c>
      <c r="AB676" s="12">
        <f>(W676*4+X676*1+Y676*-2+Z676*-3)/W676</f>
        <v>5.4</v>
      </c>
      <c r="AC676" s="3">
        <f>W676*12.0107+X676*1.00784+Y676*15.999+Z676*14.0067</f>
        <v>536.86703999999997</v>
      </c>
      <c r="AD676" s="12">
        <v>633</v>
      </c>
      <c r="AE676" s="2" t="s">
        <v>231</v>
      </c>
      <c r="AF676" s="2" t="s">
        <v>79</v>
      </c>
      <c r="AG676" s="2" t="s">
        <v>232</v>
      </c>
      <c r="AH676" s="3" t="s">
        <v>233</v>
      </c>
    </row>
    <row r="677" spans="1:34" hidden="1" x14ac:dyDescent="0.2">
      <c r="A677" s="8" t="s">
        <v>34</v>
      </c>
      <c r="B677" s="9" t="s">
        <v>35</v>
      </c>
      <c r="C677" s="1" t="s">
        <v>56</v>
      </c>
      <c r="D677" s="14" t="s">
        <v>55</v>
      </c>
      <c r="E677" s="1" t="s">
        <v>307</v>
      </c>
      <c r="F677" s="1" t="s">
        <v>308</v>
      </c>
      <c r="G677" s="1">
        <v>-10</v>
      </c>
      <c r="H677" s="1">
        <v>-20</v>
      </c>
      <c r="I677" s="1" t="s">
        <v>40</v>
      </c>
      <c r="J677" s="1">
        <v>3.15</v>
      </c>
      <c r="K677" s="1">
        <v>-10</v>
      </c>
      <c r="L677" s="1">
        <v>-2.6083333333333298</v>
      </c>
      <c r="M677" s="1" t="s">
        <v>40</v>
      </c>
      <c r="N677" s="1">
        <v>8.4055555555555497</v>
      </c>
      <c r="O677" s="1">
        <v>7.1981481481481504</v>
      </c>
      <c r="Q677" s="1">
        <v>0.71981481481481502</v>
      </c>
      <c r="R677" s="1">
        <v>0.46969950768482399</v>
      </c>
      <c r="S677" s="11" t="s">
        <v>307</v>
      </c>
      <c r="T677" s="2" t="s">
        <v>307</v>
      </c>
      <c r="U677" s="3" t="s">
        <v>41</v>
      </c>
      <c r="V677" s="2" t="s">
        <v>283</v>
      </c>
      <c r="W677" s="2">
        <v>3</v>
      </c>
      <c r="X677" s="2">
        <v>8</v>
      </c>
      <c r="Y677" s="2">
        <v>1</v>
      </c>
      <c r="Z677" s="2">
        <v>0</v>
      </c>
      <c r="AA677" s="2">
        <v>0</v>
      </c>
      <c r="AB677" s="12">
        <f>(W677*4+X677*1+Y677*-2+Z677*-3)/W677</f>
        <v>6</v>
      </c>
      <c r="AC677" s="3">
        <f>W677*12.0107+X677*1.00784+Y677*15.999+Z677*14.0067</f>
        <v>60.093820000000001</v>
      </c>
      <c r="AD677" s="12">
        <v>82.5</v>
      </c>
      <c r="AE677" s="2" t="s">
        <v>262</v>
      </c>
      <c r="AF677" s="2" t="s">
        <v>79</v>
      </c>
      <c r="AG677" s="2" t="str">
        <f>IF(AD677&gt;37,"Proton symporter", "Diffusion")</f>
        <v>Proton symporter</v>
      </c>
      <c r="AH677" s="3" t="s">
        <v>309</v>
      </c>
    </row>
    <row r="678" spans="1:34" hidden="1" x14ac:dyDescent="0.2">
      <c r="A678" s="8" t="s">
        <v>34</v>
      </c>
      <c r="B678" s="9" t="s">
        <v>35</v>
      </c>
      <c r="C678" s="1" t="s">
        <v>56</v>
      </c>
      <c r="D678" s="14" t="s">
        <v>55</v>
      </c>
      <c r="E678" s="1" t="s">
        <v>300</v>
      </c>
      <c r="F678" s="1" t="s">
        <v>301</v>
      </c>
      <c r="G678" s="1">
        <v>-10</v>
      </c>
      <c r="H678" s="1">
        <v>-20</v>
      </c>
      <c r="I678" s="1" t="s">
        <v>40</v>
      </c>
      <c r="J678" s="1">
        <v>3.15</v>
      </c>
      <c r="K678" s="1">
        <v>-10</v>
      </c>
      <c r="L678" s="1">
        <v>-8.3840492999212803E-16</v>
      </c>
      <c r="M678" s="1" t="s">
        <v>40</v>
      </c>
      <c r="N678" s="1">
        <v>6.6666666666666501</v>
      </c>
      <c r="O678" s="1">
        <v>5.8333333333333304</v>
      </c>
      <c r="Q678" s="1">
        <v>0.58333333333333304</v>
      </c>
      <c r="R678" s="1">
        <v>0.46948626230656199</v>
      </c>
      <c r="S678" s="20" t="s">
        <v>300</v>
      </c>
      <c r="T678" s="3" t="s">
        <v>302</v>
      </c>
      <c r="U678" s="3" t="s">
        <v>106</v>
      </c>
      <c r="V678" s="3" t="s">
        <v>303</v>
      </c>
      <c r="W678" s="3">
        <v>4</v>
      </c>
      <c r="X678" s="3">
        <v>10</v>
      </c>
      <c r="Y678" s="3">
        <v>1</v>
      </c>
      <c r="Z678" s="3">
        <v>0</v>
      </c>
      <c r="AA678" s="3">
        <v>0</v>
      </c>
      <c r="AB678" s="12">
        <f>(W678*4+X678*1+Y678*-2+Z678*-3)/W678</f>
        <v>6</v>
      </c>
      <c r="AC678" s="3">
        <f>W678*12.0107+X678*1.00784+Y678*15.999+Z678*14.0067</f>
        <v>74.120199999999997</v>
      </c>
      <c r="AD678" s="12">
        <v>117.7</v>
      </c>
      <c r="AE678" s="3" t="s">
        <v>262</v>
      </c>
      <c r="AF678" s="2" t="s">
        <v>79</v>
      </c>
      <c r="AG678" s="2" t="str">
        <f>IF(AD678&gt;37,"Proton symporter", "Diffusion")</f>
        <v>Proton symporter</v>
      </c>
      <c r="AH678" s="3" t="s">
        <v>304</v>
      </c>
    </row>
    <row r="679" spans="1:34" hidden="1" x14ac:dyDescent="0.2">
      <c r="A679" s="8" t="s">
        <v>34</v>
      </c>
      <c r="B679" s="9" t="s">
        <v>35</v>
      </c>
      <c r="C679" s="1" t="s">
        <v>60</v>
      </c>
      <c r="D679" s="13" t="s">
        <v>51</v>
      </c>
      <c r="E679" s="1" t="s">
        <v>289</v>
      </c>
      <c r="F679" s="1" t="s">
        <v>290</v>
      </c>
      <c r="G679" s="1">
        <v>-10</v>
      </c>
      <c r="H679" s="1">
        <v>-20</v>
      </c>
      <c r="I679" s="1" t="s">
        <v>40</v>
      </c>
      <c r="J679" s="1">
        <v>3.15</v>
      </c>
      <c r="K679" s="1">
        <v>-10</v>
      </c>
      <c r="L679" s="1">
        <v>-2.3305555555555602</v>
      </c>
      <c r="M679" s="1" t="s">
        <v>40</v>
      </c>
      <c r="N679" s="1">
        <v>1.55370370370372</v>
      </c>
      <c r="O679" s="1">
        <v>1.6892592592592599</v>
      </c>
      <c r="Q679" s="1">
        <v>0.16892592592592601</v>
      </c>
      <c r="R679" s="1">
        <v>0.464723783910512</v>
      </c>
      <c r="S679" s="11" t="s">
        <v>289</v>
      </c>
      <c r="T679" s="2" t="s">
        <v>291</v>
      </c>
      <c r="U679" s="3" t="s">
        <v>41</v>
      </c>
      <c r="V679" s="2" t="s">
        <v>292</v>
      </c>
      <c r="W679" s="2">
        <v>5</v>
      </c>
      <c r="X679" s="2">
        <v>12</v>
      </c>
      <c r="Y679" s="2">
        <v>1</v>
      </c>
      <c r="Z679" s="2">
        <v>0</v>
      </c>
      <c r="AA679" s="2">
        <v>0</v>
      </c>
      <c r="AB679" s="12">
        <f>(W679*4+X679*1+Y679*-2+Z679*-3)/W679</f>
        <v>6</v>
      </c>
      <c r="AC679" s="3">
        <f>W679*12.0107+X679*1.00784+Y679*15.999+Z679*14.0067</f>
        <v>88.14658</v>
      </c>
      <c r="AD679" s="12">
        <v>129</v>
      </c>
      <c r="AE679" s="2" t="s">
        <v>262</v>
      </c>
      <c r="AF679" s="2" t="s">
        <v>293</v>
      </c>
      <c r="AG679" s="2" t="str">
        <f>IF(AD679&gt;37,"Proton symporter", "Diffusion")</f>
        <v>Proton symporter</v>
      </c>
      <c r="AH679" s="3" t="s">
        <v>294</v>
      </c>
    </row>
    <row r="680" spans="1:34" hidden="1" x14ac:dyDescent="0.2">
      <c r="A680" s="8" t="s">
        <v>34</v>
      </c>
      <c r="B680" s="9" t="s">
        <v>35</v>
      </c>
      <c r="C680" s="1" t="s">
        <v>59</v>
      </c>
      <c r="D680" s="13" t="s">
        <v>51</v>
      </c>
      <c r="E680" s="1" t="s">
        <v>289</v>
      </c>
      <c r="F680" s="1" t="s">
        <v>290</v>
      </c>
      <c r="G680" s="1">
        <v>-10</v>
      </c>
      <c r="H680" s="1">
        <v>-20</v>
      </c>
      <c r="I680" s="1" t="s">
        <v>40</v>
      </c>
      <c r="J680" s="1">
        <v>3.15</v>
      </c>
      <c r="K680" s="1">
        <v>-10</v>
      </c>
      <c r="L680" s="1">
        <v>-2.3305555555555602</v>
      </c>
      <c r="M680" s="1" t="s">
        <v>40</v>
      </c>
      <c r="N680" s="1">
        <v>1.5537037037037</v>
      </c>
      <c r="O680" s="1">
        <v>1.6892592592592599</v>
      </c>
      <c r="Q680" s="1">
        <v>0.16892592592592601</v>
      </c>
      <c r="R680" s="1">
        <v>0.464723783910511</v>
      </c>
      <c r="S680" s="11" t="s">
        <v>289</v>
      </c>
      <c r="T680" s="2" t="s">
        <v>291</v>
      </c>
      <c r="U680" s="3" t="s">
        <v>41</v>
      </c>
      <c r="V680" s="2" t="s">
        <v>292</v>
      </c>
      <c r="W680" s="2">
        <v>5</v>
      </c>
      <c r="X680" s="2">
        <v>12</v>
      </c>
      <c r="Y680" s="2">
        <v>1</v>
      </c>
      <c r="Z680" s="2">
        <v>0</v>
      </c>
      <c r="AA680" s="2">
        <v>0</v>
      </c>
      <c r="AB680" s="12">
        <f>(W680*4+X680*1+Y680*-2+Z680*-3)/W680</f>
        <v>6</v>
      </c>
      <c r="AC680" s="3">
        <f>W680*12.0107+X680*1.00784+Y680*15.999+Z680*14.0067</f>
        <v>88.14658</v>
      </c>
      <c r="AD680" s="12">
        <v>129</v>
      </c>
      <c r="AE680" s="2" t="s">
        <v>262</v>
      </c>
      <c r="AF680" s="2" t="s">
        <v>293</v>
      </c>
      <c r="AG680" s="2" t="str">
        <f>IF(AD680&gt;37,"Proton symporter", "Diffusion")</f>
        <v>Proton symporter</v>
      </c>
      <c r="AH680" s="3" t="s">
        <v>294</v>
      </c>
    </row>
    <row r="681" spans="1:34" hidden="1" x14ac:dyDescent="0.2">
      <c r="A681" s="8" t="s">
        <v>34</v>
      </c>
      <c r="B681" s="9" t="s">
        <v>35</v>
      </c>
      <c r="C681" s="1" t="s">
        <v>46</v>
      </c>
      <c r="D681" s="10" t="s">
        <v>37</v>
      </c>
      <c r="E681" s="1" t="s">
        <v>234</v>
      </c>
      <c r="F681" s="1" t="s">
        <v>235</v>
      </c>
      <c r="G681" s="1">
        <v>-10</v>
      </c>
      <c r="H681" s="1">
        <v>-20</v>
      </c>
      <c r="I681" s="1" t="s">
        <v>40</v>
      </c>
      <c r="J681" s="1">
        <v>3.15</v>
      </c>
      <c r="K681" s="1">
        <v>-10</v>
      </c>
      <c r="L681" s="1">
        <v>-3.2602564102564102</v>
      </c>
      <c r="M681" s="1" t="s">
        <v>40</v>
      </c>
      <c r="N681" s="1">
        <v>7.8256410256410298</v>
      </c>
      <c r="O681" s="1">
        <v>3.0435897435897501</v>
      </c>
      <c r="Q681" s="1">
        <v>0.30435897435897502</v>
      </c>
      <c r="R681" s="1">
        <v>0.464553366975266</v>
      </c>
      <c r="S681" s="20" t="s">
        <v>236</v>
      </c>
      <c r="T681" s="3" t="s">
        <v>237</v>
      </c>
      <c r="U681" s="3" t="s">
        <v>106</v>
      </c>
      <c r="V681" s="3" t="s">
        <v>238</v>
      </c>
      <c r="W681" s="3">
        <v>4</v>
      </c>
      <c r="X681" s="3">
        <v>10</v>
      </c>
      <c r="Y681" s="3">
        <v>2</v>
      </c>
      <c r="Z681" s="3">
        <v>0</v>
      </c>
      <c r="AA681" s="3">
        <v>0</v>
      </c>
      <c r="AB681" s="12">
        <f>(W681*4+X681*1+Y681*-2+Z681*-3)/W681</f>
        <v>5.5</v>
      </c>
      <c r="AC681" s="3">
        <f>W681*12.0107+X681*1.00784+Y681*15.999+Z681*14.0067</f>
        <v>90.119200000000006</v>
      </c>
      <c r="AD681" s="12">
        <v>207</v>
      </c>
      <c r="AE681" s="2" t="s">
        <v>220</v>
      </c>
      <c r="AF681" s="3" t="s">
        <v>79</v>
      </c>
      <c r="AG681" s="2" t="str">
        <f>IF(AD681&gt;37,"Proton symporter", "Diffusion")</f>
        <v>Proton symporter</v>
      </c>
      <c r="AH681" s="3" t="s">
        <v>239</v>
      </c>
    </row>
    <row r="682" spans="1:34" hidden="1" x14ac:dyDescent="0.2">
      <c r="A682" s="8" t="s">
        <v>34</v>
      </c>
      <c r="B682" s="9" t="s">
        <v>35</v>
      </c>
      <c r="C682" s="1" t="s">
        <v>46</v>
      </c>
      <c r="D682" s="10" t="s">
        <v>37</v>
      </c>
      <c r="E682" s="1" t="s">
        <v>240</v>
      </c>
      <c r="F682" s="1" t="s">
        <v>235</v>
      </c>
      <c r="G682" s="1">
        <v>-10</v>
      </c>
      <c r="H682" s="1">
        <v>-20</v>
      </c>
      <c r="I682" s="1" t="s">
        <v>40</v>
      </c>
      <c r="J682" s="1">
        <v>3.15</v>
      </c>
      <c r="K682" s="1">
        <v>-10</v>
      </c>
      <c r="L682" s="1">
        <v>-3.2602564102564102</v>
      </c>
      <c r="M682" s="1" t="s">
        <v>40</v>
      </c>
      <c r="N682" s="1">
        <v>7.82564102564102</v>
      </c>
      <c r="O682" s="1">
        <v>3.0435897435897399</v>
      </c>
      <c r="Q682" s="1">
        <v>0.30435897435897402</v>
      </c>
      <c r="R682" s="1">
        <v>0.464553366975266</v>
      </c>
      <c r="S682" s="20" t="s">
        <v>241</v>
      </c>
      <c r="T682" s="3" t="s">
        <v>242</v>
      </c>
      <c r="U682" s="3" t="s">
        <v>106</v>
      </c>
      <c r="V682" s="3" t="s">
        <v>238</v>
      </c>
      <c r="W682" s="3">
        <v>4</v>
      </c>
      <c r="X682" s="3">
        <v>10</v>
      </c>
      <c r="Y682" s="3">
        <v>2</v>
      </c>
      <c r="Z682" s="3">
        <v>0</v>
      </c>
      <c r="AA682" s="3">
        <v>0</v>
      </c>
      <c r="AB682" s="12">
        <f>(W682*4+X682*1+Y682*-2+Z682*-3)/W682</f>
        <v>5.5</v>
      </c>
      <c r="AC682" s="3">
        <f>W682*12.0107+X682*1.00784+Y682*15.999+Z682*14.0067</f>
        <v>90.119200000000006</v>
      </c>
      <c r="AD682" s="12">
        <v>207</v>
      </c>
      <c r="AE682" s="2" t="s">
        <v>220</v>
      </c>
      <c r="AF682" s="3" t="s">
        <v>243</v>
      </c>
      <c r="AG682" s="2" t="str">
        <f>IF(AD682&gt;37,"Proton symporter", "Diffusion")</f>
        <v>Proton symporter</v>
      </c>
      <c r="AH682" s="3" t="s">
        <v>239</v>
      </c>
    </row>
    <row r="683" spans="1:34" hidden="1" x14ac:dyDescent="0.2">
      <c r="A683" s="8" t="s">
        <v>34</v>
      </c>
      <c r="B683" s="9" t="s">
        <v>35</v>
      </c>
      <c r="C683" s="1" t="s">
        <v>60</v>
      </c>
      <c r="D683" s="13" t="s">
        <v>51</v>
      </c>
      <c r="E683" s="1" t="s">
        <v>172</v>
      </c>
      <c r="F683" s="1" t="s">
        <v>173</v>
      </c>
      <c r="G683" s="1">
        <v>-10</v>
      </c>
      <c r="H683" s="1">
        <v>-20</v>
      </c>
      <c r="I683" s="1" t="s">
        <v>40</v>
      </c>
      <c r="J683" s="1">
        <v>3.15</v>
      </c>
      <c r="K683" s="1">
        <v>-10</v>
      </c>
      <c r="L683" s="1">
        <v>-3.99302694136292</v>
      </c>
      <c r="M683" s="1" t="s">
        <v>40</v>
      </c>
      <c r="N683" s="1">
        <v>0.56545166402536295</v>
      </c>
      <c r="O683" s="1">
        <v>1.5724247226624399</v>
      </c>
      <c r="Q683" s="1">
        <v>0.15724247226624399</v>
      </c>
      <c r="R683" s="1">
        <v>0.46184885278981402</v>
      </c>
      <c r="S683" s="20" t="s">
        <v>172</v>
      </c>
      <c r="T683" s="3" t="s">
        <v>172</v>
      </c>
      <c r="U683" s="3" t="s">
        <v>174</v>
      </c>
      <c r="V683" s="3" t="s">
        <v>175</v>
      </c>
      <c r="W683" s="3">
        <v>6</v>
      </c>
      <c r="X683" s="3">
        <v>6</v>
      </c>
      <c r="Y683" s="3">
        <v>1</v>
      </c>
      <c r="Z683" s="3">
        <v>0</v>
      </c>
      <c r="AA683" s="3">
        <v>0</v>
      </c>
      <c r="AB683" s="12">
        <f>(W683*4+X683*1+Y683*-2+Z683*-3)/W683</f>
        <v>4.666666666666667</v>
      </c>
      <c r="AC683" s="3">
        <f>W683*12.0107+X683*1.00784+Y683*15.999+Z683*14.0067</f>
        <v>94.11023999999999</v>
      </c>
      <c r="AD683" s="12">
        <v>181.7</v>
      </c>
      <c r="AE683" s="3" t="s">
        <v>176</v>
      </c>
      <c r="AF683" s="2" t="s">
        <v>150</v>
      </c>
      <c r="AG683" s="2" t="str">
        <f>IF(AD683&gt;37,"Proton symporter", "Diffusion")</f>
        <v>Proton symporter</v>
      </c>
      <c r="AH683" s="3" t="s">
        <v>177</v>
      </c>
    </row>
    <row r="684" spans="1:34" hidden="1" x14ac:dyDescent="0.2">
      <c r="A684" s="8" t="s">
        <v>34</v>
      </c>
      <c r="B684" s="9" t="s">
        <v>35</v>
      </c>
      <c r="C684" s="1" t="s">
        <v>59</v>
      </c>
      <c r="D684" s="13" t="s">
        <v>51</v>
      </c>
      <c r="E684" s="1" t="s">
        <v>172</v>
      </c>
      <c r="F684" s="1" t="s">
        <v>173</v>
      </c>
      <c r="G684" s="1">
        <v>-10</v>
      </c>
      <c r="H684" s="1">
        <v>-20</v>
      </c>
      <c r="I684" s="1" t="s">
        <v>40</v>
      </c>
      <c r="J684" s="1">
        <v>3.15</v>
      </c>
      <c r="K684" s="1">
        <v>-10</v>
      </c>
      <c r="L684" s="1">
        <v>-3.9930269413629098</v>
      </c>
      <c r="M684" s="1" t="s">
        <v>40</v>
      </c>
      <c r="N684" s="1">
        <v>0.56545166402535196</v>
      </c>
      <c r="O684" s="1">
        <v>1.5724247226624399</v>
      </c>
      <c r="Q684" s="1">
        <v>0.15724247226624399</v>
      </c>
      <c r="R684" s="1">
        <v>0.46184885278981302</v>
      </c>
      <c r="S684" s="20" t="s">
        <v>172</v>
      </c>
      <c r="T684" s="3" t="s">
        <v>172</v>
      </c>
      <c r="U684" s="3" t="s">
        <v>174</v>
      </c>
      <c r="V684" s="3" t="s">
        <v>175</v>
      </c>
      <c r="W684" s="3">
        <v>6</v>
      </c>
      <c r="X684" s="3">
        <v>6</v>
      </c>
      <c r="Y684" s="3">
        <v>1</v>
      </c>
      <c r="Z684" s="3">
        <v>0</v>
      </c>
      <c r="AA684" s="3">
        <v>0</v>
      </c>
      <c r="AB684" s="12">
        <f>(W684*4+X684*1+Y684*-2+Z684*-3)/W684</f>
        <v>4.666666666666667</v>
      </c>
      <c r="AC684" s="3">
        <f>W684*12.0107+X684*1.00784+Y684*15.999+Z684*14.0067</f>
        <v>94.11023999999999</v>
      </c>
      <c r="AD684" s="12">
        <v>181.7</v>
      </c>
      <c r="AE684" s="3" t="s">
        <v>176</v>
      </c>
      <c r="AF684" s="2" t="s">
        <v>150</v>
      </c>
      <c r="AG684" s="2" t="str">
        <f>IF(AD684&gt;37,"Proton symporter", "Diffusion")</f>
        <v>Proton symporter</v>
      </c>
      <c r="AH684" s="3" t="s">
        <v>177</v>
      </c>
    </row>
    <row r="685" spans="1:34" hidden="1" x14ac:dyDescent="0.2">
      <c r="A685" s="8" t="s">
        <v>34</v>
      </c>
      <c r="B685" s="9" t="s">
        <v>35</v>
      </c>
      <c r="C685" s="1" t="s">
        <v>47</v>
      </c>
      <c r="D685" s="10" t="s">
        <v>37</v>
      </c>
      <c r="E685" s="1" t="s">
        <v>161</v>
      </c>
      <c r="F685" s="1" t="s">
        <v>162</v>
      </c>
      <c r="G685" s="1">
        <v>-10</v>
      </c>
      <c r="H685" s="1">
        <v>-20</v>
      </c>
      <c r="I685" s="1" t="s">
        <v>40</v>
      </c>
      <c r="J685" s="1">
        <v>3.15</v>
      </c>
      <c r="K685" s="1">
        <v>-10</v>
      </c>
      <c r="L685" s="1">
        <v>-8.2079505300353297</v>
      </c>
      <c r="M685" s="1" t="s">
        <v>40</v>
      </c>
      <c r="N685" s="1">
        <v>4.4996466431095499</v>
      </c>
      <c r="O685" s="1">
        <v>2.5833922261484101</v>
      </c>
      <c r="Q685" s="1">
        <v>0.25833922261484099</v>
      </c>
      <c r="R685" s="1">
        <v>0.45830812588310199</v>
      </c>
      <c r="S685" s="20" t="s">
        <v>161</v>
      </c>
      <c r="T685" s="3" t="s">
        <v>161</v>
      </c>
      <c r="U685" s="3" t="s">
        <v>106</v>
      </c>
      <c r="V685" s="20" t="s">
        <v>163</v>
      </c>
      <c r="W685" s="3">
        <v>6</v>
      </c>
      <c r="X685" s="3">
        <v>6</v>
      </c>
      <c r="Y685" s="3">
        <v>2</v>
      </c>
      <c r="Z685" s="3">
        <v>0</v>
      </c>
      <c r="AA685" s="3">
        <v>0</v>
      </c>
      <c r="AB685" s="12">
        <f>(W685*4+X685*1+Y685*-2+Z685*-3)/W685</f>
        <v>4.333333333333333</v>
      </c>
      <c r="AC685" s="3">
        <f>W685*12.0107+X685*1.00784+Y685*15.999+Z685*14.0067</f>
        <v>110.10924</v>
      </c>
      <c r="AD685" s="12">
        <v>245</v>
      </c>
      <c r="AE685" s="3" t="s">
        <v>164</v>
      </c>
      <c r="AF685" s="2" t="s">
        <v>98</v>
      </c>
      <c r="AG685" s="2" t="str">
        <f>IF(AD685&gt;37,"Proton symporter", "Diffusion")</f>
        <v>Proton symporter</v>
      </c>
      <c r="AH685" s="3" t="s">
        <v>165</v>
      </c>
    </row>
    <row r="686" spans="1:34" hidden="1" x14ac:dyDescent="0.2">
      <c r="A686" s="8" t="s">
        <v>34</v>
      </c>
      <c r="B686" s="9" t="s">
        <v>35</v>
      </c>
      <c r="C686" s="1" t="s">
        <v>47</v>
      </c>
      <c r="D686" s="10" t="s">
        <v>37</v>
      </c>
      <c r="E686" s="1" t="s">
        <v>146</v>
      </c>
      <c r="F686" s="1" t="s">
        <v>147</v>
      </c>
      <c r="G686" s="1">
        <v>-10</v>
      </c>
      <c r="H686" s="1">
        <v>-20</v>
      </c>
      <c r="I686" s="1" t="s">
        <v>40</v>
      </c>
      <c r="J686" s="1">
        <v>3.15</v>
      </c>
      <c r="K686" s="1">
        <v>-10</v>
      </c>
      <c r="L686" s="1">
        <v>-8.4435041716329007</v>
      </c>
      <c r="M686" s="1" t="s">
        <v>40</v>
      </c>
      <c r="N686" s="1">
        <v>4.3148986889153704</v>
      </c>
      <c r="O686" s="1">
        <v>1.7427890345649599</v>
      </c>
      <c r="Q686" s="1">
        <v>0.17427890345649599</v>
      </c>
      <c r="R686" s="1">
        <v>0.45811076381621901</v>
      </c>
      <c r="S686" s="20" t="s">
        <v>148</v>
      </c>
      <c r="T686" s="3" t="s">
        <v>148</v>
      </c>
      <c r="U686" s="3" t="s">
        <v>106</v>
      </c>
      <c r="V686" s="3" t="s">
        <v>149</v>
      </c>
      <c r="W686" s="3">
        <v>9</v>
      </c>
      <c r="X686" s="3">
        <v>7</v>
      </c>
      <c r="Y686" s="3">
        <v>3</v>
      </c>
      <c r="Z686" s="3">
        <v>0</v>
      </c>
      <c r="AA686" s="3">
        <v>-1</v>
      </c>
      <c r="AB686" s="12">
        <f>(W686*4+X686*1+Y686*-2+Z686*-3)/W686</f>
        <v>4.1111111111111107</v>
      </c>
      <c r="AC686" s="3">
        <f>W686*12.0107+X686*1.00784+Y686*15.999+Z686*14.0067</f>
        <v>163.14818</v>
      </c>
      <c r="AD686" s="12">
        <v>346</v>
      </c>
      <c r="AE686" s="22" t="s">
        <v>139</v>
      </c>
      <c r="AF686" s="2" t="s">
        <v>150</v>
      </c>
      <c r="AG686" s="2" t="str">
        <f>IF(AD686&gt;37,"Proton symporter", "Diffusion")</f>
        <v>Proton symporter</v>
      </c>
      <c r="AH686" s="3" t="s">
        <v>151</v>
      </c>
    </row>
    <row r="687" spans="1:34" hidden="1" x14ac:dyDescent="0.2">
      <c r="A687" s="16" t="s">
        <v>63</v>
      </c>
      <c r="B687" s="17" t="s">
        <v>64</v>
      </c>
      <c r="C687" t="s">
        <v>68</v>
      </c>
      <c r="D687" s="18" t="s">
        <v>66</v>
      </c>
      <c r="E687" t="s">
        <v>194</v>
      </c>
      <c r="F687" t="s">
        <v>195</v>
      </c>
      <c r="G687">
        <v>-10</v>
      </c>
      <c r="H687">
        <v>0</v>
      </c>
      <c r="I687">
        <v>-10</v>
      </c>
      <c r="J687">
        <v>0.45</v>
      </c>
      <c r="K687">
        <v>-10</v>
      </c>
      <c r="L687">
        <v>0</v>
      </c>
      <c r="M687">
        <v>-10</v>
      </c>
      <c r="N687">
        <v>0.93333333333333401</v>
      </c>
      <c r="O687">
        <v>0.93333333333333302</v>
      </c>
      <c r="P687"/>
      <c r="Q687">
        <v>9.3333333333333296E-2</v>
      </c>
      <c r="R687">
        <v>0.457476923076923</v>
      </c>
      <c r="S687" s="3" t="s">
        <v>194</v>
      </c>
      <c r="T687" s="2" t="s">
        <v>196</v>
      </c>
      <c r="U687" s="3" t="s">
        <v>35</v>
      </c>
      <c r="V687" s="3" t="s">
        <v>197</v>
      </c>
      <c r="W687" s="3">
        <v>6</v>
      </c>
      <c r="X687" s="3">
        <v>15</v>
      </c>
      <c r="Y687" s="3">
        <v>2</v>
      </c>
      <c r="Z687" s="3">
        <v>2</v>
      </c>
      <c r="AA687" s="3">
        <v>1</v>
      </c>
      <c r="AB687" s="12">
        <f>(W687*4+X687*1+Y687*-2+Z687*-3)/W687</f>
        <v>4.833333333333333</v>
      </c>
      <c r="AC687" s="3">
        <f>W687*12.0107+X687*1.00784+Y687*15.999+Z687*14.0067</f>
        <v>147.19319999999999</v>
      </c>
      <c r="AD687" s="12" t="s">
        <v>40</v>
      </c>
      <c r="AE687" s="3" t="s">
        <v>119</v>
      </c>
      <c r="AF687" s="3" t="s">
        <v>44</v>
      </c>
      <c r="AG687" s="2" t="s">
        <v>80</v>
      </c>
      <c r="AH687" s="2" t="s">
        <v>198</v>
      </c>
    </row>
    <row r="688" spans="1:34" hidden="1" x14ac:dyDescent="0.2">
      <c r="A688" s="8" t="s">
        <v>34</v>
      </c>
      <c r="B688" s="9" t="s">
        <v>35</v>
      </c>
      <c r="C688" s="1" t="s">
        <v>46</v>
      </c>
      <c r="D688" s="10" t="s">
        <v>37</v>
      </c>
      <c r="E688" s="1" t="s">
        <v>249</v>
      </c>
      <c r="F688" s="1" t="s">
        <v>250</v>
      </c>
      <c r="G688" s="1">
        <v>-10</v>
      </c>
      <c r="H688" s="1">
        <v>-20</v>
      </c>
      <c r="I688" s="1" t="s">
        <v>40</v>
      </c>
      <c r="J688" s="1">
        <v>3.15</v>
      </c>
      <c r="K688" s="1">
        <v>-10</v>
      </c>
      <c r="L688" s="1">
        <v>-3.5383720930232498</v>
      </c>
      <c r="M688" s="1" t="s">
        <v>40</v>
      </c>
      <c r="N688" s="1">
        <v>8.0279069767441893</v>
      </c>
      <c r="O688" s="1">
        <v>2.9930232558139598</v>
      </c>
      <c r="Q688" s="1">
        <v>0.29930232558139502</v>
      </c>
      <c r="R688" s="1">
        <v>0.45683523341214999</v>
      </c>
      <c r="S688" s="20" t="s">
        <v>251</v>
      </c>
      <c r="T688" s="3" t="s">
        <v>252</v>
      </c>
      <c r="U688" s="3" t="s">
        <v>106</v>
      </c>
      <c r="V688" s="3" t="s">
        <v>238</v>
      </c>
      <c r="W688" s="3">
        <v>4</v>
      </c>
      <c r="X688" s="3">
        <v>10</v>
      </c>
      <c r="Y688" s="3">
        <v>2</v>
      </c>
      <c r="Z688" s="3">
        <v>0</v>
      </c>
      <c r="AA688" s="3">
        <v>0</v>
      </c>
      <c r="AB688" s="12">
        <f>(W688*4+X688*1+Y688*-2+Z688*-3)/W688</f>
        <v>5.5</v>
      </c>
      <c r="AC688" s="3">
        <f>W688*12.0107+X688*1.00784+Y688*15.999+Z688*14.0067</f>
        <v>90.119200000000006</v>
      </c>
      <c r="AD688" s="12">
        <v>177</v>
      </c>
      <c r="AE688" s="3" t="s">
        <v>220</v>
      </c>
      <c r="AF688" s="3" t="s">
        <v>135</v>
      </c>
      <c r="AG688" s="2" t="str">
        <f>IF(AD688&gt;37,"Proton symporter", "Diffusion")</f>
        <v>Proton symporter</v>
      </c>
      <c r="AH688" s="3" t="s">
        <v>253</v>
      </c>
    </row>
    <row r="689" spans="1:34" hidden="1" x14ac:dyDescent="0.2">
      <c r="A689" s="8" t="s">
        <v>34</v>
      </c>
      <c r="B689" s="9" t="s">
        <v>35</v>
      </c>
      <c r="C689" s="1" t="s">
        <v>57</v>
      </c>
      <c r="D689" s="10" t="s">
        <v>37</v>
      </c>
      <c r="E689" s="1" t="s">
        <v>273</v>
      </c>
      <c r="F689" s="1" t="s">
        <v>274</v>
      </c>
      <c r="G689" s="1">
        <v>-10</v>
      </c>
      <c r="H689" s="1">
        <v>-20</v>
      </c>
      <c r="I689" s="1" t="s">
        <v>40</v>
      </c>
      <c r="J689" s="1">
        <v>3.15</v>
      </c>
      <c r="K689" s="1">
        <v>-10</v>
      </c>
      <c r="L689" s="1">
        <v>-5.5896103896103897</v>
      </c>
      <c r="M689" s="1" t="s">
        <v>40</v>
      </c>
      <c r="N689" s="1">
        <v>9.1922077922077907</v>
      </c>
      <c r="O689" s="1">
        <v>3.6025974025974001</v>
      </c>
      <c r="Q689" s="1">
        <v>0.36025974025974</v>
      </c>
      <c r="R689" s="1">
        <v>0.45677122018060501</v>
      </c>
      <c r="S689" s="22" t="s">
        <v>273</v>
      </c>
      <c r="T689" s="3" t="s">
        <v>275</v>
      </c>
      <c r="U689" s="3" t="s">
        <v>41</v>
      </c>
      <c r="V689" s="2" t="s">
        <v>276</v>
      </c>
      <c r="W689" s="2">
        <v>3</v>
      </c>
      <c r="X689" s="2">
        <v>12</v>
      </c>
      <c r="Y689" s="2">
        <v>0</v>
      </c>
      <c r="Z689" s="2">
        <v>2</v>
      </c>
      <c r="AA689" s="2">
        <v>0</v>
      </c>
      <c r="AB689" s="12">
        <f>(W689*4+X689*1+Y689*-2+Z689*-3)/W689</f>
        <v>6</v>
      </c>
      <c r="AC689" s="3">
        <f>W689*12.0107+X689*1.00784+Y689*15.999+Z689*14.0067</f>
        <v>76.139580000000009</v>
      </c>
      <c r="AD689" s="12">
        <v>139.30000000000001</v>
      </c>
      <c r="AE689" s="2" t="s">
        <v>277</v>
      </c>
      <c r="AF689" s="2" t="s">
        <v>125</v>
      </c>
      <c r="AG689" s="2" t="str">
        <f>IF(AD689&gt;37,"Proton symporter", "Diffusion")</f>
        <v>Proton symporter</v>
      </c>
      <c r="AH689" s="3" t="s">
        <v>278</v>
      </c>
    </row>
    <row r="690" spans="1:34" hidden="1" x14ac:dyDescent="0.2">
      <c r="A690" s="16" t="s">
        <v>63</v>
      </c>
      <c r="B690" s="17" t="s">
        <v>64</v>
      </c>
      <c r="C690" t="s">
        <v>67</v>
      </c>
      <c r="D690" s="18" t="s">
        <v>66</v>
      </c>
      <c r="E690" t="s">
        <v>205</v>
      </c>
      <c r="F690" t="s">
        <v>206</v>
      </c>
      <c r="G690">
        <v>-10</v>
      </c>
      <c r="H690">
        <v>0</v>
      </c>
      <c r="I690">
        <v>-5</v>
      </c>
      <c r="J690">
        <v>0.45</v>
      </c>
      <c r="K690">
        <v>-10</v>
      </c>
      <c r="L690">
        <v>0</v>
      </c>
      <c r="M690">
        <v>-5</v>
      </c>
      <c r="N690">
        <v>4</v>
      </c>
      <c r="O690">
        <v>1.5</v>
      </c>
      <c r="P690"/>
      <c r="Q690">
        <v>0.15</v>
      </c>
      <c r="R690">
        <v>0.45539379738111702</v>
      </c>
      <c r="S690" s="20" t="s">
        <v>205</v>
      </c>
      <c r="T690" s="3" t="s">
        <v>207</v>
      </c>
      <c r="U690" s="3" t="s">
        <v>106</v>
      </c>
      <c r="V690" s="3" t="s">
        <v>208</v>
      </c>
      <c r="W690" s="3">
        <v>4</v>
      </c>
      <c r="X690" s="3">
        <v>8</v>
      </c>
      <c r="Y690" s="3">
        <v>2</v>
      </c>
      <c r="Z690" s="3">
        <v>0</v>
      </c>
      <c r="AA690" s="3">
        <v>0</v>
      </c>
      <c r="AB690" s="12">
        <f>(W690*4+X690*1+Y690*-2+Z690*-3)/W690</f>
        <v>5</v>
      </c>
      <c r="AC690" s="3">
        <f>W690*12.0107+X690*1.00784+Y690*15.999+Z690*14.0067</f>
        <v>88.103520000000003</v>
      </c>
      <c r="AD690" s="12">
        <v>77.099999999999994</v>
      </c>
      <c r="AE690" s="3" t="s">
        <v>209</v>
      </c>
      <c r="AF690" s="3" t="s">
        <v>79</v>
      </c>
      <c r="AG690" s="2" t="str">
        <f>IF(AD690&gt;37,"Proton symporter", "Diffusion")</f>
        <v>Proton symporter</v>
      </c>
      <c r="AH690" s="3" t="s">
        <v>210</v>
      </c>
    </row>
    <row r="691" spans="1:34" hidden="1" x14ac:dyDescent="0.2">
      <c r="A691" s="8" t="s">
        <v>34</v>
      </c>
      <c r="B691" s="9" t="s">
        <v>35</v>
      </c>
      <c r="C691" s="1" t="s">
        <v>54</v>
      </c>
      <c r="D691" s="14" t="s">
        <v>55</v>
      </c>
      <c r="E691" s="1" t="s">
        <v>222</v>
      </c>
      <c r="F691" s="1" t="s">
        <v>223</v>
      </c>
      <c r="G691" s="1">
        <v>-10</v>
      </c>
      <c r="H691" s="1">
        <v>-20</v>
      </c>
      <c r="I691" s="1" t="s">
        <v>40</v>
      </c>
      <c r="J691" s="1">
        <v>3.15</v>
      </c>
      <c r="K691" s="1">
        <v>-10</v>
      </c>
      <c r="L691" s="1">
        <v>-3.51609756097562</v>
      </c>
      <c r="M691" s="1" t="s">
        <v>40</v>
      </c>
      <c r="N691" s="1">
        <v>17.6370731707317</v>
      </c>
      <c r="O691" s="1">
        <v>14.120975609756099</v>
      </c>
      <c r="Q691" s="1">
        <v>1.4120975609756099</v>
      </c>
      <c r="R691" s="1">
        <v>0.45523709075455498</v>
      </c>
      <c r="S691" s="11" t="s">
        <v>222</v>
      </c>
      <c r="T691" s="2" t="s">
        <v>222</v>
      </c>
      <c r="U691" s="3" t="s">
        <v>41</v>
      </c>
      <c r="V691" s="2" t="s">
        <v>224</v>
      </c>
      <c r="W691" s="2">
        <v>3</v>
      </c>
      <c r="X691" s="2">
        <v>6</v>
      </c>
      <c r="Y691" s="2">
        <v>1</v>
      </c>
      <c r="Z691" s="2">
        <v>0</v>
      </c>
      <c r="AA691" s="2">
        <v>0</v>
      </c>
      <c r="AB691" s="12">
        <f>(W691*4+X691*1+Y691*-2+Z691*-3)/W691</f>
        <v>5.333333333333333</v>
      </c>
      <c r="AC691" s="3">
        <f>W691*12.0107+X691*1.00784+Y691*15.999+Z691*14.0067</f>
        <v>58.078140000000005</v>
      </c>
      <c r="AD691" s="12">
        <v>56</v>
      </c>
      <c r="AE691" s="2" t="s">
        <v>225</v>
      </c>
      <c r="AF691" s="2" t="s">
        <v>79</v>
      </c>
      <c r="AG691" s="2" t="str">
        <f>IF(AD691&gt;37,"Proton symporter", "Diffusion")</f>
        <v>Proton symporter</v>
      </c>
      <c r="AH691" s="3" t="s">
        <v>226</v>
      </c>
    </row>
    <row r="692" spans="1:34" hidden="1" x14ac:dyDescent="0.2">
      <c r="A692" s="8" t="s">
        <v>368</v>
      </c>
      <c r="B692" s="17" t="s">
        <v>64</v>
      </c>
      <c r="C692" t="s">
        <v>369</v>
      </c>
      <c r="D692" s="18" t="s">
        <v>66</v>
      </c>
      <c r="E692" t="s">
        <v>234</v>
      </c>
      <c r="F692" t="s">
        <v>235</v>
      </c>
      <c r="G692">
        <v>-10</v>
      </c>
      <c r="H692">
        <v>0</v>
      </c>
      <c r="I692">
        <v>-20</v>
      </c>
      <c r="J692">
        <v>0.45</v>
      </c>
      <c r="K692">
        <v>-7.2727272727272698</v>
      </c>
      <c r="L692">
        <v>0</v>
      </c>
      <c r="M692">
        <v>-20</v>
      </c>
      <c r="N692">
        <v>-7.2727272727272698</v>
      </c>
      <c r="O692">
        <v>1.8181818181818099</v>
      </c>
      <c r="P692"/>
      <c r="Q692">
        <v>0.25</v>
      </c>
      <c r="R692">
        <v>0.454651491302417</v>
      </c>
      <c r="S692" s="1" t="str">
        <f>VLOOKUP($E692,'[1]Product Naming'!$A$1:$P$58,2)</f>
        <v>1-3-butanediol-PW1</v>
      </c>
      <c r="T692" s="1" t="str">
        <f>VLOOKUP($E692,'[1]Product Naming'!$A$1:$P$58,3)</f>
        <v>1,3-Butanediol (PW1)</v>
      </c>
      <c r="U692" s="1" t="str">
        <f>VLOOKUP($E692,'[1]Product Naming'!$A$1:$P$58,4)</f>
        <v>E</v>
      </c>
      <c r="V692" s="1" t="str">
        <f>VLOOKUP($E692,'[1]Product Naming'!$A$1:$P$58,5)</f>
        <v>C4H10O2</v>
      </c>
      <c r="W692" s="1">
        <f>VLOOKUP($E692,'[1]Product Naming'!$A$1:$P$58,6)</f>
        <v>4</v>
      </c>
      <c r="X692" s="1">
        <f>VLOOKUP($E692,'[1]Product Naming'!$A$1:$P$58,7)</f>
        <v>10</v>
      </c>
      <c r="Y692" s="1">
        <f>VLOOKUP($E692,'[1]Product Naming'!$A$1:$P$58,8)</f>
        <v>2</v>
      </c>
      <c r="Z692" s="1">
        <f>VLOOKUP($E692,'[1]Product Naming'!$A$1:$P$58,9)</f>
        <v>0</v>
      </c>
      <c r="AA692" s="1">
        <f>VLOOKUP($E692,'[1]Product Naming'!$A$1:$P$58,10)</f>
        <v>0</v>
      </c>
      <c r="AB692" s="27">
        <f>VLOOKUP($E692,'[1]Product Naming'!$A$1:$P$58,11)</f>
        <v>5.5</v>
      </c>
      <c r="AC692" s="3">
        <f>VLOOKUP($E692,'[1]Product Naming'!$A$1:$P$58,12)</f>
        <v>90.119200000000006</v>
      </c>
      <c r="AD692" s="1">
        <f>VLOOKUP($E692,'[1]Product Naming'!$A$1:$P$58,13)</f>
        <v>207</v>
      </c>
      <c r="AE692" s="1" t="str">
        <f>VLOOKUP($E692,'[1]Product Naming'!$A$1:$P$58,14)</f>
        <v>Diol</v>
      </c>
      <c r="AF692" s="1" t="str">
        <f>VLOOKUP($E692,'[1]Product Naming'!$A$1:$P$58,15)</f>
        <v>Acetyl-CoA</v>
      </c>
      <c r="AG692" s="28" t="str">
        <f>VLOOKUP($E692,'[1]Product Naming'!$A$1:$P$58,16)</f>
        <v>Proton symporter</v>
      </c>
      <c r="AH692" s="3" t="str">
        <f>VLOOKUP($E692,'[1]Product Naming'!$A$1:$Q$58,17)</f>
        <v>13bdo__R_c</v>
      </c>
    </row>
    <row r="693" spans="1:34" hidden="1" x14ac:dyDescent="0.2">
      <c r="A693" s="8" t="s">
        <v>368</v>
      </c>
      <c r="B693" s="17" t="s">
        <v>64</v>
      </c>
      <c r="C693" t="s">
        <v>369</v>
      </c>
      <c r="D693" s="18" t="s">
        <v>66</v>
      </c>
      <c r="E693" t="s">
        <v>240</v>
      </c>
      <c r="F693" t="s">
        <v>235</v>
      </c>
      <c r="G693">
        <v>-10</v>
      </c>
      <c r="H693">
        <v>0</v>
      </c>
      <c r="I693">
        <v>-20</v>
      </c>
      <c r="J693">
        <v>0.45</v>
      </c>
      <c r="K693">
        <v>-7.2727272727272698</v>
      </c>
      <c r="L693">
        <v>0</v>
      </c>
      <c r="M693">
        <v>-20</v>
      </c>
      <c r="N693">
        <v>-7.2727272727272698</v>
      </c>
      <c r="O693">
        <v>1.8181818181818099</v>
      </c>
      <c r="P693"/>
      <c r="Q693">
        <v>0.25</v>
      </c>
      <c r="R693">
        <v>0.454651491302417</v>
      </c>
      <c r="S693" s="1" t="str">
        <f>VLOOKUP($E693,'[1]Product Naming'!$A$1:$P$58,2)</f>
        <v>1-3-butanediol-PW2</v>
      </c>
      <c r="T693" s="1" t="str">
        <f>VLOOKUP($E693,'[1]Product Naming'!$A$1:$P$58,3)</f>
        <v>1,3-Butanediol (PW2)</v>
      </c>
      <c r="U693" s="1" t="str">
        <f>VLOOKUP($E693,'[1]Product Naming'!$A$1:$P$58,4)</f>
        <v>E</v>
      </c>
      <c r="V693" s="1" t="str">
        <f>VLOOKUP($E693,'[1]Product Naming'!$A$1:$P$58,5)</f>
        <v>C4H10O2</v>
      </c>
      <c r="W693" s="1">
        <f>VLOOKUP($E693,'[1]Product Naming'!$A$1:$P$58,6)</f>
        <v>4</v>
      </c>
      <c r="X693" s="1">
        <f>VLOOKUP($E693,'[1]Product Naming'!$A$1:$P$58,7)</f>
        <v>10</v>
      </c>
      <c r="Y693" s="1">
        <f>VLOOKUP($E693,'[1]Product Naming'!$A$1:$P$58,8)</f>
        <v>2</v>
      </c>
      <c r="Z693" s="1">
        <f>VLOOKUP($E693,'[1]Product Naming'!$A$1:$P$58,9)</f>
        <v>0</v>
      </c>
      <c r="AA693" s="1">
        <f>VLOOKUP($E693,'[1]Product Naming'!$A$1:$P$58,10)</f>
        <v>0</v>
      </c>
      <c r="AB693" s="27">
        <f>VLOOKUP($E693,'[1]Product Naming'!$A$1:$P$58,11)</f>
        <v>5.5</v>
      </c>
      <c r="AC693" s="3">
        <f>VLOOKUP($E693,'[1]Product Naming'!$A$1:$P$58,12)</f>
        <v>90.119200000000006</v>
      </c>
      <c r="AD693" s="1">
        <f>VLOOKUP($E693,'[1]Product Naming'!$A$1:$P$58,13)</f>
        <v>207</v>
      </c>
      <c r="AE693" s="1" t="str">
        <f>VLOOKUP($E693,'[1]Product Naming'!$A$1:$P$58,14)</f>
        <v>Diol</v>
      </c>
      <c r="AF693" s="1" t="str">
        <f>VLOOKUP($E693,'[1]Product Naming'!$A$1:$P$58,15)</f>
        <v>Pyruvate (acetalehyde)</v>
      </c>
      <c r="AG693" s="28" t="str">
        <f>VLOOKUP($E693,'[1]Product Naming'!$A$1:$P$58,16)</f>
        <v>Proton symporter</v>
      </c>
      <c r="AH693" s="3" t="str">
        <f>VLOOKUP($E693,'[1]Product Naming'!$A$1:$Q$58,17)</f>
        <v>13bdo__R_c</v>
      </c>
    </row>
    <row r="694" spans="1:34" hidden="1" x14ac:dyDescent="0.2">
      <c r="A694" s="8" t="s">
        <v>368</v>
      </c>
      <c r="B694" s="17" t="s">
        <v>64</v>
      </c>
      <c r="C694" t="s">
        <v>369</v>
      </c>
      <c r="D694" s="18" t="s">
        <v>66</v>
      </c>
      <c r="E694" t="s">
        <v>249</v>
      </c>
      <c r="F694" t="s">
        <v>250</v>
      </c>
      <c r="G694">
        <v>-10</v>
      </c>
      <c r="H694">
        <v>0</v>
      </c>
      <c r="I694">
        <v>-20</v>
      </c>
      <c r="J694">
        <v>0.45</v>
      </c>
      <c r="K694">
        <v>-7.2727272727272698</v>
      </c>
      <c r="L694">
        <v>0</v>
      </c>
      <c r="M694">
        <v>-20</v>
      </c>
      <c r="N694">
        <v>-7.2727272727272698</v>
      </c>
      <c r="O694">
        <v>1.8181818181818099</v>
      </c>
      <c r="P694"/>
      <c r="Q694">
        <v>0.25</v>
      </c>
      <c r="R694">
        <v>0.454651491302417</v>
      </c>
      <c r="S694" s="1" t="str">
        <f>VLOOKUP($E694,'[1]Product Naming'!$A$1:$P$58,2)</f>
        <v>2-3-butanediol</v>
      </c>
      <c r="T694" s="1" t="str">
        <f>VLOOKUP($E694,'[1]Product Naming'!$A$1:$P$58,3)</f>
        <v>2,3-Butanediol</v>
      </c>
      <c r="U694" s="1" t="str">
        <f>VLOOKUP($E694,'[1]Product Naming'!$A$1:$P$58,4)</f>
        <v>E</v>
      </c>
      <c r="V694" s="1" t="str">
        <f>VLOOKUP($E694,'[1]Product Naming'!$A$1:$P$58,5)</f>
        <v>C4H10O2</v>
      </c>
      <c r="W694" s="1">
        <f>VLOOKUP($E694,'[1]Product Naming'!$A$1:$P$58,6)</f>
        <v>4</v>
      </c>
      <c r="X694" s="1">
        <f>VLOOKUP($E694,'[1]Product Naming'!$A$1:$P$58,7)</f>
        <v>10</v>
      </c>
      <c r="Y694" s="1">
        <f>VLOOKUP($E694,'[1]Product Naming'!$A$1:$P$58,8)</f>
        <v>2</v>
      </c>
      <c r="Z694" s="1">
        <f>VLOOKUP($E694,'[1]Product Naming'!$A$1:$P$58,9)</f>
        <v>0</v>
      </c>
      <c r="AA694" s="1">
        <f>VLOOKUP($E694,'[1]Product Naming'!$A$1:$P$58,10)</f>
        <v>0</v>
      </c>
      <c r="AB694" s="27">
        <f>VLOOKUP($E694,'[1]Product Naming'!$A$1:$P$58,11)</f>
        <v>5.5</v>
      </c>
      <c r="AC694" s="3">
        <f>VLOOKUP($E694,'[1]Product Naming'!$A$1:$P$58,12)</f>
        <v>90.119200000000006</v>
      </c>
      <c r="AD694" s="1">
        <f>VLOOKUP($E694,'[1]Product Naming'!$A$1:$P$58,13)</f>
        <v>177</v>
      </c>
      <c r="AE694" s="1" t="str">
        <f>VLOOKUP($E694,'[1]Product Naming'!$A$1:$P$58,14)</f>
        <v>Diol</v>
      </c>
      <c r="AF694" s="1" t="str">
        <f>VLOOKUP($E694,'[1]Product Naming'!$A$1:$P$58,15)</f>
        <v>Pyruvate</v>
      </c>
      <c r="AG694" s="28" t="str">
        <f>VLOOKUP($E694,'[1]Product Naming'!$A$1:$P$58,16)</f>
        <v>Proton symporter</v>
      </c>
      <c r="AH694" s="3" t="str">
        <f>VLOOKUP($E694,'[1]Product Naming'!$A$1:$Q$58,17)</f>
        <v>btd_RR_c</v>
      </c>
    </row>
    <row r="695" spans="1:34" hidden="1" x14ac:dyDescent="0.2">
      <c r="A695" s="8" t="s">
        <v>34</v>
      </c>
      <c r="B695" s="9" t="s">
        <v>35</v>
      </c>
      <c r="C695" s="1" t="s">
        <v>36</v>
      </c>
      <c r="D695" s="10" t="s">
        <v>37</v>
      </c>
      <c r="E695" s="1" t="s">
        <v>343</v>
      </c>
      <c r="F695" s="1" t="s">
        <v>344</v>
      </c>
      <c r="G695" s="1">
        <v>-10</v>
      </c>
      <c r="H695" s="1">
        <v>-20</v>
      </c>
      <c r="I695" s="1" t="s">
        <v>40</v>
      </c>
      <c r="J695" s="1">
        <v>3.15</v>
      </c>
      <c r="K695" s="1">
        <v>-10</v>
      </c>
      <c r="L695" s="1">
        <v>-2.2931937172774899</v>
      </c>
      <c r="M695" s="1" t="s">
        <v>40</v>
      </c>
      <c r="N695" s="1">
        <v>6.3759162303665002</v>
      </c>
      <c r="O695" s="1">
        <v>4.5413612565445103</v>
      </c>
      <c r="Q695" s="1">
        <v>0.454136125654451</v>
      </c>
      <c r="R695" s="1">
        <v>0.454580037579211</v>
      </c>
      <c r="S695" s="20" t="s">
        <v>343</v>
      </c>
      <c r="T695" s="3" t="s">
        <v>345</v>
      </c>
      <c r="U695" s="3" t="s">
        <v>106</v>
      </c>
      <c r="V695" s="3" t="s">
        <v>346</v>
      </c>
      <c r="W695" s="3">
        <v>3</v>
      </c>
      <c r="X695" s="3">
        <v>8</v>
      </c>
      <c r="Y695" s="3">
        <v>0</v>
      </c>
      <c r="Z695" s="3">
        <v>0</v>
      </c>
      <c r="AA695" s="3">
        <v>0</v>
      </c>
      <c r="AB695" s="12">
        <f>(W695*4+X695*1+Y695*-2+Z695*-3)/W695</f>
        <v>6.666666666666667</v>
      </c>
      <c r="AC695" s="3">
        <f>W695*12.0107+X695*1.00784+Y695*15.999+Z695*14.0067</f>
        <v>44.094819999999999</v>
      </c>
      <c r="AD695" s="24">
        <v>-42</v>
      </c>
      <c r="AE695" s="3" t="s">
        <v>231</v>
      </c>
      <c r="AF695" s="2" t="s">
        <v>79</v>
      </c>
      <c r="AG695" s="25" t="str">
        <f>IF(AD695&gt;37,"Proton symporter", "Diffusion")</f>
        <v>Diffusion</v>
      </c>
      <c r="AH695" s="3" t="s">
        <v>347</v>
      </c>
    </row>
    <row r="696" spans="1:34" hidden="1" x14ac:dyDescent="0.2">
      <c r="A696" s="16" t="s">
        <v>63</v>
      </c>
      <c r="B696" s="17" t="s">
        <v>64</v>
      </c>
      <c r="C696" t="s">
        <v>73</v>
      </c>
      <c r="D696" s="18" t="s">
        <v>66</v>
      </c>
      <c r="E696" t="s">
        <v>234</v>
      </c>
      <c r="F696" t="s">
        <v>235</v>
      </c>
      <c r="G696">
        <v>-10</v>
      </c>
      <c r="H696">
        <v>0</v>
      </c>
      <c r="I696">
        <v>-20</v>
      </c>
      <c r="J696">
        <v>0.45</v>
      </c>
      <c r="K696">
        <v>-10</v>
      </c>
      <c r="L696">
        <v>0</v>
      </c>
      <c r="M696">
        <v>-17.5</v>
      </c>
      <c r="N696">
        <v>0</v>
      </c>
      <c r="O696">
        <v>2.5</v>
      </c>
      <c r="P696"/>
      <c r="Q696">
        <v>0.25</v>
      </c>
      <c r="R696" s="19">
        <v>0.45455059013416699</v>
      </c>
      <c r="S696" s="20" t="s">
        <v>236</v>
      </c>
      <c r="T696" s="3" t="s">
        <v>237</v>
      </c>
      <c r="U696" s="3" t="s">
        <v>106</v>
      </c>
      <c r="V696" s="3" t="s">
        <v>238</v>
      </c>
      <c r="W696" s="3">
        <v>4</v>
      </c>
      <c r="X696" s="3">
        <v>10</v>
      </c>
      <c r="Y696" s="3">
        <v>2</v>
      </c>
      <c r="Z696" s="3">
        <v>0</v>
      </c>
      <c r="AA696" s="3">
        <v>0</v>
      </c>
      <c r="AB696" s="12">
        <f>(W696*4+X696*1+Y696*-2+Z696*-3)/W696</f>
        <v>5.5</v>
      </c>
      <c r="AC696" s="3">
        <f>W696*12.0107+X696*1.00784+Y696*15.999+Z696*14.0067</f>
        <v>90.119200000000006</v>
      </c>
      <c r="AD696" s="12">
        <v>207</v>
      </c>
      <c r="AE696" s="2" t="s">
        <v>220</v>
      </c>
      <c r="AF696" s="3" t="s">
        <v>79</v>
      </c>
      <c r="AG696" s="2" t="str">
        <f>IF(AD696&gt;37,"Proton symporter", "Diffusion")</f>
        <v>Proton symporter</v>
      </c>
      <c r="AH696" s="3" t="s">
        <v>239</v>
      </c>
    </row>
    <row r="697" spans="1:34" hidden="1" x14ac:dyDescent="0.2">
      <c r="A697" s="16" t="s">
        <v>63</v>
      </c>
      <c r="B697" s="17" t="s">
        <v>64</v>
      </c>
      <c r="C697" t="s">
        <v>73</v>
      </c>
      <c r="D697" s="18" t="s">
        <v>66</v>
      </c>
      <c r="E697" t="s">
        <v>240</v>
      </c>
      <c r="F697" t="s">
        <v>235</v>
      </c>
      <c r="G697">
        <v>-10</v>
      </c>
      <c r="H697">
        <v>0</v>
      </c>
      <c r="I697">
        <v>-20</v>
      </c>
      <c r="J697">
        <v>0.45</v>
      </c>
      <c r="K697">
        <v>-10</v>
      </c>
      <c r="L697">
        <v>0</v>
      </c>
      <c r="M697">
        <v>-17.5</v>
      </c>
      <c r="N697">
        <v>0</v>
      </c>
      <c r="O697">
        <v>2.5</v>
      </c>
      <c r="P697"/>
      <c r="Q697">
        <v>0.25</v>
      </c>
      <c r="R697" s="19">
        <v>0.45455059013416699</v>
      </c>
      <c r="S697" s="20" t="s">
        <v>241</v>
      </c>
      <c r="T697" s="3" t="s">
        <v>242</v>
      </c>
      <c r="U697" s="3" t="s">
        <v>106</v>
      </c>
      <c r="V697" s="3" t="s">
        <v>238</v>
      </c>
      <c r="W697" s="3">
        <v>4</v>
      </c>
      <c r="X697" s="3">
        <v>10</v>
      </c>
      <c r="Y697" s="3">
        <v>2</v>
      </c>
      <c r="Z697" s="3">
        <v>0</v>
      </c>
      <c r="AA697" s="3">
        <v>0</v>
      </c>
      <c r="AB697" s="12">
        <f>(W697*4+X697*1+Y697*-2+Z697*-3)/W697</f>
        <v>5.5</v>
      </c>
      <c r="AC697" s="3">
        <f>W697*12.0107+X697*1.00784+Y697*15.999+Z697*14.0067</f>
        <v>90.119200000000006</v>
      </c>
      <c r="AD697" s="12">
        <v>207</v>
      </c>
      <c r="AE697" s="2" t="s">
        <v>220</v>
      </c>
      <c r="AF697" s="3" t="s">
        <v>243</v>
      </c>
      <c r="AG697" s="2" t="str">
        <f>IF(AD697&gt;37,"Proton symporter", "Diffusion")</f>
        <v>Proton symporter</v>
      </c>
      <c r="AH697" s="3" t="s">
        <v>239</v>
      </c>
    </row>
    <row r="698" spans="1:34" hidden="1" x14ac:dyDescent="0.2">
      <c r="A698" s="16" t="s">
        <v>63</v>
      </c>
      <c r="B698" s="17" t="s">
        <v>64</v>
      </c>
      <c r="C698" t="s">
        <v>73</v>
      </c>
      <c r="D698" s="18" t="s">
        <v>66</v>
      </c>
      <c r="E698" t="s">
        <v>249</v>
      </c>
      <c r="F698" t="s">
        <v>250</v>
      </c>
      <c r="G698">
        <v>-10</v>
      </c>
      <c r="H698">
        <v>0</v>
      </c>
      <c r="I698">
        <v>-20</v>
      </c>
      <c r="J698">
        <v>0.45</v>
      </c>
      <c r="K698">
        <v>-10</v>
      </c>
      <c r="L698">
        <v>0</v>
      </c>
      <c r="M698">
        <v>-17.5</v>
      </c>
      <c r="N698">
        <v>0</v>
      </c>
      <c r="O698">
        <v>2.5</v>
      </c>
      <c r="P698"/>
      <c r="Q698">
        <v>0.25</v>
      </c>
      <c r="R698" s="19">
        <v>0.45455059013416699</v>
      </c>
      <c r="S698" s="20" t="s">
        <v>251</v>
      </c>
      <c r="T698" s="3" t="s">
        <v>252</v>
      </c>
      <c r="U698" s="3" t="s">
        <v>106</v>
      </c>
      <c r="V698" s="3" t="s">
        <v>238</v>
      </c>
      <c r="W698" s="3">
        <v>4</v>
      </c>
      <c r="X698" s="3">
        <v>10</v>
      </c>
      <c r="Y698" s="3">
        <v>2</v>
      </c>
      <c r="Z698" s="3">
        <v>0</v>
      </c>
      <c r="AA698" s="3">
        <v>0</v>
      </c>
      <c r="AB698" s="12">
        <f>(W698*4+X698*1+Y698*-2+Z698*-3)/W698</f>
        <v>5.5</v>
      </c>
      <c r="AC698" s="3">
        <f>W698*12.0107+X698*1.00784+Y698*15.999+Z698*14.0067</f>
        <v>90.119200000000006</v>
      </c>
      <c r="AD698" s="12">
        <v>177</v>
      </c>
      <c r="AE698" s="3" t="s">
        <v>220</v>
      </c>
      <c r="AF698" s="3" t="s">
        <v>135</v>
      </c>
      <c r="AG698" s="2" t="str">
        <f>IF(AD698&gt;37,"Proton symporter", "Diffusion")</f>
        <v>Proton symporter</v>
      </c>
      <c r="AH698" s="3" t="s">
        <v>253</v>
      </c>
    </row>
    <row r="699" spans="1:34" hidden="1" x14ac:dyDescent="0.2">
      <c r="A699" s="8" t="s">
        <v>34</v>
      </c>
      <c r="B699" s="9" t="s">
        <v>35</v>
      </c>
      <c r="C699" s="1" t="s">
        <v>58</v>
      </c>
      <c r="D699" s="10" t="s">
        <v>37</v>
      </c>
      <c r="E699" s="1" t="s">
        <v>189</v>
      </c>
      <c r="F699" s="1" t="s">
        <v>190</v>
      </c>
      <c r="G699" s="1">
        <v>-10</v>
      </c>
      <c r="H699" s="1">
        <v>-20</v>
      </c>
      <c r="I699" s="1" t="s">
        <v>40</v>
      </c>
      <c r="J699" s="1">
        <v>3.15</v>
      </c>
      <c r="K699" s="1">
        <v>-10</v>
      </c>
      <c r="L699" s="1">
        <v>-6.0593750000000197</v>
      </c>
      <c r="M699" s="1" t="s">
        <v>40</v>
      </c>
      <c r="N699" s="1">
        <v>8.3828125</v>
      </c>
      <c r="O699" s="1">
        <v>2.3234374999999998</v>
      </c>
      <c r="Q699" s="1">
        <v>0.23234374999999999</v>
      </c>
      <c r="R699" s="1">
        <v>0.45323683609621701</v>
      </c>
      <c r="S699" s="11" t="s">
        <v>189</v>
      </c>
      <c r="T699" s="2" t="s">
        <v>189</v>
      </c>
      <c r="U699" s="3" t="s">
        <v>41</v>
      </c>
      <c r="V699" s="2" t="s">
        <v>191</v>
      </c>
      <c r="W699" s="2">
        <v>5</v>
      </c>
      <c r="X699" s="2">
        <v>11</v>
      </c>
      <c r="Y699" s="2">
        <v>2</v>
      </c>
      <c r="Z699" s="2">
        <v>1</v>
      </c>
      <c r="AA699" s="2">
        <v>0</v>
      </c>
      <c r="AB699" s="12">
        <f>(W699*4+X699*1+Y699*-2+Z699*-3)/W699</f>
        <v>4.8</v>
      </c>
      <c r="AC699" s="3">
        <f>W699*12.0107+X699*1.00784+Y699*15.999+Z699*14.0067</f>
        <v>117.14444</v>
      </c>
      <c r="AD699" s="12">
        <v>247.5</v>
      </c>
      <c r="AE699" s="2" t="s">
        <v>192</v>
      </c>
      <c r="AF699" s="2" t="s">
        <v>44</v>
      </c>
      <c r="AG699" s="2" t="str">
        <f>IF(AD699&gt;37,"Proton symporter", "Diffusion")</f>
        <v>Proton symporter</v>
      </c>
      <c r="AH699" s="3" t="s">
        <v>193</v>
      </c>
    </row>
    <row r="700" spans="1:34" hidden="1" x14ac:dyDescent="0.2">
      <c r="A700" s="8" t="s">
        <v>34</v>
      </c>
      <c r="B700" s="9" t="s">
        <v>35</v>
      </c>
      <c r="C700" s="1" t="s">
        <v>59</v>
      </c>
      <c r="D700" s="13" t="s">
        <v>51</v>
      </c>
      <c r="E700" s="1" t="s">
        <v>305</v>
      </c>
      <c r="F700" s="1" t="s">
        <v>301</v>
      </c>
      <c r="G700" s="1">
        <v>-10</v>
      </c>
      <c r="H700" s="1">
        <v>-20</v>
      </c>
      <c r="I700" s="1" t="s">
        <v>40</v>
      </c>
      <c r="J700" s="1">
        <v>3.15</v>
      </c>
      <c r="K700" s="1">
        <v>-10</v>
      </c>
      <c r="L700" s="1">
        <v>-3.2605263157894702</v>
      </c>
      <c r="M700" s="1" t="s">
        <v>40</v>
      </c>
      <c r="N700" s="1">
        <v>2.1736842105263099</v>
      </c>
      <c r="O700" s="1">
        <v>1.9565789473684201</v>
      </c>
      <c r="Q700" s="1">
        <v>0.195657894736842</v>
      </c>
      <c r="R700" s="1">
        <v>0.45261306241034699</v>
      </c>
      <c r="S700" s="20" t="s">
        <v>305</v>
      </c>
      <c r="T700" s="3" t="s">
        <v>306</v>
      </c>
      <c r="U700" s="3" t="s">
        <v>106</v>
      </c>
      <c r="V700" s="3" t="s">
        <v>303</v>
      </c>
      <c r="W700" s="3">
        <v>4</v>
      </c>
      <c r="X700" s="3">
        <v>10</v>
      </c>
      <c r="Y700" s="3">
        <v>1</v>
      </c>
      <c r="Z700" s="3">
        <v>0</v>
      </c>
      <c r="AA700" s="3">
        <v>0</v>
      </c>
      <c r="AB700" s="12">
        <f>(W700*4+X700*1+Y700*-2+Z700*-3)/W700</f>
        <v>6</v>
      </c>
      <c r="AC700" s="3">
        <f>W700*12.0107+X700*1.00784+Y700*15.999+Z700*14.0067</f>
        <v>74.120199999999997</v>
      </c>
      <c r="AD700" s="12">
        <v>117.7</v>
      </c>
      <c r="AE700" s="3" t="s">
        <v>262</v>
      </c>
      <c r="AF700" s="3" t="s">
        <v>44</v>
      </c>
      <c r="AG700" s="2" t="str">
        <f>IF(AD700&gt;37,"Proton symporter", "Diffusion")</f>
        <v>Proton symporter</v>
      </c>
      <c r="AH700" s="3" t="s">
        <v>304</v>
      </c>
    </row>
    <row r="701" spans="1:34" hidden="1" x14ac:dyDescent="0.2">
      <c r="A701" s="8" t="s">
        <v>34</v>
      </c>
      <c r="B701" s="9" t="s">
        <v>35</v>
      </c>
      <c r="C701" s="1" t="s">
        <v>60</v>
      </c>
      <c r="D701" s="13" t="s">
        <v>51</v>
      </c>
      <c r="E701" s="1" t="s">
        <v>305</v>
      </c>
      <c r="F701" s="1" t="s">
        <v>301</v>
      </c>
      <c r="G701" s="1">
        <v>-10</v>
      </c>
      <c r="H701" s="1">
        <v>-20</v>
      </c>
      <c r="I701" s="1" t="s">
        <v>40</v>
      </c>
      <c r="J701" s="1">
        <v>3.15</v>
      </c>
      <c r="K701" s="1">
        <v>-10</v>
      </c>
      <c r="L701" s="1">
        <v>-3.2605263157894702</v>
      </c>
      <c r="M701" s="1" t="s">
        <v>40</v>
      </c>
      <c r="N701" s="1">
        <v>2.1736842105263201</v>
      </c>
      <c r="O701" s="1">
        <v>1.9565789473684201</v>
      </c>
      <c r="Q701" s="1">
        <v>0.195657894736842</v>
      </c>
      <c r="R701" s="1">
        <v>0.45261306241034699</v>
      </c>
      <c r="S701" s="20" t="s">
        <v>305</v>
      </c>
      <c r="T701" s="3" t="s">
        <v>306</v>
      </c>
      <c r="U701" s="3" t="s">
        <v>106</v>
      </c>
      <c r="V701" s="3" t="s">
        <v>303</v>
      </c>
      <c r="W701" s="3">
        <v>4</v>
      </c>
      <c r="X701" s="3">
        <v>10</v>
      </c>
      <c r="Y701" s="3">
        <v>1</v>
      </c>
      <c r="Z701" s="3">
        <v>0</v>
      </c>
      <c r="AA701" s="3">
        <v>0</v>
      </c>
      <c r="AB701" s="12">
        <f>(W701*4+X701*1+Y701*-2+Z701*-3)/W701</f>
        <v>6</v>
      </c>
      <c r="AC701" s="3">
        <f>W701*12.0107+X701*1.00784+Y701*15.999+Z701*14.0067</f>
        <v>74.120199999999997</v>
      </c>
      <c r="AD701" s="12">
        <v>117.7</v>
      </c>
      <c r="AE701" s="3" t="s">
        <v>262</v>
      </c>
      <c r="AF701" s="3" t="s">
        <v>44</v>
      </c>
      <c r="AG701" s="2" t="str">
        <f>IF(AD701&gt;37,"Proton symporter", "Diffusion")</f>
        <v>Proton symporter</v>
      </c>
      <c r="AH701" s="3" t="s">
        <v>304</v>
      </c>
    </row>
    <row r="702" spans="1:34" hidden="1" x14ac:dyDescent="0.2">
      <c r="A702" s="8" t="s">
        <v>34</v>
      </c>
      <c r="B702" s="9" t="s">
        <v>35</v>
      </c>
      <c r="C702" s="1" t="s">
        <v>62</v>
      </c>
      <c r="D702" s="15" t="s">
        <v>55</v>
      </c>
      <c r="E702" s="1" t="s">
        <v>222</v>
      </c>
      <c r="F702" s="1" t="s">
        <v>223</v>
      </c>
      <c r="G702" s="1">
        <v>-10</v>
      </c>
      <c r="H702" s="1">
        <v>-20</v>
      </c>
      <c r="I702" s="1" t="s">
        <v>40</v>
      </c>
      <c r="J702" s="1">
        <v>3.15</v>
      </c>
      <c r="K702" s="1">
        <v>-10</v>
      </c>
      <c r="L702" s="1">
        <v>-3.3702970297029702</v>
      </c>
      <c r="M702" s="1" t="s">
        <v>40</v>
      </c>
      <c r="N702" s="1">
        <v>15.027722772277199</v>
      </c>
      <c r="O702" s="1">
        <v>11.657425742574301</v>
      </c>
      <c r="Q702" s="1">
        <v>1.1657425742574301</v>
      </c>
      <c r="R702" s="1">
        <v>0.45097022867969899</v>
      </c>
      <c r="S702" s="11" t="s">
        <v>222</v>
      </c>
      <c r="T702" s="2" t="s">
        <v>222</v>
      </c>
      <c r="U702" s="3" t="s">
        <v>41</v>
      </c>
      <c r="V702" s="2" t="s">
        <v>224</v>
      </c>
      <c r="W702" s="2">
        <v>3</v>
      </c>
      <c r="X702" s="2">
        <v>6</v>
      </c>
      <c r="Y702" s="2">
        <v>1</v>
      </c>
      <c r="Z702" s="2">
        <v>0</v>
      </c>
      <c r="AA702" s="2">
        <v>0</v>
      </c>
      <c r="AB702" s="12">
        <f>(W702*4+X702*1+Y702*-2+Z702*-3)/W702</f>
        <v>5.333333333333333</v>
      </c>
      <c r="AC702" s="3">
        <f>W702*12.0107+X702*1.00784+Y702*15.999+Z702*14.0067</f>
        <v>58.078140000000005</v>
      </c>
      <c r="AD702" s="12">
        <v>56</v>
      </c>
      <c r="AE702" s="2" t="s">
        <v>225</v>
      </c>
      <c r="AF702" s="2" t="s">
        <v>79</v>
      </c>
      <c r="AG702" s="2" t="str">
        <f>IF(AD702&gt;37,"Proton symporter", "Diffusion")</f>
        <v>Proton symporter</v>
      </c>
      <c r="AH702" s="3" t="s">
        <v>226</v>
      </c>
    </row>
    <row r="703" spans="1:34" hidden="1" x14ac:dyDescent="0.2">
      <c r="A703" s="8" t="s">
        <v>34</v>
      </c>
      <c r="B703" s="9" t="s">
        <v>35</v>
      </c>
      <c r="C703" s="1" t="s">
        <v>56</v>
      </c>
      <c r="D703" s="14" t="s">
        <v>55</v>
      </c>
      <c r="E703" s="1" t="s">
        <v>286</v>
      </c>
      <c r="F703" s="1" t="s">
        <v>280</v>
      </c>
      <c r="G703" s="1">
        <v>-10</v>
      </c>
      <c r="H703" s="1">
        <v>-20</v>
      </c>
      <c r="I703" s="1" t="s">
        <v>40</v>
      </c>
      <c r="J703" s="1">
        <v>3.15</v>
      </c>
      <c r="K703" s="1">
        <v>-10</v>
      </c>
      <c r="L703" s="1">
        <v>-3.9275000000000002</v>
      </c>
      <c r="M703" s="1" t="s">
        <v>40</v>
      </c>
      <c r="N703" s="1">
        <v>9.2849999999999593</v>
      </c>
      <c r="O703" s="1">
        <v>6.9049999999999896</v>
      </c>
      <c r="Q703" s="1">
        <v>0.690499999999999</v>
      </c>
      <c r="R703" s="1">
        <v>0.45057076262011903</v>
      </c>
      <c r="S703" s="20" t="s">
        <v>287</v>
      </c>
      <c r="T703" s="3" t="s">
        <v>288</v>
      </c>
      <c r="U703" s="3" t="s">
        <v>174</v>
      </c>
      <c r="V703" s="3" t="s">
        <v>283</v>
      </c>
      <c r="W703" s="3">
        <v>3</v>
      </c>
      <c r="X703" s="3">
        <v>8</v>
      </c>
      <c r="Y703" s="3">
        <v>1</v>
      </c>
      <c r="Z703" s="3">
        <v>0</v>
      </c>
      <c r="AA703" s="3">
        <v>0</v>
      </c>
      <c r="AB703" s="12">
        <f>(W703*4+X703*1+Y703*-2+Z703*-3)/W703</f>
        <v>6</v>
      </c>
      <c r="AC703" s="3">
        <f>W703*12.0107+X703*1.00784+Y703*15.999+Z703*14.0067</f>
        <v>60.093820000000001</v>
      </c>
      <c r="AD703" s="12">
        <v>97</v>
      </c>
      <c r="AE703" s="2" t="s">
        <v>262</v>
      </c>
      <c r="AF703" s="3" t="s">
        <v>44</v>
      </c>
      <c r="AG703" s="2" t="str">
        <f>IF(AD703&gt;37,"Proton symporter", "Diffusion")</f>
        <v>Proton symporter</v>
      </c>
      <c r="AH703" s="3" t="s">
        <v>285</v>
      </c>
    </row>
    <row r="704" spans="1:34" hidden="1" x14ac:dyDescent="0.2">
      <c r="A704" s="16" t="s">
        <v>63</v>
      </c>
      <c r="B704" s="17" t="s">
        <v>64</v>
      </c>
      <c r="C704" t="s">
        <v>67</v>
      </c>
      <c r="D704" s="18" t="s">
        <v>66</v>
      </c>
      <c r="E704" t="s">
        <v>182</v>
      </c>
      <c r="F704" t="s">
        <v>183</v>
      </c>
      <c r="G704">
        <v>-10</v>
      </c>
      <c r="H704">
        <v>0</v>
      </c>
      <c r="I704">
        <v>-5</v>
      </c>
      <c r="J704">
        <v>0.45</v>
      </c>
      <c r="K704">
        <v>-10</v>
      </c>
      <c r="L704">
        <v>0</v>
      </c>
      <c r="M704">
        <v>-5</v>
      </c>
      <c r="N704">
        <v>4</v>
      </c>
      <c r="O704">
        <v>1.5</v>
      </c>
      <c r="P704"/>
      <c r="Q704">
        <v>0.15</v>
      </c>
      <c r="R704">
        <v>0.45018442453480401</v>
      </c>
      <c r="S704" s="11" t="s">
        <v>182</v>
      </c>
      <c r="T704" s="2" t="s">
        <v>182</v>
      </c>
      <c r="U704" s="3" t="s">
        <v>41</v>
      </c>
      <c r="V704" s="2" t="s">
        <v>184</v>
      </c>
      <c r="W704" s="2">
        <v>4</v>
      </c>
      <c r="X704" s="2">
        <v>7</v>
      </c>
      <c r="Y704" s="2">
        <v>2</v>
      </c>
      <c r="Z704" s="2">
        <v>0</v>
      </c>
      <c r="AA704" s="2">
        <v>0</v>
      </c>
      <c r="AB704" s="12">
        <f>(W704*4+X704*1+Y704*-2+Z704*-3)/W704</f>
        <v>4.75</v>
      </c>
      <c r="AC704" s="3">
        <f>W704*12.0107+X704*1.00784+Y704*15.999+Z704*14.0067</f>
        <v>87.095680000000002</v>
      </c>
      <c r="AD704" s="12">
        <v>163.5</v>
      </c>
      <c r="AE704" s="2" t="s">
        <v>131</v>
      </c>
      <c r="AF704" s="2" t="s">
        <v>79</v>
      </c>
      <c r="AG704" s="2" t="str">
        <f>IF(AD704&gt;37,"Proton symporter", "Diffusion")</f>
        <v>Proton symporter</v>
      </c>
      <c r="AH704" s="3" t="s">
        <v>185</v>
      </c>
    </row>
    <row r="705" spans="1:34" hidden="1" x14ac:dyDescent="0.2">
      <c r="A705" s="16" t="s">
        <v>63</v>
      </c>
      <c r="B705" s="17" t="s">
        <v>64</v>
      </c>
      <c r="C705" t="s">
        <v>67</v>
      </c>
      <c r="D705" s="18" t="s">
        <v>66</v>
      </c>
      <c r="E705" t="s">
        <v>186</v>
      </c>
      <c r="F705" t="s">
        <v>187</v>
      </c>
      <c r="G705">
        <v>-10</v>
      </c>
      <c r="H705">
        <v>0</v>
      </c>
      <c r="I705">
        <v>-5</v>
      </c>
      <c r="J705">
        <v>0.45</v>
      </c>
      <c r="K705">
        <v>-10</v>
      </c>
      <c r="L705">
        <v>0</v>
      </c>
      <c r="M705">
        <v>-5</v>
      </c>
      <c r="N705">
        <v>4</v>
      </c>
      <c r="O705">
        <v>1.5</v>
      </c>
      <c r="P705"/>
      <c r="Q705">
        <v>0.15</v>
      </c>
      <c r="R705">
        <v>0.45018442453480401</v>
      </c>
      <c r="S705" s="11" t="s">
        <v>186</v>
      </c>
      <c r="T705" s="2" t="s">
        <v>186</v>
      </c>
      <c r="U705" s="3" t="s">
        <v>41</v>
      </c>
      <c r="V705" s="2" t="s">
        <v>184</v>
      </c>
      <c r="W705" s="2">
        <v>4</v>
      </c>
      <c r="X705" s="2">
        <v>7</v>
      </c>
      <c r="Y705" s="2">
        <v>2</v>
      </c>
      <c r="Z705" s="2">
        <v>0</v>
      </c>
      <c r="AA705" s="2">
        <v>0</v>
      </c>
      <c r="AB705" s="12">
        <f>(W705*4+X705*1+Y705*-2+Z705*-3)/W705</f>
        <v>4.75</v>
      </c>
      <c r="AC705" s="3">
        <f>W705*12.0107+X705*1.00784+Y705*15.999+Z705*14.0067</f>
        <v>87.095680000000002</v>
      </c>
      <c r="AD705" s="12">
        <v>155</v>
      </c>
      <c r="AE705" s="2" t="s">
        <v>131</v>
      </c>
      <c r="AF705" s="2" t="s">
        <v>135</v>
      </c>
      <c r="AG705" s="2" t="str">
        <f>IF(AD705&gt;37,"Proton symporter", "Diffusion")</f>
        <v>Proton symporter</v>
      </c>
      <c r="AH705" s="3" t="s">
        <v>188</v>
      </c>
    </row>
    <row r="706" spans="1:34" x14ac:dyDescent="0.2">
      <c r="A706" s="8" t="s">
        <v>34</v>
      </c>
      <c r="B706" s="9" t="s">
        <v>35</v>
      </c>
      <c r="C706" s="1" t="s">
        <v>46</v>
      </c>
      <c r="D706" s="10" t="s">
        <v>37</v>
      </c>
      <c r="E706" s="1" t="s">
        <v>216</v>
      </c>
      <c r="F706" s="1" t="s">
        <v>217</v>
      </c>
      <c r="G706" s="1">
        <v>-10</v>
      </c>
      <c r="H706" s="1">
        <v>-20</v>
      </c>
      <c r="I706" s="1" t="s">
        <v>40</v>
      </c>
      <c r="J706" s="1">
        <v>3.15</v>
      </c>
      <c r="K706" s="1">
        <v>-10</v>
      </c>
      <c r="L706" s="1">
        <v>-6.0352941176470498</v>
      </c>
      <c r="M706" s="1" t="s">
        <v>40</v>
      </c>
      <c r="N706" s="1">
        <v>9.5264705882353091</v>
      </c>
      <c r="O706" s="1">
        <v>3.4911764705882402</v>
      </c>
      <c r="Q706" s="1">
        <v>0.34911764705882398</v>
      </c>
      <c r="R706" s="1">
        <v>0.44993279933429098</v>
      </c>
      <c r="S706" s="11" t="s">
        <v>216</v>
      </c>
      <c r="T706" s="2" t="s">
        <v>218</v>
      </c>
      <c r="U706" s="3" t="s">
        <v>41</v>
      </c>
      <c r="V706" s="2" t="s">
        <v>219</v>
      </c>
      <c r="W706" s="2">
        <v>3</v>
      </c>
      <c r="X706" s="2">
        <v>8</v>
      </c>
      <c r="Y706" s="2">
        <v>2</v>
      </c>
      <c r="Z706" s="2">
        <v>0</v>
      </c>
      <c r="AA706" s="2">
        <v>0</v>
      </c>
      <c r="AB706" s="12">
        <f>(W706*4+X706*1+Y706*-2+Z706*-3)/W706</f>
        <v>5.333333333333333</v>
      </c>
      <c r="AC706" s="3">
        <f>W706*12.0107+X706*1.00784+Y706*15.999+Z706*14.0067</f>
        <v>76.092820000000003</v>
      </c>
      <c r="AD706" s="12">
        <v>213</v>
      </c>
      <c r="AE706" s="2" t="s">
        <v>220</v>
      </c>
      <c r="AF706" s="2" t="s">
        <v>98</v>
      </c>
      <c r="AG706" s="2" t="str">
        <f>IF(AD706&gt;37,"Proton symporter", "Diffusion")</f>
        <v>Proton symporter</v>
      </c>
      <c r="AH706" s="3" t="s">
        <v>221</v>
      </c>
    </row>
    <row r="707" spans="1:34" hidden="1" x14ac:dyDescent="0.2">
      <c r="A707" s="8" t="s">
        <v>34</v>
      </c>
      <c r="B707" s="9" t="s">
        <v>35</v>
      </c>
      <c r="C707" s="1" t="s">
        <v>48</v>
      </c>
      <c r="D707" s="10" t="s">
        <v>37</v>
      </c>
      <c r="E707" s="1" t="s">
        <v>279</v>
      </c>
      <c r="F707" s="1" t="s">
        <v>280</v>
      </c>
      <c r="G707" s="1">
        <v>-10</v>
      </c>
      <c r="H707" s="1">
        <v>-20</v>
      </c>
      <c r="I707" s="1" t="s">
        <v>40</v>
      </c>
      <c r="J707" s="1">
        <v>3.15</v>
      </c>
      <c r="K707" s="1">
        <v>-10</v>
      </c>
      <c r="L707" s="1">
        <v>-4.1129870129870199</v>
      </c>
      <c r="M707" s="1" t="s">
        <v>40</v>
      </c>
      <c r="N707" s="1">
        <v>6.0753246753246799</v>
      </c>
      <c r="O707" s="1">
        <v>4.6415584415584403</v>
      </c>
      <c r="Q707" s="1">
        <v>0.46415584415584399</v>
      </c>
      <c r="R707" s="1">
        <v>0.44940415024311597</v>
      </c>
      <c r="S707" s="20" t="s">
        <v>281</v>
      </c>
      <c r="T707" s="3" t="s">
        <v>282</v>
      </c>
      <c r="U707" s="3" t="s">
        <v>174</v>
      </c>
      <c r="V707" s="3" t="s">
        <v>283</v>
      </c>
      <c r="W707" s="3">
        <v>3</v>
      </c>
      <c r="X707" s="3">
        <v>8</v>
      </c>
      <c r="Y707" s="3">
        <v>1</v>
      </c>
      <c r="Z707" s="3">
        <v>0</v>
      </c>
      <c r="AA707" s="3">
        <v>0</v>
      </c>
      <c r="AB707" s="12">
        <f>(W707*4+X707*1+Y707*-2+Z707*-3)/W707</f>
        <v>6</v>
      </c>
      <c r="AC707" s="3">
        <f>W707*12.0107+X707*1.00784+Y707*15.999+Z707*14.0067</f>
        <v>60.093820000000001</v>
      </c>
      <c r="AD707" s="12">
        <v>97</v>
      </c>
      <c r="AE707" s="2" t="s">
        <v>262</v>
      </c>
      <c r="AF707" s="2" t="s">
        <v>284</v>
      </c>
      <c r="AG707" s="2" t="str">
        <f>IF(AD707&gt;37,"Proton symporter", "Diffusion")</f>
        <v>Proton symporter</v>
      </c>
      <c r="AH707" s="3" t="s">
        <v>285</v>
      </c>
    </row>
    <row r="708" spans="1:34" hidden="1" x14ac:dyDescent="0.2">
      <c r="A708" s="8" t="s">
        <v>368</v>
      </c>
      <c r="B708" s="17" t="s">
        <v>64</v>
      </c>
      <c r="C708" t="s">
        <v>369</v>
      </c>
      <c r="D708" s="18" t="s">
        <v>66</v>
      </c>
      <c r="E708" t="s">
        <v>205</v>
      </c>
      <c r="F708" t="s">
        <v>206</v>
      </c>
      <c r="G708">
        <v>-10</v>
      </c>
      <c r="H708">
        <v>0</v>
      </c>
      <c r="I708">
        <v>-20</v>
      </c>
      <c r="J708">
        <v>0.45</v>
      </c>
      <c r="K708">
        <v>-7.9999999999999902</v>
      </c>
      <c r="L708">
        <v>0</v>
      </c>
      <c r="M708">
        <v>-20</v>
      </c>
      <c r="N708">
        <v>-7.9999999999999902</v>
      </c>
      <c r="O708">
        <v>2</v>
      </c>
      <c r="P708"/>
      <c r="Q708">
        <v>0.25</v>
      </c>
      <c r="R708">
        <v>0.449049541284404</v>
      </c>
      <c r="S708" s="1" t="str">
        <f>VLOOKUP($E708,'[1]Product Naming'!$A$1:$P$58,2)</f>
        <v>EthylAcetate</v>
      </c>
      <c r="T708" s="1" t="str">
        <f>VLOOKUP($E708,'[1]Product Naming'!$A$1:$P$58,3)</f>
        <v>Ethyl acetate</v>
      </c>
      <c r="U708" s="1" t="str">
        <f>VLOOKUP($E708,'[1]Product Naming'!$A$1:$P$58,4)</f>
        <v>E</v>
      </c>
      <c r="V708" s="1" t="str">
        <f>VLOOKUP($E708,'[1]Product Naming'!$A$1:$P$58,5)</f>
        <v>C4H8O2</v>
      </c>
      <c r="W708" s="1">
        <f>VLOOKUP($E708,'[1]Product Naming'!$A$1:$P$58,6)</f>
        <v>4</v>
      </c>
      <c r="X708" s="1">
        <f>VLOOKUP($E708,'[1]Product Naming'!$A$1:$P$58,7)</f>
        <v>8</v>
      </c>
      <c r="Y708" s="1">
        <f>VLOOKUP($E708,'[1]Product Naming'!$A$1:$P$58,8)</f>
        <v>2</v>
      </c>
      <c r="Z708" s="1">
        <f>VLOOKUP($E708,'[1]Product Naming'!$A$1:$P$58,9)</f>
        <v>0</v>
      </c>
      <c r="AA708" s="1">
        <f>VLOOKUP($E708,'[1]Product Naming'!$A$1:$P$58,10)</f>
        <v>0</v>
      </c>
      <c r="AB708" s="27">
        <f>VLOOKUP($E708,'[1]Product Naming'!$A$1:$P$58,11)</f>
        <v>5</v>
      </c>
      <c r="AC708" s="3">
        <f>VLOOKUP($E708,'[1]Product Naming'!$A$1:$P$58,12)</f>
        <v>88.103520000000003</v>
      </c>
      <c r="AD708" s="1">
        <f>VLOOKUP($E708,'[1]Product Naming'!$A$1:$P$58,13)</f>
        <v>77.099999999999994</v>
      </c>
      <c r="AE708" s="1" t="str">
        <f>VLOOKUP($E708,'[1]Product Naming'!$A$1:$P$58,14)</f>
        <v>Carboxylate Ester</v>
      </c>
      <c r="AF708" s="1" t="str">
        <f>VLOOKUP($E708,'[1]Product Naming'!$A$1:$P$58,15)</f>
        <v>Acetyl-CoA</v>
      </c>
      <c r="AG708" s="28" t="str">
        <f>VLOOKUP($E708,'[1]Product Naming'!$A$1:$P$58,16)</f>
        <v>Proton symporter</v>
      </c>
      <c r="AH708" s="3" t="str">
        <f>VLOOKUP($E708,'[1]Product Naming'!$A$1:$Q$58,17)</f>
        <v>aces_c</v>
      </c>
    </row>
    <row r="709" spans="1:34" hidden="1" x14ac:dyDescent="0.2">
      <c r="A709" s="16" t="s">
        <v>63</v>
      </c>
      <c r="B709" s="17" t="s">
        <v>64</v>
      </c>
      <c r="C709" t="s">
        <v>73</v>
      </c>
      <c r="D709" s="18" t="s">
        <v>66</v>
      </c>
      <c r="E709" t="s">
        <v>205</v>
      </c>
      <c r="F709" t="s">
        <v>206</v>
      </c>
      <c r="G709">
        <v>-10</v>
      </c>
      <c r="H709">
        <v>0</v>
      </c>
      <c r="I709">
        <v>-20</v>
      </c>
      <c r="J709">
        <v>0.45</v>
      </c>
      <c r="K709">
        <v>-10</v>
      </c>
      <c r="L709">
        <v>0</v>
      </c>
      <c r="M709">
        <v>-15</v>
      </c>
      <c r="N709">
        <v>0</v>
      </c>
      <c r="O709">
        <v>2.5</v>
      </c>
      <c r="P709"/>
      <c r="Q709">
        <v>0.25</v>
      </c>
      <c r="R709" s="19">
        <v>0.44895801059926599</v>
      </c>
      <c r="S709" s="20" t="s">
        <v>205</v>
      </c>
      <c r="T709" s="3" t="s">
        <v>207</v>
      </c>
      <c r="U709" s="3" t="s">
        <v>106</v>
      </c>
      <c r="V709" s="3" t="s">
        <v>208</v>
      </c>
      <c r="W709" s="3">
        <v>4</v>
      </c>
      <c r="X709" s="3">
        <v>8</v>
      </c>
      <c r="Y709" s="3">
        <v>2</v>
      </c>
      <c r="Z709" s="3">
        <v>0</v>
      </c>
      <c r="AA709" s="3">
        <v>0</v>
      </c>
      <c r="AB709" s="12">
        <f>(W709*4+X709*1+Y709*-2+Z709*-3)/W709</f>
        <v>5</v>
      </c>
      <c r="AC709" s="3">
        <f>W709*12.0107+X709*1.00784+Y709*15.999+Z709*14.0067</f>
        <v>88.103520000000003</v>
      </c>
      <c r="AD709" s="12">
        <v>77.099999999999994</v>
      </c>
      <c r="AE709" s="3" t="s">
        <v>209</v>
      </c>
      <c r="AF709" s="3" t="s">
        <v>79</v>
      </c>
      <c r="AG709" s="2" t="str">
        <f>IF(AD709&gt;37,"Proton symporter", "Diffusion")</f>
        <v>Proton symporter</v>
      </c>
      <c r="AH709" s="3" t="s">
        <v>210</v>
      </c>
    </row>
    <row r="710" spans="1:34" hidden="1" x14ac:dyDescent="0.2">
      <c r="A710" s="8" t="s">
        <v>34</v>
      </c>
      <c r="B710" s="9" t="s">
        <v>35</v>
      </c>
      <c r="C710" s="1" t="s">
        <v>54</v>
      </c>
      <c r="D710" s="14" t="s">
        <v>55</v>
      </c>
      <c r="E710" s="1" t="s">
        <v>152</v>
      </c>
      <c r="F710" s="1" t="s">
        <v>153</v>
      </c>
      <c r="G710" s="1">
        <v>-10</v>
      </c>
      <c r="H710" s="1">
        <v>-20</v>
      </c>
      <c r="I710" s="1" t="s">
        <v>40</v>
      </c>
      <c r="J710" s="1">
        <v>3.15</v>
      </c>
      <c r="K710" s="1">
        <v>-10</v>
      </c>
      <c r="L710" s="1">
        <v>-9.9142561983471094</v>
      </c>
      <c r="M710" s="1" t="s">
        <v>40</v>
      </c>
      <c r="N710" s="1">
        <v>13.253305785124001</v>
      </c>
      <c r="O710" s="1">
        <v>6.6780991735537203</v>
      </c>
      <c r="Q710" s="1">
        <v>0.66780991735537198</v>
      </c>
      <c r="R710" s="1">
        <v>0.44895274981663003</v>
      </c>
      <c r="S710" s="11" t="s">
        <v>152</v>
      </c>
      <c r="T710" s="2" t="s">
        <v>154</v>
      </c>
      <c r="U710" s="3" t="s">
        <v>41</v>
      </c>
      <c r="V710" s="2" t="s">
        <v>155</v>
      </c>
      <c r="W710" s="2">
        <v>7</v>
      </c>
      <c r="X710" s="2">
        <v>5</v>
      </c>
      <c r="Y710" s="2">
        <v>2</v>
      </c>
      <c r="Z710" s="2">
        <v>0</v>
      </c>
      <c r="AA710" s="2">
        <v>0</v>
      </c>
      <c r="AB710" s="12">
        <f>(W710*4+X710*1+Y710*-2+Z710*-3)/W710</f>
        <v>4.1428571428571432</v>
      </c>
      <c r="AC710" s="3">
        <f>W710*12.0107+X710*1.00784+Y710*15.999+Z710*14.0067</f>
        <v>121.1121</v>
      </c>
      <c r="AD710" s="12">
        <v>249.2</v>
      </c>
      <c r="AE710" s="2" t="s">
        <v>156</v>
      </c>
      <c r="AF710" s="2" t="s">
        <v>157</v>
      </c>
      <c r="AG710" s="2" t="str">
        <f>IF(AD710&gt;37,"Proton symporter", "Diffusion")</f>
        <v>Proton symporter</v>
      </c>
      <c r="AH710" s="3" t="s">
        <v>158</v>
      </c>
    </row>
    <row r="711" spans="1:34" hidden="1" x14ac:dyDescent="0.2">
      <c r="A711" s="8" t="s">
        <v>34</v>
      </c>
      <c r="B711" s="9" t="s">
        <v>35</v>
      </c>
      <c r="C711" s="1" t="s">
        <v>54</v>
      </c>
      <c r="D711" s="14" t="s">
        <v>55</v>
      </c>
      <c r="E711" s="1" t="s">
        <v>159</v>
      </c>
      <c r="F711" s="1" t="s">
        <v>153</v>
      </c>
      <c r="G711" s="1">
        <v>-10</v>
      </c>
      <c r="H711" s="1">
        <v>-20</v>
      </c>
      <c r="I711" s="1" t="s">
        <v>40</v>
      </c>
      <c r="J711" s="1">
        <v>3.15</v>
      </c>
      <c r="K711" s="1">
        <v>-10</v>
      </c>
      <c r="L711" s="1">
        <v>-9.9142561983471094</v>
      </c>
      <c r="M711" s="1" t="s">
        <v>40</v>
      </c>
      <c r="N711" s="1">
        <v>13.253305785124001</v>
      </c>
      <c r="O711" s="1">
        <v>6.6780991735537203</v>
      </c>
      <c r="Q711" s="1">
        <v>0.66780991735537198</v>
      </c>
      <c r="R711" s="1">
        <v>0.44895274981663003</v>
      </c>
      <c r="S711" s="11" t="s">
        <v>159</v>
      </c>
      <c r="T711" s="2" t="s">
        <v>160</v>
      </c>
      <c r="U711" s="3" t="s">
        <v>41</v>
      </c>
      <c r="V711" s="2" t="s">
        <v>155</v>
      </c>
      <c r="W711" s="2">
        <v>7</v>
      </c>
      <c r="X711" s="2">
        <v>5</v>
      </c>
      <c r="Y711" s="2">
        <v>2</v>
      </c>
      <c r="Z711" s="2">
        <v>0</v>
      </c>
      <c r="AA711" s="2">
        <v>0</v>
      </c>
      <c r="AB711" s="12">
        <f>(W711*4+X711*1+Y711*-2+Z711*-3)/W711</f>
        <v>4.1428571428571432</v>
      </c>
      <c r="AC711" s="3">
        <f>W711*12.0107+X711*1.00784+Y711*15.999+Z711*14.0067</f>
        <v>121.1121</v>
      </c>
      <c r="AD711" s="12">
        <v>249.2</v>
      </c>
      <c r="AE711" s="2" t="s">
        <v>156</v>
      </c>
      <c r="AF711" s="2" t="s">
        <v>157</v>
      </c>
      <c r="AG711" s="2" t="str">
        <f>IF(AD711&gt;37,"Proton symporter", "Diffusion")</f>
        <v>Proton symporter</v>
      </c>
      <c r="AH711" s="3" t="s">
        <v>158</v>
      </c>
    </row>
    <row r="712" spans="1:34" hidden="1" x14ac:dyDescent="0.2">
      <c r="A712" s="8" t="s">
        <v>34</v>
      </c>
      <c r="B712" s="9" t="s">
        <v>35</v>
      </c>
      <c r="C712" s="1" t="s">
        <v>46</v>
      </c>
      <c r="D712" s="10" t="s">
        <v>37</v>
      </c>
      <c r="E712" s="1" t="s">
        <v>273</v>
      </c>
      <c r="F712" s="1" t="s">
        <v>274</v>
      </c>
      <c r="G712" s="1">
        <v>-10</v>
      </c>
      <c r="H712" s="1">
        <v>-20</v>
      </c>
      <c r="I712" s="1" t="s">
        <v>40</v>
      </c>
      <c r="J712" s="1">
        <v>3.15</v>
      </c>
      <c r="K712" s="1">
        <v>-10</v>
      </c>
      <c r="L712" s="1">
        <v>-6.08648648648649</v>
      </c>
      <c r="M712" s="1" t="s">
        <v>40</v>
      </c>
      <c r="N712" s="1">
        <v>9.56486486486485</v>
      </c>
      <c r="O712" s="1">
        <v>3.4783783783783702</v>
      </c>
      <c r="Q712" s="1">
        <v>0.34783783783783701</v>
      </c>
      <c r="R712" s="1">
        <v>0.44855889378575797</v>
      </c>
      <c r="S712" s="22" t="s">
        <v>273</v>
      </c>
      <c r="T712" s="3" t="s">
        <v>275</v>
      </c>
      <c r="U712" s="3" t="s">
        <v>41</v>
      </c>
      <c r="V712" s="2" t="s">
        <v>276</v>
      </c>
      <c r="W712" s="2">
        <v>3</v>
      </c>
      <c r="X712" s="2">
        <v>12</v>
      </c>
      <c r="Y712" s="2">
        <v>0</v>
      </c>
      <c r="Z712" s="2">
        <v>2</v>
      </c>
      <c r="AA712" s="2">
        <v>0</v>
      </c>
      <c r="AB712" s="12">
        <f>(W712*4+X712*1+Y712*-2+Z712*-3)/W712</f>
        <v>6</v>
      </c>
      <c r="AC712" s="3">
        <f>W712*12.0107+X712*1.00784+Y712*15.999+Z712*14.0067</f>
        <v>76.139580000000009</v>
      </c>
      <c r="AD712" s="12">
        <v>139.30000000000001</v>
      </c>
      <c r="AE712" s="2" t="s">
        <v>277</v>
      </c>
      <c r="AF712" s="2" t="s">
        <v>125</v>
      </c>
      <c r="AG712" s="2" t="str">
        <f>IF(AD712&gt;37,"Proton symporter", "Diffusion")</f>
        <v>Proton symporter</v>
      </c>
      <c r="AH712" s="3" t="s">
        <v>278</v>
      </c>
    </row>
    <row r="713" spans="1:34" hidden="1" x14ac:dyDescent="0.2">
      <c r="A713" s="8" t="s">
        <v>34</v>
      </c>
      <c r="B713" s="9" t="s">
        <v>35</v>
      </c>
      <c r="C713" s="1" t="s">
        <v>59</v>
      </c>
      <c r="D713" s="13" t="s">
        <v>51</v>
      </c>
      <c r="E713" s="1" t="s">
        <v>178</v>
      </c>
      <c r="F713" s="1" t="s">
        <v>179</v>
      </c>
      <c r="G713" s="1">
        <v>-10</v>
      </c>
      <c r="H713" s="1">
        <v>-20</v>
      </c>
      <c r="I713" s="1" t="s">
        <v>40</v>
      </c>
      <c r="J713" s="1">
        <v>3.15</v>
      </c>
      <c r="K713" s="1">
        <v>-10</v>
      </c>
      <c r="L713" s="1">
        <v>-3.6707932692307699</v>
      </c>
      <c r="M713" s="1" t="s">
        <v>40</v>
      </c>
      <c r="N713" s="1">
        <v>0.45961538461538198</v>
      </c>
      <c r="O713" s="1">
        <v>1.1925480769230801</v>
      </c>
      <c r="Q713" s="1">
        <v>0.11925480769230801</v>
      </c>
      <c r="R713" s="1">
        <v>0.44718075935522</v>
      </c>
      <c r="S713" s="20" t="s">
        <v>178</v>
      </c>
      <c r="T713" s="3" t="s">
        <v>178</v>
      </c>
      <c r="U713" s="3" t="s">
        <v>106</v>
      </c>
      <c r="V713" s="3" t="s">
        <v>180</v>
      </c>
      <c r="W713" s="3">
        <v>8</v>
      </c>
      <c r="X713" s="3">
        <v>8</v>
      </c>
      <c r="Y713" s="3">
        <v>1</v>
      </c>
      <c r="Z713" s="3">
        <v>0</v>
      </c>
      <c r="AA713" s="3">
        <v>0</v>
      </c>
      <c r="AB713" s="12">
        <f>(W713*4+X713*1+Y713*-2+Z713*-3)/W713</f>
        <v>4.75</v>
      </c>
      <c r="AC713" s="3">
        <f>W713*12.0107+X713*1.00784+Y713*15.999+Z713*14.0067</f>
        <v>120.14731999999999</v>
      </c>
      <c r="AD713" s="12">
        <v>229</v>
      </c>
      <c r="AE713" s="3" t="s">
        <v>176</v>
      </c>
      <c r="AF713" s="2" t="s">
        <v>150</v>
      </c>
      <c r="AG713" s="2" t="str">
        <f>IF(AD713&gt;37,"Proton symporter", "Diffusion")</f>
        <v>Proton symporter</v>
      </c>
      <c r="AH713" s="3" t="s">
        <v>181</v>
      </c>
    </row>
    <row r="714" spans="1:34" hidden="1" x14ac:dyDescent="0.2">
      <c r="A714" s="8" t="s">
        <v>34</v>
      </c>
      <c r="B714" s="9" t="s">
        <v>35</v>
      </c>
      <c r="C714" s="1" t="s">
        <v>60</v>
      </c>
      <c r="D714" s="13" t="s">
        <v>51</v>
      </c>
      <c r="E714" s="1" t="s">
        <v>178</v>
      </c>
      <c r="F714" s="1" t="s">
        <v>179</v>
      </c>
      <c r="G714" s="1">
        <v>-10</v>
      </c>
      <c r="H714" s="1">
        <v>-20</v>
      </c>
      <c r="I714" s="1" t="s">
        <v>40</v>
      </c>
      <c r="J714" s="1">
        <v>3.15</v>
      </c>
      <c r="K714" s="1">
        <v>-10</v>
      </c>
      <c r="L714" s="1">
        <v>-3.6707932692307601</v>
      </c>
      <c r="M714" s="1" t="s">
        <v>40</v>
      </c>
      <c r="N714" s="1">
        <v>0.45961538461539098</v>
      </c>
      <c r="O714" s="1">
        <v>1.1925480769230801</v>
      </c>
      <c r="Q714" s="1">
        <v>0.11925480769230801</v>
      </c>
      <c r="R714" s="1">
        <v>0.44718075935522</v>
      </c>
      <c r="S714" s="20" t="s">
        <v>178</v>
      </c>
      <c r="T714" s="3" t="s">
        <v>178</v>
      </c>
      <c r="U714" s="3" t="s">
        <v>106</v>
      </c>
      <c r="V714" s="3" t="s">
        <v>180</v>
      </c>
      <c r="W714" s="3">
        <v>8</v>
      </c>
      <c r="X714" s="3">
        <v>8</v>
      </c>
      <c r="Y714" s="3">
        <v>1</v>
      </c>
      <c r="Z714" s="3">
        <v>0</v>
      </c>
      <c r="AA714" s="3">
        <v>0</v>
      </c>
      <c r="AB714" s="12">
        <f>(W714*4+X714*1+Y714*-2+Z714*-3)/W714</f>
        <v>4.75</v>
      </c>
      <c r="AC714" s="3">
        <f>W714*12.0107+X714*1.00784+Y714*15.999+Z714*14.0067</f>
        <v>120.14731999999999</v>
      </c>
      <c r="AD714" s="12">
        <v>229</v>
      </c>
      <c r="AE714" s="3" t="s">
        <v>176</v>
      </c>
      <c r="AF714" s="2" t="s">
        <v>150</v>
      </c>
      <c r="AG714" s="2" t="str">
        <f>IF(AD714&gt;37,"Proton symporter", "Diffusion")</f>
        <v>Proton symporter</v>
      </c>
      <c r="AH714" s="3" t="s">
        <v>181</v>
      </c>
    </row>
    <row r="715" spans="1:34" hidden="1" x14ac:dyDescent="0.2">
      <c r="A715" s="8" t="s">
        <v>34</v>
      </c>
      <c r="B715" s="9" t="s">
        <v>35</v>
      </c>
      <c r="C715" s="1" t="s">
        <v>62</v>
      </c>
      <c r="D715" s="15" t="s">
        <v>55</v>
      </c>
      <c r="E715" s="1" t="s">
        <v>152</v>
      </c>
      <c r="F715" s="1" t="s">
        <v>153</v>
      </c>
      <c r="G715" s="1">
        <v>-10</v>
      </c>
      <c r="H715" s="1">
        <v>-20</v>
      </c>
      <c r="I715" s="1" t="s">
        <v>40</v>
      </c>
      <c r="J715" s="1">
        <v>3.15</v>
      </c>
      <c r="K715" s="1">
        <v>-10</v>
      </c>
      <c r="L715" s="1">
        <v>-8.4369834710743792</v>
      </c>
      <c r="M715" s="1" t="s">
        <v>40</v>
      </c>
      <c r="N715" s="1">
        <v>11.207851239669401</v>
      </c>
      <c r="O715" s="1">
        <v>5.5417355371900801</v>
      </c>
      <c r="Q715" s="1">
        <v>0.55417355371900801</v>
      </c>
      <c r="R715" s="1">
        <v>0.447060033673296</v>
      </c>
      <c r="S715" s="11" t="s">
        <v>152</v>
      </c>
      <c r="T715" s="2" t="s">
        <v>154</v>
      </c>
      <c r="U715" s="3" t="s">
        <v>41</v>
      </c>
      <c r="V715" s="2" t="s">
        <v>155</v>
      </c>
      <c r="W715" s="2">
        <v>7</v>
      </c>
      <c r="X715" s="2">
        <v>5</v>
      </c>
      <c r="Y715" s="2">
        <v>2</v>
      </c>
      <c r="Z715" s="2">
        <v>0</v>
      </c>
      <c r="AA715" s="2">
        <v>0</v>
      </c>
      <c r="AB715" s="12">
        <f>(W715*4+X715*1+Y715*-2+Z715*-3)/W715</f>
        <v>4.1428571428571432</v>
      </c>
      <c r="AC715" s="3">
        <f>W715*12.0107+X715*1.00784+Y715*15.999+Z715*14.0067</f>
        <v>121.1121</v>
      </c>
      <c r="AD715" s="12">
        <v>249.2</v>
      </c>
      <c r="AE715" s="2" t="s">
        <v>156</v>
      </c>
      <c r="AF715" s="2" t="s">
        <v>157</v>
      </c>
      <c r="AG715" s="2" t="str">
        <f>IF(AD715&gt;37,"Proton symporter", "Diffusion")</f>
        <v>Proton symporter</v>
      </c>
      <c r="AH715" s="3" t="s">
        <v>158</v>
      </c>
    </row>
    <row r="716" spans="1:34" hidden="1" x14ac:dyDescent="0.2">
      <c r="A716" s="8" t="s">
        <v>34</v>
      </c>
      <c r="B716" s="9" t="s">
        <v>35</v>
      </c>
      <c r="C716" s="1" t="s">
        <v>62</v>
      </c>
      <c r="D716" s="15" t="s">
        <v>55</v>
      </c>
      <c r="E716" s="1" t="s">
        <v>159</v>
      </c>
      <c r="F716" s="1" t="s">
        <v>153</v>
      </c>
      <c r="G716" s="1">
        <v>-10</v>
      </c>
      <c r="H716" s="1">
        <v>-20</v>
      </c>
      <c r="I716" s="1" t="s">
        <v>40</v>
      </c>
      <c r="J716" s="1">
        <v>3.15</v>
      </c>
      <c r="K716" s="1">
        <v>-10</v>
      </c>
      <c r="L716" s="1">
        <v>-8.4369834710743792</v>
      </c>
      <c r="M716" s="1" t="s">
        <v>40</v>
      </c>
      <c r="N716" s="1">
        <v>11.207851239669401</v>
      </c>
      <c r="O716" s="1">
        <v>5.5417355371900898</v>
      </c>
      <c r="Q716" s="1">
        <v>0.554173553719009</v>
      </c>
      <c r="R716" s="1">
        <v>0.447060033673296</v>
      </c>
      <c r="S716" s="11" t="s">
        <v>159</v>
      </c>
      <c r="T716" s="2" t="s">
        <v>160</v>
      </c>
      <c r="U716" s="3" t="s">
        <v>41</v>
      </c>
      <c r="V716" s="2" t="s">
        <v>155</v>
      </c>
      <c r="W716" s="2">
        <v>7</v>
      </c>
      <c r="X716" s="2">
        <v>5</v>
      </c>
      <c r="Y716" s="2">
        <v>2</v>
      </c>
      <c r="Z716" s="2">
        <v>0</v>
      </c>
      <c r="AA716" s="2">
        <v>0</v>
      </c>
      <c r="AB716" s="12">
        <f>(W716*4+X716*1+Y716*-2+Z716*-3)/W716</f>
        <v>4.1428571428571432</v>
      </c>
      <c r="AC716" s="3">
        <f>W716*12.0107+X716*1.00784+Y716*15.999+Z716*14.0067</f>
        <v>121.1121</v>
      </c>
      <c r="AD716" s="12">
        <v>249.2</v>
      </c>
      <c r="AE716" s="2" t="s">
        <v>156</v>
      </c>
      <c r="AF716" s="2" t="s">
        <v>157</v>
      </c>
      <c r="AG716" s="2" t="str">
        <f>IF(AD716&gt;37,"Proton symporter", "Diffusion")</f>
        <v>Proton symporter</v>
      </c>
      <c r="AH716" s="3" t="s">
        <v>158</v>
      </c>
    </row>
    <row r="717" spans="1:34" hidden="1" x14ac:dyDescent="0.2">
      <c r="A717" s="16" t="s">
        <v>63</v>
      </c>
      <c r="B717" s="17" t="s">
        <v>64</v>
      </c>
      <c r="C717" t="s">
        <v>68</v>
      </c>
      <c r="D717" s="18" t="s">
        <v>66</v>
      </c>
      <c r="E717" t="s">
        <v>307</v>
      </c>
      <c r="F717" t="s">
        <v>308</v>
      </c>
      <c r="G717">
        <v>-10</v>
      </c>
      <c r="H717">
        <v>0</v>
      </c>
      <c r="I717">
        <v>-10</v>
      </c>
      <c r="J717">
        <v>0.45</v>
      </c>
      <c r="K717">
        <v>-10</v>
      </c>
      <c r="L717">
        <v>0</v>
      </c>
      <c r="M717">
        <v>-10</v>
      </c>
      <c r="N717">
        <v>3.3333333333333299</v>
      </c>
      <c r="O717">
        <v>2.2222222222222201</v>
      </c>
      <c r="P717"/>
      <c r="Q717">
        <v>0.22222222222222199</v>
      </c>
      <c r="R717">
        <v>0.444694712694712</v>
      </c>
      <c r="S717" s="11" t="s">
        <v>307</v>
      </c>
      <c r="T717" s="2" t="s">
        <v>307</v>
      </c>
      <c r="U717" s="3" t="s">
        <v>41</v>
      </c>
      <c r="V717" s="2" t="s">
        <v>283</v>
      </c>
      <c r="W717" s="2">
        <v>3</v>
      </c>
      <c r="X717" s="2">
        <v>8</v>
      </c>
      <c r="Y717" s="2">
        <v>1</v>
      </c>
      <c r="Z717" s="2">
        <v>0</v>
      </c>
      <c r="AA717" s="2">
        <v>0</v>
      </c>
      <c r="AB717" s="12">
        <f>(W717*4+X717*1+Y717*-2+Z717*-3)/W717</f>
        <v>6</v>
      </c>
      <c r="AC717" s="3">
        <f>W717*12.0107+X717*1.00784+Y717*15.999+Z717*14.0067</f>
        <v>60.093820000000001</v>
      </c>
      <c r="AD717" s="12">
        <v>82.5</v>
      </c>
      <c r="AE717" s="2" t="s">
        <v>262</v>
      </c>
      <c r="AF717" s="2" t="s">
        <v>79</v>
      </c>
      <c r="AG717" s="2" t="str">
        <f>IF(AD717&gt;37,"Proton symporter", "Diffusion")</f>
        <v>Proton symporter</v>
      </c>
      <c r="AH717" s="3" t="s">
        <v>309</v>
      </c>
    </row>
    <row r="718" spans="1:34" hidden="1" x14ac:dyDescent="0.2">
      <c r="A718" s="8" t="s">
        <v>34</v>
      </c>
      <c r="B718" s="9" t="s">
        <v>35</v>
      </c>
      <c r="C718" s="1" t="s">
        <v>36</v>
      </c>
      <c r="D718" s="10" t="s">
        <v>37</v>
      </c>
      <c r="E718" s="1" t="s">
        <v>211</v>
      </c>
      <c r="F718" s="1" t="s">
        <v>212</v>
      </c>
      <c r="G718" s="1">
        <v>-10</v>
      </c>
      <c r="H718" s="1">
        <v>-20</v>
      </c>
      <c r="I718" s="1" t="s">
        <v>40</v>
      </c>
      <c r="J718" s="1">
        <v>3.15</v>
      </c>
      <c r="K718" s="1">
        <v>-10</v>
      </c>
      <c r="L718" s="1">
        <v>-6.2231686541737696</v>
      </c>
      <c r="M718" s="1" t="s">
        <v>40</v>
      </c>
      <c r="N718" s="1">
        <v>4.9785349233390104</v>
      </c>
      <c r="O718" s="1">
        <v>1.8776831345826199</v>
      </c>
      <c r="Q718" s="1">
        <v>0.187768313458262</v>
      </c>
      <c r="R718" s="1">
        <v>0.44392674426427903</v>
      </c>
      <c r="S718" s="20" t="s">
        <v>211</v>
      </c>
      <c r="T718" s="3" t="s">
        <v>211</v>
      </c>
      <c r="U718" s="3" t="s">
        <v>174</v>
      </c>
      <c r="V718" s="3" t="s">
        <v>213</v>
      </c>
      <c r="W718" s="3">
        <v>8</v>
      </c>
      <c r="X718" s="3">
        <v>8</v>
      </c>
      <c r="Y718" s="3">
        <v>0</v>
      </c>
      <c r="Z718" s="3">
        <v>0</v>
      </c>
      <c r="AA718" s="3">
        <v>0</v>
      </c>
      <c r="AB718" s="12">
        <f>(W718*4+X718*1+Y718*-2+Z718*-3)/W718</f>
        <v>5</v>
      </c>
      <c r="AC718" s="3">
        <f>W718*12.0107+X718*1.00784+Y718*15.999+Z718*14.0067</f>
        <v>104.14832</v>
      </c>
      <c r="AD718" s="12">
        <v>145</v>
      </c>
      <c r="AE718" s="3" t="s">
        <v>214</v>
      </c>
      <c r="AF718" s="3" t="s">
        <v>203</v>
      </c>
      <c r="AG718" s="2" t="str">
        <f>IF(AD718&gt;37,"Proton symporter", "Diffusion")</f>
        <v>Proton symporter</v>
      </c>
      <c r="AH718" s="3" t="s">
        <v>215</v>
      </c>
    </row>
    <row r="719" spans="1:34" hidden="1" x14ac:dyDescent="0.2">
      <c r="A719" s="8" t="s">
        <v>368</v>
      </c>
      <c r="B719" s="17" t="s">
        <v>64</v>
      </c>
      <c r="C719" t="s">
        <v>369</v>
      </c>
      <c r="D719" s="18" t="s">
        <v>66</v>
      </c>
      <c r="E719" t="s">
        <v>182</v>
      </c>
      <c r="F719" t="s">
        <v>183</v>
      </c>
      <c r="G719">
        <v>-10</v>
      </c>
      <c r="H719">
        <v>0</v>
      </c>
      <c r="I719">
        <v>-20</v>
      </c>
      <c r="J719">
        <v>0.45</v>
      </c>
      <c r="K719">
        <v>-8</v>
      </c>
      <c r="L719">
        <v>0</v>
      </c>
      <c r="M719">
        <v>-20</v>
      </c>
      <c r="N719">
        <v>-8</v>
      </c>
      <c r="O719">
        <v>2</v>
      </c>
      <c r="P719"/>
      <c r="Q719">
        <v>0.25</v>
      </c>
      <c r="R719">
        <v>0.44391274209989801</v>
      </c>
      <c r="S719" s="1" t="str">
        <f>VLOOKUP($E719,'[1]Product Naming'!$A$1:$P$58,2)</f>
        <v>Butyrate</v>
      </c>
      <c r="T719" s="1" t="str">
        <f>VLOOKUP($E719,'[1]Product Naming'!$A$1:$P$58,3)</f>
        <v>Butyrate</v>
      </c>
      <c r="U719" s="1" t="str">
        <f>VLOOKUP($E719,'[1]Product Naming'!$A$1:$P$58,4)</f>
        <v>A</v>
      </c>
      <c r="V719" s="1" t="str">
        <f>VLOOKUP($E719,'[1]Product Naming'!$A$1:$P$58,5)</f>
        <v>C4H7O2</v>
      </c>
      <c r="W719" s="1">
        <f>VLOOKUP($E719,'[1]Product Naming'!$A$1:$P$58,6)</f>
        <v>4</v>
      </c>
      <c r="X719" s="1">
        <f>VLOOKUP($E719,'[1]Product Naming'!$A$1:$P$58,7)</f>
        <v>7</v>
      </c>
      <c r="Y719" s="1">
        <f>VLOOKUP($E719,'[1]Product Naming'!$A$1:$P$58,8)</f>
        <v>2</v>
      </c>
      <c r="Z719" s="1">
        <f>VLOOKUP($E719,'[1]Product Naming'!$A$1:$P$58,9)</f>
        <v>0</v>
      </c>
      <c r="AA719" s="1">
        <f>VLOOKUP($E719,'[1]Product Naming'!$A$1:$P$58,10)</f>
        <v>-1</v>
      </c>
      <c r="AB719" s="27">
        <f>VLOOKUP($E719,'[1]Product Naming'!$A$1:$P$58,11)</f>
        <v>4.75</v>
      </c>
      <c r="AC719" s="3">
        <f>VLOOKUP($E719,'[1]Product Naming'!$A$1:$P$58,12)</f>
        <v>87.095680000000002</v>
      </c>
      <c r="AD719" s="1">
        <f>VLOOKUP($E719,'[1]Product Naming'!$A$1:$P$58,13)</f>
        <v>163.5</v>
      </c>
      <c r="AE719" s="1" t="str">
        <f>VLOOKUP($E719,'[1]Product Naming'!$A$1:$P$58,14)</f>
        <v>Carboxylate</v>
      </c>
      <c r="AF719" s="1" t="str">
        <f>VLOOKUP($E719,'[1]Product Naming'!$A$1:$P$58,15)</f>
        <v>Acetyl-CoA</v>
      </c>
      <c r="AG719" s="28" t="str">
        <f>VLOOKUP($E719,'[1]Product Naming'!$A$1:$P$58,16)</f>
        <v>Proton symporter</v>
      </c>
      <c r="AH719" s="3" t="str">
        <f>VLOOKUP($E719,'[1]Product Naming'!$A$1:$Q$58,17)</f>
        <v>but_c</v>
      </c>
    </row>
    <row r="720" spans="1:34" hidden="1" x14ac:dyDescent="0.2">
      <c r="A720" s="8" t="s">
        <v>368</v>
      </c>
      <c r="B720" s="17" t="s">
        <v>64</v>
      </c>
      <c r="C720" t="s">
        <v>369</v>
      </c>
      <c r="D720" s="18" t="s">
        <v>66</v>
      </c>
      <c r="E720" t="s">
        <v>186</v>
      </c>
      <c r="F720" t="s">
        <v>187</v>
      </c>
      <c r="G720">
        <v>-10</v>
      </c>
      <c r="H720">
        <v>0</v>
      </c>
      <c r="I720">
        <v>-20</v>
      </c>
      <c r="J720">
        <v>0.45</v>
      </c>
      <c r="K720">
        <v>-8</v>
      </c>
      <c r="L720">
        <v>0</v>
      </c>
      <c r="M720">
        <v>-20</v>
      </c>
      <c r="N720">
        <v>-8</v>
      </c>
      <c r="O720">
        <v>2</v>
      </c>
      <c r="P720"/>
      <c r="Q720">
        <v>0.25</v>
      </c>
      <c r="R720">
        <v>0.44391274209989801</v>
      </c>
      <c r="S720" s="1" t="str">
        <f>VLOOKUP($E720,'[1]Product Naming'!$A$1:$P$58,2)</f>
        <v>Isobutyrate</v>
      </c>
      <c r="T720" s="1" t="str">
        <f>VLOOKUP($E720,'[1]Product Naming'!$A$1:$P$58,3)</f>
        <v>Isobutyrate</v>
      </c>
      <c r="U720" s="1" t="str">
        <f>VLOOKUP($E720,'[1]Product Naming'!$A$1:$P$58,4)</f>
        <v>A</v>
      </c>
      <c r="V720" s="1" t="str">
        <f>VLOOKUP($E720,'[1]Product Naming'!$A$1:$P$58,5)</f>
        <v>C4H7O2</v>
      </c>
      <c r="W720" s="1">
        <f>VLOOKUP($E720,'[1]Product Naming'!$A$1:$P$58,6)</f>
        <v>4</v>
      </c>
      <c r="X720" s="1">
        <f>VLOOKUP($E720,'[1]Product Naming'!$A$1:$P$58,7)</f>
        <v>7</v>
      </c>
      <c r="Y720" s="1">
        <f>VLOOKUP($E720,'[1]Product Naming'!$A$1:$P$58,8)</f>
        <v>2</v>
      </c>
      <c r="Z720" s="1">
        <f>VLOOKUP($E720,'[1]Product Naming'!$A$1:$P$58,9)</f>
        <v>0</v>
      </c>
      <c r="AA720" s="1">
        <f>VLOOKUP($E720,'[1]Product Naming'!$A$1:$P$58,10)</f>
        <v>-1</v>
      </c>
      <c r="AB720" s="27">
        <f>VLOOKUP($E720,'[1]Product Naming'!$A$1:$P$58,11)</f>
        <v>4.75</v>
      </c>
      <c r="AC720" s="3">
        <f>VLOOKUP($E720,'[1]Product Naming'!$A$1:$P$58,12)</f>
        <v>87.095680000000002</v>
      </c>
      <c r="AD720" s="1">
        <f>VLOOKUP($E720,'[1]Product Naming'!$A$1:$P$58,13)</f>
        <v>155</v>
      </c>
      <c r="AE720" s="1" t="str">
        <f>VLOOKUP($E720,'[1]Product Naming'!$A$1:$P$58,14)</f>
        <v>Carboxylate</v>
      </c>
      <c r="AF720" s="1" t="str">
        <f>VLOOKUP($E720,'[1]Product Naming'!$A$1:$P$58,15)</f>
        <v>Pyruvate</v>
      </c>
      <c r="AG720" s="28" t="str">
        <f>VLOOKUP($E720,'[1]Product Naming'!$A$1:$P$58,16)</f>
        <v>Proton symporter</v>
      </c>
      <c r="AH720" s="3" t="str">
        <f>VLOOKUP($E720,'[1]Product Naming'!$A$1:$Q$58,17)</f>
        <v>ibt_c</v>
      </c>
    </row>
    <row r="721" spans="1:34" hidden="1" x14ac:dyDescent="0.2">
      <c r="A721" s="16" t="s">
        <v>63</v>
      </c>
      <c r="B721" s="17" t="s">
        <v>64</v>
      </c>
      <c r="C721" t="s">
        <v>73</v>
      </c>
      <c r="D721" s="18" t="s">
        <v>66</v>
      </c>
      <c r="E721" t="s">
        <v>182</v>
      </c>
      <c r="F721" t="s">
        <v>183</v>
      </c>
      <c r="G721">
        <v>-10</v>
      </c>
      <c r="H721">
        <v>0</v>
      </c>
      <c r="I721">
        <v>-20</v>
      </c>
      <c r="J721">
        <v>0.45</v>
      </c>
      <c r="K721">
        <v>-10</v>
      </c>
      <c r="L721">
        <v>0</v>
      </c>
      <c r="M721">
        <v>-15</v>
      </c>
      <c r="N721">
        <v>0</v>
      </c>
      <c r="O721">
        <v>2.5</v>
      </c>
      <c r="P721"/>
      <c r="Q721">
        <v>0.25</v>
      </c>
      <c r="R721" s="19">
        <v>0.44382225845903001</v>
      </c>
      <c r="S721" s="11" t="s">
        <v>182</v>
      </c>
      <c r="T721" s="2" t="s">
        <v>182</v>
      </c>
      <c r="U721" s="3" t="s">
        <v>41</v>
      </c>
      <c r="V721" s="2" t="s">
        <v>184</v>
      </c>
      <c r="W721" s="2">
        <v>4</v>
      </c>
      <c r="X721" s="2">
        <v>7</v>
      </c>
      <c r="Y721" s="2">
        <v>2</v>
      </c>
      <c r="Z721" s="2">
        <v>0</v>
      </c>
      <c r="AA721" s="2">
        <v>0</v>
      </c>
      <c r="AB721" s="12">
        <f>(W721*4+X721*1+Y721*-2+Z721*-3)/W721</f>
        <v>4.75</v>
      </c>
      <c r="AC721" s="3">
        <f>W721*12.0107+X721*1.00784+Y721*15.999+Z721*14.0067</f>
        <v>87.095680000000002</v>
      </c>
      <c r="AD721" s="12">
        <v>163.5</v>
      </c>
      <c r="AE721" s="2" t="s">
        <v>131</v>
      </c>
      <c r="AF721" s="2" t="s">
        <v>79</v>
      </c>
      <c r="AG721" s="2" t="str">
        <f>IF(AD721&gt;37,"Proton symporter", "Diffusion")</f>
        <v>Proton symporter</v>
      </c>
      <c r="AH721" s="3" t="s">
        <v>185</v>
      </c>
    </row>
    <row r="722" spans="1:34" hidden="1" x14ac:dyDescent="0.2">
      <c r="A722" s="16" t="s">
        <v>63</v>
      </c>
      <c r="B722" s="17" t="s">
        <v>64</v>
      </c>
      <c r="C722" t="s">
        <v>73</v>
      </c>
      <c r="D722" s="18" t="s">
        <v>66</v>
      </c>
      <c r="E722" t="s">
        <v>186</v>
      </c>
      <c r="F722" t="s">
        <v>187</v>
      </c>
      <c r="G722">
        <v>-10</v>
      </c>
      <c r="H722">
        <v>0</v>
      </c>
      <c r="I722">
        <v>-20</v>
      </c>
      <c r="J722">
        <v>0.45</v>
      </c>
      <c r="K722">
        <v>-10</v>
      </c>
      <c r="L722">
        <v>0</v>
      </c>
      <c r="M722">
        <v>-15</v>
      </c>
      <c r="N722">
        <v>0</v>
      </c>
      <c r="O722">
        <v>2.5</v>
      </c>
      <c r="P722"/>
      <c r="Q722">
        <v>0.25</v>
      </c>
      <c r="R722" s="19">
        <v>0.44382225845903001</v>
      </c>
      <c r="S722" s="11" t="s">
        <v>186</v>
      </c>
      <c r="T722" s="2" t="s">
        <v>186</v>
      </c>
      <c r="U722" s="3" t="s">
        <v>41</v>
      </c>
      <c r="V722" s="2" t="s">
        <v>184</v>
      </c>
      <c r="W722" s="2">
        <v>4</v>
      </c>
      <c r="X722" s="2">
        <v>7</v>
      </c>
      <c r="Y722" s="2">
        <v>2</v>
      </c>
      <c r="Z722" s="2">
        <v>0</v>
      </c>
      <c r="AA722" s="2">
        <v>0</v>
      </c>
      <c r="AB722" s="12">
        <f>(W722*4+X722*1+Y722*-2+Z722*-3)/W722</f>
        <v>4.75</v>
      </c>
      <c r="AC722" s="3">
        <f>W722*12.0107+X722*1.00784+Y722*15.999+Z722*14.0067</f>
        <v>87.095680000000002</v>
      </c>
      <c r="AD722" s="12">
        <v>155</v>
      </c>
      <c r="AE722" s="2" t="s">
        <v>131</v>
      </c>
      <c r="AF722" s="2" t="s">
        <v>135</v>
      </c>
      <c r="AG722" s="2" t="str">
        <f>IF(AD722&gt;37,"Proton symporter", "Diffusion")</f>
        <v>Proton symporter</v>
      </c>
      <c r="AH722" s="3" t="s">
        <v>188</v>
      </c>
    </row>
    <row r="723" spans="1:34" hidden="1" x14ac:dyDescent="0.2">
      <c r="A723" s="8" t="s">
        <v>34</v>
      </c>
      <c r="B723" s="9" t="s">
        <v>35</v>
      </c>
      <c r="C723" s="1" t="s">
        <v>58</v>
      </c>
      <c r="D723" s="10" t="s">
        <v>37</v>
      </c>
      <c r="E723" s="1" t="s">
        <v>259</v>
      </c>
      <c r="F723" s="1" t="s">
        <v>260</v>
      </c>
      <c r="G723" s="1">
        <v>-10</v>
      </c>
      <c r="H723" s="1">
        <v>-20</v>
      </c>
      <c r="I723" s="1" t="s">
        <v>40</v>
      </c>
      <c r="J723" s="1">
        <v>3.15</v>
      </c>
      <c r="K723" s="1">
        <v>-10</v>
      </c>
      <c r="L723" s="1">
        <v>-1.4868965517241399</v>
      </c>
      <c r="M723" s="1" t="s">
        <v>40</v>
      </c>
      <c r="N723" s="1">
        <v>7.6579310344827602</v>
      </c>
      <c r="O723" s="1">
        <v>3.0855172413793102</v>
      </c>
      <c r="Q723" s="1">
        <v>0.30855172413793103</v>
      </c>
      <c r="R723" s="1">
        <v>0.442547087466724</v>
      </c>
      <c r="S723" s="20" t="s">
        <v>259</v>
      </c>
      <c r="T723" s="3" t="s">
        <v>259</v>
      </c>
      <c r="U723" s="3" t="s">
        <v>106</v>
      </c>
      <c r="V723" s="3" t="s">
        <v>261</v>
      </c>
      <c r="W723" s="3">
        <v>5</v>
      </c>
      <c r="X723" s="3">
        <v>10</v>
      </c>
      <c r="Y723" s="3">
        <v>1</v>
      </c>
      <c r="Z723" s="3">
        <v>0</v>
      </c>
      <c r="AA723" s="3">
        <v>0</v>
      </c>
      <c r="AB723" s="12">
        <f>(W723*4+X723*1+Y723*-2+Z723*-3)/W723+0.02</f>
        <v>5.6199999999999992</v>
      </c>
      <c r="AC723" s="3">
        <f>W723*12.0107+X723*1.00784+Y723*15.999+Z723*14.0067</f>
        <v>86.130899999999997</v>
      </c>
      <c r="AD723" s="12">
        <v>108</v>
      </c>
      <c r="AE723" s="3" t="s">
        <v>262</v>
      </c>
      <c r="AF723" s="3" t="s">
        <v>135</v>
      </c>
      <c r="AG723" s="2" t="str">
        <f>IF(AD723&gt;37,"Proton symporter", "Diffusion")</f>
        <v>Proton symporter</v>
      </c>
      <c r="AH723" s="3" t="s">
        <v>263</v>
      </c>
    </row>
    <row r="724" spans="1:34" hidden="1" x14ac:dyDescent="0.2">
      <c r="A724" s="8" t="s">
        <v>34</v>
      </c>
      <c r="B724" s="9" t="s">
        <v>35</v>
      </c>
      <c r="C724" s="1" t="s">
        <v>58</v>
      </c>
      <c r="D724" s="10" t="s">
        <v>37</v>
      </c>
      <c r="E724" s="1" t="s">
        <v>307</v>
      </c>
      <c r="F724" s="1" t="s">
        <v>308</v>
      </c>
      <c r="G724" s="1">
        <v>-10</v>
      </c>
      <c r="H724" s="1">
        <v>-20</v>
      </c>
      <c r="I724" s="1" t="s">
        <v>40</v>
      </c>
      <c r="J724" s="1">
        <v>3.15</v>
      </c>
      <c r="K724" s="1">
        <v>-10</v>
      </c>
      <c r="L724" s="1">
        <v>-0.110596026490062</v>
      </c>
      <c r="M724" s="1" t="s">
        <v>40</v>
      </c>
      <c r="N724" s="1">
        <v>6.7403973509933897</v>
      </c>
      <c r="O724" s="1">
        <v>4.4198675496688802</v>
      </c>
      <c r="Q724" s="1">
        <v>0.441986754966888</v>
      </c>
      <c r="R724" s="1">
        <v>0.44229455297682502</v>
      </c>
      <c r="S724" s="11" t="s">
        <v>307</v>
      </c>
      <c r="T724" s="2" t="s">
        <v>307</v>
      </c>
      <c r="U724" s="3" t="s">
        <v>41</v>
      </c>
      <c r="V724" s="2" t="s">
        <v>283</v>
      </c>
      <c r="W724" s="2">
        <v>3</v>
      </c>
      <c r="X724" s="2">
        <v>8</v>
      </c>
      <c r="Y724" s="2">
        <v>1</v>
      </c>
      <c r="Z724" s="2">
        <v>0</v>
      </c>
      <c r="AA724" s="2">
        <v>0</v>
      </c>
      <c r="AB724" s="12">
        <f>(W724*4+X724*1+Y724*-2+Z724*-3)/W724</f>
        <v>6</v>
      </c>
      <c r="AC724" s="3">
        <f>W724*12.0107+X724*1.00784+Y724*15.999+Z724*14.0067</f>
        <v>60.093820000000001</v>
      </c>
      <c r="AD724" s="12">
        <v>82.5</v>
      </c>
      <c r="AE724" s="2" t="s">
        <v>262</v>
      </c>
      <c r="AF724" s="2" t="s">
        <v>79</v>
      </c>
      <c r="AG724" s="2" t="str">
        <f>IF(AD724&gt;37,"Proton symporter", "Diffusion")</f>
        <v>Proton symporter</v>
      </c>
      <c r="AH724" s="3" t="s">
        <v>309</v>
      </c>
    </row>
    <row r="725" spans="1:34" hidden="1" x14ac:dyDescent="0.2">
      <c r="A725" s="8" t="s">
        <v>34</v>
      </c>
      <c r="B725" s="9" t="s">
        <v>35</v>
      </c>
      <c r="C725" s="1" t="s">
        <v>57</v>
      </c>
      <c r="D725" s="10" t="s">
        <v>37</v>
      </c>
      <c r="E725" s="1" t="s">
        <v>166</v>
      </c>
      <c r="F725" s="1" t="s">
        <v>167</v>
      </c>
      <c r="G725" s="1">
        <v>-10</v>
      </c>
      <c r="H725" s="1">
        <v>-20</v>
      </c>
      <c r="I725" s="1" t="s">
        <v>40</v>
      </c>
      <c r="J725" s="1">
        <v>3.15</v>
      </c>
      <c r="K725" s="1">
        <v>-10</v>
      </c>
      <c r="L725" s="1">
        <v>-6.1353448275862101</v>
      </c>
      <c r="M725" s="1" t="s">
        <v>40</v>
      </c>
      <c r="N725" s="1">
        <v>7.6758620689655199</v>
      </c>
      <c r="O725" s="1">
        <v>3.08103448275862</v>
      </c>
      <c r="Q725" s="1">
        <v>0.308103448275862</v>
      </c>
      <c r="R725" s="1">
        <v>0.44168321385833398</v>
      </c>
      <c r="S725" s="11" t="s">
        <v>166</v>
      </c>
      <c r="T725" s="2" t="s">
        <v>168</v>
      </c>
      <c r="U725" s="3" t="s">
        <v>41</v>
      </c>
      <c r="V725" s="2" t="s">
        <v>169</v>
      </c>
      <c r="W725" s="2">
        <v>4</v>
      </c>
      <c r="X725" s="2">
        <v>6</v>
      </c>
      <c r="Y725" s="2">
        <v>2</v>
      </c>
      <c r="Z725" s="2">
        <v>0</v>
      </c>
      <c r="AA725" s="2">
        <v>0</v>
      </c>
      <c r="AB725" s="12">
        <f>(W725*4+X725*1+Y725*-2+Z725*-3)/W725</f>
        <v>4.5</v>
      </c>
      <c r="AC725" s="3">
        <f>W725*12.0107+X725*1.00784+Y725*15.999+Z725*14.0067</f>
        <v>86.08784</v>
      </c>
      <c r="AD725" s="12">
        <v>204</v>
      </c>
      <c r="AE725" s="2" t="s">
        <v>170</v>
      </c>
      <c r="AF725" s="2" t="s">
        <v>120</v>
      </c>
      <c r="AG725" s="2" t="str">
        <f>IF(AD725&gt;37,"Proton symporter", "Diffusion")</f>
        <v>Proton symporter</v>
      </c>
      <c r="AH725" s="3" t="s">
        <v>171</v>
      </c>
    </row>
    <row r="726" spans="1:34" hidden="1" x14ac:dyDescent="0.2">
      <c r="A726" s="16" t="s">
        <v>63</v>
      </c>
      <c r="B726" s="17" t="s">
        <v>64</v>
      </c>
      <c r="C726" t="s">
        <v>68</v>
      </c>
      <c r="D726" s="18" t="s">
        <v>66</v>
      </c>
      <c r="E726" t="s">
        <v>286</v>
      </c>
      <c r="F726" t="s">
        <v>280</v>
      </c>
      <c r="G726">
        <v>-10</v>
      </c>
      <c r="H726">
        <v>0</v>
      </c>
      <c r="I726">
        <v>-10</v>
      </c>
      <c r="J726">
        <v>0.45</v>
      </c>
      <c r="K726">
        <v>-10</v>
      </c>
      <c r="L726">
        <v>0</v>
      </c>
      <c r="M726">
        <v>-10</v>
      </c>
      <c r="N726">
        <v>3.30909090909091</v>
      </c>
      <c r="O726">
        <v>2.2060606060606101</v>
      </c>
      <c r="P726"/>
      <c r="Q726">
        <v>0.220606060606061</v>
      </c>
      <c r="R726">
        <v>0.44146056932965999</v>
      </c>
      <c r="S726" s="20" t="s">
        <v>287</v>
      </c>
      <c r="T726" s="3" t="s">
        <v>288</v>
      </c>
      <c r="U726" s="3" t="s">
        <v>174</v>
      </c>
      <c r="V726" s="3" t="s">
        <v>283</v>
      </c>
      <c r="W726" s="3">
        <v>3</v>
      </c>
      <c r="X726" s="3">
        <v>8</v>
      </c>
      <c r="Y726" s="3">
        <v>1</v>
      </c>
      <c r="Z726" s="3">
        <v>0</v>
      </c>
      <c r="AA726" s="3">
        <v>0</v>
      </c>
      <c r="AB726" s="12">
        <f>(W726*4+X726*1+Y726*-2+Z726*-3)/W726</f>
        <v>6</v>
      </c>
      <c r="AC726" s="3">
        <f>W726*12.0107+X726*1.00784+Y726*15.999+Z726*14.0067</f>
        <v>60.093820000000001</v>
      </c>
      <c r="AD726" s="12">
        <v>97</v>
      </c>
      <c r="AE726" s="2" t="s">
        <v>262</v>
      </c>
      <c r="AF726" s="3" t="s">
        <v>44</v>
      </c>
      <c r="AG726" s="2" t="str">
        <f>IF(AD726&gt;37,"Proton symporter", "Diffusion")</f>
        <v>Proton symporter</v>
      </c>
      <c r="AH726" s="3" t="s">
        <v>285</v>
      </c>
    </row>
    <row r="727" spans="1:34" hidden="1" x14ac:dyDescent="0.2">
      <c r="A727" s="8" t="s">
        <v>34</v>
      </c>
      <c r="B727" s="9" t="s">
        <v>35</v>
      </c>
      <c r="C727" s="1" t="s">
        <v>57</v>
      </c>
      <c r="D727" s="10" t="s">
        <v>37</v>
      </c>
      <c r="E727" s="1" t="s">
        <v>244</v>
      </c>
      <c r="F727" s="1" t="s">
        <v>245</v>
      </c>
      <c r="G727" s="1">
        <v>-10</v>
      </c>
      <c r="H727" s="1">
        <v>-20</v>
      </c>
      <c r="I727" s="1" t="s">
        <v>40</v>
      </c>
      <c r="J727" s="1">
        <v>3.15</v>
      </c>
      <c r="K727" s="1">
        <v>-10</v>
      </c>
      <c r="L727" s="1">
        <v>-3.8399999999999901</v>
      </c>
      <c r="M727" s="1" t="s">
        <v>40</v>
      </c>
      <c r="N727" s="1">
        <v>8.2472727272727298</v>
      </c>
      <c r="O727" s="1">
        <v>2.9381818181818198</v>
      </c>
      <c r="Q727" s="1">
        <v>0.29381818181818198</v>
      </c>
      <c r="R727" s="1">
        <v>0.44092885317573199</v>
      </c>
      <c r="S727" s="20" t="s">
        <v>246</v>
      </c>
      <c r="T727" s="3" t="s">
        <v>247</v>
      </c>
      <c r="U727" s="3" t="s">
        <v>106</v>
      </c>
      <c r="V727" s="3" t="s">
        <v>238</v>
      </c>
      <c r="W727" s="3">
        <v>4</v>
      </c>
      <c r="X727" s="3">
        <v>10</v>
      </c>
      <c r="Y727" s="3">
        <v>2</v>
      </c>
      <c r="Z727" s="3">
        <v>0</v>
      </c>
      <c r="AA727" s="3">
        <v>0</v>
      </c>
      <c r="AB727" s="12">
        <f>(W727*4+X727*1+Y727*-2+Z727*-3)/W727</f>
        <v>5.5</v>
      </c>
      <c r="AC727" s="3">
        <f>W727*12.0107+X727*1.00784+Y727*15.999+Z727*14.0067</f>
        <v>90.119200000000006</v>
      </c>
      <c r="AD727" s="12">
        <v>230</v>
      </c>
      <c r="AE727" s="2" t="s">
        <v>220</v>
      </c>
      <c r="AF727" s="3" t="s">
        <v>120</v>
      </c>
      <c r="AG727" s="2" t="str">
        <f>IF(AD727&gt;37,"Proton symporter", "Diffusion")</f>
        <v>Proton symporter</v>
      </c>
      <c r="AH727" s="3" t="s">
        <v>248</v>
      </c>
    </row>
    <row r="728" spans="1:34" hidden="1" x14ac:dyDescent="0.2">
      <c r="A728" s="8" t="s">
        <v>34</v>
      </c>
      <c r="B728" s="9" t="s">
        <v>35</v>
      </c>
      <c r="C728" s="1" t="s">
        <v>48</v>
      </c>
      <c r="D728" s="10" t="s">
        <v>37</v>
      </c>
      <c r="E728" s="1" t="s">
        <v>152</v>
      </c>
      <c r="F728" s="1" t="s">
        <v>153</v>
      </c>
      <c r="G728" s="1">
        <v>-10</v>
      </c>
      <c r="H728" s="1">
        <v>-20</v>
      </c>
      <c r="I728" s="1" t="s">
        <v>40</v>
      </c>
      <c r="J728" s="1">
        <v>3.15</v>
      </c>
      <c r="K728" s="1">
        <v>-10</v>
      </c>
      <c r="L728" s="1">
        <v>-8.0604508196721305</v>
      </c>
      <c r="M728" s="1" t="s">
        <v>40</v>
      </c>
      <c r="N728" s="1">
        <v>4.1897540983606696</v>
      </c>
      <c r="O728" s="1">
        <v>2.2586065573770502</v>
      </c>
      <c r="Q728" s="1">
        <v>0.225860655737705</v>
      </c>
      <c r="R728" s="1">
        <v>0.44072893423447401</v>
      </c>
      <c r="S728" s="11" t="s">
        <v>152</v>
      </c>
      <c r="T728" s="2" t="s">
        <v>154</v>
      </c>
      <c r="U728" s="3" t="s">
        <v>41</v>
      </c>
      <c r="V728" s="2" t="s">
        <v>155</v>
      </c>
      <c r="W728" s="2">
        <v>7</v>
      </c>
      <c r="X728" s="2">
        <v>5</v>
      </c>
      <c r="Y728" s="2">
        <v>2</v>
      </c>
      <c r="Z728" s="2">
        <v>0</v>
      </c>
      <c r="AA728" s="2">
        <v>0</v>
      </c>
      <c r="AB728" s="12">
        <f>(W728*4+X728*1+Y728*-2+Z728*-3)/W728</f>
        <v>4.1428571428571432</v>
      </c>
      <c r="AC728" s="3">
        <f>W728*12.0107+X728*1.00784+Y728*15.999+Z728*14.0067</f>
        <v>121.1121</v>
      </c>
      <c r="AD728" s="12">
        <v>249.2</v>
      </c>
      <c r="AE728" s="2" t="s">
        <v>156</v>
      </c>
      <c r="AF728" s="2" t="s">
        <v>157</v>
      </c>
      <c r="AG728" s="2" t="str">
        <f>IF(AD728&gt;37,"Proton symporter", "Diffusion")</f>
        <v>Proton symporter</v>
      </c>
      <c r="AH728" s="3" t="s">
        <v>158</v>
      </c>
    </row>
    <row r="729" spans="1:34" hidden="1" x14ac:dyDescent="0.2">
      <c r="A729" s="8" t="s">
        <v>34</v>
      </c>
      <c r="B729" s="9" t="s">
        <v>35</v>
      </c>
      <c r="C729" s="1" t="s">
        <v>48</v>
      </c>
      <c r="D729" s="10" t="s">
        <v>37</v>
      </c>
      <c r="E729" s="1" t="s">
        <v>159</v>
      </c>
      <c r="F729" s="1" t="s">
        <v>153</v>
      </c>
      <c r="G729" s="1">
        <v>-10</v>
      </c>
      <c r="H729" s="1">
        <v>-20</v>
      </c>
      <c r="I729" s="1" t="s">
        <v>40</v>
      </c>
      <c r="J729" s="1">
        <v>3.15</v>
      </c>
      <c r="K729" s="1">
        <v>-10</v>
      </c>
      <c r="L729" s="1">
        <v>-8.0604508196721305</v>
      </c>
      <c r="M729" s="1" t="s">
        <v>40</v>
      </c>
      <c r="N729" s="1">
        <v>4.18975409836065</v>
      </c>
      <c r="O729" s="1">
        <v>2.2586065573770502</v>
      </c>
      <c r="Q729" s="1">
        <v>0.225860655737705</v>
      </c>
      <c r="R729" s="1">
        <v>0.44072893423447301</v>
      </c>
      <c r="S729" s="11" t="s">
        <v>159</v>
      </c>
      <c r="T729" s="2" t="s">
        <v>160</v>
      </c>
      <c r="U729" s="3" t="s">
        <v>41</v>
      </c>
      <c r="V729" s="2" t="s">
        <v>155</v>
      </c>
      <c r="W729" s="2">
        <v>7</v>
      </c>
      <c r="X729" s="2">
        <v>5</v>
      </c>
      <c r="Y729" s="2">
        <v>2</v>
      </c>
      <c r="Z729" s="2">
        <v>0</v>
      </c>
      <c r="AA729" s="2">
        <v>0</v>
      </c>
      <c r="AB729" s="12">
        <f>(W729*4+X729*1+Y729*-2+Z729*-3)/W729</f>
        <v>4.1428571428571432</v>
      </c>
      <c r="AC729" s="3">
        <f>W729*12.0107+X729*1.00784+Y729*15.999+Z729*14.0067</f>
        <v>121.1121</v>
      </c>
      <c r="AD729" s="12">
        <v>249.2</v>
      </c>
      <c r="AE729" s="2" t="s">
        <v>156</v>
      </c>
      <c r="AF729" s="2" t="s">
        <v>157</v>
      </c>
      <c r="AG729" s="2" t="str">
        <f>IF(AD729&gt;37,"Proton symporter", "Diffusion")</f>
        <v>Proton symporter</v>
      </c>
      <c r="AH729" s="3" t="s">
        <v>158</v>
      </c>
    </row>
    <row r="730" spans="1:34" hidden="1" x14ac:dyDescent="0.2">
      <c r="A730" s="8" t="s">
        <v>34</v>
      </c>
      <c r="B730" s="9" t="s">
        <v>35</v>
      </c>
      <c r="C730" s="1" t="s">
        <v>46</v>
      </c>
      <c r="D730" s="10" t="s">
        <v>37</v>
      </c>
      <c r="E730" s="1" t="s">
        <v>222</v>
      </c>
      <c r="F730" s="1" t="s">
        <v>223</v>
      </c>
      <c r="G730" s="1">
        <v>-10</v>
      </c>
      <c r="H730" s="1">
        <v>-20</v>
      </c>
      <c r="I730" s="1" t="s">
        <v>40</v>
      </c>
      <c r="J730" s="1">
        <v>3.15</v>
      </c>
      <c r="K730" s="1">
        <v>-10</v>
      </c>
      <c r="L730" s="1">
        <v>-2.0830188679245398</v>
      </c>
      <c r="M730" s="1" t="s">
        <v>40</v>
      </c>
      <c r="N730" s="1">
        <v>6.5622641509433803</v>
      </c>
      <c r="O730" s="1">
        <v>4.4792452830188596</v>
      </c>
      <c r="Q730" s="1">
        <v>0.447924528301886</v>
      </c>
      <c r="R730" s="1">
        <v>0.44060529974044099</v>
      </c>
      <c r="S730" s="11" t="s">
        <v>222</v>
      </c>
      <c r="T730" s="2" t="s">
        <v>222</v>
      </c>
      <c r="U730" s="3" t="s">
        <v>41</v>
      </c>
      <c r="V730" s="2" t="s">
        <v>224</v>
      </c>
      <c r="W730" s="2">
        <v>3</v>
      </c>
      <c r="X730" s="2">
        <v>6</v>
      </c>
      <c r="Y730" s="2">
        <v>1</v>
      </c>
      <c r="Z730" s="2">
        <v>0</v>
      </c>
      <c r="AA730" s="2">
        <v>0</v>
      </c>
      <c r="AB730" s="12">
        <f>(W730*4+X730*1+Y730*-2+Z730*-3)/W730</f>
        <v>5.333333333333333</v>
      </c>
      <c r="AC730" s="3">
        <f>W730*12.0107+X730*1.00784+Y730*15.999+Z730*14.0067</f>
        <v>58.078140000000005</v>
      </c>
      <c r="AD730" s="12">
        <v>56</v>
      </c>
      <c r="AE730" s="2" t="s">
        <v>225</v>
      </c>
      <c r="AF730" s="2" t="s">
        <v>79</v>
      </c>
      <c r="AG730" s="2" t="str">
        <f>IF(AD730&gt;37,"Proton symporter", "Diffusion")</f>
        <v>Proton symporter</v>
      </c>
      <c r="AH730" s="3" t="s">
        <v>226</v>
      </c>
    </row>
    <row r="731" spans="1:34" hidden="1" x14ac:dyDescent="0.2">
      <c r="A731" s="8" t="s">
        <v>34</v>
      </c>
      <c r="B731" s="9" t="s">
        <v>35</v>
      </c>
      <c r="C731" s="1" t="s">
        <v>47</v>
      </c>
      <c r="D731" s="10" t="s">
        <v>37</v>
      </c>
      <c r="E731" s="1" t="s">
        <v>259</v>
      </c>
      <c r="F731" s="1" t="s">
        <v>260</v>
      </c>
      <c r="G731" s="1">
        <v>-10</v>
      </c>
      <c r="H731" s="1">
        <v>-20</v>
      </c>
      <c r="I731" s="1" t="s">
        <v>40</v>
      </c>
      <c r="J731" s="1">
        <v>3.15</v>
      </c>
      <c r="K731" s="1">
        <v>-10</v>
      </c>
      <c r="L731" s="1">
        <v>-5.9617021276595699</v>
      </c>
      <c r="M731" s="1" t="s">
        <v>40</v>
      </c>
      <c r="N731" s="1">
        <v>7.3078014184397198</v>
      </c>
      <c r="O731" s="1">
        <v>3.1730496453900701</v>
      </c>
      <c r="Q731" s="1">
        <v>0.31730496453900697</v>
      </c>
      <c r="R731" s="1">
        <v>0.44033103531399898</v>
      </c>
      <c r="S731" s="20" t="s">
        <v>259</v>
      </c>
      <c r="T731" s="3" t="s">
        <v>259</v>
      </c>
      <c r="U731" s="3" t="s">
        <v>106</v>
      </c>
      <c r="V731" s="3" t="s">
        <v>261</v>
      </c>
      <c r="W731" s="3">
        <v>5</v>
      </c>
      <c r="X731" s="3">
        <v>10</v>
      </c>
      <c r="Y731" s="3">
        <v>1</v>
      </c>
      <c r="Z731" s="3">
        <v>0</v>
      </c>
      <c r="AA731" s="3">
        <v>0</v>
      </c>
      <c r="AB731" s="12">
        <f>(W731*4+X731*1+Y731*-2+Z731*-3)/W731+0.02</f>
        <v>5.6199999999999992</v>
      </c>
      <c r="AC731" s="3">
        <f>W731*12.0107+X731*1.00784+Y731*15.999+Z731*14.0067</f>
        <v>86.130899999999997</v>
      </c>
      <c r="AD731" s="12">
        <v>108</v>
      </c>
      <c r="AE731" s="3" t="s">
        <v>262</v>
      </c>
      <c r="AF731" s="3" t="s">
        <v>135</v>
      </c>
      <c r="AG731" s="2" t="str">
        <f>IF(AD731&gt;37,"Proton symporter", "Diffusion")</f>
        <v>Proton symporter</v>
      </c>
      <c r="AH731" s="3" t="s">
        <v>263</v>
      </c>
    </row>
    <row r="732" spans="1:34" hidden="1" x14ac:dyDescent="0.2">
      <c r="A732" s="8" t="s">
        <v>34</v>
      </c>
      <c r="B732" s="9" t="s">
        <v>35</v>
      </c>
      <c r="C732" s="1" t="s">
        <v>57</v>
      </c>
      <c r="D732" s="10" t="s">
        <v>37</v>
      </c>
      <c r="E732" s="1" t="s">
        <v>205</v>
      </c>
      <c r="F732" s="1" t="s">
        <v>206</v>
      </c>
      <c r="G732" s="1">
        <v>-10</v>
      </c>
      <c r="H732" s="1">
        <v>-20</v>
      </c>
      <c r="I732" s="1" t="s">
        <v>40</v>
      </c>
      <c r="J732" s="1">
        <v>3.15</v>
      </c>
      <c r="K732" s="1">
        <v>-10</v>
      </c>
      <c r="L732" s="1">
        <v>-5</v>
      </c>
      <c r="M732" s="1" t="s">
        <v>40</v>
      </c>
      <c r="N732" s="1">
        <v>8</v>
      </c>
      <c r="O732" s="1">
        <v>3</v>
      </c>
      <c r="Q732" s="1">
        <v>0.3</v>
      </c>
      <c r="R732" s="1">
        <v>0.44013614867115203</v>
      </c>
      <c r="S732" s="20" t="s">
        <v>205</v>
      </c>
      <c r="T732" s="3" t="s">
        <v>207</v>
      </c>
      <c r="U732" s="3" t="s">
        <v>106</v>
      </c>
      <c r="V732" s="3" t="s">
        <v>208</v>
      </c>
      <c r="W732" s="3">
        <v>4</v>
      </c>
      <c r="X732" s="3">
        <v>8</v>
      </c>
      <c r="Y732" s="3">
        <v>2</v>
      </c>
      <c r="Z732" s="3">
        <v>0</v>
      </c>
      <c r="AA732" s="3">
        <v>0</v>
      </c>
      <c r="AB732" s="12">
        <f>(W732*4+X732*1+Y732*-2+Z732*-3)/W732</f>
        <v>5</v>
      </c>
      <c r="AC732" s="3">
        <f>W732*12.0107+X732*1.00784+Y732*15.999+Z732*14.0067</f>
        <v>88.103520000000003</v>
      </c>
      <c r="AD732" s="12">
        <v>77.099999999999994</v>
      </c>
      <c r="AE732" s="3" t="s">
        <v>209</v>
      </c>
      <c r="AF732" s="3" t="s">
        <v>79</v>
      </c>
      <c r="AG732" s="2" t="str">
        <f>IF(AD732&gt;37,"Proton symporter", "Diffusion")</f>
        <v>Proton symporter</v>
      </c>
      <c r="AH732" s="3" t="s">
        <v>210</v>
      </c>
    </row>
    <row r="733" spans="1:34" hidden="1" x14ac:dyDescent="0.2">
      <c r="A733" s="8" t="s">
        <v>34</v>
      </c>
      <c r="B733" s="9" t="s">
        <v>35</v>
      </c>
      <c r="C733" s="1" t="s">
        <v>56</v>
      </c>
      <c r="D733" s="14" t="s">
        <v>55</v>
      </c>
      <c r="E733" s="1" t="s">
        <v>310</v>
      </c>
      <c r="F733" s="1" t="s">
        <v>311</v>
      </c>
      <c r="G733" s="1">
        <v>-10</v>
      </c>
      <c r="H733" s="1">
        <v>-20</v>
      </c>
      <c r="I733" s="1" t="s">
        <v>40</v>
      </c>
      <c r="J733" s="1">
        <v>3.15</v>
      </c>
      <c r="K733" s="1">
        <v>-10</v>
      </c>
      <c r="L733" s="1">
        <v>-0.60434782608695503</v>
      </c>
      <c r="M733" s="1" t="s">
        <v>40</v>
      </c>
      <c r="N733" s="1">
        <v>7.0695652173913102</v>
      </c>
      <c r="O733" s="1">
        <v>4.5860869565217399</v>
      </c>
      <c r="Q733" s="1">
        <v>0.45860869565217399</v>
      </c>
      <c r="R733" s="1">
        <v>0.43895223457991001</v>
      </c>
      <c r="S733" s="20" t="s">
        <v>310</v>
      </c>
      <c r="T733" s="3" t="s">
        <v>312</v>
      </c>
      <c r="U733" s="3" t="s">
        <v>106</v>
      </c>
      <c r="V733" s="3" t="s">
        <v>292</v>
      </c>
      <c r="W733" s="3">
        <v>5</v>
      </c>
      <c r="X733" s="3">
        <v>12</v>
      </c>
      <c r="Y733" s="3">
        <v>1</v>
      </c>
      <c r="Z733" s="3">
        <v>0</v>
      </c>
      <c r="AA733" s="3">
        <v>0</v>
      </c>
      <c r="AB733" s="12">
        <f>(W733*4+X733*1+Y733*-2+Z733*-3)/W733</f>
        <v>6</v>
      </c>
      <c r="AC733" s="3">
        <f>W733*12.0107+X733*1.00784+Y733*15.999+Z733*14.0067</f>
        <v>88.14658</v>
      </c>
      <c r="AD733" s="12">
        <v>138</v>
      </c>
      <c r="AE733" s="3" t="s">
        <v>262</v>
      </c>
      <c r="AF733" s="2" t="s">
        <v>313</v>
      </c>
      <c r="AG733" s="2" t="str">
        <f>IF(AD733&gt;37,"Proton symporter", "Diffusion")</f>
        <v>Proton symporter</v>
      </c>
      <c r="AH733" s="3" t="s">
        <v>314</v>
      </c>
    </row>
    <row r="734" spans="1:34" hidden="1" x14ac:dyDescent="0.2">
      <c r="A734" s="8" t="s">
        <v>350</v>
      </c>
      <c r="B734" s="17" t="s">
        <v>64</v>
      </c>
      <c r="C734" t="s">
        <v>352</v>
      </c>
      <c r="D734" s="13" t="s">
        <v>51</v>
      </c>
      <c r="E734" t="s">
        <v>286</v>
      </c>
      <c r="F734" t="s">
        <v>280</v>
      </c>
      <c r="G734">
        <v>-10</v>
      </c>
      <c r="H734">
        <v>0</v>
      </c>
      <c r="I734">
        <v>0</v>
      </c>
      <c r="J734">
        <v>0.45</v>
      </c>
      <c r="K734">
        <v>-10</v>
      </c>
      <c r="L734">
        <v>0</v>
      </c>
      <c r="M734">
        <v>0</v>
      </c>
      <c r="N734">
        <v>0</v>
      </c>
      <c r="O734" s="26">
        <v>2.3259259259259202</v>
      </c>
      <c r="P734"/>
      <c r="Q734" s="26">
        <v>0.23259259259259199</v>
      </c>
      <c r="R734" s="26">
        <v>0.43623330166332103</v>
      </c>
      <c r="S734" s="3" t="str">
        <f>VLOOKUP($E734,'[1]Product Naming'!$A$1:$P$58,2)</f>
        <v>1-propanol-PW2</v>
      </c>
      <c r="T734" s="3" t="str">
        <f>VLOOKUP($E734,'[1]Product Naming'!$A$1:$P$58,3)</f>
        <v>1-Propanol (PW2)</v>
      </c>
      <c r="U734" s="3" t="str">
        <f>VLOOKUP($E734,'[1]Product Naming'!$A$1:$P$58,4)</f>
        <v>E-S</v>
      </c>
      <c r="V734" s="3" t="str">
        <f>VLOOKUP($E734,'[1]Product Naming'!$A$1:$P$58,5)</f>
        <v>C3H8O</v>
      </c>
      <c r="W734" s="3">
        <f>VLOOKUP($E734,'[1]Product Naming'!$A$1:$P$58,6)</f>
        <v>3</v>
      </c>
      <c r="X734" s="3">
        <f>VLOOKUP($E734,'[1]Product Naming'!$A$1:$P$58,7)</f>
        <v>8</v>
      </c>
      <c r="Y734" s="3">
        <f>VLOOKUP($E734,'[1]Product Naming'!$A$1:$P$58,8)</f>
        <v>1</v>
      </c>
      <c r="Z734" s="3">
        <f>VLOOKUP($E734,'[1]Product Naming'!$A$1:$P$58,9)</f>
        <v>0</v>
      </c>
      <c r="AA734" s="3">
        <f>VLOOKUP($E734,'[1]Product Naming'!$A$1:$P$58,10)</f>
        <v>0</v>
      </c>
      <c r="AB734" s="3">
        <f>VLOOKUP($E734,'[1]Product Naming'!$A$1:$P$58,11)</f>
        <v>6</v>
      </c>
      <c r="AC734" s="3">
        <f>VLOOKUP($E734,'[1]Product Naming'!$A$1:$P$58,12)</f>
        <v>60.093820000000001</v>
      </c>
      <c r="AD734" s="3">
        <f>VLOOKUP($E734,'[1]Product Naming'!$A$1:$P$58,13)</f>
        <v>97</v>
      </c>
      <c r="AE734" s="3" t="str">
        <f>VLOOKUP($E734,'[1]Product Naming'!$A$1:$P$58,14)</f>
        <v>Alcohol</v>
      </c>
      <c r="AF734" s="3" t="str">
        <f>VLOOKUP($E734,'[1]Product Naming'!$A$1:$P$58,15)</f>
        <v>Oxaloacetate</v>
      </c>
      <c r="AG734" s="3" t="str">
        <f>VLOOKUP($E734,'[1]Product Naming'!$A$1:$P$58,16)</f>
        <v>Proton symporter</v>
      </c>
      <c r="AH734" s="3" t="str">
        <f>VLOOKUP($E734,'[1]Product Naming'!$A$1:$Q$58,17)</f>
        <v>ppoh_c</v>
      </c>
    </row>
    <row r="735" spans="1:34" hidden="1" x14ac:dyDescent="0.2">
      <c r="A735" s="8" t="s">
        <v>34</v>
      </c>
      <c r="B735" s="9" t="s">
        <v>35</v>
      </c>
      <c r="C735" s="1" t="s">
        <v>57</v>
      </c>
      <c r="D735" s="10" t="s">
        <v>37</v>
      </c>
      <c r="E735" s="1" t="s">
        <v>182</v>
      </c>
      <c r="F735" s="1" t="s">
        <v>183</v>
      </c>
      <c r="G735" s="1">
        <v>-10</v>
      </c>
      <c r="H735" s="1">
        <v>-20</v>
      </c>
      <c r="I735" s="1" t="s">
        <v>40</v>
      </c>
      <c r="J735" s="1">
        <v>3.15</v>
      </c>
      <c r="K735" s="1">
        <v>-10</v>
      </c>
      <c r="L735" s="1">
        <v>-5</v>
      </c>
      <c r="M735" s="1" t="s">
        <v>40</v>
      </c>
      <c r="N735" s="1">
        <v>8.0000000000000107</v>
      </c>
      <c r="O735" s="1">
        <v>3.0000000000000102</v>
      </c>
      <c r="Q735" s="1">
        <v>0.30000000000000099</v>
      </c>
      <c r="R735" s="1">
        <v>0.43510131219609799</v>
      </c>
      <c r="S735" s="11" t="s">
        <v>182</v>
      </c>
      <c r="T735" s="2" t="s">
        <v>182</v>
      </c>
      <c r="U735" s="3" t="s">
        <v>41</v>
      </c>
      <c r="V735" s="2" t="s">
        <v>184</v>
      </c>
      <c r="W735" s="2">
        <v>4</v>
      </c>
      <c r="X735" s="2">
        <v>7</v>
      </c>
      <c r="Y735" s="2">
        <v>2</v>
      </c>
      <c r="Z735" s="2">
        <v>0</v>
      </c>
      <c r="AA735" s="2">
        <v>0</v>
      </c>
      <c r="AB735" s="12">
        <f>(W735*4+X735*1+Y735*-2+Z735*-3)/W735</f>
        <v>4.75</v>
      </c>
      <c r="AC735" s="3">
        <f>W735*12.0107+X735*1.00784+Y735*15.999+Z735*14.0067</f>
        <v>87.095680000000002</v>
      </c>
      <c r="AD735" s="12">
        <v>163.5</v>
      </c>
      <c r="AE735" s="2" t="s">
        <v>131</v>
      </c>
      <c r="AF735" s="2" t="s">
        <v>79</v>
      </c>
      <c r="AG735" s="2" t="str">
        <f>IF(AD735&gt;37,"Proton symporter", "Diffusion")</f>
        <v>Proton symporter</v>
      </c>
      <c r="AH735" s="3" t="s">
        <v>185</v>
      </c>
    </row>
    <row r="736" spans="1:34" hidden="1" x14ac:dyDescent="0.2">
      <c r="A736" s="8" t="s">
        <v>34</v>
      </c>
      <c r="B736" s="9" t="s">
        <v>35</v>
      </c>
      <c r="C736" s="1" t="s">
        <v>57</v>
      </c>
      <c r="D736" s="10" t="s">
        <v>37</v>
      </c>
      <c r="E736" s="1" t="s">
        <v>186</v>
      </c>
      <c r="F736" s="1" t="s">
        <v>187</v>
      </c>
      <c r="G736" s="1">
        <v>-10</v>
      </c>
      <c r="H736" s="1">
        <v>-20</v>
      </c>
      <c r="I736" s="1" t="s">
        <v>40</v>
      </c>
      <c r="J736" s="1">
        <v>3.15</v>
      </c>
      <c r="K736" s="1">
        <v>-10</v>
      </c>
      <c r="L736" s="1">
        <v>-5.0238095238095299</v>
      </c>
      <c r="M736" s="1" t="s">
        <v>40</v>
      </c>
      <c r="N736" s="1">
        <v>8.0190476190476296</v>
      </c>
      <c r="O736" s="1">
        <v>2.9952380952381001</v>
      </c>
      <c r="Q736" s="1">
        <v>0.29952380952381003</v>
      </c>
      <c r="R736" s="1">
        <v>0.43441067519261101</v>
      </c>
      <c r="S736" s="11" t="s">
        <v>186</v>
      </c>
      <c r="T736" s="2" t="s">
        <v>186</v>
      </c>
      <c r="U736" s="3" t="s">
        <v>41</v>
      </c>
      <c r="V736" s="2" t="s">
        <v>184</v>
      </c>
      <c r="W736" s="2">
        <v>4</v>
      </c>
      <c r="X736" s="2">
        <v>7</v>
      </c>
      <c r="Y736" s="2">
        <v>2</v>
      </c>
      <c r="Z736" s="2">
        <v>0</v>
      </c>
      <c r="AA736" s="2">
        <v>0</v>
      </c>
      <c r="AB736" s="12">
        <f>(W736*4+X736*1+Y736*-2+Z736*-3)/W736</f>
        <v>4.75</v>
      </c>
      <c r="AC736" s="3">
        <f>W736*12.0107+X736*1.00784+Y736*15.999+Z736*14.0067</f>
        <v>87.095680000000002</v>
      </c>
      <c r="AD736" s="12">
        <v>155</v>
      </c>
      <c r="AE736" s="2" t="s">
        <v>131</v>
      </c>
      <c r="AF736" s="2" t="s">
        <v>135</v>
      </c>
      <c r="AG736" s="2" t="str">
        <f>IF(AD736&gt;37,"Proton symporter", "Diffusion")</f>
        <v>Proton symporter</v>
      </c>
      <c r="AH736" s="3" t="s">
        <v>188</v>
      </c>
    </row>
    <row r="737" spans="1:34" hidden="1" x14ac:dyDescent="0.2">
      <c r="A737" s="8" t="s">
        <v>34</v>
      </c>
      <c r="B737" s="9" t="s">
        <v>35</v>
      </c>
      <c r="C737" s="1" t="s">
        <v>58</v>
      </c>
      <c r="D737" s="10" t="s">
        <v>37</v>
      </c>
      <c r="E737" s="1" t="s">
        <v>161</v>
      </c>
      <c r="F737" s="1" t="s">
        <v>162</v>
      </c>
      <c r="G737" s="1">
        <v>-10</v>
      </c>
      <c r="H737" s="1">
        <v>-20</v>
      </c>
      <c r="I737" s="1" t="s">
        <v>40</v>
      </c>
      <c r="J737" s="1">
        <v>3.15</v>
      </c>
      <c r="K737" s="1">
        <v>-10</v>
      </c>
      <c r="L737" s="1">
        <v>-4.6172413793103502</v>
      </c>
      <c r="M737" s="1" t="s">
        <v>40</v>
      </c>
      <c r="N737" s="1">
        <v>5.8005305039787798</v>
      </c>
      <c r="O737" s="1">
        <v>2.3665782493368699</v>
      </c>
      <c r="Q737" s="1">
        <v>0.23665782493368701</v>
      </c>
      <c r="R737" s="1">
        <v>0.43392748357259198</v>
      </c>
      <c r="S737" s="20" t="s">
        <v>161</v>
      </c>
      <c r="T737" s="3" t="s">
        <v>161</v>
      </c>
      <c r="U737" s="3" t="s">
        <v>106</v>
      </c>
      <c r="V737" s="20" t="s">
        <v>163</v>
      </c>
      <c r="W737" s="3">
        <v>6</v>
      </c>
      <c r="X737" s="3">
        <v>6</v>
      </c>
      <c r="Y737" s="3">
        <v>2</v>
      </c>
      <c r="Z737" s="3">
        <v>0</v>
      </c>
      <c r="AA737" s="3">
        <v>0</v>
      </c>
      <c r="AB737" s="12">
        <f>(W737*4+X737*1+Y737*-2+Z737*-3)/W737</f>
        <v>4.333333333333333</v>
      </c>
      <c r="AC737" s="3">
        <f>W737*12.0107+X737*1.00784+Y737*15.999+Z737*14.0067</f>
        <v>110.10924</v>
      </c>
      <c r="AD737" s="12">
        <v>245</v>
      </c>
      <c r="AE737" s="3" t="s">
        <v>164</v>
      </c>
      <c r="AF737" s="2" t="s">
        <v>98</v>
      </c>
      <c r="AG737" s="2" t="str">
        <f>IF(AD737&gt;37,"Proton symporter", "Diffusion")</f>
        <v>Proton symporter</v>
      </c>
      <c r="AH737" s="3" t="s">
        <v>165</v>
      </c>
    </row>
    <row r="738" spans="1:34" hidden="1" x14ac:dyDescent="0.2">
      <c r="A738" s="8" t="s">
        <v>34</v>
      </c>
      <c r="B738" s="9" t="s">
        <v>35</v>
      </c>
      <c r="C738" s="1" t="s">
        <v>54</v>
      </c>
      <c r="D738" s="14" t="s">
        <v>55</v>
      </c>
      <c r="E738" s="1" t="s">
        <v>307</v>
      </c>
      <c r="F738" s="1" t="s">
        <v>308</v>
      </c>
      <c r="G738" s="1">
        <v>-10</v>
      </c>
      <c r="H738" s="1">
        <v>-20</v>
      </c>
      <c r="I738" s="1" t="s">
        <v>40</v>
      </c>
      <c r="J738" s="1">
        <v>3.15</v>
      </c>
      <c r="K738" s="1">
        <v>-10</v>
      </c>
      <c r="L738" s="1">
        <v>-1.60636363636364</v>
      </c>
      <c r="M738" s="1" t="s">
        <v>40</v>
      </c>
      <c r="N738" s="1">
        <v>21.070909090909101</v>
      </c>
      <c r="O738" s="1">
        <v>12.976363636363599</v>
      </c>
      <c r="Q738" s="1">
        <v>1.2976363636363599</v>
      </c>
      <c r="R738" s="1">
        <v>0.43285561560374503</v>
      </c>
      <c r="S738" s="11" t="s">
        <v>307</v>
      </c>
      <c r="T738" s="2" t="s">
        <v>307</v>
      </c>
      <c r="U738" s="3" t="s">
        <v>41</v>
      </c>
      <c r="V738" s="2" t="s">
        <v>283</v>
      </c>
      <c r="W738" s="2">
        <v>3</v>
      </c>
      <c r="X738" s="2">
        <v>8</v>
      </c>
      <c r="Y738" s="2">
        <v>1</v>
      </c>
      <c r="Z738" s="2">
        <v>0</v>
      </c>
      <c r="AA738" s="2">
        <v>0</v>
      </c>
      <c r="AB738" s="12">
        <f>(W738*4+X738*1+Y738*-2+Z738*-3)/W738</f>
        <v>6</v>
      </c>
      <c r="AC738" s="3">
        <f>W738*12.0107+X738*1.00784+Y738*15.999+Z738*14.0067</f>
        <v>60.093820000000001</v>
      </c>
      <c r="AD738" s="12">
        <v>82.5</v>
      </c>
      <c r="AE738" s="2" t="s">
        <v>262</v>
      </c>
      <c r="AF738" s="2" t="s">
        <v>79</v>
      </c>
      <c r="AG738" s="2" t="str">
        <f>IF(AD738&gt;37,"Proton symporter", "Diffusion")</f>
        <v>Proton symporter</v>
      </c>
      <c r="AH738" s="3" t="s">
        <v>309</v>
      </c>
    </row>
    <row r="739" spans="1:34" hidden="1" x14ac:dyDescent="0.2">
      <c r="A739" s="8" t="s">
        <v>34</v>
      </c>
      <c r="B739" s="9" t="s">
        <v>35</v>
      </c>
      <c r="C739" s="1" t="s">
        <v>36</v>
      </c>
      <c r="D739" s="10" t="s">
        <v>37</v>
      </c>
      <c r="E739" s="1" t="s">
        <v>339</v>
      </c>
      <c r="F739" s="1" t="s">
        <v>340</v>
      </c>
      <c r="G739" s="1">
        <v>-10</v>
      </c>
      <c r="H739" s="1">
        <v>-20</v>
      </c>
      <c r="I739" s="1" t="s">
        <v>40</v>
      </c>
      <c r="J739" s="1">
        <v>3.15</v>
      </c>
      <c r="K739" s="1">
        <v>-10</v>
      </c>
      <c r="L739" s="1">
        <v>-3.67767857142857</v>
      </c>
      <c r="M739" s="1" t="s">
        <v>40</v>
      </c>
      <c r="N739" s="1">
        <v>6.8785714285714397</v>
      </c>
      <c r="O739" s="1">
        <v>3.2803571428571399</v>
      </c>
      <c r="Q739" s="1">
        <v>0.32803571428571399</v>
      </c>
      <c r="R739" s="1">
        <v>0.43280516731097401</v>
      </c>
      <c r="S739" s="11" t="s">
        <v>339</v>
      </c>
      <c r="T739" s="2" t="s">
        <v>339</v>
      </c>
      <c r="U739" s="3" t="s">
        <v>106</v>
      </c>
      <c r="V739" s="2" t="s">
        <v>341</v>
      </c>
      <c r="W739" s="2">
        <v>4</v>
      </c>
      <c r="X739" s="2">
        <v>10</v>
      </c>
      <c r="Y739" s="2">
        <v>0</v>
      </c>
      <c r="Z739" s="2">
        <v>0</v>
      </c>
      <c r="AA739" s="2">
        <v>0</v>
      </c>
      <c r="AB739" s="12">
        <f>(W739*4+X739*1+Y739*-2+Z739*-3)/W739</f>
        <v>6.5</v>
      </c>
      <c r="AC739" s="3">
        <f>W739*12.0107+X739*1.00784+Y739*15.999+Z739*14.0067</f>
        <v>58.121200000000002</v>
      </c>
      <c r="AD739" s="24">
        <v>-1</v>
      </c>
      <c r="AE739" s="3" t="s">
        <v>321</v>
      </c>
      <c r="AF739" s="2" t="s">
        <v>313</v>
      </c>
      <c r="AG739" s="25" t="str">
        <f>IF(AD739&gt;37,"Proton symporter", "Diffusion")</f>
        <v>Diffusion</v>
      </c>
      <c r="AH739" s="3" t="s">
        <v>342</v>
      </c>
    </row>
    <row r="740" spans="1:34" hidden="1" x14ac:dyDescent="0.2">
      <c r="A740" s="8" t="s">
        <v>34</v>
      </c>
      <c r="B740" s="9" t="s">
        <v>35</v>
      </c>
      <c r="C740" s="1" t="s">
        <v>56</v>
      </c>
      <c r="D740" s="14" t="s">
        <v>55</v>
      </c>
      <c r="E740" s="1" t="s">
        <v>172</v>
      </c>
      <c r="F740" s="1" t="s">
        <v>173</v>
      </c>
      <c r="G740" s="1">
        <v>-10</v>
      </c>
      <c r="H740" s="1">
        <v>-20</v>
      </c>
      <c r="I740" s="1" t="s">
        <v>40</v>
      </c>
      <c r="J740" s="1">
        <v>3.15</v>
      </c>
      <c r="K740" s="1">
        <v>-10</v>
      </c>
      <c r="L740" s="1">
        <v>-5.3597014925373099</v>
      </c>
      <c r="M740" s="1" t="s">
        <v>40</v>
      </c>
      <c r="N740" s="1">
        <v>4.59402985074626</v>
      </c>
      <c r="O740" s="1">
        <v>4.2343283582089501</v>
      </c>
      <c r="Q740" s="1">
        <v>0.42343283582089503</v>
      </c>
      <c r="R740" s="1">
        <v>0.43270401643655398</v>
      </c>
      <c r="S740" s="20" t="s">
        <v>172</v>
      </c>
      <c r="T740" s="3" t="s">
        <v>172</v>
      </c>
      <c r="U740" s="3" t="s">
        <v>174</v>
      </c>
      <c r="V740" s="3" t="s">
        <v>175</v>
      </c>
      <c r="W740" s="3">
        <v>6</v>
      </c>
      <c r="X740" s="3">
        <v>6</v>
      </c>
      <c r="Y740" s="3">
        <v>1</v>
      </c>
      <c r="Z740" s="3">
        <v>0</v>
      </c>
      <c r="AA740" s="3">
        <v>0</v>
      </c>
      <c r="AB740" s="12">
        <f>(W740*4+X740*1+Y740*-2+Z740*-3)/W740</f>
        <v>4.666666666666667</v>
      </c>
      <c r="AC740" s="3">
        <f>W740*12.0107+X740*1.00784+Y740*15.999+Z740*14.0067</f>
        <v>94.11023999999999</v>
      </c>
      <c r="AD740" s="12">
        <v>181.7</v>
      </c>
      <c r="AE740" s="3" t="s">
        <v>176</v>
      </c>
      <c r="AF740" s="2" t="s">
        <v>150</v>
      </c>
      <c r="AG740" s="2" t="str">
        <f>IF(AD740&gt;37,"Proton symporter", "Diffusion")</f>
        <v>Proton symporter</v>
      </c>
      <c r="AH740" s="3" t="s">
        <v>177</v>
      </c>
    </row>
    <row r="741" spans="1:34" hidden="1" x14ac:dyDescent="0.2">
      <c r="A741" s="8" t="s">
        <v>34</v>
      </c>
      <c r="B741" s="9" t="s">
        <v>35</v>
      </c>
      <c r="C741" s="1" t="s">
        <v>61</v>
      </c>
      <c r="D741" s="13" t="s">
        <v>51</v>
      </c>
      <c r="E741" s="1" t="s">
        <v>189</v>
      </c>
      <c r="F741" s="1" t="s">
        <v>190</v>
      </c>
      <c r="G741" s="1">
        <v>-10</v>
      </c>
      <c r="H741" s="1">
        <v>-20</v>
      </c>
      <c r="I741" s="1" t="s">
        <v>40</v>
      </c>
      <c r="J741" s="1">
        <v>3.15</v>
      </c>
      <c r="K741" s="1">
        <v>-10</v>
      </c>
      <c r="L741" s="1">
        <v>-7.9039999999999999</v>
      </c>
      <c r="M741" s="1" t="s">
        <v>40</v>
      </c>
      <c r="N741" s="1">
        <v>4.0866666666666696</v>
      </c>
      <c r="O741" s="1">
        <v>1.1826666666666701</v>
      </c>
      <c r="Q741" s="1">
        <v>0.11826666666666701</v>
      </c>
      <c r="R741" s="1">
        <v>0.43239151380551499</v>
      </c>
      <c r="S741" s="11" t="s">
        <v>189</v>
      </c>
      <c r="T741" s="2" t="s">
        <v>189</v>
      </c>
      <c r="U741" s="3" t="s">
        <v>41</v>
      </c>
      <c r="V741" s="2" t="s">
        <v>191</v>
      </c>
      <c r="W741" s="2">
        <v>5</v>
      </c>
      <c r="X741" s="2">
        <v>11</v>
      </c>
      <c r="Y741" s="2">
        <v>2</v>
      </c>
      <c r="Z741" s="2">
        <v>1</v>
      </c>
      <c r="AA741" s="2">
        <v>0</v>
      </c>
      <c r="AB741" s="12">
        <f>(W741*4+X741*1+Y741*-2+Z741*-3)/W741</f>
        <v>4.8</v>
      </c>
      <c r="AC741" s="3">
        <f>W741*12.0107+X741*1.00784+Y741*15.999+Z741*14.0067</f>
        <v>117.14444</v>
      </c>
      <c r="AD741" s="12">
        <v>247.5</v>
      </c>
      <c r="AE741" s="2" t="s">
        <v>192</v>
      </c>
      <c r="AF741" s="2" t="s">
        <v>44</v>
      </c>
      <c r="AG741" s="2" t="str">
        <f>IF(AD741&gt;37,"Proton symporter", "Diffusion")</f>
        <v>Proton symporter</v>
      </c>
      <c r="AH741" s="3" t="s">
        <v>193</v>
      </c>
    </row>
    <row r="742" spans="1:34" hidden="1" x14ac:dyDescent="0.2">
      <c r="A742" s="16" t="s">
        <v>63</v>
      </c>
      <c r="B742" s="17" t="s">
        <v>64</v>
      </c>
      <c r="C742" t="s">
        <v>73</v>
      </c>
      <c r="D742" s="18" t="s">
        <v>66</v>
      </c>
      <c r="E742" t="s">
        <v>259</v>
      </c>
      <c r="F742" t="s">
        <v>260</v>
      </c>
      <c r="G742">
        <v>-10</v>
      </c>
      <c r="H742">
        <v>0</v>
      </c>
      <c r="I742">
        <v>-20</v>
      </c>
      <c r="J742">
        <v>0.45</v>
      </c>
      <c r="K742">
        <v>-10</v>
      </c>
      <c r="L742">
        <v>0</v>
      </c>
      <c r="M742">
        <v>-20</v>
      </c>
      <c r="N742">
        <v>0</v>
      </c>
      <c r="O742">
        <v>2.5</v>
      </c>
      <c r="P742"/>
      <c r="Q742">
        <v>0.25</v>
      </c>
      <c r="R742" s="19">
        <v>0.430052426602756</v>
      </c>
      <c r="S742" s="20" t="s">
        <v>259</v>
      </c>
      <c r="T742" s="3" t="s">
        <v>259</v>
      </c>
      <c r="U742" s="3" t="s">
        <v>106</v>
      </c>
      <c r="V742" s="3" t="s">
        <v>261</v>
      </c>
      <c r="W742" s="3">
        <v>5</v>
      </c>
      <c r="X742" s="3">
        <v>10</v>
      </c>
      <c r="Y742" s="3">
        <v>1</v>
      </c>
      <c r="Z742" s="3">
        <v>0</v>
      </c>
      <c r="AA742" s="3">
        <v>0</v>
      </c>
      <c r="AB742" s="12">
        <f>(W742*4+X742*1+Y742*-2+Z742*-3)/W742+0.02</f>
        <v>5.6199999999999992</v>
      </c>
      <c r="AC742" s="3">
        <f>W742*12.0107+X742*1.00784+Y742*15.999+Z742*14.0067</f>
        <v>86.130899999999997</v>
      </c>
      <c r="AD742" s="12">
        <v>108</v>
      </c>
      <c r="AE742" s="3" t="s">
        <v>262</v>
      </c>
      <c r="AF742" s="3" t="s">
        <v>135</v>
      </c>
      <c r="AG742" s="2" t="str">
        <f>IF(AD742&gt;37,"Proton symporter", "Diffusion")</f>
        <v>Proton symporter</v>
      </c>
      <c r="AH742" s="3" t="s">
        <v>263</v>
      </c>
    </row>
    <row r="743" spans="1:34" hidden="1" x14ac:dyDescent="0.2">
      <c r="A743" s="8" t="s">
        <v>350</v>
      </c>
      <c r="B743" s="17" t="s">
        <v>64</v>
      </c>
      <c r="C743" t="s">
        <v>354</v>
      </c>
      <c r="D743" s="13" t="s">
        <v>51</v>
      </c>
      <c r="E743" t="s">
        <v>273</v>
      </c>
      <c r="F743" t="s">
        <v>274</v>
      </c>
      <c r="G743">
        <v>-10</v>
      </c>
      <c r="H743">
        <v>0</v>
      </c>
      <c r="I743">
        <v>0</v>
      </c>
      <c r="J743">
        <v>0.45</v>
      </c>
      <c r="K743">
        <v>-10</v>
      </c>
      <c r="L743">
        <v>0</v>
      </c>
      <c r="M743" s="26">
        <v>1.7846153846153801</v>
      </c>
      <c r="N743">
        <v>0</v>
      </c>
      <c r="O743" s="26">
        <v>1.7846153846153801</v>
      </c>
      <c r="P743"/>
      <c r="Q743" s="26">
        <v>0.17846153846153801</v>
      </c>
      <c r="R743" s="26">
        <v>0.42889636797423603</v>
      </c>
      <c r="S743" s="3" t="str">
        <f>VLOOKUP($E743,'[1]Product Naming'!$A$1:$P$58,2)</f>
        <v>1-3-Diaminopropane</v>
      </c>
      <c r="T743" s="3" t="str">
        <f>VLOOKUP($E743,'[1]Product Naming'!$A$1:$P$58,3)</f>
        <v>1,3-Diaminopropane</v>
      </c>
      <c r="U743" s="3" t="str">
        <f>VLOOKUP($E743,'[1]Product Naming'!$A$1:$P$58,4)</f>
        <v>A</v>
      </c>
      <c r="V743" s="3" t="str">
        <f>VLOOKUP($E743,'[1]Product Naming'!$A$1:$P$58,5)</f>
        <v>C3H12N2</v>
      </c>
      <c r="W743" s="3">
        <f>VLOOKUP($E743,'[1]Product Naming'!$A$1:$P$58,6)</f>
        <v>3</v>
      </c>
      <c r="X743" s="3">
        <f>VLOOKUP($E743,'[1]Product Naming'!$A$1:$P$58,7)</f>
        <v>12</v>
      </c>
      <c r="Y743" s="3">
        <f>VLOOKUP($E743,'[1]Product Naming'!$A$1:$P$58,8)</f>
        <v>0</v>
      </c>
      <c r="Z743" s="3">
        <f>VLOOKUP($E743,'[1]Product Naming'!$A$1:$P$58,9)</f>
        <v>2</v>
      </c>
      <c r="AA743" s="3">
        <f>VLOOKUP($E743,'[1]Product Naming'!$A$1:$P$58,10)</f>
        <v>2</v>
      </c>
      <c r="AB743" s="3">
        <f>VLOOKUP($E743,'[1]Product Naming'!$A$1:$P$58,11)</f>
        <v>6</v>
      </c>
      <c r="AC743" s="3">
        <f>VLOOKUP($E743,'[1]Product Naming'!$A$1:$P$58,12)</f>
        <v>76.139580000000009</v>
      </c>
      <c r="AD743" s="3">
        <f>VLOOKUP($E743,'[1]Product Naming'!$A$1:$P$58,13)</f>
        <v>139.30000000000001</v>
      </c>
      <c r="AE743" s="3" t="str">
        <f>VLOOKUP($E743,'[1]Product Naming'!$A$1:$P$58,14)</f>
        <v>Diamine</v>
      </c>
      <c r="AF743" s="3" t="str">
        <f>VLOOKUP($E743,'[1]Product Naming'!$A$1:$P$58,15)</f>
        <v>Oxaloacetate + aKG</v>
      </c>
      <c r="AG743" s="3" t="str">
        <f>VLOOKUP($E743,'[1]Product Naming'!$A$1:$P$58,16)</f>
        <v>Proton symporter</v>
      </c>
      <c r="AH743" s="3" t="str">
        <f>VLOOKUP($E743,'[1]Product Naming'!$A$1:$Q$58,17)</f>
        <v>13dampp_c</v>
      </c>
    </row>
    <row r="744" spans="1:34" hidden="1" x14ac:dyDescent="0.2">
      <c r="A744" s="8" t="s">
        <v>350</v>
      </c>
      <c r="B744" s="17" t="s">
        <v>64</v>
      </c>
      <c r="C744" t="s">
        <v>352</v>
      </c>
      <c r="D744" s="13" t="s">
        <v>51</v>
      </c>
      <c r="E744" t="s">
        <v>318</v>
      </c>
      <c r="F744" t="s">
        <v>319</v>
      </c>
      <c r="G744">
        <v>-10</v>
      </c>
      <c r="H744">
        <v>0</v>
      </c>
      <c r="I744">
        <v>0</v>
      </c>
      <c r="J744">
        <v>0.45</v>
      </c>
      <c r="K744">
        <v>-10</v>
      </c>
      <c r="L744">
        <v>0</v>
      </c>
      <c r="M744">
        <v>0</v>
      </c>
      <c r="N744" s="26" t="s">
        <v>361</v>
      </c>
      <c r="O744" s="26">
        <v>1.0714285714285701</v>
      </c>
      <c r="P744"/>
      <c r="Q744" s="26">
        <v>0.107142857142857</v>
      </c>
      <c r="R744" s="26">
        <v>0.42886856962374398</v>
      </c>
      <c r="S744" s="3" t="str">
        <f>VLOOKUP($E744,'[1]Product Naming'!$A$1:$P$58,2)</f>
        <v>Nonane</v>
      </c>
      <c r="T744" s="3" t="str">
        <f>VLOOKUP($E744,'[1]Product Naming'!$A$1:$P$58,3)</f>
        <v>Nonane</v>
      </c>
      <c r="U744" s="3" t="str">
        <f>VLOOKUP($E744,'[1]Product Naming'!$A$1:$P$58,4)</f>
        <v>E</v>
      </c>
      <c r="V744" s="3" t="str">
        <f>VLOOKUP($E744,'[1]Product Naming'!$A$1:$P$58,5)</f>
        <v>C9H20</v>
      </c>
      <c r="W744" s="3">
        <f>VLOOKUP($E744,'[1]Product Naming'!$A$1:$P$58,6)</f>
        <v>9</v>
      </c>
      <c r="X744" s="3">
        <f>VLOOKUP($E744,'[1]Product Naming'!$A$1:$P$58,7)</f>
        <v>20</v>
      </c>
      <c r="Y744" s="3">
        <f>VLOOKUP($E744,'[1]Product Naming'!$A$1:$P$58,8)</f>
        <v>0</v>
      </c>
      <c r="Z744" s="3">
        <f>VLOOKUP($E744,'[1]Product Naming'!$A$1:$P$58,9)</f>
        <v>0</v>
      </c>
      <c r="AA744" s="3">
        <f>VLOOKUP($E744,'[1]Product Naming'!$A$1:$P$58,10)</f>
        <v>0</v>
      </c>
      <c r="AB744" s="3">
        <f>VLOOKUP($E744,'[1]Product Naming'!$A$1:$P$58,11)</f>
        <v>6.2222222222222223</v>
      </c>
      <c r="AC744" s="3">
        <f>VLOOKUP($E744,'[1]Product Naming'!$A$1:$P$58,12)</f>
        <v>128.25309999999999</v>
      </c>
      <c r="AD744" s="3">
        <f>VLOOKUP($E744,'[1]Product Naming'!$A$1:$P$58,13)</f>
        <v>151</v>
      </c>
      <c r="AE744" s="3" t="str">
        <f>VLOOKUP($E744,'[1]Product Naming'!$A$1:$P$58,14)</f>
        <v>Hydrocarbon (alkane)</v>
      </c>
      <c r="AF744" s="3" t="str">
        <f>VLOOKUP($E744,'[1]Product Naming'!$A$1:$P$58,15)</f>
        <v>Acetyl-CoA</v>
      </c>
      <c r="AG744" s="3" t="str">
        <f>VLOOKUP($E744,'[1]Product Naming'!$A$1:$P$58,16)</f>
        <v>Proton symporter</v>
      </c>
      <c r="AH744" s="3" t="str">
        <f>VLOOKUP($E744,'[1]Product Naming'!$A$1:$Q$58,17)</f>
        <v>nonan_c</v>
      </c>
    </row>
    <row r="745" spans="1:34" hidden="1" x14ac:dyDescent="0.2">
      <c r="A745" s="8" t="s">
        <v>350</v>
      </c>
      <c r="B745" s="17" t="s">
        <v>64</v>
      </c>
      <c r="C745" t="s">
        <v>353</v>
      </c>
      <c r="D745" s="13" t="s">
        <v>51</v>
      </c>
      <c r="E745" t="s">
        <v>318</v>
      </c>
      <c r="F745" t="s">
        <v>319</v>
      </c>
      <c r="G745">
        <v>-10</v>
      </c>
      <c r="H745">
        <v>0</v>
      </c>
      <c r="I745">
        <v>0</v>
      </c>
      <c r="J745">
        <v>0.45</v>
      </c>
      <c r="K745">
        <v>-10</v>
      </c>
      <c r="L745">
        <v>0</v>
      </c>
      <c r="M745">
        <v>0</v>
      </c>
      <c r="N745" s="26" t="s">
        <v>361</v>
      </c>
      <c r="O745" s="26">
        <v>1.0714285714285701</v>
      </c>
      <c r="P745"/>
      <c r="Q745" s="26">
        <v>0.107142857142857</v>
      </c>
      <c r="R745" s="26">
        <v>0.42886856962374398</v>
      </c>
      <c r="S745" s="3" t="str">
        <f>VLOOKUP($E745,'[1]Product Naming'!$A$1:$P$58,2)</f>
        <v>Nonane</v>
      </c>
      <c r="T745" s="3" t="str">
        <f>VLOOKUP($E745,'[1]Product Naming'!$A$1:$P$58,3)</f>
        <v>Nonane</v>
      </c>
      <c r="U745" s="3" t="str">
        <f>VLOOKUP($E745,'[1]Product Naming'!$A$1:$P$58,4)</f>
        <v>E</v>
      </c>
      <c r="V745" s="3" t="str">
        <f>VLOOKUP($E745,'[1]Product Naming'!$A$1:$P$58,5)</f>
        <v>C9H20</v>
      </c>
      <c r="W745" s="3">
        <f>VLOOKUP($E745,'[1]Product Naming'!$A$1:$P$58,6)</f>
        <v>9</v>
      </c>
      <c r="X745" s="3">
        <f>VLOOKUP($E745,'[1]Product Naming'!$A$1:$P$58,7)</f>
        <v>20</v>
      </c>
      <c r="Y745" s="3">
        <f>VLOOKUP($E745,'[1]Product Naming'!$A$1:$P$58,8)</f>
        <v>0</v>
      </c>
      <c r="Z745" s="3">
        <f>VLOOKUP($E745,'[1]Product Naming'!$A$1:$P$58,9)</f>
        <v>0</v>
      </c>
      <c r="AA745" s="3">
        <f>VLOOKUP($E745,'[1]Product Naming'!$A$1:$P$58,10)</f>
        <v>0</v>
      </c>
      <c r="AB745" s="3">
        <f>VLOOKUP($E745,'[1]Product Naming'!$A$1:$P$58,11)</f>
        <v>6.2222222222222223</v>
      </c>
      <c r="AC745" s="3">
        <f>VLOOKUP($E745,'[1]Product Naming'!$A$1:$P$58,12)</f>
        <v>128.25309999999999</v>
      </c>
      <c r="AD745" s="3">
        <f>VLOOKUP($E745,'[1]Product Naming'!$A$1:$P$58,13)</f>
        <v>151</v>
      </c>
      <c r="AE745" s="3" t="str">
        <f>VLOOKUP($E745,'[1]Product Naming'!$A$1:$P$58,14)</f>
        <v>Hydrocarbon (alkane)</v>
      </c>
      <c r="AF745" s="3" t="str">
        <f>VLOOKUP($E745,'[1]Product Naming'!$A$1:$P$58,15)</f>
        <v>Acetyl-CoA</v>
      </c>
      <c r="AG745" s="3" t="str">
        <f>VLOOKUP($E745,'[1]Product Naming'!$A$1:$P$58,16)</f>
        <v>Proton symporter</v>
      </c>
      <c r="AH745" s="3" t="str">
        <f>VLOOKUP($E745,'[1]Product Naming'!$A$1:$Q$58,17)</f>
        <v>nonan_c</v>
      </c>
    </row>
    <row r="746" spans="1:34" hidden="1" x14ac:dyDescent="0.2">
      <c r="A746" s="8" t="s">
        <v>350</v>
      </c>
      <c r="B746" s="17" t="s">
        <v>64</v>
      </c>
      <c r="C746" t="s">
        <v>354</v>
      </c>
      <c r="D746" s="13" t="s">
        <v>51</v>
      </c>
      <c r="E746" t="s">
        <v>318</v>
      </c>
      <c r="F746" t="s">
        <v>319</v>
      </c>
      <c r="G746">
        <v>-10</v>
      </c>
      <c r="H746">
        <v>0</v>
      </c>
      <c r="I746">
        <v>0</v>
      </c>
      <c r="J746">
        <v>0.45</v>
      </c>
      <c r="K746">
        <v>-10</v>
      </c>
      <c r="L746">
        <v>0</v>
      </c>
      <c r="M746">
        <v>0</v>
      </c>
      <c r="N746" s="26" t="s">
        <v>361</v>
      </c>
      <c r="O746" s="26">
        <v>1.0714285714285701</v>
      </c>
      <c r="P746"/>
      <c r="Q746" s="26">
        <v>0.107142857142857</v>
      </c>
      <c r="R746" s="26">
        <v>0.42886856962374398</v>
      </c>
      <c r="S746" s="3" t="str">
        <f>VLOOKUP($E746,'[1]Product Naming'!$A$1:$P$58,2)</f>
        <v>Nonane</v>
      </c>
      <c r="T746" s="3" t="str">
        <f>VLOOKUP($E746,'[1]Product Naming'!$A$1:$P$58,3)</f>
        <v>Nonane</v>
      </c>
      <c r="U746" s="3" t="str">
        <f>VLOOKUP($E746,'[1]Product Naming'!$A$1:$P$58,4)</f>
        <v>E</v>
      </c>
      <c r="V746" s="3" t="str">
        <f>VLOOKUP($E746,'[1]Product Naming'!$A$1:$P$58,5)</f>
        <v>C9H20</v>
      </c>
      <c r="W746" s="3">
        <f>VLOOKUP($E746,'[1]Product Naming'!$A$1:$P$58,6)</f>
        <v>9</v>
      </c>
      <c r="X746" s="3">
        <f>VLOOKUP($E746,'[1]Product Naming'!$A$1:$P$58,7)</f>
        <v>20</v>
      </c>
      <c r="Y746" s="3">
        <f>VLOOKUP($E746,'[1]Product Naming'!$A$1:$P$58,8)</f>
        <v>0</v>
      </c>
      <c r="Z746" s="3">
        <f>VLOOKUP($E746,'[1]Product Naming'!$A$1:$P$58,9)</f>
        <v>0</v>
      </c>
      <c r="AA746" s="3">
        <f>VLOOKUP($E746,'[1]Product Naming'!$A$1:$P$58,10)</f>
        <v>0</v>
      </c>
      <c r="AB746" s="3">
        <f>VLOOKUP($E746,'[1]Product Naming'!$A$1:$P$58,11)</f>
        <v>6.2222222222222223</v>
      </c>
      <c r="AC746" s="3">
        <f>VLOOKUP($E746,'[1]Product Naming'!$A$1:$P$58,12)</f>
        <v>128.25309999999999</v>
      </c>
      <c r="AD746" s="3">
        <f>VLOOKUP($E746,'[1]Product Naming'!$A$1:$P$58,13)</f>
        <v>151</v>
      </c>
      <c r="AE746" s="3" t="str">
        <f>VLOOKUP($E746,'[1]Product Naming'!$A$1:$P$58,14)</f>
        <v>Hydrocarbon (alkane)</v>
      </c>
      <c r="AF746" s="3" t="str">
        <f>VLOOKUP($E746,'[1]Product Naming'!$A$1:$P$58,15)</f>
        <v>Acetyl-CoA</v>
      </c>
      <c r="AG746" s="3" t="str">
        <f>VLOOKUP($E746,'[1]Product Naming'!$A$1:$P$58,16)</f>
        <v>Proton symporter</v>
      </c>
      <c r="AH746" s="3" t="str">
        <f>VLOOKUP($E746,'[1]Product Naming'!$A$1:$Q$58,17)</f>
        <v>nonan_c</v>
      </c>
    </row>
    <row r="747" spans="1:34" hidden="1" x14ac:dyDescent="0.2">
      <c r="A747" s="16" t="s">
        <v>63</v>
      </c>
      <c r="B747" s="17" t="s">
        <v>64</v>
      </c>
      <c r="C747" t="s">
        <v>69</v>
      </c>
      <c r="D747" s="18" t="s">
        <v>66</v>
      </c>
      <c r="E747" t="s">
        <v>273</v>
      </c>
      <c r="F747" t="s">
        <v>274</v>
      </c>
      <c r="G747">
        <v>-10</v>
      </c>
      <c r="H747">
        <v>0</v>
      </c>
      <c r="I747">
        <v>-20</v>
      </c>
      <c r="J747">
        <v>0.45</v>
      </c>
      <c r="K747">
        <v>-10</v>
      </c>
      <c r="L747">
        <v>0</v>
      </c>
      <c r="M747">
        <v>-18.2153846153846</v>
      </c>
      <c r="N747">
        <v>0</v>
      </c>
      <c r="O747">
        <v>1.7846153846153801</v>
      </c>
      <c r="P747"/>
      <c r="Q747">
        <v>0.17846153846153801</v>
      </c>
      <c r="R747" s="19">
        <v>0.42878503246403199</v>
      </c>
      <c r="S747" s="22" t="s">
        <v>273</v>
      </c>
      <c r="T747" s="3" t="s">
        <v>275</v>
      </c>
      <c r="U747" s="3" t="s">
        <v>41</v>
      </c>
      <c r="V747" s="2" t="s">
        <v>276</v>
      </c>
      <c r="W747" s="2">
        <v>3</v>
      </c>
      <c r="X747" s="2">
        <v>12</v>
      </c>
      <c r="Y747" s="2">
        <v>0</v>
      </c>
      <c r="Z747" s="2">
        <v>2</v>
      </c>
      <c r="AA747" s="2">
        <v>0</v>
      </c>
      <c r="AB747" s="12">
        <f>(W747*4+X747*1+Y747*-2+Z747*-3)/W747</f>
        <v>6</v>
      </c>
      <c r="AC747" s="3">
        <f>W747*12.0107+X747*1.00784+Y747*15.999+Z747*14.0067</f>
        <v>76.139580000000009</v>
      </c>
      <c r="AD747" s="12">
        <v>139.30000000000001</v>
      </c>
      <c r="AE747" s="2" t="s">
        <v>277</v>
      </c>
      <c r="AF747" s="2" t="s">
        <v>125</v>
      </c>
      <c r="AG747" s="2" t="str">
        <f>IF(AD747&gt;37,"Proton symporter", "Diffusion")</f>
        <v>Proton symporter</v>
      </c>
      <c r="AH747" s="3" t="s">
        <v>278</v>
      </c>
    </row>
    <row r="748" spans="1:34" hidden="1" x14ac:dyDescent="0.2">
      <c r="A748" s="16" t="s">
        <v>63</v>
      </c>
      <c r="B748" s="17" t="s">
        <v>64</v>
      </c>
      <c r="C748" t="s">
        <v>69</v>
      </c>
      <c r="D748" s="18" t="s">
        <v>66</v>
      </c>
      <c r="E748" t="s">
        <v>318</v>
      </c>
      <c r="F748" t="s">
        <v>319</v>
      </c>
      <c r="G748">
        <v>-10</v>
      </c>
      <c r="H748">
        <v>0</v>
      </c>
      <c r="I748">
        <v>-20</v>
      </c>
      <c r="J748">
        <v>0.45</v>
      </c>
      <c r="K748">
        <v>-10</v>
      </c>
      <c r="L748">
        <v>0</v>
      </c>
      <c r="M748">
        <v>-20</v>
      </c>
      <c r="N748">
        <v>0.35714285714285599</v>
      </c>
      <c r="O748">
        <v>1.0714285714285701</v>
      </c>
      <c r="P748"/>
      <c r="Q748">
        <v>0.107142857142857</v>
      </c>
      <c r="R748" s="19">
        <v>0.42874894138622599</v>
      </c>
      <c r="S748" s="20" t="s">
        <v>318</v>
      </c>
      <c r="T748" s="3" t="s">
        <v>318</v>
      </c>
      <c r="U748" s="3" t="s">
        <v>106</v>
      </c>
      <c r="V748" s="3" t="s">
        <v>320</v>
      </c>
      <c r="W748" s="3">
        <v>9</v>
      </c>
      <c r="X748" s="3">
        <v>20</v>
      </c>
      <c r="Y748" s="3">
        <v>0</v>
      </c>
      <c r="Z748" s="3">
        <v>0</v>
      </c>
      <c r="AA748" s="3">
        <v>0</v>
      </c>
      <c r="AB748" s="12">
        <f>(W748*4+X748*1+Y748*-2+Z748*-3)/W748</f>
        <v>6.2222222222222223</v>
      </c>
      <c r="AC748" s="3">
        <f>W748*12.0107+X748*1.00784+Y748*15.999+Z748*14.0067</f>
        <v>128.25309999999999</v>
      </c>
      <c r="AD748" s="12">
        <v>151</v>
      </c>
      <c r="AE748" s="3" t="s">
        <v>321</v>
      </c>
      <c r="AF748" s="2" t="s">
        <v>79</v>
      </c>
      <c r="AG748" s="2" t="str">
        <f>IF(AD748&gt;37,"Proton symporter", "Diffusion")</f>
        <v>Proton symporter</v>
      </c>
      <c r="AH748" s="3" t="s">
        <v>322</v>
      </c>
    </row>
    <row r="749" spans="1:34" hidden="1" x14ac:dyDescent="0.2">
      <c r="A749" s="8" t="s">
        <v>34</v>
      </c>
      <c r="B749" s="9" t="s">
        <v>35</v>
      </c>
      <c r="C749" s="1" t="s">
        <v>61</v>
      </c>
      <c r="D749" s="13" t="s">
        <v>51</v>
      </c>
      <c r="E749" s="1" t="s">
        <v>222</v>
      </c>
      <c r="F749" s="1" t="s">
        <v>223</v>
      </c>
      <c r="G749" s="1">
        <v>-10</v>
      </c>
      <c r="H749" s="1">
        <v>-20</v>
      </c>
      <c r="I749" s="1" t="s">
        <v>40</v>
      </c>
      <c r="J749" s="1">
        <v>3.15</v>
      </c>
      <c r="K749" s="1">
        <v>-10</v>
      </c>
      <c r="L749" s="1">
        <v>-5.5386666666666704</v>
      </c>
      <c r="M749" s="1" t="s">
        <v>40</v>
      </c>
      <c r="N749" s="1">
        <v>2.9039999999999999</v>
      </c>
      <c r="O749" s="1">
        <v>2.36533333333333</v>
      </c>
      <c r="Q749" s="1">
        <v>0.23653333333333301</v>
      </c>
      <c r="R749" s="1">
        <v>0.42874411920204902</v>
      </c>
      <c r="S749" s="11" t="s">
        <v>222</v>
      </c>
      <c r="T749" s="2" t="s">
        <v>222</v>
      </c>
      <c r="U749" s="3" t="s">
        <v>41</v>
      </c>
      <c r="V749" s="2" t="s">
        <v>224</v>
      </c>
      <c r="W749" s="2">
        <v>3</v>
      </c>
      <c r="X749" s="2">
        <v>6</v>
      </c>
      <c r="Y749" s="2">
        <v>1</v>
      </c>
      <c r="Z749" s="2">
        <v>0</v>
      </c>
      <c r="AA749" s="2">
        <v>0</v>
      </c>
      <c r="AB749" s="12">
        <f>(W749*4+X749*1+Y749*-2+Z749*-3)/W749</f>
        <v>5.333333333333333</v>
      </c>
      <c r="AC749" s="3">
        <f>W749*12.0107+X749*1.00784+Y749*15.999+Z749*14.0067</f>
        <v>58.078140000000005</v>
      </c>
      <c r="AD749" s="12">
        <v>56</v>
      </c>
      <c r="AE749" s="2" t="s">
        <v>225</v>
      </c>
      <c r="AF749" s="2" t="s">
        <v>79</v>
      </c>
      <c r="AG749" s="2" t="str">
        <f>IF(AD749&gt;37,"Proton symporter", "Diffusion")</f>
        <v>Proton symporter</v>
      </c>
      <c r="AH749" s="3" t="s">
        <v>226</v>
      </c>
    </row>
    <row r="750" spans="1:34" hidden="1" x14ac:dyDescent="0.2">
      <c r="A750" s="8" t="s">
        <v>34</v>
      </c>
      <c r="B750" s="9" t="s">
        <v>35</v>
      </c>
      <c r="C750" s="1" t="s">
        <v>54</v>
      </c>
      <c r="D750" s="14" t="s">
        <v>55</v>
      </c>
      <c r="E750" s="1" t="s">
        <v>279</v>
      </c>
      <c r="F750" s="1" t="s">
        <v>280</v>
      </c>
      <c r="G750" s="1">
        <v>-10</v>
      </c>
      <c r="H750" s="1">
        <v>-20</v>
      </c>
      <c r="I750" s="1" t="s">
        <v>40</v>
      </c>
      <c r="J750" s="1">
        <v>3.15</v>
      </c>
      <c r="K750" s="1">
        <v>-10</v>
      </c>
      <c r="L750" s="1">
        <v>-2.18372093023256</v>
      </c>
      <c r="M750" s="1" t="s">
        <v>40</v>
      </c>
      <c r="N750" s="1">
        <v>21.455813953488398</v>
      </c>
      <c r="O750" s="1">
        <v>12.848062015503899</v>
      </c>
      <c r="Q750" s="1">
        <v>1.28480620155039</v>
      </c>
      <c r="R750" s="1">
        <v>0.428575828242933</v>
      </c>
      <c r="S750" s="20" t="s">
        <v>281</v>
      </c>
      <c r="T750" s="3" t="s">
        <v>282</v>
      </c>
      <c r="U750" s="3" t="s">
        <v>174</v>
      </c>
      <c r="V750" s="3" t="s">
        <v>283</v>
      </c>
      <c r="W750" s="3">
        <v>3</v>
      </c>
      <c r="X750" s="3">
        <v>8</v>
      </c>
      <c r="Y750" s="3">
        <v>1</v>
      </c>
      <c r="Z750" s="3">
        <v>0</v>
      </c>
      <c r="AA750" s="3">
        <v>0</v>
      </c>
      <c r="AB750" s="12">
        <f>(W750*4+X750*1+Y750*-2+Z750*-3)/W750</f>
        <v>6</v>
      </c>
      <c r="AC750" s="3">
        <f>W750*12.0107+X750*1.00784+Y750*15.999+Z750*14.0067</f>
        <v>60.093820000000001</v>
      </c>
      <c r="AD750" s="12">
        <v>97</v>
      </c>
      <c r="AE750" s="2" t="s">
        <v>262</v>
      </c>
      <c r="AF750" s="2" t="s">
        <v>284</v>
      </c>
      <c r="AG750" s="2" t="str">
        <f>IF(AD750&gt;37,"Proton symporter", "Diffusion")</f>
        <v>Proton symporter</v>
      </c>
      <c r="AH750" s="3" t="s">
        <v>285</v>
      </c>
    </row>
    <row r="751" spans="1:34" hidden="1" x14ac:dyDescent="0.2">
      <c r="A751" s="8" t="s">
        <v>350</v>
      </c>
      <c r="B751" s="17" t="s">
        <v>64</v>
      </c>
      <c r="C751" t="s">
        <v>351</v>
      </c>
      <c r="D751" s="13" t="s">
        <v>51</v>
      </c>
      <c r="E751" t="s">
        <v>318</v>
      </c>
      <c r="F751" t="s">
        <v>319</v>
      </c>
      <c r="G751">
        <v>-10</v>
      </c>
      <c r="H751">
        <v>0</v>
      </c>
      <c r="I751">
        <v>0</v>
      </c>
      <c r="J751">
        <v>0.45</v>
      </c>
      <c r="K751">
        <v>-10</v>
      </c>
      <c r="L751">
        <v>0</v>
      </c>
      <c r="M751">
        <v>0</v>
      </c>
      <c r="N751" s="26" t="s">
        <v>360</v>
      </c>
      <c r="O751" s="26">
        <v>1.0705882352941101</v>
      </c>
      <c r="P751"/>
      <c r="Q751" s="26">
        <v>0.107058823529411</v>
      </c>
      <c r="R751" s="26">
        <v>0.42853220211815701</v>
      </c>
      <c r="S751" s="3" t="str">
        <f>VLOOKUP($E751,'[1]Product Naming'!$A$1:$P$58,2)</f>
        <v>Nonane</v>
      </c>
      <c r="T751" s="3" t="str">
        <f>VLOOKUP($E751,'[1]Product Naming'!$A$1:$P$58,3)</f>
        <v>Nonane</v>
      </c>
      <c r="U751" s="3" t="str">
        <f>VLOOKUP($E751,'[1]Product Naming'!$A$1:$P$58,4)</f>
        <v>E</v>
      </c>
      <c r="V751" s="3" t="str">
        <f>VLOOKUP($E751,'[1]Product Naming'!$A$1:$P$58,5)</f>
        <v>C9H20</v>
      </c>
      <c r="W751" s="3">
        <f>VLOOKUP($E751,'[1]Product Naming'!$A$1:$P$58,6)</f>
        <v>9</v>
      </c>
      <c r="X751" s="3">
        <f>VLOOKUP($E751,'[1]Product Naming'!$A$1:$P$58,7)</f>
        <v>20</v>
      </c>
      <c r="Y751" s="3">
        <f>VLOOKUP($E751,'[1]Product Naming'!$A$1:$P$58,8)</f>
        <v>0</v>
      </c>
      <c r="Z751" s="3">
        <f>VLOOKUP($E751,'[1]Product Naming'!$A$1:$P$58,9)</f>
        <v>0</v>
      </c>
      <c r="AA751" s="3">
        <f>VLOOKUP($E751,'[1]Product Naming'!$A$1:$P$58,10)</f>
        <v>0</v>
      </c>
      <c r="AB751" s="3">
        <f>VLOOKUP($E751,'[1]Product Naming'!$A$1:$P$58,11)</f>
        <v>6.2222222222222223</v>
      </c>
      <c r="AC751" s="3">
        <f>VLOOKUP($E751,'[1]Product Naming'!$A$1:$P$58,12)</f>
        <v>128.25309999999999</v>
      </c>
      <c r="AD751" s="3">
        <f>VLOOKUP($E751,'[1]Product Naming'!$A$1:$P$58,13)</f>
        <v>151</v>
      </c>
      <c r="AE751" s="3" t="str">
        <f>VLOOKUP($E751,'[1]Product Naming'!$A$1:$P$58,14)</f>
        <v>Hydrocarbon (alkane)</v>
      </c>
      <c r="AF751" s="3" t="str">
        <f>VLOOKUP($E751,'[1]Product Naming'!$A$1:$P$58,15)</f>
        <v>Acetyl-CoA</v>
      </c>
      <c r="AG751" s="3" t="str">
        <f>VLOOKUP($E751,'[1]Product Naming'!$A$1:$P$58,16)</f>
        <v>Proton symporter</v>
      </c>
      <c r="AH751" s="3" t="str">
        <f>VLOOKUP($E751,'[1]Product Naming'!$A$1:$Q$58,17)</f>
        <v>nonan_c</v>
      </c>
    </row>
    <row r="752" spans="1:34" hidden="1" x14ac:dyDescent="0.2">
      <c r="A752" s="8" t="s">
        <v>34</v>
      </c>
      <c r="B752" s="9" t="s">
        <v>35</v>
      </c>
      <c r="C752" s="1" t="s">
        <v>62</v>
      </c>
      <c r="D752" s="15" t="s">
        <v>55</v>
      </c>
      <c r="E752" s="1" t="s">
        <v>307</v>
      </c>
      <c r="F752" s="1" t="s">
        <v>308</v>
      </c>
      <c r="G752" s="1">
        <v>-10</v>
      </c>
      <c r="H752" s="1">
        <v>-20</v>
      </c>
      <c r="I752" s="1" t="s">
        <v>40</v>
      </c>
      <c r="J752" s="1">
        <v>3.15</v>
      </c>
      <c r="K752" s="1">
        <v>-10</v>
      </c>
      <c r="L752" s="1">
        <v>-1.83363636363636</v>
      </c>
      <c r="M752" s="1" t="s">
        <v>40</v>
      </c>
      <c r="N752" s="1">
        <v>17.8890909090909</v>
      </c>
      <c r="O752" s="1">
        <v>10.7036363636364</v>
      </c>
      <c r="Q752" s="1">
        <v>1.07036363636364</v>
      </c>
      <c r="R752" s="1">
        <v>0.42844361352282601</v>
      </c>
      <c r="S752" s="11" t="s">
        <v>307</v>
      </c>
      <c r="T752" s="2" t="s">
        <v>307</v>
      </c>
      <c r="U752" s="3" t="s">
        <v>41</v>
      </c>
      <c r="V752" s="2" t="s">
        <v>283</v>
      </c>
      <c r="W752" s="2">
        <v>3</v>
      </c>
      <c r="X752" s="2">
        <v>8</v>
      </c>
      <c r="Y752" s="2">
        <v>1</v>
      </c>
      <c r="Z752" s="2">
        <v>0</v>
      </c>
      <c r="AA752" s="2">
        <v>0</v>
      </c>
      <c r="AB752" s="12">
        <f>(W752*4+X752*1+Y752*-2+Z752*-3)/W752</f>
        <v>6</v>
      </c>
      <c r="AC752" s="3">
        <f>W752*12.0107+X752*1.00784+Y752*15.999+Z752*14.0067</f>
        <v>60.093820000000001</v>
      </c>
      <c r="AD752" s="12">
        <v>82.5</v>
      </c>
      <c r="AE752" s="2" t="s">
        <v>262</v>
      </c>
      <c r="AF752" s="2" t="s">
        <v>79</v>
      </c>
      <c r="AG752" s="2" t="str">
        <f>IF(AD752&gt;37,"Proton symporter", "Diffusion")</f>
        <v>Proton symporter</v>
      </c>
      <c r="AH752" s="3" t="s">
        <v>309</v>
      </c>
    </row>
    <row r="753" spans="1:34" hidden="1" x14ac:dyDescent="0.2">
      <c r="A753" s="8" t="s">
        <v>350</v>
      </c>
      <c r="B753" s="17" t="s">
        <v>64</v>
      </c>
      <c r="C753" t="s">
        <v>353</v>
      </c>
      <c r="D753" s="13" t="s">
        <v>51</v>
      </c>
      <c r="E753" t="s">
        <v>323</v>
      </c>
      <c r="F753" t="s">
        <v>324</v>
      </c>
      <c r="G753">
        <v>-10</v>
      </c>
      <c r="H753">
        <v>0</v>
      </c>
      <c r="I753">
        <v>0</v>
      </c>
      <c r="J753">
        <v>0.45</v>
      </c>
      <c r="K753">
        <v>-10</v>
      </c>
      <c r="L753">
        <v>0</v>
      </c>
      <c r="M753">
        <v>0</v>
      </c>
      <c r="N753" s="26" t="s">
        <v>363</v>
      </c>
      <c r="O753" s="26">
        <v>1.2</v>
      </c>
      <c r="P753"/>
      <c r="Q753" s="26">
        <v>0.12</v>
      </c>
      <c r="R753">
        <v>0.42780127748582603</v>
      </c>
      <c r="S753" s="3" t="str">
        <f>VLOOKUP($E753,'[1]Product Naming'!$A$1:$P$58,2)</f>
        <v>Octane</v>
      </c>
      <c r="T753" s="3" t="str">
        <f>VLOOKUP($E753,'[1]Product Naming'!$A$1:$P$58,3)</f>
        <v>Octane</v>
      </c>
      <c r="U753" s="3" t="str">
        <f>VLOOKUP($E753,'[1]Product Naming'!$A$1:$P$58,4)</f>
        <v>E</v>
      </c>
      <c r="V753" s="3" t="str">
        <f>VLOOKUP($E753,'[1]Product Naming'!$A$1:$P$58,5)</f>
        <v>C8H18</v>
      </c>
      <c r="W753" s="3">
        <f>VLOOKUP($E753,'[1]Product Naming'!$A$1:$P$58,6)</f>
        <v>8</v>
      </c>
      <c r="X753" s="3">
        <f>VLOOKUP($E753,'[1]Product Naming'!$A$1:$P$58,7)</f>
        <v>18</v>
      </c>
      <c r="Y753" s="3">
        <f>VLOOKUP($E753,'[1]Product Naming'!$A$1:$P$58,8)</f>
        <v>0</v>
      </c>
      <c r="Z753" s="3">
        <f>VLOOKUP($E753,'[1]Product Naming'!$A$1:$P$58,9)</f>
        <v>0</v>
      </c>
      <c r="AA753" s="3">
        <f>VLOOKUP($E753,'[1]Product Naming'!$A$1:$P$58,10)</f>
        <v>0</v>
      </c>
      <c r="AB753" s="3">
        <f>VLOOKUP($E753,'[1]Product Naming'!$A$1:$P$58,11)</f>
        <v>6.25</v>
      </c>
      <c r="AC753" s="3">
        <f>VLOOKUP($E753,'[1]Product Naming'!$A$1:$P$58,12)</f>
        <v>114.22672</v>
      </c>
      <c r="AD753" s="3">
        <f>VLOOKUP($E753,'[1]Product Naming'!$A$1:$P$58,13)</f>
        <v>126</v>
      </c>
      <c r="AE753" s="3" t="str">
        <f>VLOOKUP($E753,'[1]Product Naming'!$A$1:$P$58,14)</f>
        <v>Hydrocarbon (alkane)</v>
      </c>
      <c r="AF753" s="3" t="str">
        <f>VLOOKUP($E753,'[1]Product Naming'!$A$1:$P$58,15)</f>
        <v>Acetyl-CoA + Succinyl-CoA</v>
      </c>
      <c r="AG753" s="3" t="str">
        <f>VLOOKUP($E753,'[1]Product Naming'!$A$1:$P$58,16)</f>
        <v>Proton symporter</v>
      </c>
      <c r="AH753" s="3" t="str">
        <f>VLOOKUP($E753,'[1]Product Naming'!$A$1:$Q$58,17)</f>
        <v>octn_c</v>
      </c>
    </row>
    <row r="754" spans="1:34" hidden="1" x14ac:dyDescent="0.2">
      <c r="A754" s="8" t="s">
        <v>350</v>
      </c>
      <c r="B754" s="17" t="s">
        <v>64</v>
      </c>
      <c r="C754" t="s">
        <v>352</v>
      </c>
      <c r="D754" s="13" t="s">
        <v>51</v>
      </c>
      <c r="E754" t="s">
        <v>323</v>
      </c>
      <c r="F754" t="s">
        <v>324</v>
      </c>
      <c r="G754">
        <v>-10</v>
      </c>
      <c r="H754">
        <v>0</v>
      </c>
      <c r="I754">
        <v>0</v>
      </c>
      <c r="J754">
        <v>0.45</v>
      </c>
      <c r="K754">
        <v>-10</v>
      </c>
      <c r="L754">
        <v>0</v>
      </c>
      <c r="M754">
        <v>0</v>
      </c>
      <c r="N754" s="26" t="s">
        <v>362</v>
      </c>
      <c r="O754" s="26">
        <v>1.19999999999999</v>
      </c>
      <c r="P754"/>
      <c r="Q754" s="26">
        <v>0.119999999999999</v>
      </c>
      <c r="R754" s="26">
        <v>0.42780127748582503</v>
      </c>
      <c r="S754" s="3" t="str">
        <f>VLOOKUP($E754,'[1]Product Naming'!$A$1:$P$58,2)</f>
        <v>Octane</v>
      </c>
      <c r="T754" s="3" t="str">
        <f>VLOOKUP($E754,'[1]Product Naming'!$A$1:$P$58,3)</f>
        <v>Octane</v>
      </c>
      <c r="U754" s="3" t="str">
        <f>VLOOKUP($E754,'[1]Product Naming'!$A$1:$P$58,4)</f>
        <v>E</v>
      </c>
      <c r="V754" s="3" t="str">
        <f>VLOOKUP($E754,'[1]Product Naming'!$A$1:$P$58,5)</f>
        <v>C8H18</v>
      </c>
      <c r="W754" s="3">
        <f>VLOOKUP($E754,'[1]Product Naming'!$A$1:$P$58,6)</f>
        <v>8</v>
      </c>
      <c r="X754" s="3">
        <f>VLOOKUP($E754,'[1]Product Naming'!$A$1:$P$58,7)</f>
        <v>18</v>
      </c>
      <c r="Y754" s="3">
        <f>VLOOKUP($E754,'[1]Product Naming'!$A$1:$P$58,8)</f>
        <v>0</v>
      </c>
      <c r="Z754" s="3">
        <f>VLOOKUP($E754,'[1]Product Naming'!$A$1:$P$58,9)</f>
        <v>0</v>
      </c>
      <c r="AA754" s="3">
        <f>VLOOKUP($E754,'[1]Product Naming'!$A$1:$P$58,10)</f>
        <v>0</v>
      </c>
      <c r="AB754" s="3">
        <f>VLOOKUP($E754,'[1]Product Naming'!$A$1:$P$58,11)</f>
        <v>6.25</v>
      </c>
      <c r="AC754" s="3">
        <f>VLOOKUP($E754,'[1]Product Naming'!$A$1:$P$58,12)</f>
        <v>114.22672</v>
      </c>
      <c r="AD754" s="3">
        <f>VLOOKUP($E754,'[1]Product Naming'!$A$1:$P$58,13)</f>
        <v>126</v>
      </c>
      <c r="AE754" s="3" t="str">
        <f>VLOOKUP($E754,'[1]Product Naming'!$A$1:$P$58,14)</f>
        <v>Hydrocarbon (alkane)</v>
      </c>
      <c r="AF754" s="3" t="str">
        <f>VLOOKUP($E754,'[1]Product Naming'!$A$1:$P$58,15)</f>
        <v>Acetyl-CoA + Succinyl-CoA</v>
      </c>
      <c r="AG754" s="3" t="str">
        <f>VLOOKUP($E754,'[1]Product Naming'!$A$1:$P$58,16)</f>
        <v>Proton symporter</v>
      </c>
      <c r="AH754" s="3" t="str">
        <f>VLOOKUP($E754,'[1]Product Naming'!$A$1:$Q$58,17)</f>
        <v>octn_c</v>
      </c>
    </row>
    <row r="755" spans="1:34" hidden="1" x14ac:dyDescent="0.2">
      <c r="A755" s="8" t="s">
        <v>350</v>
      </c>
      <c r="B755" s="17" t="s">
        <v>64</v>
      </c>
      <c r="C755" t="s">
        <v>354</v>
      </c>
      <c r="D755" s="13" t="s">
        <v>51</v>
      </c>
      <c r="E755" t="s">
        <v>323</v>
      </c>
      <c r="F755" t="s">
        <v>324</v>
      </c>
      <c r="G755">
        <v>-10</v>
      </c>
      <c r="H755">
        <v>0</v>
      </c>
      <c r="I755">
        <v>0</v>
      </c>
      <c r="J755">
        <v>0.45</v>
      </c>
      <c r="K755">
        <v>-10</v>
      </c>
      <c r="L755">
        <v>0</v>
      </c>
      <c r="M755">
        <v>0</v>
      </c>
      <c r="N755" s="26" t="s">
        <v>362</v>
      </c>
      <c r="O755">
        <v>1.2</v>
      </c>
      <c r="P755"/>
      <c r="Q755">
        <v>0.12</v>
      </c>
      <c r="R755" s="26">
        <v>0.42780127748582503</v>
      </c>
      <c r="S755" s="3" t="str">
        <f>VLOOKUP($E755,'[1]Product Naming'!$A$1:$P$58,2)</f>
        <v>Octane</v>
      </c>
      <c r="T755" s="3" t="str">
        <f>VLOOKUP($E755,'[1]Product Naming'!$A$1:$P$58,3)</f>
        <v>Octane</v>
      </c>
      <c r="U755" s="3" t="str">
        <f>VLOOKUP($E755,'[1]Product Naming'!$A$1:$P$58,4)</f>
        <v>E</v>
      </c>
      <c r="V755" s="3" t="str">
        <f>VLOOKUP($E755,'[1]Product Naming'!$A$1:$P$58,5)</f>
        <v>C8H18</v>
      </c>
      <c r="W755" s="3">
        <f>VLOOKUP($E755,'[1]Product Naming'!$A$1:$P$58,6)</f>
        <v>8</v>
      </c>
      <c r="X755" s="3">
        <f>VLOOKUP($E755,'[1]Product Naming'!$A$1:$P$58,7)</f>
        <v>18</v>
      </c>
      <c r="Y755" s="3">
        <f>VLOOKUP($E755,'[1]Product Naming'!$A$1:$P$58,8)</f>
        <v>0</v>
      </c>
      <c r="Z755" s="3">
        <f>VLOOKUP($E755,'[1]Product Naming'!$A$1:$P$58,9)</f>
        <v>0</v>
      </c>
      <c r="AA755" s="3">
        <f>VLOOKUP($E755,'[1]Product Naming'!$A$1:$P$58,10)</f>
        <v>0</v>
      </c>
      <c r="AB755" s="3">
        <f>VLOOKUP($E755,'[1]Product Naming'!$A$1:$P$58,11)</f>
        <v>6.25</v>
      </c>
      <c r="AC755" s="3">
        <f>VLOOKUP($E755,'[1]Product Naming'!$A$1:$P$58,12)</f>
        <v>114.22672</v>
      </c>
      <c r="AD755" s="3">
        <f>VLOOKUP($E755,'[1]Product Naming'!$A$1:$P$58,13)</f>
        <v>126</v>
      </c>
      <c r="AE755" s="3" t="str">
        <f>VLOOKUP($E755,'[1]Product Naming'!$A$1:$P$58,14)</f>
        <v>Hydrocarbon (alkane)</v>
      </c>
      <c r="AF755" s="3" t="str">
        <f>VLOOKUP($E755,'[1]Product Naming'!$A$1:$P$58,15)</f>
        <v>Acetyl-CoA + Succinyl-CoA</v>
      </c>
      <c r="AG755" s="3" t="str">
        <f>VLOOKUP($E755,'[1]Product Naming'!$A$1:$P$58,16)</f>
        <v>Proton symporter</v>
      </c>
      <c r="AH755" s="3" t="str">
        <f>VLOOKUP($E755,'[1]Product Naming'!$A$1:$Q$58,17)</f>
        <v>octn_c</v>
      </c>
    </row>
    <row r="756" spans="1:34" hidden="1" x14ac:dyDescent="0.2">
      <c r="A756" s="16" t="s">
        <v>63</v>
      </c>
      <c r="B756" s="17" t="s">
        <v>64</v>
      </c>
      <c r="C756" t="s">
        <v>69</v>
      </c>
      <c r="D756" s="18" t="s">
        <v>66</v>
      </c>
      <c r="E756" t="s">
        <v>323</v>
      </c>
      <c r="F756" t="s">
        <v>324</v>
      </c>
      <c r="G756">
        <v>-10</v>
      </c>
      <c r="H756">
        <v>0</v>
      </c>
      <c r="I756">
        <v>-20</v>
      </c>
      <c r="J756">
        <v>0.45</v>
      </c>
      <c r="K756">
        <v>-10</v>
      </c>
      <c r="L756">
        <v>0</v>
      </c>
      <c r="M756">
        <v>-20</v>
      </c>
      <c r="N756">
        <v>0.39999999999997499</v>
      </c>
      <c r="O756">
        <v>1.2</v>
      </c>
      <c r="P756"/>
      <c r="Q756">
        <v>0.12</v>
      </c>
      <c r="R756" s="19">
        <v>0.42768194695787798</v>
      </c>
      <c r="S756" s="11" t="s">
        <v>323</v>
      </c>
      <c r="T756" s="2" t="s">
        <v>323</v>
      </c>
      <c r="U756" s="3" t="s">
        <v>106</v>
      </c>
      <c r="V756" s="2" t="s">
        <v>325</v>
      </c>
      <c r="W756" s="2">
        <v>8</v>
      </c>
      <c r="X756" s="2">
        <v>18</v>
      </c>
      <c r="Y756" s="2">
        <v>0</v>
      </c>
      <c r="Z756" s="2">
        <v>0</v>
      </c>
      <c r="AA756" s="2">
        <v>0</v>
      </c>
      <c r="AB756" s="12">
        <f>(W756*4+X756*1+Y756*-2+Z756*-3)/W756</f>
        <v>6.25</v>
      </c>
      <c r="AC756" s="3">
        <f>W756*12.0107+X756*1.00784+Y756*15.999+Z756*14.0067</f>
        <v>114.22672</v>
      </c>
      <c r="AD756" s="12">
        <v>126</v>
      </c>
      <c r="AE756" s="3" t="s">
        <v>321</v>
      </c>
      <c r="AF756" s="2" t="s">
        <v>313</v>
      </c>
      <c r="AG756" s="2" t="str">
        <f>IF(AD756&gt;37,"Proton symporter", "Diffusion")</f>
        <v>Proton symporter</v>
      </c>
      <c r="AH756" s="3" t="s">
        <v>326</v>
      </c>
    </row>
    <row r="757" spans="1:34" hidden="1" x14ac:dyDescent="0.2">
      <c r="A757" s="8" t="s">
        <v>350</v>
      </c>
      <c r="B757" s="17" t="s">
        <v>64</v>
      </c>
      <c r="C757" t="s">
        <v>351</v>
      </c>
      <c r="D757" s="13" t="s">
        <v>51</v>
      </c>
      <c r="E757" t="s">
        <v>327</v>
      </c>
      <c r="F757" t="s">
        <v>328</v>
      </c>
      <c r="G757">
        <v>-10</v>
      </c>
      <c r="H757">
        <v>0</v>
      </c>
      <c r="I757">
        <v>0</v>
      </c>
      <c r="J757">
        <v>0.45</v>
      </c>
      <c r="K757">
        <v>-10</v>
      </c>
      <c r="L757">
        <v>0</v>
      </c>
      <c r="M757">
        <v>0</v>
      </c>
      <c r="N757" s="26" t="s">
        <v>355</v>
      </c>
      <c r="O757" s="26">
        <v>1.36363636363636</v>
      </c>
      <c r="P757"/>
      <c r="Q757" s="26">
        <v>0.13636363636363599</v>
      </c>
      <c r="R757" s="26">
        <v>0.42644290567392901</v>
      </c>
      <c r="S757" s="3" t="str">
        <f>VLOOKUP($E757,'[1]Product Naming'!$A$1:$P$58,2)</f>
        <v>Heptane</v>
      </c>
      <c r="T757" s="3" t="str">
        <f>VLOOKUP($E757,'[1]Product Naming'!$A$1:$P$58,3)</f>
        <v>Heptane</v>
      </c>
      <c r="U757" s="3" t="str">
        <f>VLOOKUP($E757,'[1]Product Naming'!$A$1:$P$58,4)</f>
        <v>E</v>
      </c>
      <c r="V757" s="3" t="str">
        <f>VLOOKUP($E757,'[1]Product Naming'!$A$1:$P$58,5)</f>
        <v>C7H16</v>
      </c>
      <c r="W757" s="3">
        <f>VLOOKUP($E757,'[1]Product Naming'!$A$1:$P$58,6)</f>
        <v>7</v>
      </c>
      <c r="X757" s="3">
        <f>VLOOKUP($E757,'[1]Product Naming'!$A$1:$P$58,7)</f>
        <v>16</v>
      </c>
      <c r="Y757" s="3">
        <f>VLOOKUP($E757,'[1]Product Naming'!$A$1:$P$58,8)</f>
        <v>0</v>
      </c>
      <c r="Z757" s="3">
        <f>VLOOKUP($E757,'[1]Product Naming'!$A$1:$P$58,9)</f>
        <v>0</v>
      </c>
      <c r="AA757" s="3">
        <f>VLOOKUP($E757,'[1]Product Naming'!$A$1:$P$58,10)</f>
        <v>0</v>
      </c>
      <c r="AB757" s="3">
        <f>VLOOKUP($E757,'[1]Product Naming'!$A$1:$P$58,11)</f>
        <v>6.2857142857142856</v>
      </c>
      <c r="AC757" s="3">
        <f>VLOOKUP($E757,'[1]Product Naming'!$A$1:$P$58,12)</f>
        <v>100.20034</v>
      </c>
      <c r="AD757" s="3">
        <f>VLOOKUP($E757,'[1]Product Naming'!$A$1:$P$58,13)</f>
        <v>98</v>
      </c>
      <c r="AE757" s="3" t="str">
        <f>VLOOKUP($E757,'[1]Product Naming'!$A$1:$P$58,14)</f>
        <v>Hydrocarbon (alkane)</v>
      </c>
      <c r="AF757" s="3" t="str">
        <f>VLOOKUP($E757,'[1]Product Naming'!$A$1:$P$58,15)</f>
        <v>Acetyl-CoA</v>
      </c>
      <c r="AG757" s="3" t="str">
        <f>VLOOKUP($E757,'[1]Product Naming'!$A$1:$P$58,16)</f>
        <v>Proton symporter</v>
      </c>
      <c r="AH757" s="3" t="str">
        <f>VLOOKUP($E757,'[1]Product Naming'!$A$1:$Q$58,17)</f>
        <v>hept_c</v>
      </c>
    </row>
    <row r="758" spans="1:34" hidden="1" x14ac:dyDescent="0.2">
      <c r="A758" s="8" t="s">
        <v>350</v>
      </c>
      <c r="B758" s="17" t="s">
        <v>64</v>
      </c>
      <c r="C758" t="s">
        <v>352</v>
      </c>
      <c r="D758" s="13" t="s">
        <v>51</v>
      </c>
      <c r="E758" t="s">
        <v>327</v>
      </c>
      <c r="F758" t="s">
        <v>328</v>
      </c>
      <c r="G758">
        <v>-10</v>
      </c>
      <c r="H758">
        <v>0</v>
      </c>
      <c r="I758">
        <v>0</v>
      </c>
      <c r="J758">
        <v>0.45</v>
      </c>
      <c r="K758">
        <v>-10</v>
      </c>
      <c r="L758">
        <v>0</v>
      </c>
      <c r="M758">
        <v>0</v>
      </c>
      <c r="N758" s="26" t="s">
        <v>356</v>
      </c>
      <c r="O758" s="26">
        <v>1.36363636363636</v>
      </c>
      <c r="P758"/>
      <c r="Q758" s="26">
        <v>0.13636363636363599</v>
      </c>
      <c r="R758" s="26">
        <v>0.42644290567392901</v>
      </c>
      <c r="S758" s="3" t="str">
        <f>VLOOKUP($E758,'[1]Product Naming'!$A$1:$P$58,2)</f>
        <v>Heptane</v>
      </c>
      <c r="T758" s="3" t="str">
        <f>VLOOKUP($E758,'[1]Product Naming'!$A$1:$P$58,3)</f>
        <v>Heptane</v>
      </c>
      <c r="U758" s="3" t="str">
        <f>VLOOKUP($E758,'[1]Product Naming'!$A$1:$P$58,4)</f>
        <v>E</v>
      </c>
      <c r="V758" s="3" t="str">
        <f>VLOOKUP($E758,'[1]Product Naming'!$A$1:$P$58,5)</f>
        <v>C7H16</v>
      </c>
      <c r="W758" s="3">
        <f>VLOOKUP($E758,'[1]Product Naming'!$A$1:$P$58,6)</f>
        <v>7</v>
      </c>
      <c r="X758" s="3">
        <f>VLOOKUP($E758,'[1]Product Naming'!$A$1:$P$58,7)</f>
        <v>16</v>
      </c>
      <c r="Y758" s="3">
        <f>VLOOKUP($E758,'[1]Product Naming'!$A$1:$P$58,8)</f>
        <v>0</v>
      </c>
      <c r="Z758" s="3">
        <f>VLOOKUP($E758,'[1]Product Naming'!$A$1:$P$58,9)</f>
        <v>0</v>
      </c>
      <c r="AA758" s="3">
        <f>VLOOKUP($E758,'[1]Product Naming'!$A$1:$P$58,10)</f>
        <v>0</v>
      </c>
      <c r="AB758" s="3">
        <f>VLOOKUP($E758,'[1]Product Naming'!$A$1:$P$58,11)</f>
        <v>6.2857142857142856</v>
      </c>
      <c r="AC758" s="3">
        <f>VLOOKUP($E758,'[1]Product Naming'!$A$1:$P$58,12)</f>
        <v>100.20034</v>
      </c>
      <c r="AD758" s="3">
        <f>VLOOKUP($E758,'[1]Product Naming'!$A$1:$P$58,13)</f>
        <v>98</v>
      </c>
      <c r="AE758" s="3" t="str">
        <f>VLOOKUP($E758,'[1]Product Naming'!$A$1:$P$58,14)</f>
        <v>Hydrocarbon (alkane)</v>
      </c>
      <c r="AF758" s="3" t="str">
        <f>VLOOKUP($E758,'[1]Product Naming'!$A$1:$P$58,15)</f>
        <v>Acetyl-CoA</v>
      </c>
      <c r="AG758" s="3" t="str">
        <f>VLOOKUP($E758,'[1]Product Naming'!$A$1:$P$58,16)</f>
        <v>Proton symporter</v>
      </c>
      <c r="AH758" s="3" t="str">
        <f>VLOOKUP($E758,'[1]Product Naming'!$A$1:$Q$58,17)</f>
        <v>hept_c</v>
      </c>
    </row>
    <row r="759" spans="1:34" hidden="1" x14ac:dyDescent="0.2">
      <c r="A759" s="8" t="s">
        <v>350</v>
      </c>
      <c r="B759" s="17" t="s">
        <v>64</v>
      </c>
      <c r="C759" t="s">
        <v>353</v>
      </c>
      <c r="D759" s="13" t="s">
        <v>51</v>
      </c>
      <c r="E759" t="s">
        <v>327</v>
      </c>
      <c r="F759" t="s">
        <v>328</v>
      </c>
      <c r="G759">
        <v>-10</v>
      </c>
      <c r="H759">
        <v>0</v>
      </c>
      <c r="I759">
        <v>0</v>
      </c>
      <c r="J759">
        <v>0.45</v>
      </c>
      <c r="K759">
        <v>-10</v>
      </c>
      <c r="L759">
        <v>0</v>
      </c>
      <c r="M759">
        <v>0</v>
      </c>
      <c r="N759" s="26" t="s">
        <v>357</v>
      </c>
      <c r="O759" s="26">
        <v>1.36363636363636</v>
      </c>
      <c r="P759"/>
      <c r="Q759" s="26">
        <v>0.13636363636363599</v>
      </c>
      <c r="R759" s="26">
        <v>0.42644290567392901</v>
      </c>
      <c r="S759" s="3" t="str">
        <f>VLOOKUP($E759,'[1]Product Naming'!$A$1:$P$58,2)</f>
        <v>Heptane</v>
      </c>
      <c r="T759" s="3" t="str">
        <f>VLOOKUP($E759,'[1]Product Naming'!$A$1:$P$58,3)</f>
        <v>Heptane</v>
      </c>
      <c r="U759" s="3" t="str">
        <f>VLOOKUP($E759,'[1]Product Naming'!$A$1:$P$58,4)</f>
        <v>E</v>
      </c>
      <c r="V759" s="3" t="str">
        <f>VLOOKUP($E759,'[1]Product Naming'!$A$1:$P$58,5)</f>
        <v>C7H16</v>
      </c>
      <c r="W759" s="3">
        <f>VLOOKUP($E759,'[1]Product Naming'!$A$1:$P$58,6)</f>
        <v>7</v>
      </c>
      <c r="X759" s="3">
        <f>VLOOKUP($E759,'[1]Product Naming'!$A$1:$P$58,7)</f>
        <v>16</v>
      </c>
      <c r="Y759" s="3">
        <f>VLOOKUP($E759,'[1]Product Naming'!$A$1:$P$58,8)</f>
        <v>0</v>
      </c>
      <c r="Z759" s="3">
        <f>VLOOKUP($E759,'[1]Product Naming'!$A$1:$P$58,9)</f>
        <v>0</v>
      </c>
      <c r="AA759" s="3">
        <f>VLOOKUP($E759,'[1]Product Naming'!$A$1:$P$58,10)</f>
        <v>0</v>
      </c>
      <c r="AB759" s="3">
        <f>VLOOKUP($E759,'[1]Product Naming'!$A$1:$P$58,11)</f>
        <v>6.2857142857142856</v>
      </c>
      <c r="AC759" s="3">
        <f>VLOOKUP($E759,'[1]Product Naming'!$A$1:$P$58,12)</f>
        <v>100.20034</v>
      </c>
      <c r="AD759" s="3">
        <f>VLOOKUP($E759,'[1]Product Naming'!$A$1:$P$58,13)</f>
        <v>98</v>
      </c>
      <c r="AE759" s="3" t="str">
        <f>VLOOKUP($E759,'[1]Product Naming'!$A$1:$P$58,14)</f>
        <v>Hydrocarbon (alkane)</v>
      </c>
      <c r="AF759" s="3" t="str">
        <f>VLOOKUP($E759,'[1]Product Naming'!$A$1:$P$58,15)</f>
        <v>Acetyl-CoA</v>
      </c>
      <c r="AG759" s="3" t="str">
        <f>VLOOKUP($E759,'[1]Product Naming'!$A$1:$P$58,16)</f>
        <v>Proton symporter</v>
      </c>
      <c r="AH759" s="3" t="str">
        <f>VLOOKUP($E759,'[1]Product Naming'!$A$1:$Q$58,17)</f>
        <v>hept_c</v>
      </c>
    </row>
    <row r="760" spans="1:34" hidden="1" x14ac:dyDescent="0.2">
      <c r="A760" s="8" t="s">
        <v>350</v>
      </c>
      <c r="B760" s="17" t="s">
        <v>64</v>
      </c>
      <c r="C760" t="s">
        <v>354</v>
      </c>
      <c r="D760" s="13" t="s">
        <v>51</v>
      </c>
      <c r="E760" t="s">
        <v>327</v>
      </c>
      <c r="F760" t="s">
        <v>328</v>
      </c>
      <c r="G760">
        <v>-10</v>
      </c>
      <c r="H760">
        <v>0</v>
      </c>
      <c r="I760">
        <v>0</v>
      </c>
      <c r="J760">
        <v>0.45</v>
      </c>
      <c r="K760">
        <v>-10</v>
      </c>
      <c r="L760">
        <v>0</v>
      </c>
      <c r="M760">
        <v>0</v>
      </c>
      <c r="N760" s="26" t="s">
        <v>357</v>
      </c>
      <c r="O760" s="26">
        <v>1.36363636363636</v>
      </c>
      <c r="P760"/>
      <c r="Q760" s="26">
        <v>0.13636363636363599</v>
      </c>
      <c r="R760" s="26">
        <v>0.42644290567392901</v>
      </c>
      <c r="S760" s="3" t="str">
        <f>VLOOKUP($E760,'[1]Product Naming'!$A$1:$P$58,2)</f>
        <v>Heptane</v>
      </c>
      <c r="T760" s="3" t="str">
        <f>VLOOKUP($E760,'[1]Product Naming'!$A$1:$P$58,3)</f>
        <v>Heptane</v>
      </c>
      <c r="U760" s="3" t="str">
        <f>VLOOKUP($E760,'[1]Product Naming'!$A$1:$P$58,4)</f>
        <v>E</v>
      </c>
      <c r="V760" s="3" t="str">
        <f>VLOOKUP($E760,'[1]Product Naming'!$A$1:$P$58,5)</f>
        <v>C7H16</v>
      </c>
      <c r="W760" s="3">
        <f>VLOOKUP($E760,'[1]Product Naming'!$A$1:$P$58,6)</f>
        <v>7</v>
      </c>
      <c r="X760" s="3">
        <f>VLOOKUP($E760,'[1]Product Naming'!$A$1:$P$58,7)</f>
        <v>16</v>
      </c>
      <c r="Y760" s="3">
        <f>VLOOKUP($E760,'[1]Product Naming'!$A$1:$P$58,8)</f>
        <v>0</v>
      </c>
      <c r="Z760" s="3">
        <f>VLOOKUP($E760,'[1]Product Naming'!$A$1:$P$58,9)</f>
        <v>0</v>
      </c>
      <c r="AA760" s="3">
        <f>VLOOKUP($E760,'[1]Product Naming'!$A$1:$P$58,10)</f>
        <v>0</v>
      </c>
      <c r="AB760" s="3">
        <f>VLOOKUP($E760,'[1]Product Naming'!$A$1:$P$58,11)</f>
        <v>6.2857142857142856</v>
      </c>
      <c r="AC760" s="3">
        <f>VLOOKUP($E760,'[1]Product Naming'!$A$1:$P$58,12)</f>
        <v>100.20034</v>
      </c>
      <c r="AD760" s="3">
        <f>VLOOKUP($E760,'[1]Product Naming'!$A$1:$P$58,13)</f>
        <v>98</v>
      </c>
      <c r="AE760" s="3" t="str">
        <f>VLOOKUP($E760,'[1]Product Naming'!$A$1:$P$58,14)</f>
        <v>Hydrocarbon (alkane)</v>
      </c>
      <c r="AF760" s="3" t="str">
        <f>VLOOKUP($E760,'[1]Product Naming'!$A$1:$P$58,15)</f>
        <v>Acetyl-CoA</v>
      </c>
      <c r="AG760" s="3" t="str">
        <f>VLOOKUP($E760,'[1]Product Naming'!$A$1:$P$58,16)</f>
        <v>Proton symporter</v>
      </c>
      <c r="AH760" s="3" t="str">
        <f>VLOOKUP($E760,'[1]Product Naming'!$A$1:$Q$58,17)</f>
        <v>hept_c</v>
      </c>
    </row>
    <row r="761" spans="1:34" hidden="1" x14ac:dyDescent="0.2">
      <c r="A761" s="16" t="s">
        <v>63</v>
      </c>
      <c r="B761" s="17" t="s">
        <v>64</v>
      </c>
      <c r="C761" t="s">
        <v>69</v>
      </c>
      <c r="D761" s="18" t="s">
        <v>66</v>
      </c>
      <c r="E761" t="s">
        <v>327</v>
      </c>
      <c r="F761" t="s">
        <v>328</v>
      </c>
      <c r="G761">
        <v>-10</v>
      </c>
      <c r="H761">
        <v>0</v>
      </c>
      <c r="I761">
        <v>-20</v>
      </c>
      <c r="J761">
        <v>0.45</v>
      </c>
      <c r="K761">
        <v>-10</v>
      </c>
      <c r="L761">
        <v>0</v>
      </c>
      <c r="M761">
        <v>-20</v>
      </c>
      <c r="N761">
        <v>0.45454545454545903</v>
      </c>
      <c r="O761">
        <v>1.36363636363636</v>
      </c>
      <c r="P761"/>
      <c r="Q761">
        <v>0.13636363636363599</v>
      </c>
      <c r="R761" s="19">
        <v>0.42632395404906998</v>
      </c>
      <c r="S761" s="20" t="s">
        <v>327</v>
      </c>
      <c r="T761" s="3" t="s">
        <v>327</v>
      </c>
      <c r="U761" s="3" t="s">
        <v>106</v>
      </c>
      <c r="V761" s="3" t="s">
        <v>329</v>
      </c>
      <c r="W761" s="3">
        <v>7</v>
      </c>
      <c r="X761" s="3">
        <v>16</v>
      </c>
      <c r="Y761" s="3">
        <v>0</v>
      </c>
      <c r="Z761" s="3">
        <v>0</v>
      </c>
      <c r="AA761" s="3">
        <v>0</v>
      </c>
      <c r="AB761" s="12">
        <f>(W761*4+X761*1+Y761*-2+Z761*-3)/W761</f>
        <v>6.2857142857142856</v>
      </c>
      <c r="AC761" s="3">
        <f>W761*12.0107+X761*1.00784+Y761*15.999+Z761*14.0067</f>
        <v>100.20034</v>
      </c>
      <c r="AD761" s="3">
        <v>98</v>
      </c>
      <c r="AE761" s="3" t="s">
        <v>321</v>
      </c>
      <c r="AF761" s="2" t="s">
        <v>79</v>
      </c>
      <c r="AG761" s="2" t="str">
        <f>IF(AD761&gt;37,"Proton symporter", "Diffusion")</f>
        <v>Proton symporter</v>
      </c>
      <c r="AH761" s="3" t="s">
        <v>330</v>
      </c>
    </row>
    <row r="762" spans="1:34" hidden="1" x14ac:dyDescent="0.2">
      <c r="A762" s="8" t="s">
        <v>34</v>
      </c>
      <c r="B762" s="9" t="s">
        <v>35</v>
      </c>
      <c r="C762" s="1" t="s">
        <v>47</v>
      </c>
      <c r="D762" s="10" t="s">
        <v>37</v>
      </c>
      <c r="E762" s="1" t="s">
        <v>279</v>
      </c>
      <c r="F762" s="1" t="s">
        <v>280</v>
      </c>
      <c r="G762" s="1">
        <v>-10</v>
      </c>
      <c r="H762" s="1">
        <v>-20</v>
      </c>
      <c r="I762" s="1" t="s">
        <v>40</v>
      </c>
      <c r="J762" s="1">
        <v>3.15</v>
      </c>
      <c r="K762" s="1">
        <v>-10</v>
      </c>
      <c r="L762" s="1">
        <v>-5.1897727272727296</v>
      </c>
      <c r="M762" s="1" t="s">
        <v>40</v>
      </c>
      <c r="N762" s="1">
        <v>6.7931818181818198</v>
      </c>
      <c r="O762" s="1">
        <v>4.40227272727273</v>
      </c>
      <c r="Q762" s="1">
        <v>0.44022727272727302</v>
      </c>
      <c r="R762" s="1">
        <v>0.42623607114902201</v>
      </c>
      <c r="S762" s="20" t="s">
        <v>281</v>
      </c>
      <c r="T762" s="3" t="s">
        <v>282</v>
      </c>
      <c r="U762" s="3" t="s">
        <v>174</v>
      </c>
      <c r="V762" s="3" t="s">
        <v>283</v>
      </c>
      <c r="W762" s="3">
        <v>3</v>
      </c>
      <c r="X762" s="3">
        <v>8</v>
      </c>
      <c r="Y762" s="3">
        <v>1</v>
      </c>
      <c r="Z762" s="3">
        <v>0</v>
      </c>
      <c r="AA762" s="3">
        <v>0</v>
      </c>
      <c r="AB762" s="12">
        <f>(W762*4+X762*1+Y762*-2+Z762*-3)/W762</f>
        <v>6</v>
      </c>
      <c r="AC762" s="3">
        <f>W762*12.0107+X762*1.00784+Y762*15.999+Z762*14.0067</f>
        <v>60.093820000000001</v>
      </c>
      <c r="AD762" s="12">
        <v>97</v>
      </c>
      <c r="AE762" s="2" t="s">
        <v>262</v>
      </c>
      <c r="AF762" s="2" t="s">
        <v>284</v>
      </c>
      <c r="AG762" s="2" t="str">
        <f>IF(AD762&gt;37,"Proton symporter", "Diffusion")</f>
        <v>Proton symporter</v>
      </c>
      <c r="AH762" s="3" t="s">
        <v>285</v>
      </c>
    </row>
    <row r="763" spans="1:34" hidden="1" x14ac:dyDescent="0.2">
      <c r="A763" s="8" t="s">
        <v>34</v>
      </c>
      <c r="B763" s="9" t="s">
        <v>35</v>
      </c>
      <c r="C763" s="1" t="s">
        <v>62</v>
      </c>
      <c r="D763" s="15" t="s">
        <v>55</v>
      </c>
      <c r="E763" s="1" t="s">
        <v>279</v>
      </c>
      <c r="F763" s="1" t="s">
        <v>280</v>
      </c>
      <c r="G763" s="1">
        <v>-10</v>
      </c>
      <c r="H763" s="1">
        <v>-20</v>
      </c>
      <c r="I763" s="1" t="s">
        <v>40</v>
      </c>
      <c r="J763" s="1">
        <v>3.15</v>
      </c>
      <c r="K763" s="1">
        <v>-10</v>
      </c>
      <c r="L763" s="1">
        <v>-2.0975000000000099</v>
      </c>
      <c r="M763" s="1" t="s">
        <v>40</v>
      </c>
      <c r="N763" s="1">
        <v>18.065000000000001</v>
      </c>
      <c r="O763" s="1">
        <v>10.645</v>
      </c>
      <c r="Q763" s="1">
        <v>1.0645</v>
      </c>
      <c r="R763" s="1">
        <v>0.42609652561113698</v>
      </c>
      <c r="S763" s="20" t="s">
        <v>281</v>
      </c>
      <c r="T763" s="3" t="s">
        <v>282</v>
      </c>
      <c r="U763" s="3" t="s">
        <v>174</v>
      </c>
      <c r="V763" s="3" t="s">
        <v>283</v>
      </c>
      <c r="W763" s="3">
        <v>3</v>
      </c>
      <c r="X763" s="3">
        <v>8</v>
      </c>
      <c r="Y763" s="3">
        <v>1</v>
      </c>
      <c r="Z763" s="3">
        <v>0</v>
      </c>
      <c r="AA763" s="3">
        <v>0</v>
      </c>
      <c r="AB763" s="12">
        <f>(W763*4+X763*1+Y763*-2+Z763*-3)/W763</f>
        <v>6</v>
      </c>
      <c r="AC763" s="3">
        <f>W763*12.0107+X763*1.00784+Y763*15.999+Z763*14.0067</f>
        <v>60.093820000000001</v>
      </c>
      <c r="AD763" s="12">
        <v>97</v>
      </c>
      <c r="AE763" s="2" t="s">
        <v>262</v>
      </c>
      <c r="AF763" s="2" t="s">
        <v>284</v>
      </c>
      <c r="AG763" s="2" t="str">
        <f>IF(AD763&gt;37,"Proton symporter", "Diffusion")</f>
        <v>Proton symporter</v>
      </c>
      <c r="AH763" s="3" t="s">
        <v>285</v>
      </c>
    </row>
    <row r="764" spans="1:34" hidden="1" x14ac:dyDescent="0.2">
      <c r="A764" s="8" t="s">
        <v>34</v>
      </c>
      <c r="B764" s="9" t="s">
        <v>35</v>
      </c>
      <c r="C764" s="1" t="s">
        <v>58</v>
      </c>
      <c r="D764" s="10" t="s">
        <v>37</v>
      </c>
      <c r="E764" s="1" t="s">
        <v>146</v>
      </c>
      <c r="F764" s="1" t="s">
        <v>147</v>
      </c>
      <c r="G764" s="1">
        <v>-10</v>
      </c>
      <c r="H764" s="1">
        <v>-20</v>
      </c>
      <c r="I764" s="1" t="s">
        <v>40</v>
      </c>
      <c r="J764" s="1">
        <v>3.15</v>
      </c>
      <c r="K764" s="1">
        <v>-10</v>
      </c>
      <c r="L764" s="1">
        <v>-5.1038664323374299</v>
      </c>
      <c r="M764" s="1" t="s">
        <v>40</v>
      </c>
      <c r="N764" s="1">
        <v>5.8878734622144098</v>
      </c>
      <c r="O764" s="1">
        <v>1.56801405975395</v>
      </c>
      <c r="Q764" s="1">
        <v>0.15680140597539499</v>
      </c>
      <c r="R764" s="1">
        <v>0.42599520426175402</v>
      </c>
      <c r="S764" s="20" t="s">
        <v>148</v>
      </c>
      <c r="T764" s="3" t="s">
        <v>148</v>
      </c>
      <c r="U764" s="3" t="s">
        <v>106</v>
      </c>
      <c r="V764" s="3" t="s">
        <v>149</v>
      </c>
      <c r="W764" s="3">
        <v>9</v>
      </c>
      <c r="X764" s="3">
        <v>7</v>
      </c>
      <c r="Y764" s="3">
        <v>3</v>
      </c>
      <c r="Z764" s="3">
        <v>0</v>
      </c>
      <c r="AA764" s="3">
        <v>-1</v>
      </c>
      <c r="AB764" s="12">
        <f>(W764*4+X764*1+Y764*-2+Z764*-3)/W764</f>
        <v>4.1111111111111107</v>
      </c>
      <c r="AC764" s="3">
        <f>W764*12.0107+X764*1.00784+Y764*15.999+Z764*14.0067</f>
        <v>163.14818</v>
      </c>
      <c r="AD764" s="12">
        <v>346</v>
      </c>
      <c r="AE764" s="22" t="s">
        <v>139</v>
      </c>
      <c r="AF764" s="2" t="s">
        <v>150</v>
      </c>
      <c r="AG764" s="2" t="str">
        <f>IF(AD764&gt;37,"Proton symporter", "Diffusion")</f>
        <v>Proton symporter</v>
      </c>
      <c r="AH764" s="3" t="s">
        <v>151</v>
      </c>
    </row>
    <row r="765" spans="1:34" hidden="1" x14ac:dyDescent="0.2">
      <c r="A765" s="8" t="s">
        <v>350</v>
      </c>
      <c r="B765" s="17" t="s">
        <v>64</v>
      </c>
      <c r="C765" t="s">
        <v>352</v>
      </c>
      <c r="D765" s="13" t="s">
        <v>51</v>
      </c>
      <c r="E765" t="s">
        <v>331</v>
      </c>
      <c r="F765" t="s">
        <v>332</v>
      </c>
      <c r="G765">
        <v>-10</v>
      </c>
      <c r="H765">
        <v>0</v>
      </c>
      <c r="I765">
        <v>0</v>
      </c>
      <c r="J765">
        <v>0.45</v>
      </c>
      <c r="K765">
        <v>-10</v>
      </c>
      <c r="L765">
        <v>0</v>
      </c>
      <c r="M765">
        <v>0</v>
      </c>
      <c r="N765" s="26" t="s">
        <v>358</v>
      </c>
      <c r="O765" s="26">
        <v>1.57894736842105</v>
      </c>
      <c r="P765"/>
      <c r="Q765" s="26">
        <v>0.157894736842105</v>
      </c>
      <c r="R765" s="26">
        <v>0.42465557434248702</v>
      </c>
      <c r="S765" s="3" t="str">
        <f>VLOOKUP($E765,'[1]Product Naming'!$A$1:$P$58,2)</f>
        <v>Hexane</v>
      </c>
      <c r="T765" s="3" t="str">
        <f>VLOOKUP($E765,'[1]Product Naming'!$A$1:$P$58,3)</f>
        <v>Hexane</v>
      </c>
      <c r="U765" s="3" t="str">
        <f>VLOOKUP($E765,'[1]Product Naming'!$A$1:$P$58,4)</f>
        <v>E</v>
      </c>
      <c r="V765" s="3" t="str">
        <f>VLOOKUP($E765,'[1]Product Naming'!$A$1:$P$58,5)</f>
        <v>C6H14</v>
      </c>
      <c r="W765" s="3">
        <f>VLOOKUP($E765,'[1]Product Naming'!$A$1:$P$58,6)</f>
        <v>6</v>
      </c>
      <c r="X765" s="3">
        <f>VLOOKUP($E765,'[1]Product Naming'!$A$1:$P$58,7)</f>
        <v>14</v>
      </c>
      <c r="Y765" s="3">
        <f>VLOOKUP($E765,'[1]Product Naming'!$A$1:$P$58,8)</f>
        <v>0</v>
      </c>
      <c r="Z765" s="3">
        <f>VLOOKUP($E765,'[1]Product Naming'!$A$1:$P$58,9)</f>
        <v>0</v>
      </c>
      <c r="AA765" s="3">
        <f>VLOOKUP($E765,'[1]Product Naming'!$A$1:$P$58,10)</f>
        <v>0</v>
      </c>
      <c r="AB765" s="3">
        <f>VLOOKUP($E765,'[1]Product Naming'!$A$1:$P$58,11)</f>
        <v>6.333333333333333</v>
      </c>
      <c r="AC765" s="3">
        <f>VLOOKUP($E765,'[1]Product Naming'!$A$1:$P$58,12)</f>
        <v>86.173959999999994</v>
      </c>
      <c r="AD765" s="3">
        <f>VLOOKUP($E765,'[1]Product Naming'!$A$1:$P$58,13)</f>
        <v>69</v>
      </c>
      <c r="AE765" s="3" t="str">
        <f>VLOOKUP($E765,'[1]Product Naming'!$A$1:$P$58,14)</f>
        <v>Hydrocarbon (alkane)</v>
      </c>
      <c r="AF765" s="3" t="str">
        <f>VLOOKUP($E765,'[1]Product Naming'!$A$1:$P$58,15)</f>
        <v>Acetyl-CoA + Succinyl-CoA</v>
      </c>
      <c r="AG765" s="3" t="str">
        <f>VLOOKUP($E765,'[1]Product Naming'!$A$1:$P$58,16)</f>
        <v>Proton symporter</v>
      </c>
      <c r="AH765" s="3" t="str">
        <f>VLOOKUP($E765,'[1]Product Naming'!$A$1:$Q$58,17)</f>
        <v>hex_c</v>
      </c>
    </row>
    <row r="766" spans="1:34" hidden="1" x14ac:dyDescent="0.2">
      <c r="A766" s="8" t="s">
        <v>350</v>
      </c>
      <c r="B766" s="17" t="s">
        <v>64</v>
      </c>
      <c r="C766" t="s">
        <v>353</v>
      </c>
      <c r="D766" s="13" t="s">
        <v>51</v>
      </c>
      <c r="E766" t="s">
        <v>331</v>
      </c>
      <c r="F766" t="s">
        <v>332</v>
      </c>
      <c r="G766">
        <v>-10</v>
      </c>
      <c r="H766">
        <v>0</v>
      </c>
      <c r="I766">
        <v>0</v>
      </c>
      <c r="J766">
        <v>0.45</v>
      </c>
      <c r="K766">
        <v>-10</v>
      </c>
      <c r="L766">
        <v>0</v>
      </c>
      <c r="M766">
        <v>0</v>
      </c>
      <c r="N766" s="26" t="s">
        <v>359</v>
      </c>
      <c r="O766" s="26">
        <v>1.57894736842105</v>
      </c>
      <c r="P766"/>
      <c r="Q766" s="26">
        <v>0.157894736842105</v>
      </c>
      <c r="R766" s="26">
        <v>0.42465557434248702</v>
      </c>
      <c r="S766" s="3" t="str">
        <f>VLOOKUP($E766,'[1]Product Naming'!$A$1:$P$58,2)</f>
        <v>Hexane</v>
      </c>
      <c r="T766" s="3" t="str">
        <f>VLOOKUP($E766,'[1]Product Naming'!$A$1:$P$58,3)</f>
        <v>Hexane</v>
      </c>
      <c r="U766" s="3" t="str">
        <f>VLOOKUP($E766,'[1]Product Naming'!$A$1:$P$58,4)</f>
        <v>E</v>
      </c>
      <c r="V766" s="3" t="str">
        <f>VLOOKUP($E766,'[1]Product Naming'!$A$1:$P$58,5)</f>
        <v>C6H14</v>
      </c>
      <c r="W766" s="3">
        <f>VLOOKUP($E766,'[1]Product Naming'!$A$1:$P$58,6)</f>
        <v>6</v>
      </c>
      <c r="X766" s="3">
        <f>VLOOKUP($E766,'[1]Product Naming'!$A$1:$P$58,7)</f>
        <v>14</v>
      </c>
      <c r="Y766" s="3">
        <f>VLOOKUP($E766,'[1]Product Naming'!$A$1:$P$58,8)</f>
        <v>0</v>
      </c>
      <c r="Z766" s="3">
        <f>VLOOKUP($E766,'[1]Product Naming'!$A$1:$P$58,9)</f>
        <v>0</v>
      </c>
      <c r="AA766" s="3">
        <f>VLOOKUP($E766,'[1]Product Naming'!$A$1:$P$58,10)</f>
        <v>0</v>
      </c>
      <c r="AB766" s="3">
        <f>VLOOKUP($E766,'[1]Product Naming'!$A$1:$P$58,11)</f>
        <v>6.333333333333333</v>
      </c>
      <c r="AC766" s="3">
        <f>VLOOKUP($E766,'[1]Product Naming'!$A$1:$P$58,12)</f>
        <v>86.173959999999994</v>
      </c>
      <c r="AD766" s="3">
        <f>VLOOKUP($E766,'[1]Product Naming'!$A$1:$P$58,13)</f>
        <v>69</v>
      </c>
      <c r="AE766" s="3" t="str">
        <f>VLOOKUP($E766,'[1]Product Naming'!$A$1:$P$58,14)</f>
        <v>Hydrocarbon (alkane)</v>
      </c>
      <c r="AF766" s="3" t="str">
        <f>VLOOKUP($E766,'[1]Product Naming'!$A$1:$P$58,15)</f>
        <v>Acetyl-CoA + Succinyl-CoA</v>
      </c>
      <c r="AG766" s="3" t="str">
        <f>VLOOKUP($E766,'[1]Product Naming'!$A$1:$P$58,16)</f>
        <v>Proton symporter</v>
      </c>
      <c r="AH766" s="3" t="str">
        <f>VLOOKUP($E766,'[1]Product Naming'!$A$1:$Q$58,17)</f>
        <v>hex_c</v>
      </c>
    </row>
    <row r="767" spans="1:34" hidden="1" x14ac:dyDescent="0.2">
      <c r="A767" s="8" t="s">
        <v>350</v>
      </c>
      <c r="B767" s="17" t="s">
        <v>64</v>
      </c>
      <c r="C767" t="s">
        <v>354</v>
      </c>
      <c r="D767" s="13" t="s">
        <v>51</v>
      </c>
      <c r="E767" t="s">
        <v>331</v>
      </c>
      <c r="F767" t="s">
        <v>332</v>
      </c>
      <c r="G767">
        <v>-10</v>
      </c>
      <c r="H767">
        <v>0</v>
      </c>
      <c r="I767">
        <v>0</v>
      </c>
      <c r="J767">
        <v>0.45</v>
      </c>
      <c r="K767">
        <v>-10</v>
      </c>
      <c r="L767">
        <v>0</v>
      </c>
      <c r="M767">
        <v>0</v>
      </c>
      <c r="N767">
        <v>0.52631578947368496</v>
      </c>
      <c r="O767" s="26">
        <v>1.57894736842105</v>
      </c>
      <c r="P767"/>
      <c r="Q767" s="26">
        <v>0.157894736842105</v>
      </c>
      <c r="R767" s="26">
        <v>0.42465557434248702</v>
      </c>
      <c r="S767" s="3" t="str">
        <f>VLOOKUP($E767,'[1]Product Naming'!$A$1:$P$58,2)</f>
        <v>Hexane</v>
      </c>
      <c r="T767" s="3" t="str">
        <f>VLOOKUP($E767,'[1]Product Naming'!$A$1:$P$58,3)</f>
        <v>Hexane</v>
      </c>
      <c r="U767" s="3" t="str">
        <f>VLOOKUP($E767,'[1]Product Naming'!$A$1:$P$58,4)</f>
        <v>E</v>
      </c>
      <c r="V767" s="3" t="str">
        <f>VLOOKUP($E767,'[1]Product Naming'!$A$1:$P$58,5)</f>
        <v>C6H14</v>
      </c>
      <c r="W767" s="3">
        <f>VLOOKUP($E767,'[1]Product Naming'!$A$1:$P$58,6)</f>
        <v>6</v>
      </c>
      <c r="X767" s="3">
        <f>VLOOKUP($E767,'[1]Product Naming'!$A$1:$P$58,7)</f>
        <v>14</v>
      </c>
      <c r="Y767" s="3">
        <f>VLOOKUP($E767,'[1]Product Naming'!$A$1:$P$58,8)</f>
        <v>0</v>
      </c>
      <c r="Z767" s="3">
        <f>VLOOKUP($E767,'[1]Product Naming'!$A$1:$P$58,9)</f>
        <v>0</v>
      </c>
      <c r="AA767" s="3">
        <f>VLOOKUP($E767,'[1]Product Naming'!$A$1:$P$58,10)</f>
        <v>0</v>
      </c>
      <c r="AB767" s="3">
        <f>VLOOKUP($E767,'[1]Product Naming'!$A$1:$P$58,11)</f>
        <v>6.333333333333333</v>
      </c>
      <c r="AC767" s="3">
        <f>VLOOKUP($E767,'[1]Product Naming'!$A$1:$P$58,12)</f>
        <v>86.173959999999994</v>
      </c>
      <c r="AD767" s="3">
        <f>VLOOKUP($E767,'[1]Product Naming'!$A$1:$P$58,13)</f>
        <v>69</v>
      </c>
      <c r="AE767" s="3" t="str">
        <f>VLOOKUP($E767,'[1]Product Naming'!$A$1:$P$58,14)</f>
        <v>Hydrocarbon (alkane)</v>
      </c>
      <c r="AF767" s="3" t="str">
        <f>VLOOKUP($E767,'[1]Product Naming'!$A$1:$P$58,15)</f>
        <v>Acetyl-CoA + Succinyl-CoA</v>
      </c>
      <c r="AG767" s="3" t="str">
        <f>VLOOKUP($E767,'[1]Product Naming'!$A$1:$P$58,16)</f>
        <v>Proton symporter</v>
      </c>
      <c r="AH767" s="3" t="str">
        <f>VLOOKUP($E767,'[1]Product Naming'!$A$1:$Q$58,17)</f>
        <v>hex_c</v>
      </c>
    </row>
    <row r="768" spans="1:34" hidden="1" x14ac:dyDescent="0.2">
      <c r="A768" s="16" t="s">
        <v>63</v>
      </c>
      <c r="B768" s="17" t="s">
        <v>64</v>
      </c>
      <c r="C768" t="s">
        <v>69</v>
      </c>
      <c r="D768" s="18" t="s">
        <v>66</v>
      </c>
      <c r="E768" t="s">
        <v>331</v>
      </c>
      <c r="F768" t="s">
        <v>332</v>
      </c>
      <c r="G768">
        <v>-10</v>
      </c>
      <c r="H768">
        <v>0</v>
      </c>
      <c r="I768">
        <v>-20</v>
      </c>
      <c r="J768">
        <v>0.45</v>
      </c>
      <c r="K768">
        <v>-10</v>
      </c>
      <c r="L768">
        <v>0</v>
      </c>
      <c r="M768">
        <v>-20</v>
      </c>
      <c r="N768">
        <v>0.52631578947367696</v>
      </c>
      <c r="O768">
        <v>1.57894736842105</v>
      </c>
      <c r="P768"/>
      <c r="Q768">
        <v>0.157894736842105</v>
      </c>
      <c r="R768" s="19">
        <v>0.42453712127432403</v>
      </c>
      <c r="S768" s="11" t="s">
        <v>331</v>
      </c>
      <c r="T768" s="2" t="s">
        <v>331</v>
      </c>
      <c r="U768" s="3" t="s">
        <v>106</v>
      </c>
      <c r="V768" s="3" t="s">
        <v>333</v>
      </c>
      <c r="W768" s="2">
        <v>6</v>
      </c>
      <c r="X768" s="2">
        <v>14</v>
      </c>
      <c r="Y768" s="2">
        <v>0</v>
      </c>
      <c r="Z768" s="2">
        <v>0</v>
      </c>
      <c r="AA768" s="2">
        <v>0</v>
      </c>
      <c r="AB768" s="12">
        <f>(W768*4+X768*1+Y768*-2+Z768*-3)/W768</f>
        <v>6.333333333333333</v>
      </c>
      <c r="AC768" s="3">
        <f>W768*12.0107+X768*1.00784+Y768*15.999+Z768*14.0067</f>
        <v>86.173959999999994</v>
      </c>
      <c r="AD768" s="12">
        <v>69</v>
      </c>
      <c r="AE768" s="3" t="s">
        <v>321</v>
      </c>
      <c r="AF768" s="2" t="s">
        <v>313</v>
      </c>
      <c r="AG768" s="2" t="str">
        <f>IF(AD768&gt;37,"Proton symporter", "Diffusion")</f>
        <v>Proton symporter</v>
      </c>
      <c r="AH768" s="3" t="s">
        <v>334</v>
      </c>
    </row>
    <row r="769" spans="1:34" hidden="1" x14ac:dyDescent="0.2">
      <c r="A769" s="8" t="s">
        <v>34</v>
      </c>
      <c r="B769" s="9" t="s">
        <v>35</v>
      </c>
      <c r="C769" s="1" t="s">
        <v>48</v>
      </c>
      <c r="D769" s="10" t="s">
        <v>37</v>
      </c>
      <c r="E769" s="1" t="s">
        <v>310</v>
      </c>
      <c r="F769" s="1" t="s">
        <v>311</v>
      </c>
      <c r="G769" s="1">
        <v>-10</v>
      </c>
      <c r="H769" s="1">
        <v>-20</v>
      </c>
      <c r="I769" s="1" t="s">
        <v>40</v>
      </c>
      <c r="J769" s="1">
        <v>3.15</v>
      </c>
      <c r="K769" s="1">
        <v>-10</v>
      </c>
      <c r="L769" s="1">
        <v>-2.59756097560975</v>
      </c>
      <c r="M769" s="1" t="s">
        <v>40</v>
      </c>
      <c r="N769" s="1">
        <v>5.0650406504065</v>
      </c>
      <c r="O769" s="1">
        <v>2.9869918699186999</v>
      </c>
      <c r="Q769" s="1">
        <v>0.29869918699186998</v>
      </c>
      <c r="R769" s="1">
        <v>0.42421200169679202</v>
      </c>
      <c r="S769" s="20" t="s">
        <v>310</v>
      </c>
      <c r="T769" s="3" t="s">
        <v>312</v>
      </c>
      <c r="U769" s="3" t="s">
        <v>106</v>
      </c>
      <c r="V769" s="3" t="s">
        <v>292</v>
      </c>
      <c r="W769" s="3">
        <v>5</v>
      </c>
      <c r="X769" s="3">
        <v>12</v>
      </c>
      <c r="Y769" s="3">
        <v>1</v>
      </c>
      <c r="Z769" s="3">
        <v>0</v>
      </c>
      <c r="AA769" s="3">
        <v>0</v>
      </c>
      <c r="AB769" s="12">
        <f>(W769*4+X769*1+Y769*-2+Z769*-3)/W769</f>
        <v>6</v>
      </c>
      <c r="AC769" s="3">
        <f>W769*12.0107+X769*1.00784+Y769*15.999+Z769*14.0067</f>
        <v>88.14658</v>
      </c>
      <c r="AD769" s="12">
        <v>138</v>
      </c>
      <c r="AE769" s="3" t="s">
        <v>262</v>
      </c>
      <c r="AF769" s="2" t="s">
        <v>313</v>
      </c>
      <c r="AG769" s="2" t="str">
        <f>IF(AD769&gt;37,"Proton symporter", "Diffusion")</f>
        <v>Proton symporter</v>
      </c>
      <c r="AH769" s="3" t="s">
        <v>314</v>
      </c>
    </row>
    <row r="770" spans="1:34" hidden="1" x14ac:dyDescent="0.2">
      <c r="A770" s="16" t="s">
        <v>63</v>
      </c>
      <c r="B770" s="17" t="s">
        <v>64</v>
      </c>
      <c r="C770" t="s">
        <v>67</v>
      </c>
      <c r="D770" s="18" t="s">
        <v>66</v>
      </c>
      <c r="E770" t="s">
        <v>249</v>
      </c>
      <c r="F770" t="s">
        <v>250</v>
      </c>
      <c r="G770">
        <v>-10</v>
      </c>
      <c r="H770">
        <v>0</v>
      </c>
      <c r="I770">
        <v>-5</v>
      </c>
      <c r="J770">
        <v>0.45</v>
      </c>
      <c r="K770">
        <v>-10</v>
      </c>
      <c r="L770">
        <v>0</v>
      </c>
      <c r="M770">
        <v>-5</v>
      </c>
      <c r="N770">
        <v>4.5454545454545396</v>
      </c>
      <c r="O770">
        <v>1.36363636363636</v>
      </c>
      <c r="P770"/>
      <c r="Q770">
        <v>0.13636363636363599</v>
      </c>
      <c r="R770">
        <v>0.42346594824885703</v>
      </c>
      <c r="S770" s="20" t="s">
        <v>251</v>
      </c>
      <c r="T770" s="3" t="s">
        <v>252</v>
      </c>
      <c r="U770" s="3" t="s">
        <v>106</v>
      </c>
      <c r="V770" s="3" t="s">
        <v>238</v>
      </c>
      <c r="W770" s="3">
        <v>4</v>
      </c>
      <c r="X770" s="3">
        <v>10</v>
      </c>
      <c r="Y770" s="3">
        <v>2</v>
      </c>
      <c r="Z770" s="3">
        <v>0</v>
      </c>
      <c r="AA770" s="3">
        <v>0</v>
      </c>
      <c r="AB770" s="12">
        <f>(W770*4+X770*1+Y770*-2+Z770*-3)/W770</f>
        <v>5.5</v>
      </c>
      <c r="AC770" s="3">
        <f>W770*12.0107+X770*1.00784+Y770*15.999+Z770*14.0067</f>
        <v>90.119200000000006</v>
      </c>
      <c r="AD770" s="12">
        <v>177</v>
      </c>
      <c r="AE770" s="3" t="s">
        <v>220</v>
      </c>
      <c r="AF770" s="3" t="s">
        <v>135</v>
      </c>
      <c r="AG770" s="2" t="str">
        <f>IF(AD770&gt;37,"Proton symporter", "Diffusion")</f>
        <v>Proton symporter</v>
      </c>
      <c r="AH770" s="3" t="s">
        <v>253</v>
      </c>
    </row>
    <row r="771" spans="1:34" hidden="1" x14ac:dyDescent="0.2">
      <c r="A771" s="16" t="s">
        <v>63</v>
      </c>
      <c r="B771" s="17" t="s">
        <v>64</v>
      </c>
      <c r="C771" t="s">
        <v>67</v>
      </c>
      <c r="D771" s="18" t="s">
        <v>66</v>
      </c>
      <c r="E771" t="s">
        <v>234</v>
      </c>
      <c r="F771" t="s">
        <v>235</v>
      </c>
      <c r="G771">
        <v>-10</v>
      </c>
      <c r="H771">
        <v>0</v>
      </c>
      <c r="I771">
        <v>-5</v>
      </c>
      <c r="J771">
        <v>0.45</v>
      </c>
      <c r="K771">
        <v>-10</v>
      </c>
      <c r="L771">
        <v>0</v>
      </c>
      <c r="M771">
        <v>-5</v>
      </c>
      <c r="N771">
        <v>4.5454545454545601</v>
      </c>
      <c r="O771">
        <v>1.36363636363636</v>
      </c>
      <c r="P771"/>
      <c r="Q771">
        <v>0.13636363636363599</v>
      </c>
      <c r="R771">
        <v>0.42346594824885597</v>
      </c>
      <c r="S771" s="20" t="s">
        <v>236</v>
      </c>
      <c r="T771" s="3" t="s">
        <v>237</v>
      </c>
      <c r="U771" s="3" t="s">
        <v>106</v>
      </c>
      <c r="V771" s="3" t="s">
        <v>238</v>
      </c>
      <c r="W771" s="3">
        <v>4</v>
      </c>
      <c r="X771" s="3">
        <v>10</v>
      </c>
      <c r="Y771" s="3">
        <v>2</v>
      </c>
      <c r="Z771" s="3">
        <v>0</v>
      </c>
      <c r="AA771" s="3">
        <v>0</v>
      </c>
      <c r="AB771" s="12">
        <f>(W771*4+X771*1+Y771*-2+Z771*-3)/W771</f>
        <v>5.5</v>
      </c>
      <c r="AC771" s="3">
        <f>W771*12.0107+X771*1.00784+Y771*15.999+Z771*14.0067</f>
        <v>90.119200000000006</v>
      </c>
      <c r="AD771" s="12">
        <v>207</v>
      </c>
      <c r="AE771" s="2" t="s">
        <v>220</v>
      </c>
      <c r="AF771" s="3" t="s">
        <v>79</v>
      </c>
      <c r="AG771" s="2" t="str">
        <f>IF(AD771&gt;37,"Proton symporter", "Diffusion")</f>
        <v>Proton symporter</v>
      </c>
      <c r="AH771" s="3" t="s">
        <v>239</v>
      </c>
    </row>
    <row r="772" spans="1:34" hidden="1" x14ac:dyDescent="0.2">
      <c r="A772" s="16" t="s">
        <v>63</v>
      </c>
      <c r="B772" s="17" t="s">
        <v>64</v>
      </c>
      <c r="C772" t="s">
        <v>67</v>
      </c>
      <c r="D772" s="18" t="s">
        <v>66</v>
      </c>
      <c r="E772" t="s">
        <v>240</v>
      </c>
      <c r="F772" t="s">
        <v>235</v>
      </c>
      <c r="G772">
        <v>-10</v>
      </c>
      <c r="H772">
        <v>0</v>
      </c>
      <c r="I772">
        <v>-5</v>
      </c>
      <c r="J772">
        <v>0.45</v>
      </c>
      <c r="K772">
        <v>-10</v>
      </c>
      <c r="L772">
        <v>0</v>
      </c>
      <c r="M772">
        <v>-5</v>
      </c>
      <c r="N772">
        <v>4.5454545454545503</v>
      </c>
      <c r="O772">
        <v>1.36363636363636</v>
      </c>
      <c r="P772"/>
      <c r="Q772">
        <v>0.13636363636363599</v>
      </c>
      <c r="R772">
        <v>0.42346594824885597</v>
      </c>
      <c r="S772" s="20" t="s">
        <v>241</v>
      </c>
      <c r="T772" s="3" t="s">
        <v>242</v>
      </c>
      <c r="U772" s="3" t="s">
        <v>106</v>
      </c>
      <c r="V772" s="3" t="s">
        <v>238</v>
      </c>
      <c r="W772" s="3">
        <v>4</v>
      </c>
      <c r="X772" s="3">
        <v>10</v>
      </c>
      <c r="Y772" s="3">
        <v>2</v>
      </c>
      <c r="Z772" s="3">
        <v>0</v>
      </c>
      <c r="AA772" s="3">
        <v>0</v>
      </c>
      <c r="AB772" s="12">
        <f>(W772*4+X772*1+Y772*-2+Z772*-3)/W772</f>
        <v>5.5</v>
      </c>
      <c r="AC772" s="3">
        <f>W772*12.0107+X772*1.00784+Y772*15.999+Z772*14.0067</f>
        <v>90.119200000000006</v>
      </c>
      <c r="AD772" s="12">
        <v>207</v>
      </c>
      <c r="AE772" s="2" t="s">
        <v>220</v>
      </c>
      <c r="AF772" s="3" t="s">
        <v>243</v>
      </c>
      <c r="AG772" s="2" t="str">
        <f>IF(AD772&gt;37,"Proton symporter", "Diffusion")</f>
        <v>Proton symporter</v>
      </c>
      <c r="AH772" s="3" t="s">
        <v>239</v>
      </c>
    </row>
    <row r="773" spans="1:34" hidden="1" x14ac:dyDescent="0.2">
      <c r="A773" s="8" t="s">
        <v>34</v>
      </c>
      <c r="B773" s="9" t="s">
        <v>35</v>
      </c>
      <c r="C773" s="1" t="s">
        <v>60</v>
      </c>
      <c r="D773" s="13" t="s">
        <v>51</v>
      </c>
      <c r="E773" s="1" t="s">
        <v>295</v>
      </c>
      <c r="F773" s="1" t="s">
        <v>296</v>
      </c>
      <c r="G773" s="1">
        <v>-10</v>
      </c>
      <c r="H773" s="1">
        <v>-20</v>
      </c>
      <c r="I773" s="1" t="s">
        <v>40</v>
      </c>
      <c r="J773" s="1">
        <v>3.15</v>
      </c>
      <c r="K773" s="1">
        <v>-10</v>
      </c>
      <c r="L773" s="1">
        <v>-3.05089285714286</v>
      </c>
      <c r="M773" s="1" t="s">
        <v>40</v>
      </c>
      <c r="N773" s="1">
        <v>2.0339285714285702</v>
      </c>
      <c r="O773" s="1">
        <v>1.3276785714285699</v>
      </c>
      <c r="Q773" s="1">
        <v>0.13276785714285699</v>
      </c>
      <c r="R773" s="1">
        <v>0.42337191582122702</v>
      </c>
      <c r="S773" s="11" t="s">
        <v>295</v>
      </c>
      <c r="T773" s="2" t="s">
        <v>297</v>
      </c>
      <c r="U773" s="3" t="s">
        <v>41</v>
      </c>
      <c r="V773" s="2" t="s">
        <v>298</v>
      </c>
      <c r="W773" s="2">
        <v>6</v>
      </c>
      <c r="X773" s="2">
        <v>14</v>
      </c>
      <c r="Y773" s="2">
        <v>1</v>
      </c>
      <c r="Z773" s="2">
        <v>0</v>
      </c>
      <c r="AA773" s="2">
        <v>0</v>
      </c>
      <c r="AB773" s="12">
        <f>(W773*4+X773*1+Y773*-2+Z773*-3)/W773</f>
        <v>6</v>
      </c>
      <c r="AC773" s="3">
        <f>W773*12.0107+X773*1.00784+Y773*15.999+Z773*14.0067</f>
        <v>102.17295999999999</v>
      </c>
      <c r="AD773" s="12">
        <v>153</v>
      </c>
      <c r="AE773" s="2" t="s">
        <v>262</v>
      </c>
      <c r="AF773" s="2" t="s">
        <v>44</v>
      </c>
      <c r="AG773" s="2" t="str">
        <f>IF(AD773&gt;37,"Proton symporter", "Diffusion")</f>
        <v>Proton symporter</v>
      </c>
      <c r="AH773" s="3" t="s">
        <v>299</v>
      </c>
    </row>
    <row r="774" spans="1:34" hidden="1" x14ac:dyDescent="0.2">
      <c r="A774" s="8" t="s">
        <v>34</v>
      </c>
      <c r="B774" s="9" t="s">
        <v>35</v>
      </c>
      <c r="C774" s="1" t="s">
        <v>59</v>
      </c>
      <c r="D774" s="13" t="s">
        <v>51</v>
      </c>
      <c r="E774" s="1" t="s">
        <v>295</v>
      </c>
      <c r="F774" s="1" t="s">
        <v>296</v>
      </c>
      <c r="G774" s="1">
        <v>-10</v>
      </c>
      <c r="H774" s="1">
        <v>-20</v>
      </c>
      <c r="I774" s="1" t="s">
        <v>40</v>
      </c>
      <c r="J774" s="1">
        <v>3.15</v>
      </c>
      <c r="K774" s="1">
        <v>-10</v>
      </c>
      <c r="L774" s="1">
        <v>-3.05089285714286</v>
      </c>
      <c r="M774" s="1" t="s">
        <v>40</v>
      </c>
      <c r="N774" s="1">
        <v>2.0339285714285702</v>
      </c>
      <c r="O774" s="1">
        <v>1.3276785714285699</v>
      </c>
      <c r="Q774" s="1">
        <v>0.13276785714285699</v>
      </c>
      <c r="R774" s="1">
        <v>0.42337191582122602</v>
      </c>
      <c r="S774" s="11" t="s">
        <v>295</v>
      </c>
      <c r="T774" s="2" t="s">
        <v>297</v>
      </c>
      <c r="U774" s="3" t="s">
        <v>41</v>
      </c>
      <c r="V774" s="2" t="s">
        <v>298</v>
      </c>
      <c r="W774" s="2">
        <v>6</v>
      </c>
      <c r="X774" s="2">
        <v>14</v>
      </c>
      <c r="Y774" s="2">
        <v>1</v>
      </c>
      <c r="Z774" s="2">
        <v>0</v>
      </c>
      <c r="AA774" s="2">
        <v>0</v>
      </c>
      <c r="AB774" s="12">
        <f>(W774*4+X774*1+Y774*-2+Z774*-3)/W774</f>
        <v>6</v>
      </c>
      <c r="AC774" s="3">
        <f>W774*12.0107+X774*1.00784+Y774*15.999+Z774*14.0067</f>
        <v>102.17295999999999</v>
      </c>
      <c r="AD774" s="12">
        <v>153</v>
      </c>
      <c r="AE774" s="2" t="s">
        <v>262</v>
      </c>
      <c r="AF774" s="2" t="s">
        <v>44</v>
      </c>
      <c r="AG774" s="2" t="str">
        <f>IF(AD774&gt;37,"Proton symporter", "Diffusion")</f>
        <v>Proton symporter</v>
      </c>
      <c r="AH774" s="3" t="s">
        <v>299</v>
      </c>
    </row>
    <row r="775" spans="1:34" hidden="1" x14ac:dyDescent="0.2">
      <c r="A775" s="8" t="s">
        <v>350</v>
      </c>
      <c r="B775" s="17" t="s">
        <v>64</v>
      </c>
      <c r="C775" t="s">
        <v>351</v>
      </c>
      <c r="D775" s="13" t="s">
        <v>51</v>
      </c>
      <c r="E775" t="s">
        <v>234</v>
      </c>
      <c r="F775" t="s">
        <v>235</v>
      </c>
      <c r="G775">
        <v>-10</v>
      </c>
      <c r="H775">
        <v>0</v>
      </c>
      <c r="I775">
        <v>0</v>
      </c>
      <c r="J775">
        <v>0.45</v>
      </c>
      <c r="K775">
        <v>-10</v>
      </c>
      <c r="L775">
        <v>0</v>
      </c>
      <c r="M775" s="26">
        <v>1.4909090909090901</v>
      </c>
      <c r="N775">
        <v>0</v>
      </c>
      <c r="O775" s="26">
        <v>1.4909090909090901</v>
      </c>
      <c r="P775"/>
      <c r="Q775" s="26">
        <v>0.149090909090909</v>
      </c>
      <c r="R775" s="26">
        <v>0.42330639193262298</v>
      </c>
      <c r="S775" s="3" t="str">
        <f>VLOOKUP($E775,'[1]Product Naming'!$A$1:$P$58,2)</f>
        <v>1-3-butanediol-PW1</v>
      </c>
      <c r="T775" s="3" t="str">
        <f>VLOOKUP($E775,'[1]Product Naming'!$A$1:$P$58,3)</f>
        <v>1,3-Butanediol (PW1)</v>
      </c>
      <c r="U775" s="3" t="str">
        <f>VLOOKUP($E775,'[1]Product Naming'!$A$1:$P$58,4)</f>
        <v>E</v>
      </c>
      <c r="V775" s="3" t="str">
        <f>VLOOKUP($E775,'[1]Product Naming'!$A$1:$P$58,5)</f>
        <v>C4H10O2</v>
      </c>
      <c r="W775" s="3">
        <f>VLOOKUP($E775,'[1]Product Naming'!$A$1:$P$58,6)</f>
        <v>4</v>
      </c>
      <c r="X775" s="3">
        <f>VLOOKUP($E775,'[1]Product Naming'!$A$1:$P$58,7)</f>
        <v>10</v>
      </c>
      <c r="Y775" s="3">
        <f>VLOOKUP($E775,'[1]Product Naming'!$A$1:$P$58,8)</f>
        <v>2</v>
      </c>
      <c r="Z775" s="3">
        <f>VLOOKUP($E775,'[1]Product Naming'!$A$1:$P$58,9)</f>
        <v>0</v>
      </c>
      <c r="AA775" s="3">
        <f>VLOOKUP($E775,'[1]Product Naming'!$A$1:$P$58,10)</f>
        <v>0</v>
      </c>
      <c r="AB775" s="3">
        <f>VLOOKUP($E775,'[1]Product Naming'!$A$1:$P$58,11)</f>
        <v>5.5</v>
      </c>
      <c r="AC775" s="3">
        <f>VLOOKUP($E775,'[1]Product Naming'!$A$1:$P$58,12)</f>
        <v>90.119200000000006</v>
      </c>
      <c r="AD775" s="3">
        <f>VLOOKUP($E775,'[1]Product Naming'!$A$1:$P$58,13)</f>
        <v>207</v>
      </c>
      <c r="AE775" s="3" t="str">
        <f>VLOOKUP($E775,'[1]Product Naming'!$A$1:$P$58,14)</f>
        <v>Diol</v>
      </c>
      <c r="AF775" s="3" t="str">
        <f>VLOOKUP($E775,'[1]Product Naming'!$A$1:$P$58,15)</f>
        <v>Acetyl-CoA</v>
      </c>
      <c r="AG775" s="3" t="str">
        <f>VLOOKUP($E775,'[1]Product Naming'!$A$1:$P$58,16)</f>
        <v>Proton symporter</v>
      </c>
      <c r="AH775" s="3" t="str">
        <f>VLOOKUP($E775,'[1]Product Naming'!$A$1:$Q$58,17)</f>
        <v>13bdo__R_c</v>
      </c>
    </row>
    <row r="776" spans="1:34" hidden="1" x14ac:dyDescent="0.2">
      <c r="A776" s="8" t="s">
        <v>350</v>
      </c>
      <c r="B776" s="17" t="s">
        <v>64</v>
      </c>
      <c r="C776" t="s">
        <v>352</v>
      </c>
      <c r="D776" s="13" t="s">
        <v>51</v>
      </c>
      <c r="E776" t="s">
        <v>335</v>
      </c>
      <c r="F776" t="s">
        <v>336</v>
      </c>
      <c r="G776">
        <v>-10</v>
      </c>
      <c r="H776">
        <v>0</v>
      </c>
      <c r="I776">
        <v>0</v>
      </c>
      <c r="J776">
        <v>0.45</v>
      </c>
      <c r="K776">
        <v>-10</v>
      </c>
      <c r="L776">
        <v>0</v>
      </c>
      <c r="M776">
        <v>0</v>
      </c>
      <c r="N776" s="26" t="s">
        <v>365</v>
      </c>
      <c r="O776">
        <v>1.875</v>
      </c>
      <c r="P776"/>
      <c r="Q776">
        <v>0.1875</v>
      </c>
      <c r="R776" s="26">
        <v>0.42219799376175399</v>
      </c>
      <c r="S776" s="3" t="str">
        <f>VLOOKUP($E776,'[1]Product Naming'!$A$1:$P$58,2)</f>
        <v>Pentane</v>
      </c>
      <c r="T776" s="3" t="str">
        <f>VLOOKUP($E776,'[1]Product Naming'!$A$1:$P$58,3)</f>
        <v>Pentane</v>
      </c>
      <c r="U776" s="3" t="str">
        <f>VLOOKUP($E776,'[1]Product Naming'!$A$1:$P$58,4)</f>
        <v>E</v>
      </c>
      <c r="V776" s="3" t="str">
        <f>VLOOKUP($E776,'[1]Product Naming'!$A$1:$P$58,5)</f>
        <v>C5H12</v>
      </c>
      <c r="W776" s="3">
        <f>VLOOKUP($E776,'[1]Product Naming'!$A$1:$P$58,6)</f>
        <v>5</v>
      </c>
      <c r="X776" s="3">
        <f>VLOOKUP($E776,'[1]Product Naming'!$A$1:$P$58,7)</f>
        <v>12</v>
      </c>
      <c r="Y776" s="3">
        <f>VLOOKUP($E776,'[1]Product Naming'!$A$1:$P$58,8)</f>
        <v>0</v>
      </c>
      <c r="Z776" s="3">
        <f>VLOOKUP($E776,'[1]Product Naming'!$A$1:$P$58,9)</f>
        <v>0</v>
      </c>
      <c r="AA776" s="3">
        <f>VLOOKUP($E776,'[1]Product Naming'!$A$1:$P$58,10)</f>
        <v>0</v>
      </c>
      <c r="AB776" s="3">
        <f>VLOOKUP($E776,'[1]Product Naming'!$A$1:$P$58,11)</f>
        <v>6.4</v>
      </c>
      <c r="AC776" s="3">
        <f>VLOOKUP($E776,'[1]Product Naming'!$A$1:$P$58,12)</f>
        <v>72.147580000000005</v>
      </c>
      <c r="AD776" s="3">
        <f>VLOOKUP($E776,'[1]Product Naming'!$A$1:$P$58,13)</f>
        <v>36.1</v>
      </c>
      <c r="AE776" s="3" t="str">
        <f>VLOOKUP($E776,'[1]Product Naming'!$A$1:$P$58,14)</f>
        <v>Hydrocarbon (alkane)</v>
      </c>
      <c r="AF776" s="3" t="str">
        <f>VLOOKUP($E776,'[1]Product Naming'!$A$1:$P$58,15)</f>
        <v>Acetyl-CoA</v>
      </c>
      <c r="AG776" s="3" t="str">
        <f>VLOOKUP($E776,'[1]Product Naming'!$A$1:$P$58,16)</f>
        <v>Diffusion</v>
      </c>
      <c r="AH776" s="3" t="str">
        <f>VLOOKUP($E776,'[1]Product Naming'!$A$1:$Q$58,17)</f>
        <v>pent_c</v>
      </c>
    </row>
    <row r="777" spans="1:34" hidden="1" x14ac:dyDescent="0.2">
      <c r="A777" s="8" t="s">
        <v>350</v>
      </c>
      <c r="B777" s="17" t="s">
        <v>64</v>
      </c>
      <c r="C777" t="s">
        <v>353</v>
      </c>
      <c r="D777" s="13" t="s">
        <v>51</v>
      </c>
      <c r="E777" t="s">
        <v>335</v>
      </c>
      <c r="F777" t="s">
        <v>336</v>
      </c>
      <c r="G777">
        <v>-10</v>
      </c>
      <c r="H777">
        <v>0</v>
      </c>
      <c r="I777">
        <v>0</v>
      </c>
      <c r="J777">
        <v>0.45</v>
      </c>
      <c r="K777">
        <v>-10</v>
      </c>
      <c r="L777">
        <v>0</v>
      </c>
      <c r="M777">
        <v>0</v>
      </c>
      <c r="N777">
        <v>0.625</v>
      </c>
      <c r="O777" s="26">
        <v>1.87499999999999</v>
      </c>
      <c r="P777"/>
      <c r="Q777" s="26">
        <v>0.187499999999999</v>
      </c>
      <c r="R777" s="26">
        <v>0.42219799376175399</v>
      </c>
      <c r="S777" s="3" t="str">
        <f>VLOOKUP($E777,'[1]Product Naming'!$A$1:$P$58,2)</f>
        <v>Pentane</v>
      </c>
      <c r="T777" s="3" t="str">
        <f>VLOOKUP($E777,'[1]Product Naming'!$A$1:$P$58,3)</f>
        <v>Pentane</v>
      </c>
      <c r="U777" s="3" t="str">
        <f>VLOOKUP($E777,'[1]Product Naming'!$A$1:$P$58,4)</f>
        <v>E</v>
      </c>
      <c r="V777" s="3" t="str">
        <f>VLOOKUP($E777,'[1]Product Naming'!$A$1:$P$58,5)</f>
        <v>C5H12</v>
      </c>
      <c r="W777" s="3">
        <f>VLOOKUP($E777,'[1]Product Naming'!$A$1:$P$58,6)</f>
        <v>5</v>
      </c>
      <c r="X777" s="3">
        <f>VLOOKUP($E777,'[1]Product Naming'!$A$1:$P$58,7)</f>
        <v>12</v>
      </c>
      <c r="Y777" s="3">
        <f>VLOOKUP($E777,'[1]Product Naming'!$A$1:$P$58,8)</f>
        <v>0</v>
      </c>
      <c r="Z777" s="3">
        <f>VLOOKUP($E777,'[1]Product Naming'!$A$1:$P$58,9)</f>
        <v>0</v>
      </c>
      <c r="AA777" s="3">
        <f>VLOOKUP($E777,'[1]Product Naming'!$A$1:$P$58,10)</f>
        <v>0</v>
      </c>
      <c r="AB777" s="3">
        <f>VLOOKUP($E777,'[1]Product Naming'!$A$1:$P$58,11)</f>
        <v>6.4</v>
      </c>
      <c r="AC777" s="3">
        <f>VLOOKUP($E777,'[1]Product Naming'!$A$1:$P$58,12)</f>
        <v>72.147580000000005</v>
      </c>
      <c r="AD777" s="3">
        <f>VLOOKUP($E777,'[1]Product Naming'!$A$1:$P$58,13)</f>
        <v>36.1</v>
      </c>
      <c r="AE777" s="3" t="str">
        <f>VLOOKUP($E777,'[1]Product Naming'!$A$1:$P$58,14)</f>
        <v>Hydrocarbon (alkane)</v>
      </c>
      <c r="AF777" s="3" t="str">
        <f>VLOOKUP($E777,'[1]Product Naming'!$A$1:$P$58,15)</f>
        <v>Acetyl-CoA</v>
      </c>
      <c r="AG777" s="3" t="str">
        <f>VLOOKUP($E777,'[1]Product Naming'!$A$1:$P$58,16)</f>
        <v>Diffusion</v>
      </c>
      <c r="AH777" s="3" t="str">
        <f>VLOOKUP($E777,'[1]Product Naming'!$A$1:$Q$58,17)</f>
        <v>pent_c</v>
      </c>
    </row>
    <row r="778" spans="1:34" hidden="1" x14ac:dyDescent="0.2">
      <c r="A778" s="8" t="s">
        <v>350</v>
      </c>
      <c r="B778" s="17" t="s">
        <v>64</v>
      </c>
      <c r="C778" t="s">
        <v>354</v>
      </c>
      <c r="D778" s="13" t="s">
        <v>51</v>
      </c>
      <c r="E778" t="s">
        <v>335</v>
      </c>
      <c r="F778" t="s">
        <v>336</v>
      </c>
      <c r="G778">
        <v>-10</v>
      </c>
      <c r="H778">
        <v>0</v>
      </c>
      <c r="I778">
        <v>0</v>
      </c>
      <c r="J778">
        <v>0.45</v>
      </c>
      <c r="K778">
        <v>-10</v>
      </c>
      <c r="L778">
        <v>0</v>
      </c>
      <c r="M778">
        <v>0</v>
      </c>
      <c r="N778">
        <v>0.625</v>
      </c>
      <c r="O778" s="26">
        <v>1.87499999999999</v>
      </c>
      <c r="P778"/>
      <c r="Q778" s="26">
        <v>0.187499999999999</v>
      </c>
      <c r="R778" s="26">
        <v>0.42219799376175399</v>
      </c>
      <c r="S778" s="3" t="str">
        <f>VLOOKUP($E778,'[1]Product Naming'!$A$1:$P$58,2)</f>
        <v>Pentane</v>
      </c>
      <c r="T778" s="3" t="str">
        <f>VLOOKUP($E778,'[1]Product Naming'!$A$1:$P$58,3)</f>
        <v>Pentane</v>
      </c>
      <c r="U778" s="3" t="str">
        <f>VLOOKUP($E778,'[1]Product Naming'!$A$1:$P$58,4)</f>
        <v>E</v>
      </c>
      <c r="V778" s="3" t="str">
        <f>VLOOKUP($E778,'[1]Product Naming'!$A$1:$P$58,5)</f>
        <v>C5H12</v>
      </c>
      <c r="W778" s="3">
        <f>VLOOKUP($E778,'[1]Product Naming'!$A$1:$P$58,6)</f>
        <v>5</v>
      </c>
      <c r="X778" s="3">
        <f>VLOOKUP($E778,'[1]Product Naming'!$A$1:$P$58,7)</f>
        <v>12</v>
      </c>
      <c r="Y778" s="3">
        <f>VLOOKUP($E778,'[1]Product Naming'!$A$1:$P$58,8)</f>
        <v>0</v>
      </c>
      <c r="Z778" s="3">
        <f>VLOOKUP($E778,'[1]Product Naming'!$A$1:$P$58,9)</f>
        <v>0</v>
      </c>
      <c r="AA778" s="3">
        <f>VLOOKUP($E778,'[1]Product Naming'!$A$1:$P$58,10)</f>
        <v>0</v>
      </c>
      <c r="AB778" s="3">
        <f>VLOOKUP($E778,'[1]Product Naming'!$A$1:$P$58,11)</f>
        <v>6.4</v>
      </c>
      <c r="AC778" s="3">
        <f>VLOOKUP($E778,'[1]Product Naming'!$A$1:$P$58,12)</f>
        <v>72.147580000000005</v>
      </c>
      <c r="AD778" s="3">
        <f>VLOOKUP($E778,'[1]Product Naming'!$A$1:$P$58,13)</f>
        <v>36.1</v>
      </c>
      <c r="AE778" s="3" t="str">
        <f>VLOOKUP($E778,'[1]Product Naming'!$A$1:$P$58,14)</f>
        <v>Hydrocarbon (alkane)</v>
      </c>
      <c r="AF778" s="3" t="str">
        <f>VLOOKUP($E778,'[1]Product Naming'!$A$1:$P$58,15)</f>
        <v>Acetyl-CoA</v>
      </c>
      <c r="AG778" s="3" t="str">
        <f>VLOOKUP($E778,'[1]Product Naming'!$A$1:$P$58,16)</f>
        <v>Diffusion</v>
      </c>
      <c r="AH778" s="3" t="str">
        <f>VLOOKUP($E778,'[1]Product Naming'!$A$1:$Q$58,17)</f>
        <v>pent_c</v>
      </c>
    </row>
    <row r="779" spans="1:34" hidden="1" x14ac:dyDescent="0.2">
      <c r="A779" s="16" t="s">
        <v>63</v>
      </c>
      <c r="B779" s="17" t="s">
        <v>64</v>
      </c>
      <c r="C779" t="s">
        <v>69</v>
      </c>
      <c r="D779" s="18" t="s">
        <v>66</v>
      </c>
      <c r="E779" t="s">
        <v>335</v>
      </c>
      <c r="F779" t="s">
        <v>336</v>
      </c>
      <c r="G779">
        <v>-10</v>
      </c>
      <c r="H779">
        <v>0</v>
      </c>
      <c r="I779">
        <v>-20</v>
      </c>
      <c r="J779">
        <v>0.45</v>
      </c>
      <c r="K779">
        <v>-10</v>
      </c>
      <c r="L779">
        <v>0</v>
      </c>
      <c r="M779">
        <v>-20</v>
      </c>
      <c r="N779">
        <v>0.624999999999996</v>
      </c>
      <c r="O779">
        <v>1.875</v>
      </c>
      <c r="P779"/>
      <c r="Q779">
        <v>0.1875</v>
      </c>
      <c r="R779" s="19">
        <v>0.422080226209048</v>
      </c>
      <c r="S779" s="11" t="s">
        <v>335</v>
      </c>
      <c r="T779" s="2" t="s">
        <v>335</v>
      </c>
      <c r="U779" s="3" t="s">
        <v>106</v>
      </c>
      <c r="V779" s="2" t="s">
        <v>337</v>
      </c>
      <c r="W779" s="2">
        <v>5</v>
      </c>
      <c r="X779" s="2">
        <v>12</v>
      </c>
      <c r="Y779" s="2">
        <v>0</v>
      </c>
      <c r="Z779" s="2">
        <v>0</v>
      </c>
      <c r="AA779" s="2">
        <v>0</v>
      </c>
      <c r="AB779" s="12">
        <f>(W779*4+X779*1+Y779*-2+Z779*-3)/W779</f>
        <v>6.4</v>
      </c>
      <c r="AC779" s="3">
        <f>W779*12.0107+X779*1.00784+Y779*15.999+Z779*14.0067</f>
        <v>72.147580000000005</v>
      </c>
      <c r="AD779" s="24">
        <v>36.1</v>
      </c>
      <c r="AE779" s="3" t="s">
        <v>321</v>
      </c>
      <c r="AF779" s="2" t="s">
        <v>79</v>
      </c>
      <c r="AG779" s="25" t="str">
        <f>IF(AD779&gt;37,"Proton symporter", "Diffusion")</f>
        <v>Diffusion</v>
      </c>
      <c r="AH779" s="3" t="s">
        <v>338</v>
      </c>
    </row>
    <row r="780" spans="1:34" hidden="1" x14ac:dyDescent="0.2">
      <c r="A780" s="8" t="s">
        <v>34</v>
      </c>
      <c r="B780" s="9" t="s">
        <v>35</v>
      </c>
      <c r="C780" s="1" t="s">
        <v>61</v>
      </c>
      <c r="D780" s="13" t="s">
        <v>51</v>
      </c>
      <c r="E780" s="1" t="s">
        <v>259</v>
      </c>
      <c r="F780" s="1" t="s">
        <v>260</v>
      </c>
      <c r="G780" s="1">
        <v>-10</v>
      </c>
      <c r="H780" s="1">
        <v>-20</v>
      </c>
      <c r="I780" s="1" t="s">
        <v>40</v>
      </c>
      <c r="J780" s="1">
        <v>3.15</v>
      </c>
      <c r="K780" s="1">
        <v>-10</v>
      </c>
      <c r="L780" s="1">
        <v>-5.5805309734513502</v>
      </c>
      <c r="M780" s="1" t="s">
        <v>40</v>
      </c>
      <c r="N780" s="1">
        <v>3.7203539823009102</v>
      </c>
      <c r="O780" s="1">
        <v>1.56991150442479</v>
      </c>
      <c r="Q780" s="1">
        <v>0.15699115044247899</v>
      </c>
      <c r="R780" s="1">
        <v>0.42201441149718799</v>
      </c>
      <c r="S780" s="20" t="s">
        <v>259</v>
      </c>
      <c r="T780" s="3" t="s">
        <v>259</v>
      </c>
      <c r="U780" s="3" t="s">
        <v>106</v>
      </c>
      <c r="V780" s="3" t="s">
        <v>261</v>
      </c>
      <c r="W780" s="3">
        <v>5</v>
      </c>
      <c r="X780" s="3">
        <v>10</v>
      </c>
      <c r="Y780" s="3">
        <v>1</v>
      </c>
      <c r="Z780" s="3">
        <v>0</v>
      </c>
      <c r="AA780" s="3">
        <v>0</v>
      </c>
      <c r="AB780" s="12">
        <f>(W780*4+X780*1+Y780*-2+Z780*-3)/W780+0.02</f>
        <v>5.6199999999999992</v>
      </c>
      <c r="AC780" s="3">
        <f>W780*12.0107+X780*1.00784+Y780*15.999+Z780*14.0067</f>
        <v>86.130899999999997</v>
      </c>
      <c r="AD780" s="12">
        <v>108</v>
      </c>
      <c r="AE780" s="3" t="s">
        <v>262</v>
      </c>
      <c r="AF780" s="3" t="s">
        <v>135</v>
      </c>
      <c r="AG780" s="2" t="str">
        <f>IF(AD780&gt;37,"Proton symporter", "Diffusion")</f>
        <v>Proton symporter</v>
      </c>
      <c r="AH780" s="3" t="s">
        <v>263</v>
      </c>
    </row>
    <row r="781" spans="1:34" hidden="1" x14ac:dyDescent="0.2">
      <c r="A781" s="8" t="s">
        <v>34</v>
      </c>
      <c r="B781" s="9" t="s">
        <v>35</v>
      </c>
      <c r="C781" s="1" t="s">
        <v>47</v>
      </c>
      <c r="D781" s="10" t="s">
        <v>37</v>
      </c>
      <c r="E781" s="1" t="s">
        <v>152</v>
      </c>
      <c r="F781" s="1" t="s">
        <v>153</v>
      </c>
      <c r="G781" s="1">
        <v>-10</v>
      </c>
      <c r="H781" s="1">
        <v>-20</v>
      </c>
      <c r="I781" s="1" t="s">
        <v>40</v>
      </c>
      <c r="J781" s="1">
        <v>3.15</v>
      </c>
      <c r="K781" s="1">
        <v>-10</v>
      </c>
      <c r="L781" s="1">
        <v>-8.8013293943870003</v>
      </c>
      <c r="M781" s="1" t="s">
        <v>40</v>
      </c>
      <c r="N781" s="1">
        <v>4.8812407680945302</v>
      </c>
      <c r="O781" s="1">
        <v>2.15982274741507</v>
      </c>
      <c r="Q781" s="1">
        <v>0.215982274741507</v>
      </c>
      <c r="R781" s="1">
        <v>0.42145294163542302</v>
      </c>
      <c r="S781" s="11" t="s">
        <v>152</v>
      </c>
      <c r="T781" s="2" t="s">
        <v>154</v>
      </c>
      <c r="U781" s="3" t="s">
        <v>41</v>
      </c>
      <c r="V781" s="2" t="s">
        <v>155</v>
      </c>
      <c r="W781" s="2">
        <v>7</v>
      </c>
      <c r="X781" s="2">
        <v>5</v>
      </c>
      <c r="Y781" s="2">
        <v>2</v>
      </c>
      <c r="Z781" s="2">
        <v>0</v>
      </c>
      <c r="AA781" s="2">
        <v>0</v>
      </c>
      <c r="AB781" s="12">
        <f>(W781*4+X781*1+Y781*-2+Z781*-3)/W781</f>
        <v>4.1428571428571432</v>
      </c>
      <c r="AC781" s="3">
        <f>W781*12.0107+X781*1.00784+Y781*15.999+Z781*14.0067</f>
        <v>121.1121</v>
      </c>
      <c r="AD781" s="12">
        <v>249.2</v>
      </c>
      <c r="AE781" s="2" t="s">
        <v>156</v>
      </c>
      <c r="AF781" s="2" t="s">
        <v>157</v>
      </c>
      <c r="AG781" s="2" t="str">
        <f>IF(AD781&gt;37,"Proton symporter", "Diffusion")</f>
        <v>Proton symporter</v>
      </c>
      <c r="AH781" s="3" t="s">
        <v>158</v>
      </c>
    </row>
    <row r="782" spans="1:34" hidden="1" x14ac:dyDescent="0.2">
      <c r="A782" s="8" t="s">
        <v>34</v>
      </c>
      <c r="B782" s="9" t="s">
        <v>35</v>
      </c>
      <c r="C782" s="1" t="s">
        <v>47</v>
      </c>
      <c r="D782" s="10" t="s">
        <v>37</v>
      </c>
      <c r="E782" s="1" t="s">
        <v>159</v>
      </c>
      <c r="F782" s="1" t="s">
        <v>153</v>
      </c>
      <c r="G782" s="1">
        <v>-10</v>
      </c>
      <c r="H782" s="1">
        <v>-20</v>
      </c>
      <c r="I782" s="1" t="s">
        <v>40</v>
      </c>
      <c r="J782" s="1">
        <v>3.15</v>
      </c>
      <c r="K782" s="1">
        <v>-10</v>
      </c>
      <c r="L782" s="1">
        <v>-8.8013293943870003</v>
      </c>
      <c r="M782" s="1" t="s">
        <v>40</v>
      </c>
      <c r="N782" s="1">
        <v>4.8812407680945196</v>
      </c>
      <c r="O782" s="1">
        <v>2.1598227474150602</v>
      </c>
      <c r="Q782" s="1">
        <v>0.215982274741506</v>
      </c>
      <c r="R782" s="1">
        <v>0.42145294163542202</v>
      </c>
      <c r="S782" s="11" t="s">
        <v>159</v>
      </c>
      <c r="T782" s="2" t="s">
        <v>160</v>
      </c>
      <c r="U782" s="3" t="s">
        <v>41</v>
      </c>
      <c r="V782" s="2" t="s">
        <v>155</v>
      </c>
      <c r="W782" s="2">
        <v>7</v>
      </c>
      <c r="X782" s="2">
        <v>5</v>
      </c>
      <c r="Y782" s="2">
        <v>2</v>
      </c>
      <c r="Z782" s="2">
        <v>0</v>
      </c>
      <c r="AA782" s="2">
        <v>0</v>
      </c>
      <c r="AB782" s="12">
        <f>(W782*4+X782*1+Y782*-2+Z782*-3)/W782</f>
        <v>4.1428571428571432</v>
      </c>
      <c r="AC782" s="3">
        <f>W782*12.0107+X782*1.00784+Y782*15.999+Z782*14.0067</f>
        <v>121.1121</v>
      </c>
      <c r="AD782" s="12">
        <v>249.2</v>
      </c>
      <c r="AE782" s="2" t="s">
        <v>156</v>
      </c>
      <c r="AF782" s="2" t="s">
        <v>157</v>
      </c>
      <c r="AG782" s="2" t="str">
        <f>IF(AD782&gt;37,"Proton symporter", "Diffusion")</f>
        <v>Proton symporter</v>
      </c>
      <c r="AH782" s="3" t="s">
        <v>158</v>
      </c>
    </row>
    <row r="783" spans="1:34" hidden="1" x14ac:dyDescent="0.2">
      <c r="A783" s="8" t="s">
        <v>34</v>
      </c>
      <c r="B783" s="9" t="s">
        <v>35</v>
      </c>
      <c r="C783" s="1" t="s">
        <v>46</v>
      </c>
      <c r="D783" s="10" t="s">
        <v>37</v>
      </c>
      <c r="E783" s="1" t="s">
        <v>244</v>
      </c>
      <c r="F783" s="1" t="s">
        <v>245</v>
      </c>
      <c r="G783" s="1">
        <v>-10</v>
      </c>
      <c r="H783" s="1">
        <v>-20</v>
      </c>
      <c r="I783" s="1" t="s">
        <v>40</v>
      </c>
      <c r="J783" s="1">
        <v>3.15</v>
      </c>
      <c r="K783" s="1">
        <v>-10</v>
      </c>
      <c r="L783" s="1">
        <v>-4.8174418604651201</v>
      </c>
      <c r="M783" s="1" t="s">
        <v>40</v>
      </c>
      <c r="N783" s="1">
        <v>8.9581395348837205</v>
      </c>
      <c r="O783" s="1">
        <v>2.7604651162790699</v>
      </c>
      <c r="Q783" s="1">
        <v>0.276046511627907</v>
      </c>
      <c r="R783" s="1">
        <v>0.42133910027989202</v>
      </c>
      <c r="S783" s="20" t="s">
        <v>246</v>
      </c>
      <c r="T783" s="3" t="s">
        <v>247</v>
      </c>
      <c r="U783" s="3" t="s">
        <v>106</v>
      </c>
      <c r="V783" s="3" t="s">
        <v>238</v>
      </c>
      <c r="W783" s="3">
        <v>4</v>
      </c>
      <c r="X783" s="3">
        <v>10</v>
      </c>
      <c r="Y783" s="3">
        <v>2</v>
      </c>
      <c r="Z783" s="3">
        <v>0</v>
      </c>
      <c r="AA783" s="3">
        <v>0</v>
      </c>
      <c r="AB783" s="12">
        <f>(W783*4+X783*1+Y783*-2+Z783*-3)/W783</f>
        <v>5.5</v>
      </c>
      <c r="AC783" s="3">
        <f>W783*12.0107+X783*1.00784+Y783*15.999+Z783*14.0067</f>
        <v>90.119200000000006</v>
      </c>
      <c r="AD783" s="12">
        <v>230</v>
      </c>
      <c r="AE783" s="2" t="s">
        <v>220</v>
      </c>
      <c r="AF783" s="3" t="s">
        <v>120</v>
      </c>
      <c r="AG783" s="2" t="str">
        <f>IF(AD783&gt;37,"Proton symporter", "Diffusion")</f>
        <v>Proton symporter</v>
      </c>
      <c r="AH783" s="3" t="s">
        <v>248</v>
      </c>
    </row>
    <row r="784" spans="1:34" hidden="1" x14ac:dyDescent="0.2">
      <c r="A784" s="8" t="s">
        <v>34</v>
      </c>
      <c r="B784" s="9" t="s">
        <v>35</v>
      </c>
      <c r="C784" s="1" t="s">
        <v>56</v>
      </c>
      <c r="D784" s="14" t="s">
        <v>55</v>
      </c>
      <c r="E784" s="1" t="s">
        <v>178</v>
      </c>
      <c r="F784" s="1" t="s">
        <v>179</v>
      </c>
      <c r="G784" s="1">
        <v>-10</v>
      </c>
      <c r="H784" s="1">
        <v>-20</v>
      </c>
      <c r="I784" s="1" t="s">
        <v>40</v>
      </c>
      <c r="J784" s="1">
        <v>3.15</v>
      </c>
      <c r="K784" s="1">
        <v>-10</v>
      </c>
      <c r="L784" s="1">
        <v>-4.3334532374100698</v>
      </c>
      <c r="M784" s="1" t="s">
        <v>40</v>
      </c>
      <c r="N784" s="1">
        <v>4.1755395683453296</v>
      </c>
      <c r="O784" s="1">
        <v>3.2280575539568299</v>
      </c>
      <c r="Q784" s="1">
        <v>0.32280575539568301</v>
      </c>
      <c r="R784" s="1">
        <v>0.42113842591573403</v>
      </c>
      <c r="S784" s="20" t="s">
        <v>178</v>
      </c>
      <c r="T784" s="3" t="s">
        <v>178</v>
      </c>
      <c r="U784" s="3" t="s">
        <v>106</v>
      </c>
      <c r="V784" s="3" t="s">
        <v>180</v>
      </c>
      <c r="W784" s="3">
        <v>8</v>
      </c>
      <c r="X784" s="3">
        <v>8</v>
      </c>
      <c r="Y784" s="3">
        <v>1</v>
      </c>
      <c r="Z784" s="3">
        <v>0</v>
      </c>
      <c r="AA784" s="3">
        <v>0</v>
      </c>
      <c r="AB784" s="12">
        <f>(W784*4+X784*1+Y784*-2+Z784*-3)/W784</f>
        <v>4.75</v>
      </c>
      <c r="AC784" s="3">
        <f>W784*12.0107+X784*1.00784+Y784*15.999+Z784*14.0067</f>
        <v>120.14731999999999</v>
      </c>
      <c r="AD784" s="12">
        <v>229</v>
      </c>
      <c r="AE784" s="3" t="s">
        <v>176</v>
      </c>
      <c r="AF784" s="2" t="s">
        <v>150</v>
      </c>
      <c r="AG784" s="2" t="str">
        <f>IF(AD784&gt;37,"Proton symporter", "Diffusion")</f>
        <v>Proton symporter</v>
      </c>
      <c r="AH784" s="3" t="s">
        <v>181</v>
      </c>
    </row>
    <row r="785" spans="1:34" hidden="1" x14ac:dyDescent="0.2">
      <c r="A785" s="8" t="s">
        <v>34</v>
      </c>
      <c r="B785" s="9" t="s">
        <v>35</v>
      </c>
      <c r="C785" s="1" t="s">
        <v>56</v>
      </c>
      <c r="D785" s="14" t="s">
        <v>55</v>
      </c>
      <c r="E785" s="1" t="s">
        <v>289</v>
      </c>
      <c r="F785" s="1" t="s">
        <v>290</v>
      </c>
      <c r="G785" s="1">
        <v>-10</v>
      </c>
      <c r="H785" s="1">
        <v>-20</v>
      </c>
      <c r="I785" s="1" t="s">
        <v>40</v>
      </c>
      <c r="J785" s="1">
        <v>3.15</v>
      </c>
      <c r="K785" s="1">
        <v>-10</v>
      </c>
      <c r="L785" s="1">
        <v>-2.0551470588235299</v>
      </c>
      <c r="M785" s="1" t="s">
        <v>40</v>
      </c>
      <c r="N785" s="1">
        <v>8.0367647058823497</v>
      </c>
      <c r="O785" s="1">
        <v>4.3926470588235302</v>
      </c>
      <c r="Q785" s="1">
        <v>0.439264705882353</v>
      </c>
      <c r="R785" s="1">
        <v>0.42043734897993501</v>
      </c>
      <c r="S785" s="11" t="s">
        <v>289</v>
      </c>
      <c r="T785" s="2" t="s">
        <v>291</v>
      </c>
      <c r="U785" s="3" t="s">
        <v>41</v>
      </c>
      <c r="V785" s="2" t="s">
        <v>292</v>
      </c>
      <c r="W785" s="2">
        <v>5</v>
      </c>
      <c r="X785" s="2">
        <v>12</v>
      </c>
      <c r="Y785" s="2">
        <v>1</v>
      </c>
      <c r="Z785" s="2">
        <v>0</v>
      </c>
      <c r="AA785" s="2">
        <v>0</v>
      </c>
      <c r="AB785" s="12">
        <f>(W785*4+X785*1+Y785*-2+Z785*-3)/W785</f>
        <v>6</v>
      </c>
      <c r="AC785" s="3">
        <f>W785*12.0107+X785*1.00784+Y785*15.999+Z785*14.0067</f>
        <v>88.14658</v>
      </c>
      <c r="AD785" s="12">
        <v>129</v>
      </c>
      <c r="AE785" s="2" t="s">
        <v>262</v>
      </c>
      <c r="AF785" s="2" t="s">
        <v>293</v>
      </c>
      <c r="AG785" s="2" t="str">
        <f>IF(AD785&gt;37,"Proton symporter", "Diffusion")</f>
        <v>Proton symporter</v>
      </c>
      <c r="AH785" s="3" t="s">
        <v>294</v>
      </c>
    </row>
    <row r="786" spans="1:34" hidden="1" x14ac:dyDescent="0.2">
      <c r="A786" s="8" t="s">
        <v>34</v>
      </c>
      <c r="B786" s="9" t="s">
        <v>35</v>
      </c>
      <c r="C786" s="1" t="s">
        <v>56</v>
      </c>
      <c r="D786" s="14" t="s">
        <v>55</v>
      </c>
      <c r="E786" s="1" t="s">
        <v>305</v>
      </c>
      <c r="F786" s="1" t="s">
        <v>301</v>
      </c>
      <c r="G786" s="1">
        <v>-10</v>
      </c>
      <c r="H786" s="1">
        <v>-20</v>
      </c>
      <c r="I786" s="1" t="s">
        <v>40</v>
      </c>
      <c r="J786" s="1">
        <v>3.15</v>
      </c>
      <c r="K786" s="1">
        <v>-10</v>
      </c>
      <c r="L786" s="1">
        <v>-3.6953020134228201</v>
      </c>
      <c r="M786" s="1" t="s">
        <v>40</v>
      </c>
      <c r="N786" s="1">
        <v>9.1302013422818806</v>
      </c>
      <c r="O786" s="1">
        <v>5.2174496644295303</v>
      </c>
      <c r="Q786" s="1">
        <v>0.52174496644295298</v>
      </c>
      <c r="R786" s="1">
        <v>0.41991787572439698</v>
      </c>
      <c r="S786" s="20" t="s">
        <v>305</v>
      </c>
      <c r="T786" s="3" t="s">
        <v>306</v>
      </c>
      <c r="U786" s="3" t="s">
        <v>106</v>
      </c>
      <c r="V786" s="3" t="s">
        <v>303</v>
      </c>
      <c r="W786" s="3">
        <v>4</v>
      </c>
      <c r="X786" s="3">
        <v>10</v>
      </c>
      <c r="Y786" s="3">
        <v>1</v>
      </c>
      <c r="Z786" s="3">
        <v>0</v>
      </c>
      <c r="AA786" s="3">
        <v>0</v>
      </c>
      <c r="AB786" s="12">
        <f>(W786*4+X786*1+Y786*-2+Z786*-3)/W786</f>
        <v>6</v>
      </c>
      <c r="AC786" s="3">
        <f>W786*12.0107+X786*1.00784+Y786*15.999+Z786*14.0067</f>
        <v>74.120199999999997</v>
      </c>
      <c r="AD786" s="12">
        <v>117.7</v>
      </c>
      <c r="AE786" s="3" t="s">
        <v>262</v>
      </c>
      <c r="AF786" s="3" t="s">
        <v>44</v>
      </c>
      <c r="AG786" s="2" t="str">
        <f>IF(AD786&gt;37,"Proton symporter", "Diffusion")</f>
        <v>Proton symporter</v>
      </c>
      <c r="AH786" s="3" t="s">
        <v>304</v>
      </c>
    </row>
    <row r="787" spans="1:34" hidden="1" x14ac:dyDescent="0.2">
      <c r="A787" s="8" t="s">
        <v>34</v>
      </c>
      <c r="B787" s="9" t="s">
        <v>35</v>
      </c>
      <c r="C787" s="1" t="s">
        <v>48</v>
      </c>
      <c r="D787" s="10" t="s">
        <v>37</v>
      </c>
      <c r="E787" s="1" t="s">
        <v>286</v>
      </c>
      <c r="F787" s="1" t="s">
        <v>280</v>
      </c>
      <c r="G787" s="1">
        <v>-10</v>
      </c>
      <c r="H787" s="1">
        <v>-20</v>
      </c>
      <c r="I787" s="1" t="s">
        <v>40</v>
      </c>
      <c r="J787" s="1">
        <v>3.15</v>
      </c>
      <c r="K787" s="1">
        <v>-10</v>
      </c>
      <c r="L787" s="1">
        <v>-5.54941176470588</v>
      </c>
      <c r="M787" s="1" t="s">
        <v>40</v>
      </c>
      <c r="N787" s="1">
        <v>7.0329411764705902</v>
      </c>
      <c r="O787" s="1">
        <v>4.3223529411764696</v>
      </c>
      <c r="Q787" s="1">
        <v>0.432235294117647</v>
      </c>
      <c r="R787" s="1">
        <v>0.41849809175903402</v>
      </c>
      <c r="S787" s="20" t="s">
        <v>287</v>
      </c>
      <c r="T787" s="3" t="s">
        <v>288</v>
      </c>
      <c r="U787" s="3" t="s">
        <v>174</v>
      </c>
      <c r="V787" s="3" t="s">
        <v>283</v>
      </c>
      <c r="W787" s="3">
        <v>3</v>
      </c>
      <c r="X787" s="3">
        <v>8</v>
      </c>
      <c r="Y787" s="3">
        <v>1</v>
      </c>
      <c r="Z787" s="3">
        <v>0</v>
      </c>
      <c r="AA787" s="3">
        <v>0</v>
      </c>
      <c r="AB787" s="12">
        <f>(W787*4+X787*1+Y787*-2+Z787*-3)/W787</f>
        <v>6</v>
      </c>
      <c r="AC787" s="3">
        <f>W787*12.0107+X787*1.00784+Y787*15.999+Z787*14.0067</f>
        <v>60.093820000000001</v>
      </c>
      <c r="AD787" s="12">
        <v>97</v>
      </c>
      <c r="AE787" s="2" t="s">
        <v>262</v>
      </c>
      <c r="AF787" s="3" t="s">
        <v>44</v>
      </c>
      <c r="AG787" s="2" t="str">
        <f>IF(AD787&gt;37,"Proton symporter", "Diffusion")</f>
        <v>Proton symporter</v>
      </c>
      <c r="AH787" s="3" t="s">
        <v>285</v>
      </c>
    </row>
    <row r="788" spans="1:34" hidden="1" x14ac:dyDescent="0.2">
      <c r="A788" s="8" t="s">
        <v>34</v>
      </c>
      <c r="B788" s="9" t="s">
        <v>35</v>
      </c>
      <c r="C788" s="1" t="s">
        <v>61</v>
      </c>
      <c r="D788" s="13" t="s">
        <v>51</v>
      </c>
      <c r="E788" s="1" t="s">
        <v>161</v>
      </c>
      <c r="F788" s="1" t="s">
        <v>162</v>
      </c>
      <c r="G788" s="1">
        <v>-10</v>
      </c>
      <c r="H788" s="1">
        <v>-20</v>
      </c>
      <c r="I788" s="1" t="s">
        <v>40</v>
      </c>
      <c r="J788" s="1">
        <v>3.15</v>
      </c>
      <c r="K788" s="1">
        <v>-10</v>
      </c>
      <c r="L788" s="1">
        <v>-7.1379545454545399</v>
      </c>
      <c r="M788" s="1" t="s">
        <v>40</v>
      </c>
      <c r="N788" s="1">
        <v>2.74272727272727</v>
      </c>
      <c r="O788" s="1">
        <v>1.20954545454546</v>
      </c>
      <c r="Q788" s="1">
        <v>0.12095454545454599</v>
      </c>
      <c r="R788" s="1">
        <v>0.41566081379784198</v>
      </c>
      <c r="S788" s="20" t="s">
        <v>161</v>
      </c>
      <c r="T788" s="3" t="s">
        <v>161</v>
      </c>
      <c r="U788" s="3" t="s">
        <v>106</v>
      </c>
      <c r="V788" s="20" t="s">
        <v>163</v>
      </c>
      <c r="W788" s="3">
        <v>6</v>
      </c>
      <c r="X788" s="3">
        <v>6</v>
      </c>
      <c r="Y788" s="3">
        <v>2</v>
      </c>
      <c r="Z788" s="3">
        <v>0</v>
      </c>
      <c r="AA788" s="3">
        <v>0</v>
      </c>
      <c r="AB788" s="12">
        <f>(W788*4+X788*1+Y788*-2+Z788*-3)/W788</f>
        <v>4.333333333333333</v>
      </c>
      <c r="AC788" s="3">
        <f>W788*12.0107+X788*1.00784+Y788*15.999+Z788*14.0067</f>
        <v>110.10924</v>
      </c>
      <c r="AD788" s="12">
        <v>245</v>
      </c>
      <c r="AE788" s="3" t="s">
        <v>164</v>
      </c>
      <c r="AF788" s="2" t="s">
        <v>98</v>
      </c>
      <c r="AG788" s="2" t="str">
        <f>IF(AD788&gt;37,"Proton symporter", "Diffusion")</f>
        <v>Proton symporter</v>
      </c>
      <c r="AH788" s="3" t="s">
        <v>165</v>
      </c>
    </row>
    <row r="789" spans="1:34" hidden="1" x14ac:dyDescent="0.2">
      <c r="A789" s="8" t="s">
        <v>34</v>
      </c>
      <c r="B789" s="9" t="s">
        <v>35</v>
      </c>
      <c r="C789" s="1" t="s">
        <v>59</v>
      </c>
      <c r="D789" s="13" t="s">
        <v>51</v>
      </c>
      <c r="E789" s="1" t="s">
        <v>315</v>
      </c>
      <c r="F789" s="1" t="s">
        <v>311</v>
      </c>
      <c r="G789" s="1">
        <v>-10</v>
      </c>
      <c r="H789" s="1">
        <v>-20</v>
      </c>
      <c r="I789" s="1" t="s">
        <v>40</v>
      </c>
      <c r="J789" s="1">
        <v>3.15</v>
      </c>
      <c r="K789" s="1">
        <v>-10</v>
      </c>
      <c r="L789" s="1">
        <v>-3.7348484848484902</v>
      </c>
      <c r="M789" s="1" t="s">
        <v>40</v>
      </c>
      <c r="N789" s="1">
        <v>2.4898989898989901</v>
      </c>
      <c r="O789" s="1">
        <v>1.5020202020202</v>
      </c>
      <c r="Q789" s="1">
        <v>0.15020202020202</v>
      </c>
      <c r="R789" s="1">
        <v>0.413213370278605</v>
      </c>
      <c r="S789" s="20" t="s">
        <v>315</v>
      </c>
      <c r="T789" s="3" t="s">
        <v>316</v>
      </c>
      <c r="U789" s="3" t="s">
        <v>106</v>
      </c>
      <c r="V789" s="3" t="s">
        <v>292</v>
      </c>
      <c r="W789" s="3">
        <v>5</v>
      </c>
      <c r="X789" s="3">
        <v>12</v>
      </c>
      <c r="Y789" s="3">
        <v>1</v>
      </c>
      <c r="Z789" s="3">
        <v>0</v>
      </c>
      <c r="AA789" s="3">
        <v>0</v>
      </c>
      <c r="AB789" s="12">
        <f>(W789*4+X789*1+Y789*-2+Z789*-3)/W789</f>
        <v>6</v>
      </c>
      <c r="AC789" s="3">
        <f>W789*12.0107+X789*1.00784+Y789*15.999+Z789*14.0067</f>
        <v>88.14658</v>
      </c>
      <c r="AD789" s="12">
        <v>138</v>
      </c>
      <c r="AE789" s="3" t="s">
        <v>262</v>
      </c>
      <c r="AF789" s="3" t="s">
        <v>44</v>
      </c>
      <c r="AG789" s="2" t="str">
        <f>IF(AD789&gt;37,"Proton symporter", "Diffusion")</f>
        <v>Proton symporter</v>
      </c>
      <c r="AH789" s="3" t="s">
        <v>314</v>
      </c>
    </row>
    <row r="790" spans="1:34" hidden="1" x14ac:dyDescent="0.2">
      <c r="A790" s="8" t="s">
        <v>34</v>
      </c>
      <c r="B790" s="9" t="s">
        <v>35</v>
      </c>
      <c r="C790" s="1" t="s">
        <v>60</v>
      </c>
      <c r="D790" s="13" t="s">
        <v>51</v>
      </c>
      <c r="E790" s="1" t="s">
        <v>315</v>
      </c>
      <c r="F790" s="1" t="s">
        <v>311</v>
      </c>
      <c r="G790" s="1">
        <v>-10</v>
      </c>
      <c r="H790" s="1">
        <v>-20</v>
      </c>
      <c r="I790" s="1" t="s">
        <v>40</v>
      </c>
      <c r="J790" s="1">
        <v>3.15</v>
      </c>
      <c r="K790" s="1">
        <v>-10</v>
      </c>
      <c r="L790" s="1">
        <v>-3.7348484848484902</v>
      </c>
      <c r="M790" s="1" t="s">
        <v>40</v>
      </c>
      <c r="N790" s="1">
        <v>2.4898989898989901</v>
      </c>
      <c r="O790" s="1">
        <v>1.5020202020202</v>
      </c>
      <c r="Q790" s="1">
        <v>0.15020202020202</v>
      </c>
      <c r="R790" s="1">
        <v>0.413213370278605</v>
      </c>
      <c r="S790" s="20" t="s">
        <v>315</v>
      </c>
      <c r="T790" s="3" t="s">
        <v>316</v>
      </c>
      <c r="U790" s="3" t="s">
        <v>106</v>
      </c>
      <c r="V790" s="3" t="s">
        <v>292</v>
      </c>
      <c r="W790" s="3">
        <v>5</v>
      </c>
      <c r="X790" s="3">
        <v>12</v>
      </c>
      <c r="Y790" s="3">
        <v>1</v>
      </c>
      <c r="Z790" s="3">
        <v>0</v>
      </c>
      <c r="AA790" s="3">
        <v>0</v>
      </c>
      <c r="AB790" s="12">
        <f>(W790*4+X790*1+Y790*-2+Z790*-3)/W790</f>
        <v>6</v>
      </c>
      <c r="AC790" s="3">
        <f>W790*12.0107+X790*1.00784+Y790*15.999+Z790*14.0067</f>
        <v>88.14658</v>
      </c>
      <c r="AD790" s="12">
        <v>138</v>
      </c>
      <c r="AE790" s="3" t="s">
        <v>262</v>
      </c>
      <c r="AF790" s="3" t="s">
        <v>44</v>
      </c>
      <c r="AG790" s="2" t="str">
        <f>IF(AD790&gt;37,"Proton symporter", "Diffusion")</f>
        <v>Proton symporter</v>
      </c>
      <c r="AH790" s="3" t="s">
        <v>314</v>
      </c>
    </row>
    <row r="791" spans="1:34" hidden="1" x14ac:dyDescent="0.2">
      <c r="A791" s="8" t="s">
        <v>350</v>
      </c>
      <c r="B791" s="17" t="s">
        <v>64</v>
      </c>
      <c r="C791" t="s">
        <v>351</v>
      </c>
      <c r="D791" s="13" t="s">
        <v>51</v>
      </c>
      <c r="E791" t="s">
        <v>343</v>
      </c>
      <c r="F791" t="s">
        <v>344</v>
      </c>
      <c r="G791">
        <v>-10</v>
      </c>
      <c r="H791">
        <v>0</v>
      </c>
      <c r="I791">
        <v>0</v>
      </c>
      <c r="J791">
        <v>0.45</v>
      </c>
      <c r="K791">
        <v>-10</v>
      </c>
      <c r="L791">
        <v>0</v>
      </c>
      <c r="M791">
        <v>0</v>
      </c>
      <c r="N791">
        <v>1</v>
      </c>
      <c r="O791">
        <v>3</v>
      </c>
      <c r="P791"/>
      <c r="Q791">
        <v>0.3</v>
      </c>
      <c r="R791" s="26">
        <v>0.41285918755496798</v>
      </c>
      <c r="S791" s="3" t="str">
        <f>VLOOKUP($E791,'[1]Product Naming'!$A$1:$P$58,2)</f>
        <v>Propane-PW1</v>
      </c>
      <c r="T791" s="3" t="str">
        <f>VLOOKUP($E791,'[1]Product Naming'!$A$1:$P$58,3)</f>
        <v>Propane (PW1)</v>
      </c>
      <c r="U791" s="3" t="str">
        <f>VLOOKUP($E791,'[1]Product Naming'!$A$1:$P$58,4)</f>
        <v>E</v>
      </c>
      <c r="V791" s="3" t="str">
        <f>VLOOKUP($E791,'[1]Product Naming'!$A$1:$P$58,5)</f>
        <v>C3H8</v>
      </c>
      <c r="W791" s="3">
        <f>VLOOKUP($E791,'[1]Product Naming'!$A$1:$P$58,6)</f>
        <v>3</v>
      </c>
      <c r="X791" s="3">
        <f>VLOOKUP($E791,'[1]Product Naming'!$A$1:$P$58,7)</f>
        <v>8</v>
      </c>
      <c r="Y791" s="3">
        <f>VLOOKUP($E791,'[1]Product Naming'!$A$1:$P$58,8)</f>
        <v>0</v>
      </c>
      <c r="Z791" s="3">
        <f>VLOOKUP($E791,'[1]Product Naming'!$A$1:$P$58,9)</f>
        <v>0</v>
      </c>
      <c r="AA791" s="3">
        <f>VLOOKUP($E791,'[1]Product Naming'!$A$1:$P$58,10)</f>
        <v>0</v>
      </c>
      <c r="AB791" s="3">
        <f>VLOOKUP($E791,'[1]Product Naming'!$A$1:$P$58,11)</f>
        <v>6.666666666666667</v>
      </c>
      <c r="AC791" s="3">
        <f>VLOOKUP($E791,'[1]Product Naming'!$A$1:$P$58,12)</f>
        <v>44.094819999999999</v>
      </c>
      <c r="AD791" s="3">
        <f>VLOOKUP($E791,'[1]Product Naming'!$A$1:$P$58,13)</f>
        <v>-42</v>
      </c>
      <c r="AE791" s="3" t="str">
        <f>VLOOKUP($E791,'[1]Product Naming'!$A$1:$P$58,14)</f>
        <v>Hydrocarbon</v>
      </c>
      <c r="AF791" s="3" t="str">
        <f>VLOOKUP($E791,'[1]Product Naming'!$A$1:$P$58,15)</f>
        <v>Acetyl-CoA</v>
      </c>
      <c r="AG791" s="3" t="str">
        <f>VLOOKUP($E791,'[1]Product Naming'!$A$1:$P$58,16)</f>
        <v>Diffusion</v>
      </c>
      <c r="AH791" s="3" t="str">
        <f>VLOOKUP($E791,'[1]Product Naming'!$A$1:$Q$58,17)</f>
        <v>prop_c</v>
      </c>
    </row>
    <row r="792" spans="1:34" hidden="1" x14ac:dyDescent="0.2">
      <c r="A792" s="8" t="s">
        <v>350</v>
      </c>
      <c r="B792" s="17" t="s">
        <v>64</v>
      </c>
      <c r="C792" t="s">
        <v>352</v>
      </c>
      <c r="D792" s="13" t="s">
        <v>51</v>
      </c>
      <c r="E792" t="s">
        <v>343</v>
      </c>
      <c r="F792" t="s">
        <v>344</v>
      </c>
      <c r="G792">
        <v>-10</v>
      </c>
      <c r="H792">
        <v>0</v>
      </c>
      <c r="I792">
        <v>0</v>
      </c>
      <c r="J792">
        <v>0.45</v>
      </c>
      <c r="K792">
        <v>-10</v>
      </c>
      <c r="L792">
        <v>0</v>
      </c>
      <c r="M792">
        <v>0</v>
      </c>
      <c r="N792">
        <v>1</v>
      </c>
      <c r="O792">
        <v>3</v>
      </c>
      <c r="P792"/>
      <c r="Q792">
        <v>0.3</v>
      </c>
      <c r="R792" s="26">
        <v>0.41285918755496798</v>
      </c>
      <c r="S792" s="3" t="str">
        <f>VLOOKUP($E792,'[1]Product Naming'!$A$1:$P$58,2)</f>
        <v>Propane-PW1</v>
      </c>
      <c r="T792" s="3" t="str">
        <f>VLOOKUP($E792,'[1]Product Naming'!$A$1:$P$58,3)</f>
        <v>Propane (PW1)</v>
      </c>
      <c r="U792" s="3" t="str">
        <f>VLOOKUP($E792,'[1]Product Naming'!$A$1:$P$58,4)</f>
        <v>E</v>
      </c>
      <c r="V792" s="3" t="str">
        <f>VLOOKUP($E792,'[1]Product Naming'!$A$1:$P$58,5)</f>
        <v>C3H8</v>
      </c>
      <c r="W792" s="3">
        <f>VLOOKUP($E792,'[1]Product Naming'!$A$1:$P$58,6)</f>
        <v>3</v>
      </c>
      <c r="X792" s="3">
        <f>VLOOKUP($E792,'[1]Product Naming'!$A$1:$P$58,7)</f>
        <v>8</v>
      </c>
      <c r="Y792" s="3">
        <f>VLOOKUP($E792,'[1]Product Naming'!$A$1:$P$58,8)</f>
        <v>0</v>
      </c>
      <c r="Z792" s="3">
        <f>VLOOKUP($E792,'[1]Product Naming'!$A$1:$P$58,9)</f>
        <v>0</v>
      </c>
      <c r="AA792" s="3">
        <f>VLOOKUP($E792,'[1]Product Naming'!$A$1:$P$58,10)</f>
        <v>0</v>
      </c>
      <c r="AB792" s="3">
        <f>VLOOKUP($E792,'[1]Product Naming'!$A$1:$P$58,11)</f>
        <v>6.666666666666667</v>
      </c>
      <c r="AC792" s="3">
        <f>VLOOKUP($E792,'[1]Product Naming'!$A$1:$P$58,12)</f>
        <v>44.094819999999999</v>
      </c>
      <c r="AD792" s="3">
        <f>VLOOKUP($E792,'[1]Product Naming'!$A$1:$P$58,13)</f>
        <v>-42</v>
      </c>
      <c r="AE792" s="3" t="str">
        <f>VLOOKUP($E792,'[1]Product Naming'!$A$1:$P$58,14)</f>
        <v>Hydrocarbon</v>
      </c>
      <c r="AF792" s="3" t="str">
        <f>VLOOKUP($E792,'[1]Product Naming'!$A$1:$P$58,15)</f>
        <v>Acetyl-CoA</v>
      </c>
      <c r="AG792" s="3" t="str">
        <f>VLOOKUP($E792,'[1]Product Naming'!$A$1:$P$58,16)</f>
        <v>Diffusion</v>
      </c>
      <c r="AH792" s="3" t="str">
        <f>VLOOKUP($E792,'[1]Product Naming'!$A$1:$Q$58,17)</f>
        <v>prop_c</v>
      </c>
    </row>
    <row r="793" spans="1:34" hidden="1" x14ac:dyDescent="0.2">
      <c r="A793" s="8" t="s">
        <v>350</v>
      </c>
      <c r="B793" s="17" t="s">
        <v>64</v>
      </c>
      <c r="C793" t="s">
        <v>353</v>
      </c>
      <c r="D793" s="13" t="s">
        <v>51</v>
      </c>
      <c r="E793" t="s">
        <v>343</v>
      </c>
      <c r="F793" t="s">
        <v>344</v>
      </c>
      <c r="G793">
        <v>-10</v>
      </c>
      <c r="H793">
        <v>0</v>
      </c>
      <c r="I793">
        <v>0</v>
      </c>
      <c r="J793">
        <v>0.45</v>
      </c>
      <c r="K793">
        <v>-10</v>
      </c>
      <c r="L793">
        <v>0</v>
      </c>
      <c r="M793">
        <v>0</v>
      </c>
      <c r="N793">
        <v>1</v>
      </c>
      <c r="O793">
        <v>3</v>
      </c>
      <c r="P793"/>
      <c r="Q793">
        <v>0.3</v>
      </c>
      <c r="R793" s="26">
        <v>0.41285918755496798</v>
      </c>
      <c r="S793" s="3" t="str">
        <f>VLOOKUP($E793,'[1]Product Naming'!$A$1:$P$58,2)</f>
        <v>Propane-PW1</v>
      </c>
      <c r="T793" s="3" t="str">
        <f>VLOOKUP($E793,'[1]Product Naming'!$A$1:$P$58,3)</f>
        <v>Propane (PW1)</v>
      </c>
      <c r="U793" s="3" t="str">
        <f>VLOOKUP($E793,'[1]Product Naming'!$A$1:$P$58,4)</f>
        <v>E</v>
      </c>
      <c r="V793" s="3" t="str">
        <f>VLOOKUP($E793,'[1]Product Naming'!$A$1:$P$58,5)</f>
        <v>C3H8</v>
      </c>
      <c r="W793" s="3">
        <f>VLOOKUP($E793,'[1]Product Naming'!$A$1:$P$58,6)</f>
        <v>3</v>
      </c>
      <c r="X793" s="3">
        <f>VLOOKUP($E793,'[1]Product Naming'!$A$1:$P$58,7)</f>
        <v>8</v>
      </c>
      <c r="Y793" s="3">
        <f>VLOOKUP($E793,'[1]Product Naming'!$A$1:$P$58,8)</f>
        <v>0</v>
      </c>
      <c r="Z793" s="3">
        <f>VLOOKUP($E793,'[1]Product Naming'!$A$1:$P$58,9)</f>
        <v>0</v>
      </c>
      <c r="AA793" s="3">
        <f>VLOOKUP($E793,'[1]Product Naming'!$A$1:$P$58,10)</f>
        <v>0</v>
      </c>
      <c r="AB793" s="3">
        <f>VLOOKUP($E793,'[1]Product Naming'!$A$1:$P$58,11)</f>
        <v>6.666666666666667</v>
      </c>
      <c r="AC793" s="3">
        <f>VLOOKUP($E793,'[1]Product Naming'!$A$1:$P$58,12)</f>
        <v>44.094819999999999</v>
      </c>
      <c r="AD793" s="3">
        <f>VLOOKUP($E793,'[1]Product Naming'!$A$1:$P$58,13)</f>
        <v>-42</v>
      </c>
      <c r="AE793" s="3" t="str">
        <f>VLOOKUP($E793,'[1]Product Naming'!$A$1:$P$58,14)</f>
        <v>Hydrocarbon</v>
      </c>
      <c r="AF793" s="3" t="str">
        <f>VLOOKUP($E793,'[1]Product Naming'!$A$1:$P$58,15)</f>
        <v>Acetyl-CoA</v>
      </c>
      <c r="AG793" s="3" t="str">
        <f>VLOOKUP($E793,'[1]Product Naming'!$A$1:$P$58,16)</f>
        <v>Diffusion</v>
      </c>
      <c r="AH793" s="3" t="str">
        <f>VLOOKUP($E793,'[1]Product Naming'!$A$1:$Q$58,17)</f>
        <v>prop_c</v>
      </c>
    </row>
    <row r="794" spans="1:34" hidden="1" x14ac:dyDescent="0.2">
      <c r="A794" s="8" t="s">
        <v>350</v>
      </c>
      <c r="B794" s="17" t="s">
        <v>64</v>
      </c>
      <c r="C794" t="s">
        <v>354</v>
      </c>
      <c r="D794" s="13" t="s">
        <v>51</v>
      </c>
      <c r="E794" t="s">
        <v>343</v>
      </c>
      <c r="F794" t="s">
        <v>344</v>
      </c>
      <c r="G794">
        <v>-10</v>
      </c>
      <c r="H794">
        <v>0</v>
      </c>
      <c r="I794">
        <v>0</v>
      </c>
      <c r="J794">
        <v>0.45</v>
      </c>
      <c r="K794">
        <v>-10</v>
      </c>
      <c r="L794">
        <v>0</v>
      </c>
      <c r="M794">
        <v>0</v>
      </c>
      <c r="N794">
        <v>1</v>
      </c>
      <c r="O794">
        <v>3</v>
      </c>
      <c r="P794"/>
      <c r="Q794">
        <v>0.3</v>
      </c>
      <c r="R794" s="26">
        <v>0.41285918755496798</v>
      </c>
      <c r="S794" s="3" t="str">
        <f>VLOOKUP($E794,'[1]Product Naming'!$A$1:$P$58,2)</f>
        <v>Propane-PW1</v>
      </c>
      <c r="T794" s="3" t="str">
        <f>VLOOKUP($E794,'[1]Product Naming'!$A$1:$P$58,3)</f>
        <v>Propane (PW1)</v>
      </c>
      <c r="U794" s="3" t="str">
        <f>VLOOKUP($E794,'[1]Product Naming'!$A$1:$P$58,4)</f>
        <v>E</v>
      </c>
      <c r="V794" s="3" t="str">
        <f>VLOOKUP($E794,'[1]Product Naming'!$A$1:$P$58,5)</f>
        <v>C3H8</v>
      </c>
      <c r="W794" s="3">
        <f>VLOOKUP($E794,'[1]Product Naming'!$A$1:$P$58,6)</f>
        <v>3</v>
      </c>
      <c r="X794" s="3">
        <f>VLOOKUP($E794,'[1]Product Naming'!$A$1:$P$58,7)</f>
        <v>8</v>
      </c>
      <c r="Y794" s="3">
        <f>VLOOKUP($E794,'[1]Product Naming'!$A$1:$P$58,8)</f>
        <v>0</v>
      </c>
      <c r="Z794" s="3">
        <f>VLOOKUP($E794,'[1]Product Naming'!$A$1:$P$58,9)</f>
        <v>0</v>
      </c>
      <c r="AA794" s="3">
        <f>VLOOKUP($E794,'[1]Product Naming'!$A$1:$P$58,10)</f>
        <v>0</v>
      </c>
      <c r="AB794" s="3">
        <f>VLOOKUP($E794,'[1]Product Naming'!$A$1:$P$58,11)</f>
        <v>6.666666666666667</v>
      </c>
      <c r="AC794" s="3">
        <f>VLOOKUP($E794,'[1]Product Naming'!$A$1:$P$58,12)</f>
        <v>44.094819999999999</v>
      </c>
      <c r="AD794" s="3">
        <f>VLOOKUP($E794,'[1]Product Naming'!$A$1:$P$58,13)</f>
        <v>-42</v>
      </c>
      <c r="AE794" s="3" t="str">
        <f>VLOOKUP($E794,'[1]Product Naming'!$A$1:$P$58,14)</f>
        <v>Hydrocarbon</v>
      </c>
      <c r="AF794" s="3" t="str">
        <f>VLOOKUP($E794,'[1]Product Naming'!$A$1:$P$58,15)</f>
        <v>Acetyl-CoA</v>
      </c>
      <c r="AG794" s="3" t="str">
        <f>VLOOKUP($E794,'[1]Product Naming'!$A$1:$P$58,16)</f>
        <v>Diffusion</v>
      </c>
      <c r="AH794" s="3" t="str">
        <f>VLOOKUP($E794,'[1]Product Naming'!$A$1:$Q$58,17)</f>
        <v>prop_c</v>
      </c>
    </row>
    <row r="795" spans="1:34" hidden="1" x14ac:dyDescent="0.2">
      <c r="A795" s="16" t="s">
        <v>63</v>
      </c>
      <c r="B795" s="17" t="s">
        <v>64</v>
      </c>
      <c r="C795" t="s">
        <v>69</v>
      </c>
      <c r="D795" s="18" t="s">
        <v>66</v>
      </c>
      <c r="E795" t="s">
        <v>343</v>
      </c>
      <c r="F795" t="s">
        <v>344</v>
      </c>
      <c r="G795">
        <v>-10</v>
      </c>
      <c r="H795">
        <v>0</v>
      </c>
      <c r="I795">
        <v>-20</v>
      </c>
      <c r="J795">
        <v>0.45</v>
      </c>
      <c r="K795">
        <v>-10</v>
      </c>
      <c r="L795">
        <v>0</v>
      </c>
      <c r="M795">
        <v>-20</v>
      </c>
      <c r="N795">
        <v>0.999999999999995</v>
      </c>
      <c r="O795">
        <v>3</v>
      </c>
      <c r="P795"/>
      <c r="Q795">
        <v>0.3</v>
      </c>
      <c r="R795" s="19">
        <v>0.41274402496099899</v>
      </c>
      <c r="S795" s="20" t="s">
        <v>343</v>
      </c>
      <c r="T795" s="3" t="s">
        <v>345</v>
      </c>
      <c r="U795" s="3" t="s">
        <v>106</v>
      </c>
      <c r="V795" s="3" t="s">
        <v>346</v>
      </c>
      <c r="W795" s="3">
        <v>3</v>
      </c>
      <c r="X795" s="3">
        <v>8</v>
      </c>
      <c r="Y795" s="3">
        <v>0</v>
      </c>
      <c r="Z795" s="3">
        <v>0</v>
      </c>
      <c r="AA795" s="3">
        <v>0</v>
      </c>
      <c r="AB795" s="12">
        <f>(W795*4+X795*1+Y795*-2+Z795*-3)/W795</f>
        <v>6.666666666666667</v>
      </c>
      <c r="AC795" s="3">
        <f>W795*12.0107+X795*1.00784+Y795*15.999+Z795*14.0067</f>
        <v>44.094819999999999</v>
      </c>
      <c r="AD795" s="24">
        <v>-42</v>
      </c>
      <c r="AE795" s="3" t="s">
        <v>231</v>
      </c>
      <c r="AF795" s="2" t="s">
        <v>79</v>
      </c>
      <c r="AG795" s="25" t="str">
        <f>IF(AD795&gt;37,"Proton symporter", "Diffusion")</f>
        <v>Diffusion</v>
      </c>
      <c r="AH795" s="3" t="s">
        <v>347</v>
      </c>
    </row>
    <row r="796" spans="1:34" hidden="1" x14ac:dyDescent="0.2">
      <c r="A796" s="8" t="s">
        <v>34</v>
      </c>
      <c r="B796" s="9" t="s">
        <v>35</v>
      </c>
      <c r="C796" s="1" t="s">
        <v>54</v>
      </c>
      <c r="D796" s="14" t="s">
        <v>55</v>
      </c>
      <c r="E796" s="1" t="s">
        <v>300</v>
      </c>
      <c r="F796" s="1" t="s">
        <v>301</v>
      </c>
      <c r="G796" s="1">
        <v>-10</v>
      </c>
      <c r="H796" s="1">
        <v>-20</v>
      </c>
      <c r="I796" s="1" t="s">
        <v>40</v>
      </c>
      <c r="J796" s="1">
        <v>3.15</v>
      </c>
      <c r="K796" s="1">
        <v>-10</v>
      </c>
      <c r="L796" s="1">
        <v>-2.2233866094268402E-16</v>
      </c>
      <c r="M796" s="1" t="s">
        <v>40</v>
      </c>
      <c r="N796" s="1">
        <v>20.000000000000099</v>
      </c>
      <c r="O796" s="1">
        <v>10</v>
      </c>
      <c r="Q796" s="1">
        <v>1</v>
      </c>
      <c r="R796" s="1">
        <v>0.41143081841650903</v>
      </c>
      <c r="S796" s="20" t="s">
        <v>300</v>
      </c>
      <c r="T796" s="3" t="s">
        <v>302</v>
      </c>
      <c r="U796" s="3" t="s">
        <v>106</v>
      </c>
      <c r="V796" s="3" t="s">
        <v>303</v>
      </c>
      <c r="W796" s="3">
        <v>4</v>
      </c>
      <c r="X796" s="3">
        <v>10</v>
      </c>
      <c r="Y796" s="3">
        <v>1</v>
      </c>
      <c r="Z796" s="3">
        <v>0</v>
      </c>
      <c r="AA796" s="3">
        <v>0</v>
      </c>
      <c r="AB796" s="12">
        <f>(W796*4+X796*1+Y796*-2+Z796*-3)/W796</f>
        <v>6</v>
      </c>
      <c r="AC796" s="3">
        <f>W796*12.0107+X796*1.00784+Y796*15.999+Z796*14.0067</f>
        <v>74.120199999999997</v>
      </c>
      <c r="AD796" s="12">
        <v>117.7</v>
      </c>
      <c r="AE796" s="3" t="s">
        <v>262</v>
      </c>
      <c r="AF796" s="2" t="s">
        <v>79</v>
      </c>
      <c r="AG796" s="2" t="str">
        <f>IF(AD796&gt;37,"Proton symporter", "Diffusion")</f>
        <v>Proton symporter</v>
      </c>
      <c r="AH796" s="3" t="s">
        <v>304</v>
      </c>
    </row>
    <row r="797" spans="1:34" hidden="1" x14ac:dyDescent="0.2">
      <c r="A797" s="8" t="s">
        <v>34</v>
      </c>
      <c r="B797" s="9" t="s">
        <v>35</v>
      </c>
      <c r="C797" s="1" t="s">
        <v>62</v>
      </c>
      <c r="D797" s="15" t="s">
        <v>55</v>
      </c>
      <c r="E797" s="1" t="s">
        <v>300</v>
      </c>
      <c r="F797" s="1" t="s">
        <v>301</v>
      </c>
      <c r="G797" s="1">
        <v>-10</v>
      </c>
      <c r="H797" s="1">
        <v>-20</v>
      </c>
      <c r="I797" s="1" t="s">
        <v>40</v>
      </c>
      <c r="J797" s="1">
        <v>3.15</v>
      </c>
      <c r="K797" s="1">
        <v>-10</v>
      </c>
      <c r="L797" s="1">
        <v>-6.1397809156533099E-16</v>
      </c>
      <c r="M797" s="1" t="s">
        <v>40</v>
      </c>
      <c r="N797" s="1">
        <v>16.6666666666667</v>
      </c>
      <c r="O797" s="1">
        <v>8.3333333333333393</v>
      </c>
      <c r="Q797" s="1">
        <v>0.83333333333333404</v>
      </c>
      <c r="R797" s="1">
        <v>0.41142232287573</v>
      </c>
      <c r="S797" s="20" t="s">
        <v>300</v>
      </c>
      <c r="T797" s="3" t="s">
        <v>302</v>
      </c>
      <c r="U797" s="3" t="s">
        <v>106</v>
      </c>
      <c r="V797" s="3" t="s">
        <v>303</v>
      </c>
      <c r="W797" s="3">
        <v>4</v>
      </c>
      <c r="X797" s="3">
        <v>10</v>
      </c>
      <c r="Y797" s="3">
        <v>1</v>
      </c>
      <c r="Z797" s="3">
        <v>0</v>
      </c>
      <c r="AA797" s="3">
        <v>0</v>
      </c>
      <c r="AB797" s="12">
        <f>(W797*4+X797*1+Y797*-2+Z797*-3)/W797</f>
        <v>6</v>
      </c>
      <c r="AC797" s="3">
        <f>W797*12.0107+X797*1.00784+Y797*15.999+Z797*14.0067</f>
        <v>74.120199999999997</v>
      </c>
      <c r="AD797" s="12">
        <v>117.7</v>
      </c>
      <c r="AE797" s="3" t="s">
        <v>262</v>
      </c>
      <c r="AF797" s="2" t="s">
        <v>79</v>
      </c>
      <c r="AG797" s="2" t="str">
        <f>IF(AD797&gt;37,"Proton symporter", "Diffusion")</f>
        <v>Proton symporter</v>
      </c>
      <c r="AH797" s="3" t="s">
        <v>304</v>
      </c>
    </row>
    <row r="798" spans="1:34" hidden="1" x14ac:dyDescent="0.2">
      <c r="A798" s="16" t="s">
        <v>63</v>
      </c>
      <c r="B798" s="17" t="s">
        <v>64</v>
      </c>
      <c r="C798" t="s">
        <v>68</v>
      </c>
      <c r="D798" s="18" t="s">
        <v>66</v>
      </c>
      <c r="E798" t="s">
        <v>305</v>
      </c>
      <c r="F798" t="s">
        <v>301</v>
      </c>
      <c r="G798">
        <v>-10</v>
      </c>
      <c r="H798">
        <v>0</v>
      </c>
      <c r="I798">
        <v>-10</v>
      </c>
      <c r="J798">
        <v>0.45</v>
      </c>
      <c r="K798">
        <v>-10</v>
      </c>
      <c r="L798">
        <v>0</v>
      </c>
      <c r="M798">
        <v>-10</v>
      </c>
      <c r="N798">
        <v>3.3333333333333299</v>
      </c>
      <c r="O798">
        <v>1.6666666666666701</v>
      </c>
      <c r="P798"/>
      <c r="Q798">
        <v>0.16666666666666699</v>
      </c>
      <c r="R798">
        <v>0.41136752136752103</v>
      </c>
      <c r="S798" s="20" t="s">
        <v>305</v>
      </c>
      <c r="T798" s="3" t="s">
        <v>306</v>
      </c>
      <c r="U798" s="3" t="s">
        <v>106</v>
      </c>
      <c r="V798" s="3" t="s">
        <v>303</v>
      </c>
      <c r="W798" s="3">
        <v>4</v>
      </c>
      <c r="X798" s="3">
        <v>10</v>
      </c>
      <c r="Y798" s="3">
        <v>1</v>
      </c>
      <c r="Z798" s="3">
        <v>0</v>
      </c>
      <c r="AA798" s="3">
        <v>0</v>
      </c>
      <c r="AB798" s="12">
        <f>(W798*4+X798*1+Y798*-2+Z798*-3)/W798</f>
        <v>6</v>
      </c>
      <c r="AC798" s="3">
        <f>W798*12.0107+X798*1.00784+Y798*15.999+Z798*14.0067</f>
        <v>74.120199999999997</v>
      </c>
      <c r="AD798" s="12">
        <v>117.7</v>
      </c>
      <c r="AE798" s="3" t="s">
        <v>262</v>
      </c>
      <c r="AF798" s="3" t="s">
        <v>44</v>
      </c>
      <c r="AG798" s="2" t="str">
        <f>IF(AD798&gt;37,"Proton symporter", "Diffusion")</f>
        <v>Proton symporter</v>
      </c>
      <c r="AH798" s="3" t="s">
        <v>304</v>
      </c>
    </row>
    <row r="799" spans="1:34" hidden="1" x14ac:dyDescent="0.2">
      <c r="A799" s="16" t="s">
        <v>63</v>
      </c>
      <c r="B799" s="17" t="s">
        <v>64</v>
      </c>
      <c r="C799" t="s">
        <v>68</v>
      </c>
      <c r="D799" s="18" t="s">
        <v>66</v>
      </c>
      <c r="E799" t="s">
        <v>300</v>
      </c>
      <c r="F799" t="s">
        <v>301</v>
      </c>
      <c r="G799">
        <v>-10</v>
      </c>
      <c r="H799">
        <v>0</v>
      </c>
      <c r="I799">
        <v>-10</v>
      </c>
      <c r="J799">
        <v>0.45</v>
      </c>
      <c r="K799">
        <v>-10</v>
      </c>
      <c r="L799">
        <v>0</v>
      </c>
      <c r="M799">
        <v>-10</v>
      </c>
      <c r="N799">
        <v>3.3333333333333299</v>
      </c>
      <c r="O799">
        <v>1.6666666666666601</v>
      </c>
      <c r="P799"/>
      <c r="Q799">
        <v>0.16666666666666599</v>
      </c>
      <c r="R799">
        <v>0.41136752136751997</v>
      </c>
      <c r="S799" s="20" t="s">
        <v>300</v>
      </c>
      <c r="T799" s="3" t="s">
        <v>302</v>
      </c>
      <c r="U799" s="3" t="s">
        <v>106</v>
      </c>
      <c r="V799" s="3" t="s">
        <v>303</v>
      </c>
      <c r="W799" s="3">
        <v>4</v>
      </c>
      <c r="X799" s="3">
        <v>10</v>
      </c>
      <c r="Y799" s="3">
        <v>1</v>
      </c>
      <c r="Z799" s="3">
        <v>0</v>
      </c>
      <c r="AA799" s="3">
        <v>0</v>
      </c>
      <c r="AB799" s="12">
        <f>(W799*4+X799*1+Y799*-2+Z799*-3)/W799</f>
        <v>6</v>
      </c>
      <c r="AC799" s="3">
        <f>W799*12.0107+X799*1.00784+Y799*15.999+Z799*14.0067</f>
        <v>74.120199999999997</v>
      </c>
      <c r="AD799" s="12">
        <v>117.7</v>
      </c>
      <c r="AE799" s="3" t="s">
        <v>262</v>
      </c>
      <c r="AF799" s="2" t="s">
        <v>79</v>
      </c>
      <c r="AG799" s="2" t="str">
        <f>IF(AD799&gt;37,"Proton symporter", "Diffusion")</f>
        <v>Proton symporter</v>
      </c>
      <c r="AH799" s="3" t="s">
        <v>304</v>
      </c>
    </row>
    <row r="800" spans="1:34" hidden="1" x14ac:dyDescent="0.2">
      <c r="A800" s="8" t="s">
        <v>34</v>
      </c>
      <c r="B800" s="9" t="s">
        <v>35</v>
      </c>
      <c r="C800" s="1" t="s">
        <v>61</v>
      </c>
      <c r="D800" s="13" t="s">
        <v>51</v>
      </c>
      <c r="E800" s="1" t="s">
        <v>146</v>
      </c>
      <c r="F800" s="1" t="s">
        <v>147</v>
      </c>
      <c r="G800" s="1">
        <v>-10</v>
      </c>
      <c r="H800" s="1">
        <v>-20</v>
      </c>
      <c r="I800" s="1" t="s">
        <v>40</v>
      </c>
      <c r="J800" s="1">
        <v>3.15</v>
      </c>
      <c r="K800" s="1">
        <v>-10</v>
      </c>
      <c r="L800" s="1">
        <v>-7.3279210925644902</v>
      </c>
      <c r="M800" s="1" t="s">
        <v>40</v>
      </c>
      <c r="N800" s="1">
        <v>2.73171471927163</v>
      </c>
      <c r="O800" s="1">
        <v>0.80758725341426396</v>
      </c>
      <c r="Q800" s="1">
        <v>8.0758725341426404E-2</v>
      </c>
      <c r="R800" s="1">
        <v>0.41121108535652701</v>
      </c>
      <c r="S800" s="20" t="s">
        <v>148</v>
      </c>
      <c r="T800" s="3" t="s">
        <v>148</v>
      </c>
      <c r="U800" s="3" t="s">
        <v>106</v>
      </c>
      <c r="V800" s="3" t="s">
        <v>149</v>
      </c>
      <c r="W800" s="3">
        <v>9</v>
      </c>
      <c r="X800" s="3">
        <v>7</v>
      </c>
      <c r="Y800" s="3">
        <v>3</v>
      </c>
      <c r="Z800" s="3">
        <v>0</v>
      </c>
      <c r="AA800" s="3">
        <v>-1</v>
      </c>
      <c r="AB800" s="12">
        <f>(W800*4+X800*1+Y800*-2+Z800*-3)/W800</f>
        <v>4.1111111111111107</v>
      </c>
      <c r="AC800" s="3">
        <f>W800*12.0107+X800*1.00784+Y800*15.999+Z800*14.0067</f>
        <v>163.14818</v>
      </c>
      <c r="AD800" s="12">
        <v>346</v>
      </c>
      <c r="AE800" s="22" t="s">
        <v>139</v>
      </c>
      <c r="AF800" s="2" t="s">
        <v>150</v>
      </c>
      <c r="AG800" s="2" t="str">
        <f>IF(AD800&gt;37,"Proton symporter", "Diffusion")</f>
        <v>Proton symporter</v>
      </c>
      <c r="AH800" s="3" t="s">
        <v>151</v>
      </c>
    </row>
    <row r="801" spans="1:35" hidden="1" x14ac:dyDescent="0.2">
      <c r="A801" s="16" t="s">
        <v>63</v>
      </c>
      <c r="B801" s="17" t="s">
        <v>64</v>
      </c>
      <c r="C801" t="s">
        <v>69</v>
      </c>
      <c r="D801" s="18" t="s">
        <v>66</v>
      </c>
      <c r="E801" t="s">
        <v>295</v>
      </c>
      <c r="F801" t="s">
        <v>296</v>
      </c>
      <c r="G801">
        <v>-10</v>
      </c>
      <c r="H801">
        <v>0</v>
      </c>
      <c r="I801">
        <v>-20</v>
      </c>
      <c r="J801">
        <v>0.45</v>
      </c>
      <c r="K801">
        <v>-10</v>
      </c>
      <c r="L801">
        <v>0</v>
      </c>
      <c r="M801">
        <v>-20</v>
      </c>
      <c r="N801">
        <v>0</v>
      </c>
      <c r="O801">
        <v>1.2888888888888901</v>
      </c>
      <c r="P801"/>
      <c r="Q801">
        <v>0.128888888888889</v>
      </c>
      <c r="R801" s="19">
        <v>0.41088796533194699</v>
      </c>
      <c r="S801" s="11" t="s">
        <v>295</v>
      </c>
      <c r="T801" s="2" t="s">
        <v>297</v>
      </c>
      <c r="U801" s="3" t="s">
        <v>41</v>
      </c>
      <c r="V801" s="2" t="s">
        <v>298</v>
      </c>
      <c r="W801" s="2">
        <v>6</v>
      </c>
      <c r="X801" s="2">
        <v>14</v>
      </c>
      <c r="Y801" s="2">
        <v>1</v>
      </c>
      <c r="Z801" s="2">
        <v>0</v>
      </c>
      <c r="AA801" s="2">
        <v>0</v>
      </c>
      <c r="AB801" s="12">
        <f>(W801*4+X801*1+Y801*-2+Z801*-3)/W801</f>
        <v>6</v>
      </c>
      <c r="AC801" s="3">
        <f>W801*12.0107+X801*1.00784+Y801*15.999+Z801*14.0067</f>
        <v>102.17295999999999</v>
      </c>
      <c r="AD801" s="12">
        <v>153</v>
      </c>
      <c r="AE801" s="2" t="s">
        <v>262</v>
      </c>
      <c r="AF801" s="2" t="s">
        <v>44</v>
      </c>
      <c r="AG801" s="2" t="str">
        <f>IF(AD801&gt;37,"Proton symporter", "Diffusion")</f>
        <v>Proton symporter</v>
      </c>
      <c r="AH801" s="3" t="s">
        <v>299</v>
      </c>
    </row>
    <row r="802" spans="1:35" hidden="1" x14ac:dyDescent="0.2">
      <c r="A802" s="8" t="s">
        <v>34</v>
      </c>
      <c r="B802" s="9" t="s">
        <v>35</v>
      </c>
      <c r="C802" s="1" t="s">
        <v>49</v>
      </c>
      <c r="D802" s="10" t="s">
        <v>37</v>
      </c>
      <c r="E802" s="1" t="s">
        <v>348</v>
      </c>
      <c r="F802" s="1" t="s">
        <v>344</v>
      </c>
      <c r="G802" s="1">
        <v>-10</v>
      </c>
      <c r="H802" s="1">
        <v>-20</v>
      </c>
      <c r="I802" s="1" t="s">
        <v>40</v>
      </c>
      <c r="J802" s="1">
        <v>3.15</v>
      </c>
      <c r="K802" s="1">
        <v>-10</v>
      </c>
      <c r="L802" s="1">
        <v>-8.5588235294117592</v>
      </c>
      <c r="M802" s="1" t="s">
        <v>40</v>
      </c>
      <c r="N802" s="1">
        <v>7.1352941176470397</v>
      </c>
      <c r="O802" s="1">
        <v>4.2882352941176398</v>
      </c>
      <c r="Q802" s="1">
        <v>0.42882352941176399</v>
      </c>
      <c r="R802" s="1">
        <v>0.410461192138666</v>
      </c>
      <c r="S802" s="20" t="s">
        <v>348</v>
      </c>
      <c r="T802" s="3" t="s">
        <v>349</v>
      </c>
      <c r="U802" s="3" t="s">
        <v>106</v>
      </c>
      <c r="V802" s="3" t="s">
        <v>346</v>
      </c>
      <c r="W802" s="3">
        <v>3</v>
      </c>
      <c r="X802" s="3">
        <v>8</v>
      </c>
      <c r="Y802" s="3">
        <v>0</v>
      </c>
      <c r="Z802" s="3">
        <v>0</v>
      </c>
      <c r="AA802" s="3">
        <v>0</v>
      </c>
      <c r="AB802" s="12">
        <f>(W802*4+X802*1+Y802*-2+Z802*-3)/W802</f>
        <v>6.666666666666667</v>
      </c>
      <c r="AC802" s="3">
        <f>W802*12.0107+X802*1.00784+Y802*15.999+Z802*14.0067</f>
        <v>44.094819999999999</v>
      </c>
      <c r="AD802" s="24">
        <v>-42</v>
      </c>
      <c r="AE802" s="3" t="s">
        <v>231</v>
      </c>
      <c r="AF802" s="3" t="s">
        <v>44</v>
      </c>
      <c r="AG802" s="25" t="str">
        <f>IF(AD802&gt;37,"Proton symporter", "Diffusion")</f>
        <v>Diffusion</v>
      </c>
      <c r="AH802" s="3" t="s">
        <v>347</v>
      </c>
      <c r="AI802"/>
    </row>
    <row r="803" spans="1:35" hidden="1" x14ac:dyDescent="0.2">
      <c r="A803" s="8" t="s">
        <v>350</v>
      </c>
      <c r="B803" s="17" t="s">
        <v>64</v>
      </c>
      <c r="C803" t="s">
        <v>351</v>
      </c>
      <c r="D803" s="13" t="s">
        <v>51</v>
      </c>
      <c r="E803" t="s">
        <v>335</v>
      </c>
      <c r="F803" t="s">
        <v>336</v>
      </c>
      <c r="G803">
        <v>-10</v>
      </c>
      <c r="H803">
        <v>0</v>
      </c>
      <c r="I803">
        <v>0</v>
      </c>
      <c r="J803">
        <v>0.45</v>
      </c>
      <c r="K803">
        <v>-10</v>
      </c>
      <c r="L803">
        <v>0</v>
      </c>
      <c r="M803">
        <v>0</v>
      </c>
      <c r="N803" s="26" t="s">
        <v>364</v>
      </c>
      <c r="O803" s="26">
        <v>1.8199999999999901</v>
      </c>
      <c r="P803"/>
      <c r="Q803" s="26">
        <v>0.181999999999999</v>
      </c>
      <c r="R803" s="26">
        <v>0.40981351927807602</v>
      </c>
      <c r="S803" s="3" t="str">
        <f>VLOOKUP($E803,'[1]Product Naming'!$A$1:$P$58,2)</f>
        <v>Pentane</v>
      </c>
      <c r="T803" s="3" t="str">
        <f>VLOOKUP($E803,'[1]Product Naming'!$A$1:$P$58,3)</f>
        <v>Pentane</v>
      </c>
      <c r="U803" s="3" t="str">
        <f>VLOOKUP($E803,'[1]Product Naming'!$A$1:$P$58,4)</f>
        <v>E</v>
      </c>
      <c r="V803" s="3" t="str">
        <f>VLOOKUP($E803,'[1]Product Naming'!$A$1:$P$58,5)</f>
        <v>C5H12</v>
      </c>
      <c r="W803" s="3">
        <f>VLOOKUP($E803,'[1]Product Naming'!$A$1:$P$58,6)</f>
        <v>5</v>
      </c>
      <c r="X803" s="3">
        <f>VLOOKUP($E803,'[1]Product Naming'!$A$1:$P$58,7)</f>
        <v>12</v>
      </c>
      <c r="Y803" s="3">
        <f>VLOOKUP($E803,'[1]Product Naming'!$A$1:$P$58,8)</f>
        <v>0</v>
      </c>
      <c r="Z803" s="3">
        <f>VLOOKUP($E803,'[1]Product Naming'!$A$1:$P$58,9)</f>
        <v>0</v>
      </c>
      <c r="AA803" s="3">
        <f>VLOOKUP($E803,'[1]Product Naming'!$A$1:$P$58,10)</f>
        <v>0</v>
      </c>
      <c r="AB803" s="3">
        <f>VLOOKUP($E803,'[1]Product Naming'!$A$1:$P$58,11)</f>
        <v>6.4</v>
      </c>
      <c r="AC803" s="3">
        <f>VLOOKUP($E803,'[1]Product Naming'!$A$1:$P$58,12)</f>
        <v>72.147580000000005</v>
      </c>
      <c r="AD803" s="3">
        <f>VLOOKUP($E803,'[1]Product Naming'!$A$1:$P$58,13)</f>
        <v>36.1</v>
      </c>
      <c r="AE803" s="3" t="str">
        <f>VLOOKUP($E803,'[1]Product Naming'!$A$1:$P$58,14)</f>
        <v>Hydrocarbon (alkane)</v>
      </c>
      <c r="AF803" s="3" t="str">
        <f>VLOOKUP($E803,'[1]Product Naming'!$A$1:$P$58,15)</f>
        <v>Acetyl-CoA</v>
      </c>
      <c r="AG803" s="3" t="str">
        <f>VLOOKUP($E803,'[1]Product Naming'!$A$1:$P$58,16)</f>
        <v>Diffusion</v>
      </c>
      <c r="AH803" s="3" t="str">
        <f>VLOOKUP($E803,'[1]Product Naming'!$A$1:$Q$58,17)</f>
        <v>pent_c</v>
      </c>
    </row>
    <row r="804" spans="1:35" hidden="1" x14ac:dyDescent="0.2">
      <c r="A804" s="8" t="s">
        <v>34</v>
      </c>
      <c r="B804" s="9" t="s">
        <v>35</v>
      </c>
      <c r="C804" s="1" t="s">
        <v>57</v>
      </c>
      <c r="D804" s="10" t="s">
        <v>37</v>
      </c>
      <c r="E804" s="1" t="s">
        <v>234</v>
      </c>
      <c r="F804" s="1" t="s">
        <v>235</v>
      </c>
      <c r="G804" s="1">
        <v>-10</v>
      </c>
      <c r="H804" s="1">
        <v>-20</v>
      </c>
      <c r="I804" s="1" t="s">
        <v>40</v>
      </c>
      <c r="J804" s="1">
        <v>3.15</v>
      </c>
      <c r="K804" s="1">
        <v>-10</v>
      </c>
      <c r="L804" s="1">
        <v>-5</v>
      </c>
      <c r="M804" s="1" t="s">
        <v>40</v>
      </c>
      <c r="N804" s="1">
        <v>9.0909090909091006</v>
      </c>
      <c r="O804" s="1">
        <v>2.7272727272727302</v>
      </c>
      <c r="Q804" s="1">
        <v>0.27272727272727298</v>
      </c>
      <c r="R804" s="1">
        <v>0.40927801965569299</v>
      </c>
      <c r="S804" s="20" t="s">
        <v>236</v>
      </c>
      <c r="T804" s="3" t="s">
        <v>237</v>
      </c>
      <c r="U804" s="3" t="s">
        <v>106</v>
      </c>
      <c r="V804" s="3" t="s">
        <v>238</v>
      </c>
      <c r="W804" s="3">
        <v>4</v>
      </c>
      <c r="X804" s="3">
        <v>10</v>
      </c>
      <c r="Y804" s="3">
        <v>2</v>
      </c>
      <c r="Z804" s="3">
        <v>0</v>
      </c>
      <c r="AA804" s="3">
        <v>0</v>
      </c>
      <c r="AB804" s="12">
        <f>(W804*4+X804*1+Y804*-2+Z804*-3)/W804</f>
        <v>5.5</v>
      </c>
      <c r="AC804" s="3">
        <f>W804*12.0107+X804*1.00784+Y804*15.999+Z804*14.0067</f>
        <v>90.119200000000006</v>
      </c>
      <c r="AD804" s="12">
        <v>207</v>
      </c>
      <c r="AE804" s="2" t="s">
        <v>220</v>
      </c>
      <c r="AF804" s="3" t="s">
        <v>79</v>
      </c>
      <c r="AG804" s="2" t="str">
        <f>IF(AD804&gt;37,"Proton symporter", "Diffusion")</f>
        <v>Proton symporter</v>
      </c>
      <c r="AH804" s="3" t="s">
        <v>239</v>
      </c>
    </row>
    <row r="805" spans="1:35" hidden="1" x14ac:dyDescent="0.2">
      <c r="A805" s="8" t="s">
        <v>34</v>
      </c>
      <c r="B805" s="9" t="s">
        <v>35</v>
      </c>
      <c r="C805" s="1" t="s">
        <v>57</v>
      </c>
      <c r="D805" s="10" t="s">
        <v>37</v>
      </c>
      <c r="E805" s="1" t="s">
        <v>249</v>
      </c>
      <c r="F805" s="1" t="s">
        <v>250</v>
      </c>
      <c r="G805" s="1">
        <v>-10</v>
      </c>
      <c r="H805" s="1">
        <v>-20</v>
      </c>
      <c r="I805" s="1" t="s">
        <v>40</v>
      </c>
      <c r="J805" s="1">
        <v>3.15</v>
      </c>
      <c r="K805" s="1">
        <v>-10</v>
      </c>
      <c r="L805" s="1">
        <v>-5</v>
      </c>
      <c r="M805" s="1" t="s">
        <v>40</v>
      </c>
      <c r="N805" s="1">
        <v>9.0909090909090899</v>
      </c>
      <c r="O805" s="1">
        <v>2.7272727272727302</v>
      </c>
      <c r="Q805" s="1">
        <v>0.27272727272727298</v>
      </c>
      <c r="R805" s="1">
        <v>0.40927801965569299</v>
      </c>
      <c r="S805" s="20" t="s">
        <v>251</v>
      </c>
      <c r="T805" s="3" t="s">
        <v>252</v>
      </c>
      <c r="U805" s="3" t="s">
        <v>106</v>
      </c>
      <c r="V805" s="3" t="s">
        <v>238</v>
      </c>
      <c r="W805" s="3">
        <v>4</v>
      </c>
      <c r="X805" s="3">
        <v>10</v>
      </c>
      <c r="Y805" s="3">
        <v>2</v>
      </c>
      <c r="Z805" s="3">
        <v>0</v>
      </c>
      <c r="AA805" s="3">
        <v>0</v>
      </c>
      <c r="AB805" s="12">
        <f>(W805*4+X805*1+Y805*-2+Z805*-3)/W805</f>
        <v>5.5</v>
      </c>
      <c r="AC805" s="3">
        <f>W805*12.0107+X805*1.00784+Y805*15.999+Z805*14.0067</f>
        <v>90.119200000000006</v>
      </c>
      <c r="AD805" s="12">
        <v>177</v>
      </c>
      <c r="AE805" s="3" t="s">
        <v>220</v>
      </c>
      <c r="AF805" s="3" t="s">
        <v>135</v>
      </c>
      <c r="AG805" s="2" t="str">
        <f>IF(AD805&gt;37,"Proton symporter", "Diffusion")</f>
        <v>Proton symporter</v>
      </c>
      <c r="AH805" s="3" t="s">
        <v>253</v>
      </c>
    </row>
    <row r="806" spans="1:35" hidden="1" x14ac:dyDescent="0.2">
      <c r="A806" s="8" t="s">
        <v>34</v>
      </c>
      <c r="B806" s="9" t="s">
        <v>35</v>
      </c>
      <c r="C806" s="1" t="s">
        <v>57</v>
      </c>
      <c r="D806" s="10" t="s">
        <v>37</v>
      </c>
      <c r="E806" s="1" t="s">
        <v>240</v>
      </c>
      <c r="F806" s="1" t="s">
        <v>235</v>
      </c>
      <c r="G806" s="1">
        <v>-10</v>
      </c>
      <c r="H806" s="1">
        <v>-20</v>
      </c>
      <c r="I806" s="1" t="s">
        <v>40</v>
      </c>
      <c r="J806" s="1">
        <v>3.15</v>
      </c>
      <c r="K806" s="1">
        <v>-10</v>
      </c>
      <c r="L806" s="1">
        <v>-5</v>
      </c>
      <c r="M806" s="1" t="s">
        <v>40</v>
      </c>
      <c r="N806" s="1">
        <v>9.0909090909090793</v>
      </c>
      <c r="O806" s="1">
        <v>2.7272727272727302</v>
      </c>
      <c r="Q806" s="1">
        <v>0.27272727272727298</v>
      </c>
      <c r="R806" s="1">
        <v>0.40927801965569199</v>
      </c>
      <c r="S806" s="20" t="s">
        <v>241</v>
      </c>
      <c r="T806" s="3" t="s">
        <v>242</v>
      </c>
      <c r="U806" s="3" t="s">
        <v>106</v>
      </c>
      <c r="V806" s="3" t="s">
        <v>238</v>
      </c>
      <c r="W806" s="3">
        <v>4</v>
      </c>
      <c r="X806" s="3">
        <v>10</v>
      </c>
      <c r="Y806" s="3">
        <v>2</v>
      </c>
      <c r="Z806" s="3">
        <v>0</v>
      </c>
      <c r="AA806" s="3">
        <v>0</v>
      </c>
      <c r="AB806" s="12">
        <f>(W806*4+X806*1+Y806*-2+Z806*-3)/W806</f>
        <v>5.5</v>
      </c>
      <c r="AC806" s="3">
        <f>W806*12.0107+X806*1.00784+Y806*15.999+Z806*14.0067</f>
        <v>90.119200000000006</v>
      </c>
      <c r="AD806" s="12">
        <v>207</v>
      </c>
      <c r="AE806" s="2" t="s">
        <v>220</v>
      </c>
      <c r="AF806" s="3" t="s">
        <v>243</v>
      </c>
      <c r="AG806" s="2" t="str">
        <f>IF(AD806&gt;37,"Proton symporter", "Diffusion")</f>
        <v>Proton symporter</v>
      </c>
      <c r="AH806" s="3" t="s">
        <v>239</v>
      </c>
    </row>
    <row r="807" spans="1:35" hidden="1" x14ac:dyDescent="0.2">
      <c r="A807" s="8" t="s">
        <v>34</v>
      </c>
      <c r="B807" s="9" t="s">
        <v>35</v>
      </c>
      <c r="C807" s="1" t="s">
        <v>57</v>
      </c>
      <c r="D807" s="10" t="s">
        <v>37</v>
      </c>
      <c r="E807" s="1" t="s">
        <v>161</v>
      </c>
      <c r="F807" s="1" t="s">
        <v>162</v>
      </c>
      <c r="G807" s="1">
        <v>-10</v>
      </c>
      <c r="H807" s="1">
        <v>-20</v>
      </c>
      <c r="I807" s="1" t="s">
        <v>40</v>
      </c>
      <c r="J807" s="1">
        <v>3.15</v>
      </c>
      <c r="K807" s="1">
        <v>-10</v>
      </c>
      <c r="L807" s="1">
        <v>-5.6196113074204899</v>
      </c>
      <c r="M807" s="1" t="s">
        <v>40</v>
      </c>
      <c r="N807" s="1">
        <v>6.7257950530035302</v>
      </c>
      <c r="O807" s="1">
        <v>2.2123674911660798</v>
      </c>
      <c r="Q807" s="1">
        <v>0.22123674911660801</v>
      </c>
      <c r="R807" s="1">
        <v>0.405651940073609</v>
      </c>
      <c r="S807" s="20" t="s">
        <v>161</v>
      </c>
      <c r="T807" s="3" t="s">
        <v>161</v>
      </c>
      <c r="U807" s="3" t="s">
        <v>106</v>
      </c>
      <c r="V807" s="20" t="s">
        <v>163</v>
      </c>
      <c r="W807" s="3">
        <v>6</v>
      </c>
      <c r="X807" s="3">
        <v>6</v>
      </c>
      <c r="Y807" s="3">
        <v>2</v>
      </c>
      <c r="Z807" s="3">
        <v>0</v>
      </c>
      <c r="AA807" s="3">
        <v>0</v>
      </c>
      <c r="AB807" s="12">
        <f>(W807*4+X807*1+Y807*-2+Z807*-3)/W807</f>
        <v>4.333333333333333</v>
      </c>
      <c r="AC807" s="3">
        <f>W807*12.0107+X807*1.00784+Y807*15.999+Z807*14.0067</f>
        <v>110.10924</v>
      </c>
      <c r="AD807" s="12">
        <v>245</v>
      </c>
      <c r="AE807" s="3" t="s">
        <v>164</v>
      </c>
      <c r="AF807" s="2" t="s">
        <v>98</v>
      </c>
      <c r="AG807" s="2" t="str">
        <f>IF(AD807&gt;37,"Proton symporter", "Diffusion")</f>
        <v>Proton symporter</v>
      </c>
      <c r="AH807" s="3" t="s">
        <v>165</v>
      </c>
    </row>
    <row r="808" spans="1:35" hidden="1" x14ac:dyDescent="0.2">
      <c r="A808" s="8" t="s">
        <v>34</v>
      </c>
      <c r="B808" s="9" t="s">
        <v>35</v>
      </c>
      <c r="C808" s="1" t="s">
        <v>59</v>
      </c>
      <c r="D808" s="13" t="s">
        <v>51</v>
      </c>
      <c r="E808" s="1" t="s">
        <v>199</v>
      </c>
      <c r="F808" s="1" t="s">
        <v>200</v>
      </c>
      <c r="G808" s="1">
        <v>-10</v>
      </c>
      <c r="H808" s="1">
        <v>-20</v>
      </c>
      <c r="I808" s="1" t="s">
        <v>40</v>
      </c>
      <c r="J808" s="1">
        <v>3.15</v>
      </c>
      <c r="K808" s="1">
        <v>-10</v>
      </c>
      <c r="L808" s="1">
        <v>-4.7897094430992802</v>
      </c>
      <c r="M808" s="1" t="s">
        <v>40</v>
      </c>
      <c r="N808" s="1">
        <v>1.5915254237288201</v>
      </c>
      <c r="O808" s="1">
        <v>1.20121065375303</v>
      </c>
      <c r="Q808" s="1">
        <v>0.120121065375303</v>
      </c>
      <c r="R808" s="1">
        <v>0.40540125702721003</v>
      </c>
      <c r="S808" s="20" t="s">
        <v>201</v>
      </c>
      <c r="T808" s="3" t="s">
        <v>201</v>
      </c>
      <c r="U808" s="3" t="s">
        <v>106</v>
      </c>
      <c r="V808" s="3" t="s">
        <v>202</v>
      </c>
      <c r="W808" s="3">
        <v>7</v>
      </c>
      <c r="X808" s="3">
        <v>8</v>
      </c>
      <c r="Y808" s="3">
        <v>1</v>
      </c>
      <c r="Z808" s="3">
        <v>0</v>
      </c>
      <c r="AA808" s="3">
        <v>0</v>
      </c>
      <c r="AB808" s="12">
        <f>(W808*4+X808*1+Y808*-2+Z808*-3)/W808</f>
        <v>4.8571428571428568</v>
      </c>
      <c r="AC808" s="3">
        <f>W808*12.0107+X808*1.00784+Y808*15.999+Z808*14.0067</f>
        <v>108.13661999999999</v>
      </c>
      <c r="AD808" s="12">
        <v>205</v>
      </c>
      <c r="AE808" s="3" t="s">
        <v>176</v>
      </c>
      <c r="AF808" s="3" t="s">
        <v>203</v>
      </c>
      <c r="AG808" s="2" t="str">
        <f>IF(AD808&gt;37,"Proton symporter", "Diffusion")</f>
        <v>Proton symporter</v>
      </c>
      <c r="AH808" s="3" t="s">
        <v>204</v>
      </c>
    </row>
    <row r="809" spans="1:35" hidden="1" x14ac:dyDescent="0.2">
      <c r="A809" s="8" t="s">
        <v>34</v>
      </c>
      <c r="B809" s="9" t="s">
        <v>35</v>
      </c>
      <c r="C809" s="1" t="s">
        <v>60</v>
      </c>
      <c r="D809" s="13" t="s">
        <v>51</v>
      </c>
      <c r="E809" s="1" t="s">
        <v>199</v>
      </c>
      <c r="F809" s="1" t="s">
        <v>200</v>
      </c>
      <c r="G809" s="1">
        <v>-10</v>
      </c>
      <c r="H809" s="1">
        <v>-20</v>
      </c>
      <c r="I809" s="1" t="s">
        <v>40</v>
      </c>
      <c r="J809" s="1">
        <v>3.15</v>
      </c>
      <c r="K809" s="1">
        <v>-10</v>
      </c>
      <c r="L809" s="1">
        <v>-4.7897094430992704</v>
      </c>
      <c r="M809" s="1" t="s">
        <v>40</v>
      </c>
      <c r="N809" s="1">
        <v>1.5915254237287999</v>
      </c>
      <c r="O809" s="1">
        <v>1.2012106537530201</v>
      </c>
      <c r="Q809" s="1">
        <v>0.120121065375302</v>
      </c>
      <c r="R809" s="1">
        <v>0.40540125702720903</v>
      </c>
      <c r="S809" s="20" t="s">
        <v>201</v>
      </c>
      <c r="T809" s="3" t="s">
        <v>201</v>
      </c>
      <c r="U809" s="3" t="s">
        <v>106</v>
      </c>
      <c r="V809" s="3" t="s">
        <v>202</v>
      </c>
      <c r="W809" s="3">
        <v>7</v>
      </c>
      <c r="X809" s="3">
        <v>8</v>
      </c>
      <c r="Y809" s="3">
        <v>1</v>
      </c>
      <c r="Z809" s="3">
        <v>0</v>
      </c>
      <c r="AA809" s="3">
        <v>0</v>
      </c>
      <c r="AB809" s="12">
        <f>(W809*4+X809*1+Y809*-2+Z809*-3)/W809</f>
        <v>4.8571428571428568</v>
      </c>
      <c r="AC809" s="3">
        <f>W809*12.0107+X809*1.00784+Y809*15.999+Z809*14.0067</f>
        <v>108.13661999999999</v>
      </c>
      <c r="AD809" s="12">
        <v>205</v>
      </c>
      <c r="AE809" s="3" t="s">
        <v>176</v>
      </c>
      <c r="AF809" s="3" t="s">
        <v>203</v>
      </c>
      <c r="AG809" s="2" t="str">
        <f>IF(AD809&gt;37,"Proton symporter", "Diffusion")</f>
        <v>Proton symporter</v>
      </c>
      <c r="AH809" s="3" t="s">
        <v>204</v>
      </c>
    </row>
    <row r="810" spans="1:35" hidden="1" x14ac:dyDescent="0.2">
      <c r="A810" s="8" t="s">
        <v>34</v>
      </c>
      <c r="B810" s="9" t="s">
        <v>35</v>
      </c>
      <c r="C810" s="1" t="s">
        <v>57</v>
      </c>
      <c r="D810" s="10" t="s">
        <v>37</v>
      </c>
      <c r="E810" s="1" t="s">
        <v>146</v>
      </c>
      <c r="F810" s="1" t="s">
        <v>147</v>
      </c>
      <c r="G810" s="1">
        <v>-10</v>
      </c>
      <c r="H810" s="1">
        <v>-20</v>
      </c>
      <c r="I810" s="1" t="s">
        <v>40</v>
      </c>
      <c r="J810" s="1">
        <v>3.15</v>
      </c>
      <c r="K810" s="1">
        <v>-10</v>
      </c>
      <c r="L810" s="1">
        <v>-5.8653179190751503</v>
      </c>
      <c r="M810" s="1" t="s">
        <v>40</v>
      </c>
      <c r="N810" s="1">
        <v>6.6092485549133002</v>
      </c>
      <c r="O810" s="1">
        <v>1.4878612716763</v>
      </c>
      <c r="Q810" s="1">
        <v>0.14878612716763001</v>
      </c>
      <c r="R810" s="1">
        <v>0.40421944076213001</v>
      </c>
      <c r="S810" s="20" t="s">
        <v>148</v>
      </c>
      <c r="T810" s="3" t="s">
        <v>148</v>
      </c>
      <c r="U810" s="3" t="s">
        <v>106</v>
      </c>
      <c r="V810" s="3" t="s">
        <v>149</v>
      </c>
      <c r="W810" s="3">
        <v>9</v>
      </c>
      <c r="X810" s="3">
        <v>7</v>
      </c>
      <c r="Y810" s="3">
        <v>3</v>
      </c>
      <c r="Z810" s="3">
        <v>0</v>
      </c>
      <c r="AA810" s="3">
        <v>-1</v>
      </c>
      <c r="AB810" s="12">
        <f>(W810*4+X810*1+Y810*-2+Z810*-3)/W810</f>
        <v>4.1111111111111107</v>
      </c>
      <c r="AC810" s="3">
        <f>W810*12.0107+X810*1.00784+Y810*15.999+Z810*14.0067</f>
        <v>163.14818</v>
      </c>
      <c r="AD810" s="12">
        <v>346</v>
      </c>
      <c r="AE810" s="22" t="s">
        <v>139</v>
      </c>
      <c r="AF810" s="2" t="s">
        <v>150</v>
      </c>
      <c r="AG810" s="2" t="str">
        <f>IF(AD810&gt;37,"Proton symporter", "Diffusion")</f>
        <v>Proton symporter</v>
      </c>
      <c r="AH810" s="3" t="s">
        <v>151</v>
      </c>
    </row>
    <row r="811" spans="1:35" hidden="1" x14ac:dyDescent="0.2">
      <c r="A811" s="8" t="s">
        <v>34</v>
      </c>
      <c r="B811" s="9" t="s">
        <v>35</v>
      </c>
      <c r="C811" s="1" t="s">
        <v>47</v>
      </c>
      <c r="D811" s="10" t="s">
        <v>37</v>
      </c>
      <c r="E811" s="1" t="s">
        <v>222</v>
      </c>
      <c r="F811" s="1" t="s">
        <v>223</v>
      </c>
      <c r="G811" s="1">
        <v>-10</v>
      </c>
      <c r="H811" s="1">
        <v>-20</v>
      </c>
      <c r="I811" s="1" t="s">
        <v>40</v>
      </c>
      <c r="J811" s="1">
        <v>3.15</v>
      </c>
      <c r="K811" s="1">
        <v>-10</v>
      </c>
      <c r="L811" s="1">
        <v>-7.7313131313131302</v>
      </c>
      <c r="M811" s="1" t="s">
        <v>40</v>
      </c>
      <c r="N811" s="1">
        <v>7.0484848484848399</v>
      </c>
      <c r="O811" s="1">
        <v>4.3171717171717203</v>
      </c>
      <c r="Q811" s="1">
        <v>0.431717171717172</v>
      </c>
      <c r="R811" s="1">
        <v>0.40397590869446198</v>
      </c>
      <c r="S811" s="11" t="s">
        <v>222</v>
      </c>
      <c r="T811" s="2" t="s">
        <v>222</v>
      </c>
      <c r="U811" s="3" t="s">
        <v>41</v>
      </c>
      <c r="V811" s="2" t="s">
        <v>224</v>
      </c>
      <c r="W811" s="2">
        <v>3</v>
      </c>
      <c r="X811" s="2">
        <v>6</v>
      </c>
      <c r="Y811" s="2">
        <v>1</v>
      </c>
      <c r="Z811" s="2">
        <v>0</v>
      </c>
      <c r="AA811" s="2">
        <v>0</v>
      </c>
      <c r="AB811" s="12">
        <f>(W811*4+X811*1+Y811*-2+Z811*-3)/W811</f>
        <v>5.333333333333333</v>
      </c>
      <c r="AC811" s="3">
        <f>W811*12.0107+X811*1.00784+Y811*15.999+Z811*14.0067</f>
        <v>58.078140000000005</v>
      </c>
      <c r="AD811" s="12">
        <v>56</v>
      </c>
      <c r="AE811" s="2" t="s">
        <v>225</v>
      </c>
      <c r="AF811" s="2" t="s">
        <v>79</v>
      </c>
      <c r="AG811" s="2" t="str">
        <f>IF(AD811&gt;37,"Proton symporter", "Diffusion")</f>
        <v>Proton symporter</v>
      </c>
      <c r="AH811" s="3" t="s">
        <v>226</v>
      </c>
    </row>
    <row r="812" spans="1:35" hidden="1" x14ac:dyDescent="0.2">
      <c r="A812" s="8" t="s">
        <v>34</v>
      </c>
      <c r="B812" s="9" t="s">
        <v>35</v>
      </c>
      <c r="C812" s="1" t="s">
        <v>57</v>
      </c>
      <c r="D812" s="10" t="s">
        <v>37</v>
      </c>
      <c r="E812" s="1" t="s">
        <v>189</v>
      </c>
      <c r="F812" s="1" t="s">
        <v>190</v>
      </c>
      <c r="G812" s="1">
        <v>-10</v>
      </c>
      <c r="H812" s="1">
        <v>-20</v>
      </c>
      <c r="I812" s="1" t="s">
        <v>40</v>
      </c>
      <c r="J812" s="1">
        <v>3.15</v>
      </c>
      <c r="K812" s="1">
        <v>-10</v>
      </c>
      <c r="L812" s="1">
        <v>-7.5791044776119501</v>
      </c>
      <c r="M812" s="1" t="s">
        <v>40</v>
      </c>
      <c r="N812" s="1">
        <v>9.6492537313433004</v>
      </c>
      <c r="O812" s="1">
        <v>2.0701492537313499</v>
      </c>
      <c r="Q812" s="1">
        <v>0.20701492537313501</v>
      </c>
      <c r="R812" s="1">
        <v>0.40382747459664398</v>
      </c>
      <c r="S812" s="11" t="s">
        <v>189</v>
      </c>
      <c r="T812" s="2" t="s">
        <v>189</v>
      </c>
      <c r="U812" s="3" t="s">
        <v>41</v>
      </c>
      <c r="V812" s="2" t="s">
        <v>191</v>
      </c>
      <c r="W812" s="2">
        <v>5</v>
      </c>
      <c r="X812" s="2">
        <v>11</v>
      </c>
      <c r="Y812" s="2">
        <v>2</v>
      </c>
      <c r="Z812" s="2">
        <v>1</v>
      </c>
      <c r="AA812" s="2">
        <v>0</v>
      </c>
      <c r="AB812" s="12">
        <f>(W812*4+X812*1+Y812*-2+Z812*-3)/W812</f>
        <v>4.8</v>
      </c>
      <c r="AC812" s="3">
        <f>W812*12.0107+X812*1.00784+Y812*15.999+Z812*14.0067</f>
        <v>117.14444</v>
      </c>
      <c r="AD812" s="12">
        <v>247.5</v>
      </c>
      <c r="AE812" s="2" t="s">
        <v>192</v>
      </c>
      <c r="AF812" s="2" t="s">
        <v>44</v>
      </c>
      <c r="AG812" s="2" t="str">
        <f>IF(AD812&gt;37,"Proton symporter", "Diffusion")</f>
        <v>Proton symporter</v>
      </c>
      <c r="AH812" s="3" t="s">
        <v>193</v>
      </c>
    </row>
    <row r="813" spans="1:35" hidden="1" x14ac:dyDescent="0.2">
      <c r="A813" s="8" t="s">
        <v>34</v>
      </c>
      <c r="B813" s="9" t="s">
        <v>35</v>
      </c>
      <c r="C813" s="1" t="s">
        <v>48</v>
      </c>
      <c r="D813" s="10" t="s">
        <v>37</v>
      </c>
      <c r="E813" s="1" t="s">
        <v>305</v>
      </c>
      <c r="F813" s="1" t="s">
        <v>301</v>
      </c>
      <c r="G813" s="1">
        <v>-10</v>
      </c>
      <c r="H813" s="1">
        <v>-20</v>
      </c>
      <c r="I813" s="1" t="s">
        <v>40</v>
      </c>
      <c r="J813" s="1">
        <v>3.15</v>
      </c>
      <c r="K813" s="1">
        <v>-10</v>
      </c>
      <c r="L813" s="1">
        <v>-4.79834710743802</v>
      </c>
      <c r="M813" s="1" t="s">
        <v>40</v>
      </c>
      <c r="N813" s="1">
        <v>6.5322314049586696</v>
      </c>
      <c r="O813" s="1">
        <v>3.3669421487603302</v>
      </c>
      <c r="Q813" s="1">
        <v>0.33669421487603302</v>
      </c>
      <c r="R813" s="1">
        <v>0.40208297155070299</v>
      </c>
      <c r="S813" s="20" t="s">
        <v>305</v>
      </c>
      <c r="T813" s="3" t="s">
        <v>306</v>
      </c>
      <c r="U813" s="3" t="s">
        <v>106</v>
      </c>
      <c r="V813" s="3" t="s">
        <v>303</v>
      </c>
      <c r="W813" s="3">
        <v>4</v>
      </c>
      <c r="X813" s="3">
        <v>10</v>
      </c>
      <c r="Y813" s="3">
        <v>1</v>
      </c>
      <c r="Z813" s="3">
        <v>0</v>
      </c>
      <c r="AA813" s="3">
        <v>0</v>
      </c>
      <c r="AB813" s="12">
        <f>(W813*4+X813*1+Y813*-2+Z813*-3)/W813</f>
        <v>6</v>
      </c>
      <c r="AC813" s="3">
        <f>W813*12.0107+X813*1.00784+Y813*15.999+Z813*14.0067</f>
        <v>74.120199999999997</v>
      </c>
      <c r="AD813" s="12">
        <v>117.7</v>
      </c>
      <c r="AE813" s="3" t="s">
        <v>262</v>
      </c>
      <c r="AF813" s="3" t="s">
        <v>44</v>
      </c>
      <c r="AG813" s="2" t="str">
        <f>IF(AD813&gt;37,"Proton symporter", "Diffusion")</f>
        <v>Proton symporter</v>
      </c>
      <c r="AH813" s="3" t="s">
        <v>304</v>
      </c>
    </row>
    <row r="814" spans="1:35" hidden="1" x14ac:dyDescent="0.2">
      <c r="A814" s="8" t="s">
        <v>368</v>
      </c>
      <c r="B814" s="17" t="s">
        <v>64</v>
      </c>
      <c r="C814" t="s">
        <v>369</v>
      </c>
      <c r="D814" s="18" t="s">
        <v>66</v>
      </c>
      <c r="E814" t="s">
        <v>307</v>
      </c>
      <c r="F814" t="s">
        <v>308</v>
      </c>
      <c r="G814">
        <v>-10</v>
      </c>
      <c r="H814">
        <v>0</v>
      </c>
      <c r="I814">
        <v>-20</v>
      </c>
      <c r="J814">
        <v>0.45</v>
      </c>
      <c r="K814">
        <v>-6.6666666666666599</v>
      </c>
      <c r="L814">
        <v>0</v>
      </c>
      <c r="M814">
        <v>-20</v>
      </c>
      <c r="N814">
        <v>-6.6666666666666599</v>
      </c>
      <c r="O814">
        <v>2.2222222222222201</v>
      </c>
      <c r="P814"/>
      <c r="Q814">
        <v>0.33333333333333298</v>
      </c>
      <c r="R814">
        <v>0.40016127958235098</v>
      </c>
      <c r="S814" s="1" t="str">
        <f>VLOOKUP($E814,'[1]Product Naming'!$A$1:$P$58,2)</f>
        <v>Isopropanol</v>
      </c>
      <c r="T814" s="1" t="str">
        <f>VLOOKUP($E814,'[1]Product Naming'!$A$1:$P$58,3)</f>
        <v>Isopropanol</v>
      </c>
      <c r="U814" s="1" t="str">
        <f>VLOOKUP($E814,'[1]Product Naming'!$A$1:$P$58,4)</f>
        <v>A</v>
      </c>
      <c r="V814" s="1" t="str">
        <f>VLOOKUP($E814,'[1]Product Naming'!$A$1:$P$58,5)</f>
        <v>C3H8O</v>
      </c>
      <c r="W814" s="1">
        <f>VLOOKUP($E814,'[1]Product Naming'!$A$1:$P$58,6)</f>
        <v>3</v>
      </c>
      <c r="X814" s="1">
        <f>VLOOKUP($E814,'[1]Product Naming'!$A$1:$P$58,7)</f>
        <v>8</v>
      </c>
      <c r="Y814" s="1">
        <f>VLOOKUP($E814,'[1]Product Naming'!$A$1:$P$58,8)</f>
        <v>1</v>
      </c>
      <c r="Z814" s="1">
        <f>VLOOKUP($E814,'[1]Product Naming'!$A$1:$P$58,9)</f>
        <v>0</v>
      </c>
      <c r="AA814" s="1">
        <f>VLOOKUP($E814,'[1]Product Naming'!$A$1:$P$58,10)</f>
        <v>0</v>
      </c>
      <c r="AB814" s="27">
        <f>VLOOKUP($E814,'[1]Product Naming'!$A$1:$P$58,11)</f>
        <v>6</v>
      </c>
      <c r="AC814" s="3">
        <f>VLOOKUP($E814,'[1]Product Naming'!$A$1:$P$58,12)</f>
        <v>60.093820000000001</v>
      </c>
      <c r="AD814" s="1">
        <f>VLOOKUP($E814,'[1]Product Naming'!$A$1:$P$58,13)</f>
        <v>82.5</v>
      </c>
      <c r="AE814" s="1" t="str">
        <f>VLOOKUP($E814,'[1]Product Naming'!$A$1:$P$58,14)</f>
        <v>Alcohol</v>
      </c>
      <c r="AF814" s="1" t="str">
        <f>VLOOKUP($E814,'[1]Product Naming'!$A$1:$P$58,15)</f>
        <v>Acetyl-CoA</v>
      </c>
      <c r="AG814" s="28" t="str">
        <f>VLOOKUP($E814,'[1]Product Naming'!$A$1:$P$58,16)</f>
        <v>Proton symporter</v>
      </c>
      <c r="AH814" s="3" t="str">
        <f>VLOOKUP($E814,'[1]Product Naming'!$A$1:$Q$58,17)</f>
        <v>2ppoh_c</v>
      </c>
    </row>
    <row r="815" spans="1:35" hidden="1" x14ac:dyDescent="0.2">
      <c r="A815" s="16" t="s">
        <v>63</v>
      </c>
      <c r="B815" s="17" t="s">
        <v>64</v>
      </c>
      <c r="C815" t="s">
        <v>73</v>
      </c>
      <c r="D815" s="18" t="s">
        <v>66</v>
      </c>
      <c r="E815" t="s">
        <v>307</v>
      </c>
      <c r="F815" t="s">
        <v>308</v>
      </c>
      <c r="G815">
        <v>-10</v>
      </c>
      <c r="H815">
        <v>0</v>
      </c>
      <c r="I815">
        <v>-20</v>
      </c>
      <c r="J815">
        <v>0.45</v>
      </c>
      <c r="K815">
        <v>-10</v>
      </c>
      <c r="L815">
        <v>0</v>
      </c>
      <c r="M815">
        <v>-20</v>
      </c>
      <c r="N815">
        <v>0</v>
      </c>
      <c r="O815">
        <v>3.3333333333333299</v>
      </c>
      <c r="P815"/>
      <c r="Q815">
        <v>0.33333333333333298</v>
      </c>
      <c r="R815" s="19">
        <v>0.400065375141468</v>
      </c>
      <c r="S815" s="11" t="s">
        <v>307</v>
      </c>
      <c r="T815" s="2" t="s">
        <v>307</v>
      </c>
      <c r="U815" s="3" t="s">
        <v>41</v>
      </c>
      <c r="V815" s="2" t="s">
        <v>283</v>
      </c>
      <c r="W815" s="2">
        <v>3</v>
      </c>
      <c r="X815" s="2">
        <v>8</v>
      </c>
      <c r="Y815" s="2">
        <v>1</v>
      </c>
      <c r="Z815" s="2">
        <v>0</v>
      </c>
      <c r="AA815" s="2">
        <v>0</v>
      </c>
      <c r="AB815" s="12">
        <f>(W815*4+X815*1+Y815*-2+Z815*-3)/W815</f>
        <v>6</v>
      </c>
      <c r="AC815" s="3">
        <f>W815*12.0107+X815*1.00784+Y815*15.999+Z815*14.0067</f>
        <v>60.093820000000001</v>
      </c>
      <c r="AD815" s="12">
        <v>82.5</v>
      </c>
      <c r="AE815" s="2" t="s">
        <v>262</v>
      </c>
      <c r="AF815" s="2" t="s">
        <v>79</v>
      </c>
      <c r="AG815" s="2" t="str">
        <f>IF(AD815&gt;37,"Proton symporter", "Diffusion")</f>
        <v>Proton symporter</v>
      </c>
      <c r="AH815" s="3" t="s">
        <v>309</v>
      </c>
    </row>
    <row r="816" spans="1:35" hidden="1" x14ac:dyDescent="0.2">
      <c r="A816" s="8" t="s">
        <v>34</v>
      </c>
      <c r="B816" s="9" t="s">
        <v>35</v>
      </c>
      <c r="C816" s="1" t="s">
        <v>46</v>
      </c>
      <c r="D816" s="10" t="s">
        <v>37</v>
      </c>
      <c r="E816" s="1" t="s">
        <v>189</v>
      </c>
      <c r="F816" s="1" t="s">
        <v>190</v>
      </c>
      <c r="G816" s="1">
        <v>-10</v>
      </c>
      <c r="H816" s="1">
        <v>-20</v>
      </c>
      <c r="I816" s="1" t="s">
        <v>40</v>
      </c>
      <c r="J816" s="1">
        <v>3.15</v>
      </c>
      <c r="K816" s="1">
        <v>-10</v>
      </c>
      <c r="L816" s="1">
        <v>-7.9343750000000002</v>
      </c>
      <c r="M816" s="1" t="s">
        <v>40</v>
      </c>
      <c r="N816" s="1">
        <v>9.9453124999999893</v>
      </c>
      <c r="O816" s="1">
        <v>2.0109374999999998</v>
      </c>
      <c r="Q816" s="1">
        <v>0.20109374999999999</v>
      </c>
      <c r="R816" s="1">
        <v>0.398981194210076</v>
      </c>
      <c r="S816" s="11" t="s">
        <v>189</v>
      </c>
      <c r="T816" s="2" t="s">
        <v>189</v>
      </c>
      <c r="U816" s="3" t="s">
        <v>41</v>
      </c>
      <c r="V816" s="2" t="s">
        <v>191</v>
      </c>
      <c r="W816" s="2">
        <v>5</v>
      </c>
      <c r="X816" s="2">
        <v>11</v>
      </c>
      <c r="Y816" s="2">
        <v>2</v>
      </c>
      <c r="Z816" s="2">
        <v>1</v>
      </c>
      <c r="AA816" s="2">
        <v>0</v>
      </c>
      <c r="AB816" s="12">
        <f>(W816*4+X816*1+Y816*-2+Z816*-3)/W816</f>
        <v>4.8</v>
      </c>
      <c r="AC816" s="3">
        <f>W816*12.0107+X816*1.00784+Y816*15.999+Z816*14.0067</f>
        <v>117.14444</v>
      </c>
      <c r="AD816" s="12">
        <v>247.5</v>
      </c>
      <c r="AE816" s="2" t="s">
        <v>192</v>
      </c>
      <c r="AF816" s="2" t="s">
        <v>44</v>
      </c>
      <c r="AG816" s="2" t="str">
        <f>IF(AD816&gt;37,"Proton symporter", "Diffusion")</f>
        <v>Proton symporter</v>
      </c>
      <c r="AH816" s="3" t="s">
        <v>193</v>
      </c>
    </row>
    <row r="817" spans="1:35" hidden="1" x14ac:dyDescent="0.2">
      <c r="A817" s="8" t="s">
        <v>34</v>
      </c>
      <c r="B817" s="9" t="s">
        <v>35</v>
      </c>
      <c r="C817" s="1" t="s">
        <v>46</v>
      </c>
      <c r="D817" s="10" t="s">
        <v>37</v>
      </c>
      <c r="E817" s="1" t="s">
        <v>307</v>
      </c>
      <c r="F817" s="1" t="s">
        <v>308</v>
      </c>
      <c r="G817" s="1">
        <v>-10</v>
      </c>
      <c r="H817" s="1">
        <v>-20</v>
      </c>
      <c r="I817" s="1" t="s">
        <v>40</v>
      </c>
      <c r="J817" s="1">
        <v>3.15</v>
      </c>
      <c r="K817" s="1">
        <v>-10</v>
      </c>
      <c r="L817" s="1">
        <v>-2.4500000000000002</v>
      </c>
      <c r="M817" s="1" t="s">
        <v>40</v>
      </c>
      <c r="N817" s="1">
        <v>8.3000000000000007</v>
      </c>
      <c r="O817" s="1">
        <v>3.9</v>
      </c>
      <c r="Q817" s="1">
        <v>0.39</v>
      </c>
      <c r="R817" s="1">
        <v>0.39694157741520902</v>
      </c>
      <c r="S817" s="11" t="s">
        <v>307</v>
      </c>
      <c r="T817" s="2" t="s">
        <v>307</v>
      </c>
      <c r="U817" s="3" t="s">
        <v>41</v>
      </c>
      <c r="V817" s="2" t="s">
        <v>283</v>
      </c>
      <c r="W817" s="2">
        <v>3</v>
      </c>
      <c r="X817" s="2">
        <v>8</v>
      </c>
      <c r="Y817" s="2">
        <v>1</v>
      </c>
      <c r="Z817" s="2">
        <v>0</v>
      </c>
      <c r="AA817" s="2">
        <v>0</v>
      </c>
      <c r="AB817" s="12">
        <f>(W817*4+X817*1+Y817*-2+Z817*-3)/W817</f>
        <v>6</v>
      </c>
      <c r="AC817" s="3">
        <f>W817*12.0107+X817*1.00784+Y817*15.999+Z817*14.0067</f>
        <v>60.093820000000001</v>
      </c>
      <c r="AD817" s="12">
        <v>82.5</v>
      </c>
      <c r="AE817" s="2" t="s">
        <v>262</v>
      </c>
      <c r="AF817" s="2" t="s">
        <v>79</v>
      </c>
      <c r="AG817" s="2" t="str">
        <f>IF(AD817&gt;37,"Proton symporter", "Diffusion")</f>
        <v>Proton symporter</v>
      </c>
      <c r="AH817" s="3" t="s">
        <v>309</v>
      </c>
    </row>
    <row r="818" spans="1:35" hidden="1" x14ac:dyDescent="0.2">
      <c r="A818" s="8" t="s">
        <v>34</v>
      </c>
      <c r="B818" s="9" t="s">
        <v>35</v>
      </c>
      <c r="C818" s="1" t="s">
        <v>54</v>
      </c>
      <c r="D818" s="14" t="s">
        <v>55</v>
      </c>
      <c r="E818" s="1" t="s">
        <v>286</v>
      </c>
      <c r="F818" s="1" t="s">
        <v>280</v>
      </c>
      <c r="G818" s="1">
        <v>-10</v>
      </c>
      <c r="H818" s="1">
        <v>-20</v>
      </c>
      <c r="I818" s="1" t="s">
        <v>40</v>
      </c>
      <c r="J818" s="1">
        <v>3.15</v>
      </c>
      <c r="K818" s="1">
        <v>-10</v>
      </c>
      <c r="L818" s="1">
        <v>-6.4566831683168298</v>
      </c>
      <c r="M818" s="1" t="s">
        <v>40</v>
      </c>
      <c r="N818" s="1">
        <v>24.304455445544601</v>
      </c>
      <c r="O818" s="1">
        <v>11.898514851485199</v>
      </c>
      <c r="Q818" s="1">
        <v>1.18985148514852</v>
      </c>
      <c r="R818" s="1">
        <v>0.396901560031589</v>
      </c>
      <c r="S818" s="20" t="s">
        <v>287</v>
      </c>
      <c r="T818" s="3" t="s">
        <v>288</v>
      </c>
      <c r="U818" s="3" t="s">
        <v>174</v>
      </c>
      <c r="V818" s="3" t="s">
        <v>283</v>
      </c>
      <c r="W818" s="3">
        <v>3</v>
      </c>
      <c r="X818" s="3">
        <v>8</v>
      </c>
      <c r="Y818" s="3">
        <v>1</v>
      </c>
      <c r="Z818" s="3">
        <v>0</v>
      </c>
      <c r="AA818" s="3">
        <v>0</v>
      </c>
      <c r="AB818" s="12">
        <f>(W818*4+X818*1+Y818*-2+Z818*-3)/W818</f>
        <v>6</v>
      </c>
      <c r="AC818" s="3">
        <f>W818*12.0107+X818*1.00784+Y818*15.999+Z818*14.0067</f>
        <v>60.093820000000001</v>
      </c>
      <c r="AD818" s="12">
        <v>97</v>
      </c>
      <c r="AE818" s="2" t="s">
        <v>262</v>
      </c>
      <c r="AF818" s="3" t="s">
        <v>44</v>
      </c>
      <c r="AG818" s="2" t="str">
        <f>IF(AD818&gt;37,"Proton symporter", "Diffusion")</f>
        <v>Proton symporter</v>
      </c>
      <c r="AH818" s="3" t="s">
        <v>285</v>
      </c>
      <c r="AI818"/>
    </row>
    <row r="819" spans="1:35" hidden="1" x14ac:dyDescent="0.2">
      <c r="A819" s="8" t="s">
        <v>350</v>
      </c>
      <c r="B819" s="17" t="s">
        <v>64</v>
      </c>
      <c r="C819" t="s">
        <v>353</v>
      </c>
      <c r="D819" s="13" t="s">
        <v>51</v>
      </c>
      <c r="E819" t="s">
        <v>273</v>
      </c>
      <c r="F819" t="s">
        <v>274</v>
      </c>
      <c r="G819">
        <v>-10</v>
      </c>
      <c r="H819">
        <v>0</v>
      </c>
      <c r="I819">
        <v>0</v>
      </c>
      <c r="J819">
        <v>0.45</v>
      </c>
      <c r="K819">
        <v>-10</v>
      </c>
      <c r="L819">
        <v>0</v>
      </c>
      <c r="M819" s="26">
        <v>1.6501901140684401</v>
      </c>
      <c r="N819">
        <v>0</v>
      </c>
      <c r="O819" s="26">
        <v>1.6501901140684401</v>
      </c>
      <c r="P819"/>
      <c r="Q819" s="26">
        <v>0.165019011406844</v>
      </c>
      <c r="R819" s="26">
        <v>0.396251008648277</v>
      </c>
      <c r="S819" s="3" t="str">
        <f>VLOOKUP($E819,'[1]Product Naming'!$A$1:$P$58,2)</f>
        <v>1-3-Diaminopropane</v>
      </c>
      <c r="T819" s="3" t="str">
        <f>VLOOKUP($E819,'[1]Product Naming'!$A$1:$P$58,3)</f>
        <v>1,3-Diaminopropane</v>
      </c>
      <c r="U819" s="3" t="str">
        <f>VLOOKUP($E819,'[1]Product Naming'!$A$1:$P$58,4)</f>
        <v>A</v>
      </c>
      <c r="V819" s="3" t="str">
        <f>VLOOKUP($E819,'[1]Product Naming'!$A$1:$P$58,5)</f>
        <v>C3H12N2</v>
      </c>
      <c r="W819" s="3">
        <f>VLOOKUP($E819,'[1]Product Naming'!$A$1:$P$58,6)</f>
        <v>3</v>
      </c>
      <c r="X819" s="3">
        <f>VLOOKUP($E819,'[1]Product Naming'!$A$1:$P$58,7)</f>
        <v>12</v>
      </c>
      <c r="Y819" s="3">
        <f>VLOOKUP($E819,'[1]Product Naming'!$A$1:$P$58,8)</f>
        <v>0</v>
      </c>
      <c r="Z819" s="3">
        <f>VLOOKUP($E819,'[1]Product Naming'!$A$1:$P$58,9)</f>
        <v>2</v>
      </c>
      <c r="AA819" s="3">
        <f>VLOOKUP($E819,'[1]Product Naming'!$A$1:$P$58,10)</f>
        <v>2</v>
      </c>
      <c r="AB819" s="3">
        <f>VLOOKUP($E819,'[1]Product Naming'!$A$1:$P$58,11)</f>
        <v>6</v>
      </c>
      <c r="AC819" s="3">
        <f>VLOOKUP($E819,'[1]Product Naming'!$A$1:$P$58,12)</f>
        <v>76.139580000000009</v>
      </c>
      <c r="AD819" s="3">
        <f>VLOOKUP($E819,'[1]Product Naming'!$A$1:$P$58,13)</f>
        <v>139.30000000000001</v>
      </c>
      <c r="AE819" s="3" t="str">
        <f>VLOOKUP($E819,'[1]Product Naming'!$A$1:$P$58,14)</f>
        <v>Diamine</v>
      </c>
      <c r="AF819" s="3" t="str">
        <f>VLOOKUP($E819,'[1]Product Naming'!$A$1:$P$58,15)</f>
        <v>Oxaloacetate + aKG</v>
      </c>
      <c r="AG819" s="3" t="str">
        <f>VLOOKUP($E819,'[1]Product Naming'!$A$1:$P$58,16)</f>
        <v>Proton symporter</v>
      </c>
      <c r="AH819" s="3" t="str">
        <f>VLOOKUP($E819,'[1]Product Naming'!$A$1:$Q$58,17)</f>
        <v>13dampp_c</v>
      </c>
      <c r="AI819"/>
    </row>
    <row r="820" spans="1:35" hidden="1" x14ac:dyDescent="0.2">
      <c r="A820" s="8" t="s">
        <v>34</v>
      </c>
      <c r="B820" s="9" t="s">
        <v>35</v>
      </c>
      <c r="C820" s="1" t="s">
        <v>61</v>
      </c>
      <c r="D820" s="13" t="s">
        <v>51</v>
      </c>
      <c r="E820" s="1" t="s">
        <v>307</v>
      </c>
      <c r="F820" s="1" t="s">
        <v>308</v>
      </c>
      <c r="G820" s="1">
        <v>-10</v>
      </c>
      <c r="H820" s="1">
        <v>-20</v>
      </c>
      <c r="I820" s="1" t="s">
        <v>40</v>
      </c>
      <c r="J820" s="1">
        <v>3.15</v>
      </c>
      <c r="K820" s="1">
        <v>-10</v>
      </c>
      <c r="L820" s="1">
        <v>-5.4964285714285399</v>
      </c>
      <c r="M820" s="1" t="s">
        <v>40</v>
      </c>
      <c r="N820" s="1">
        <v>3.6642857142857399</v>
      </c>
      <c r="O820" s="1">
        <v>2.1119047619047802</v>
      </c>
      <c r="Q820" s="1">
        <v>0.21119047619047801</v>
      </c>
      <c r="R820" s="1">
        <v>0.39609308998843601</v>
      </c>
      <c r="S820" s="11" t="s">
        <v>307</v>
      </c>
      <c r="T820" s="2" t="s">
        <v>307</v>
      </c>
      <c r="U820" s="3" t="s">
        <v>41</v>
      </c>
      <c r="V820" s="2" t="s">
        <v>283</v>
      </c>
      <c r="W820" s="2">
        <v>3</v>
      </c>
      <c r="X820" s="2">
        <v>8</v>
      </c>
      <c r="Y820" s="2">
        <v>1</v>
      </c>
      <c r="Z820" s="2">
        <v>0</v>
      </c>
      <c r="AA820" s="2">
        <v>0</v>
      </c>
      <c r="AB820" s="12">
        <f>(W820*4+X820*1+Y820*-2+Z820*-3)/W820</f>
        <v>6</v>
      </c>
      <c r="AC820" s="3">
        <f>W820*12.0107+X820*1.00784+Y820*15.999+Z820*14.0067</f>
        <v>60.093820000000001</v>
      </c>
      <c r="AD820" s="12">
        <v>82.5</v>
      </c>
      <c r="AE820" s="2" t="s">
        <v>262</v>
      </c>
      <c r="AF820" s="2" t="s">
        <v>79</v>
      </c>
      <c r="AG820" s="2" t="str">
        <f>IF(AD820&gt;37,"Proton symporter", "Diffusion")</f>
        <v>Proton symporter</v>
      </c>
      <c r="AH820" s="3" t="s">
        <v>309</v>
      </c>
      <c r="AI820"/>
    </row>
    <row r="821" spans="1:35" x14ac:dyDescent="0.2">
      <c r="A821" s="16" t="s">
        <v>63</v>
      </c>
      <c r="B821" s="17" t="s">
        <v>64</v>
      </c>
      <c r="C821" t="s">
        <v>72</v>
      </c>
      <c r="D821" s="18" t="s">
        <v>66</v>
      </c>
      <c r="E821" t="s">
        <v>216</v>
      </c>
      <c r="F821" t="s">
        <v>217</v>
      </c>
      <c r="G821">
        <v>-10</v>
      </c>
      <c r="H821">
        <v>0</v>
      </c>
      <c r="I821">
        <v>-10</v>
      </c>
      <c r="J821">
        <v>0.45</v>
      </c>
      <c r="K821">
        <v>-10</v>
      </c>
      <c r="L821">
        <v>0</v>
      </c>
      <c r="M821">
        <v>-10</v>
      </c>
      <c r="N821">
        <v>2.5</v>
      </c>
      <c r="O821">
        <v>2.5</v>
      </c>
      <c r="P821"/>
      <c r="Q821">
        <v>0.25</v>
      </c>
      <c r="R821">
        <v>0.39590766624488</v>
      </c>
      <c r="S821" s="11" t="s">
        <v>216</v>
      </c>
      <c r="T821" s="2" t="s">
        <v>218</v>
      </c>
      <c r="U821" s="3" t="s">
        <v>41</v>
      </c>
      <c r="V821" s="2" t="s">
        <v>219</v>
      </c>
      <c r="W821" s="2">
        <v>3</v>
      </c>
      <c r="X821" s="2">
        <v>8</v>
      </c>
      <c r="Y821" s="2">
        <v>2</v>
      </c>
      <c r="Z821" s="2">
        <v>0</v>
      </c>
      <c r="AA821" s="2">
        <v>0</v>
      </c>
      <c r="AB821" s="12">
        <f>(W821*4+X821*1+Y821*-2+Z821*-3)/W821</f>
        <v>5.333333333333333</v>
      </c>
      <c r="AC821" s="3">
        <f>W821*12.0107+X821*1.00784+Y821*15.999+Z821*14.0067</f>
        <v>76.092820000000003</v>
      </c>
      <c r="AD821" s="12">
        <v>213</v>
      </c>
      <c r="AE821" s="2" t="s">
        <v>220</v>
      </c>
      <c r="AF821" s="2" t="s">
        <v>98</v>
      </c>
      <c r="AG821" s="2" t="str">
        <f>IF(AD821&gt;37,"Proton symporter", "Diffusion")</f>
        <v>Proton symporter</v>
      </c>
      <c r="AH821" s="3" t="s">
        <v>221</v>
      </c>
      <c r="AI821"/>
    </row>
    <row r="822" spans="1:35" hidden="1" x14ac:dyDescent="0.2">
      <c r="A822" s="8" t="s">
        <v>34</v>
      </c>
      <c r="B822" s="9" t="s">
        <v>35</v>
      </c>
      <c r="C822" s="1" t="s">
        <v>46</v>
      </c>
      <c r="D822" s="10" t="s">
        <v>37</v>
      </c>
      <c r="E822" s="1" t="s">
        <v>259</v>
      </c>
      <c r="F822" s="1" t="s">
        <v>260</v>
      </c>
      <c r="G822" s="1">
        <v>-10</v>
      </c>
      <c r="H822" s="1">
        <v>-20</v>
      </c>
      <c r="I822" s="1" t="s">
        <v>40</v>
      </c>
      <c r="J822" s="1">
        <v>3.15</v>
      </c>
      <c r="K822" s="1">
        <v>-10</v>
      </c>
      <c r="L822" s="1">
        <v>-3.7431578947368398</v>
      </c>
      <c r="M822" s="1" t="s">
        <v>40</v>
      </c>
      <c r="N822" s="1">
        <v>9.1621052631578994</v>
      </c>
      <c r="O822" s="1">
        <v>2.70947368421053</v>
      </c>
      <c r="Q822" s="1">
        <v>0.27094736842105299</v>
      </c>
      <c r="R822" s="1">
        <v>0.39525383728882102</v>
      </c>
      <c r="S822" s="20" t="s">
        <v>259</v>
      </c>
      <c r="T822" s="3" t="s">
        <v>259</v>
      </c>
      <c r="U822" s="3" t="s">
        <v>106</v>
      </c>
      <c r="V822" s="3" t="s">
        <v>261</v>
      </c>
      <c r="W822" s="3">
        <v>5</v>
      </c>
      <c r="X822" s="3">
        <v>10</v>
      </c>
      <c r="Y822" s="3">
        <v>1</v>
      </c>
      <c r="Z822" s="3">
        <v>0</v>
      </c>
      <c r="AA822" s="3">
        <v>0</v>
      </c>
      <c r="AB822" s="12">
        <f>(W822*4+X822*1+Y822*-2+Z822*-3)/W822+0.02</f>
        <v>5.6199999999999992</v>
      </c>
      <c r="AC822" s="3">
        <f>W822*12.0107+X822*1.00784+Y822*15.999+Z822*14.0067</f>
        <v>86.130899999999997</v>
      </c>
      <c r="AD822" s="12">
        <v>108</v>
      </c>
      <c r="AE822" s="3" t="s">
        <v>262</v>
      </c>
      <c r="AF822" s="3" t="s">
        <v>135</v>
      </c>
      <c r="AG822" s="2" t="str">
        <f>IF(AD822&gt;37,"Proton symporter", "Diffusion")</f>
        <v>Proton symporter</v>
      </c>
      <c r="AH822" s="3" t="s">
        <v>263</v>
      </c>
      <c r="AI822"/>
    </row>
    <row r="823" spans="1:35" hidden="1" x14ac:dyDescent="0.2">
      <c r="A823" s="8" t="s">
        <v>34</v>
      </c>
      <c r="B823" s="9" t="s">
        <v>35</v>
      </c>
      <c r="C823" s="1" t="s">
        <v>62</v>
      </c>
      <c r="D823" s="15" t="s">
        <v>55</v>
      </c>
      <c r="E823" s="1" t="s">
        <v>286</v>
      </c>
      <c r="F823" s="1" t="s">
        <v>280</v>
      </c>
      <c r="G823" s="1">
        <v>-10</v>
      </c>
      <c r="H823" s="1">
        <v>-20</v>
      </c>
      <c r="I823" s="1" t="s">
        <v>40</v>
      </c>
      <c r="J823" s="1">
        <v>3.15</v>
      </c>
      <c r="K823" s="1">
        <v>-10</v>
      </c>
      <c r="L823" s="1">
        <v>-5.7177215189873403</v>
      </c>
      <c r="M823" s="1" t="s">
        <v>40</v>
      </c>
      <c r="N823" s="1">
        <v>20.4784810126582</v>
      </c>
      <c r="O823" s="1">
        <v>9.8405063291139303</v>
      </c>
      <c r="Q823" s="1">
        <v>0.98405063291139305</v>
      </c>
      <c r="R823" s="1">
        <v>0.39389436891403001</v>
      </c>
      <c r="S823" s="20" t="s">
        <v>287</v>
      </c>
      <c r="T823" s="3" t="s">
        <v>288</v>
      </c>
      <c r="U823" s="3" t="s">
        <v>174</v>
      </c>
      <c r="V823" s="3" t="s">
        <v>283</v>
      </c>
      <c r="W823" s="3">
        <v>3</v>
      </c>
      <c r="X823" s="3">
        <v>8</v>
      </c>
      <c r="Y823" s="3">
        <v>1</v>
      </c>
      <c r="Z823" s="3">
        <v>0</v>
      </c>
      <c r="AA823" s="3">
        <v>0</v>
      </c>
      <c r="AB823" s="12">
        <f>(W823*4+X823*1+Y823*-2+Z823*-3)/W823</f>
        <v>6</v>
      </c>
      <c r="AC823" s="3">
        <f>W823*12.0107+X823*1.00784+Y823*15.999+Z823*14.0067</f>
        <v>60.093820000000001</v>
      </c>
      <c r="AD823" s="12">
        <v>97</v>
      </c>
      <c r="AE823" s="2" t="s">
        <v>262</v>
      </c>
      <c r="AF823" s="3" t="s">
        <v>44</v>
      </c>
      <c r="AG823" s="2" t="str">
        <f>IF(AD823&gt;37,"Proton symporter", "Diffusion")</f>
        <v>Proton symporter</v>
      </c>
      <c r="AH823" s="3" t="s">
        <v>285</v>
      </c>
      <c r="AI823"/>
    </row>
    <row r="824" spans="1:35" hidden="1" x14ac:dyDescent="0.2">
      <c r="A824" s="8" t="s">
        <v>34</v>
      </c>
      <c r="B824" s="9" t="s">
        <v>35</v>
      </c>
      <c r="C824" s="1" t="s">
        <v>56</v>
      </c>
      <c r="D824" s="14" t="s">
        <v>55</v>
      </c>
      <c r="E824" s="1" t="s">
        <v>295</v>
      </c>
      <c r="F824" s="1" t="s">
        <v>296</v>
      </c>
      <c r="G824" s="1">
        <v>-10</v>
      </c>
      <c r="H824" s="1">
        <v>-20</v>
      </c>
      <c r="I824" s="1" t="s">
        <v>40</v>
      </c>
      <c r="J824" s="1">
        <v>3.15</v>
      </c>
      <c r="K824" s="1">
        <v>-10</v>
      </c>
      <c r="L824" s="1">
        <v>-3.0520547945205299</v>
      </c>
      <c r="M824" s="1" t="s">
        <v>40</v>
      </c>
      <c r="N824" s="1">
        <v>8.7013698630137402</v>
      </c>
      <c r="O824" s="1">
        <v>3.5497716894977298</v>
      </c>
      <c r="Q824" s="1">
        <v>0.35497716894977299</v>
      </c>
      <c r="R824" s="1">
        <v>0.393827382597642</v>
      </c>
      <c r="S824" s="11" t="s">
        <v>295</v>
      </c>
      <c r="T824" s="2" t="s">
        <v>297</v>
      </c>
      <c r="U824" s="3" t="s">
        <v>41</v>
      </c>
      <c r="V824" s="2" t="s">
        <v>298</v>
      </c>
      <c r="W824" s="2">
        <v>6</v>
      </c>
      <c r="X824" s="2">
        <v>14</v>
      </c>
      <c r="Y824" s="2">
        <v>1</v>
      </c>
      <c r="Z824" s="2">
        <v>0</v>
      </c>
      <c r="AA824" s="2">
        <v>0</v>
      </c>
      <c r="AB824" s="12">
        <f>(W824*4+X824*1+Y824*-2+Z824*-3)/W824</f>
        <v>6</v>
      </c>
      <c r="AC824" s="3">
        <f>W824*12.0107+X824*1.00784+Y824*15.999+Z824*14.0067</f>
        <v>102.17295999999999</v>
      </c>
      <c r="AD824" s="12">
        <v>153</v>
      </c>
      <c r="AE824" s="2" t="s">
        <v>262</v>
      </c>
      <c r="AF824" s="2" t="s">
        <v>44</v>
      </c>
      <c r="AG824" s="2" t="str">
        <f>IF(AD824&gt;37,"Proton symporter", "Diffusion")</f>
        <v>Proton symporter</v>
      </c>
      <c r="AH824" s="3" t="s">
        <v>299</v>
      </c>
    </row>
    <row r="825" spans="1:35" hidden="1" x14ac:dyDescent="0.2">
      <c r="A825" s="8" t="s">
        <v>368</v>
      </c>
      <c r="B825" s="17" t="s">
        <v>64</v>
      </c>
      <c r="C825" t="s">
        <v>369</v>
      </c>
      <c r="D825" s="18" t="s">
        <v>66</v>
      </c>
      <c r="E825" t="s">
        <v>222</v>
      </c>
      <c r="F825" t="s">
        <v>223</v>
      </c>
      <c r="G825">
        <v>-10</v>
      </c>
      <c r="H825">
        <v>0</v>
      </c>
      <c r="I825">
        <v>-20</v>
      </c>
      <c r="J825">
        <v>0.45</v>
      </c>
      <c r="K825">
        <v>-7.5</v>
      </c>
      <c r="L825">
        <v>0</v>
      </c>
      <c r="M825">
        <v>-20</v>
      </c>
      <c r="N825">
        <v>-7.5</v>
      </c>
      <c r="O825">
        <v>2.5</v>
      </c>
      <c r="P825"/>
      <c r="Q825">
        <v>0.33333333333333298</v>
      </c>
      <c r="R825">
        <v>0.39200137690843501</v>
      </c>
      <c r="S825" s="1" t="str">
        <f>VLOOKUP($E825,'[1]Product Naming'!$A$1:$P$58,2)</f>
        <v>Acetone</v>
      </c>
      <c r="T825" s="1" t="str">
        <f>VLOOKUP($E825,'[1]Product Naming'!$A$1:$P$58,3)</f>
        <v>Acetone</v>
      </c>
      <c r="U825" s="1" t="str">
        <f>VLOOKUP($E825,'[1]Product Naming'!$A$1:$P$58,4)</f>
        <v>A</v>
      </c>
      <c r="V825" s="1" t="str">
        <f>VLOOKUP($E825,'[1]Product Naming'!$A$1:$P$58,5)</f>
        <v>C3H6O</v>
      </c>
      <c r="W825" s="1">
        <f>VLOOKUP($E825,'[1]Product Naming'!$A$1:$P$58,6)</f>
        <v>3</v>
      </c>
      <c r="X825" s="1">
        <f>VLOOKUP($E825,'[1]Product Naming'!$A$1:$P$58,7)</f>
        <v>6</v>
      </c>
      <c r="Y825" s="1">
        <f>VLOOKUP($E825,'[1]Product Naming'!$A$1:$P$58,8)</f>
        <v>1</v>
      </c>
      <c r="Z825" s="1">
        <f>VLOOKUP($E825,'[1]Product Naming'!$A$1:$P$58,9)</f>
        <v>0</v>
      </c>
      <c r="AA825" s="1">
        <f>VLOOKUP($E825,'[1]Product Naming'!$A$1:$P$58,10)</f>
        <v>0</v>
      </c>
      <c r="AB825" s="27">
        <f>VLOOKUP($E825,'[1]Product Naming'!$A$1:$P$58,11)</f>
        <v>5.333333333333333</v>
      </c>
      <c r="AC825" s="3">
        <f>VLOOKUP($E825,'[1]Product Naming'!$A$1:$P$58,12)</f>
        <v>58.078140000000005</v>
      </c>
      <c r="AD825" s="1">
        <f>VLOOKUP($E825,'[1]Product Naming'!$A$1:$P$58,13)</f>
        <v>56</v>
      </c>
      <c r="AE825" s="1" t="str">
        <f>VLOOKUP($E825,'[1]Product Naming'!$A$1:$P$58,14)</f>
        <v>Ketone</v>
      </c>
      <c r="AF825" s="1" t="str">
        <f>VLOOKUP($E825,'[1]Product Naming'!$A$1:$P$58,15)</f>
        <v>Acetyl-CoA</v>
      </c>
      <c r="AG825" s="28" t="str">
        <f>VLOOKUP($E825,'[1]Product Naming'!$A$1:$P$58,16)</f>
        <v>Proton symporter</v>
      </c>
      <c r="AH825" s="3" t="str">
        <f>VLOOKUP($E825,'[1]Product Naming'!$A$1:$Q$58,17)</f>
        <v>acetone_c</v>
      </c>
    </row>
    <row r="826" spans="1:35" hidden="1" x14ac:dyDescent="0.2">
      <c r="A826" s="16" t="s">
        <v>63</v>
      </c>
      <c r="B826" s="17" t="s">
        <v>64</v>
      </c>
      <c r="C826" t="s">
        <v>73</v>
      </c>
      <c r="D826" s="18" t="s">
        <v>66</v>
      </c>
      <c r="E826" t="s">
        <v>222</v>
      </c>
      <c r="F826" t="s">
        <v>223</v>
      </c>
      <c r="G826">
        <v>-10</v>
      </c>
      <c r="H826">
        <v>0</v>
      </c>
      <c r="I826">
        <v>-20</v>
      </c>
      <c r="J826">
        <v>0.45</v>
      </c>
      <c r="K826">
        <v>-10</v>
      </c>
      <c r="L826">
        <v>0</v>
      </c>
      <c r="M826">
        <v>-16.6666666666667</v>
      </c>
      <c r="N826">
        <v>0</v>
      </c>
      <c r="O826">
        <v>3.3333333333333401</v>
      </c>
      <c r="P826"/>
      <c r="Q826">
        <v>0.33333333333333398</v>
      </c>
      <c r="R826" s="19">
        <v>0.39191672852419301</v>
      </c>
      <c r="S826" s="11" t="s">
        <v>222</v>
      </c>
      <c r="T826" s="2" t="s">
        <v>222</v>
      </c>
      <c r="U826" s="3" t="s">
        <v>41</v>
      </c>
      <c r="V826" s="2" t="s">
        <v>224</v>
      </c>
      <c r="W826" s="2">
        <v>3</v>
      </c>
      <c r="X826" s="2">
        <v>6</v>
      </c>
      <c r="Y826" s="2">
        <v>1</v>
      </c>
      <c r="Z826" s="2">
        <v>0</v>
      </c>
      <c r="AA826" s="2">
        <v>0</v>
      </c>
      <c r="AB826" s="12">
        <f>(W826*4+X826*1+Y826*-2+Z826*-3)/W826</f>
        <v>5.333333333333333</v>
      </c>
      <c r="AC826" s="3">
        <f>W826*12.0107+X826*1.00784+Y826*15.999+Z826*14.0067</f>
        <v>58.078140000000005</v>
      </c>
      <c r="AD826" s="12">
        <v>56</v>
      </c>
      <c r="AE826" s="2" t="s">
        <v>225</v>
      </c>
      <c r="AF826" s="2" t="s">
        <v>79</v>
      </c>
      <c r="AG826" s="2" t="str">
        <f>IF(AD826&gt;37,"Proton symporter", "Diffusion")</f>
        <v>Proton symporter</v>
      </c>
      <c r="AH826" s="3" t="s">
        <v>226</v>
      </c>
    </row>
    <row r="827" spans="1:35" hidden="1" x14ac:dyDescent="0.2">
      <c r="A827" s="8" t="s">
        <v>34</v>
      </c>
      <c r="B827" s="9" t="s">
        <v>35</v>
      </c>
      <c r="C827" s="1" t="s">
        <v>54</v>
      </c>
      <c r="D827" s="14" t="s">
        <v>55</v>
      </c>
      <c r="E827" s="1" t="s">
        <v>310</v>
      </c>
      <c r="F827" s="1" t="s">
        <v>311</v>
      </c>
      <c r="G827" s="1">
        <v>-10</v>
      </c>
      <c r="H827" s="1">
        <v>-20</v>
      </c>
      <c r="I827" s="1" t="s">
        <v>40</v>
      </c>
      <c r="J827" s="1">
        <v>3.15</v>
      </c>
      <c r="K827" s="1">
        <v>-10</v>
      </c>
      <c r="L827" s="1">
        <v>0</v>
      </c>
      <c r="M827" s="1" t="s">
        <v>40</v>
      </c>
      <c r="N827" s="1">
        <v>20</v>
      </c>
      <c r="O827" s="1">
        <v>8</v>
      </c>
      <c r="Q827" s="1">
        <v>0.8</v>
      </c>
      <c r="R827" s="1">
        <v>0.39143142679071302</v>
      </c>
      <c r="S827" s="20" t="s">
        <v>310</v>
      </c>
      <c r="T827" s="3" t="s">
        <v>312</v>
      </c>
      <c r="U827" s="3" t="s">
        <v>106</v>
      </c>
      <c r="V827" s="3" t="s">
        <v>292</v>
      </c>
      <c r="W827" s="3">
        <v>5</v>
      </c>
      <c r="X827" s="3">
        <v>12</v>
      </c>
      <c r="Y827" s="3">
        <v>1</v>
      </c>
      <c r="Z827" s="3">
        <v>0</v>
      </c>
      <c r="AA827" s="3">
        <v>0</v>
      </c>
      <c r="AB827" s="12">
        <f>(W827*4+X827*1+Y827*-2+Z827*-3)/W827</f>
        <v>6</v>
      </c>
      <c r="AC827" s="3">
        <f>W827*12.0107+X827*1.00784+Y827*15.999+Z827*14.0067</f>
        <v>88.14658</v>
      </c>
      <c r="AD827" s="12">
        <v>138</v>
      </c>
      <c r="AE827" s="3" t="s">
        <v>262</v>
      </c>
      <c r="AF827" s="2" t="s">
        <v>313</v>
      </c>
      <c r="AG827" s="2" t="str">
        <f>IF(AD827&gt;37,"Proton symporter", "Diffusion")</f>
        <v>Proton symporter</v>
      </c>
      <c r="AH827" s="3" t="s">
        <v>314</v>
      </c>
    </row>
    <row r="828" spans="1:35" hidden="1" x14ac:dyDescent="0.2">
      <c r="A828" s="8" t="s">
        <v>34</v>
      </c>
      <c r="B828" s="9" t="s">
        <v>35</v>
      </c>
      <c r="C828" s="1" t="s">
        <v>47</v>
      </c>
      <c r="D828" s="10" t="s">
        <v>37</v>
      </c>
      <c r="E828" s="1" t="s">
        <v>300</v>
      </c>
      <c r="F828" s="1" t="s">
        <v>301</v>
      </c>
      <c r="G828" s="1">
        <v>-10</v>
      </c>
      <c r="H828" s="1">
        <v>-20</v>
      </c>
      <c r="I828" s="1" t="s">
        <v>40</v>
      </c>
      <c r="J828" s="1">
        <v>3.15</v>
      </c>
      <c r="K828" s="1">
        <v>-10</v>
      </c>
      <c r="L828" s="1">
        <v>-5.4244274809160302</v>
      </c>
      <c r="M828" s="1" t="s">
        <v>40</v>
      </c>
      <c r="N828" s="1">
        <v>6.9496183206106901</v>
      </c>
      <c r="O828" s="1">
        <v>3.2625954198473202</v>
      </c>
      <c r="Q828" s="1">
        <v>0.326259541984732</v>
      </c>
      <c r="R828" s="1">
        <v>0.38962180026256998</v>
      </c>
      <c r="S828" s="20" t="s">
        <v>300</v>
      </c>
      <c r="T828" s="3" t="s">
        <v>302</v>
      </c>
      <c r="U828" s="3" t="s">
        <v>106</v>
      </c>
      <c r="V828" s="3" t="s">
        <v>303</v>
      </c>
      <c r="W828" s="3">
        <v>4</v>
      </c>
      <c r="X828" s="3">
        <v>10</v>
      </c>
      <c r="Y828" s="3">
        <v>1</v>
      </c>
      <c r="Z828" s="3">
        <v>0</v>
      </c>
      <c r="AA828" s="3">
        <v>0</v>
      </c>
      <c r="AB828" s="12">
        <f>(W828*4+X828*1+Y828*-2+Z828*-3)/W828</f>
        <v>6</v>
      </c>
      <c r="AC828" s="3">
        <f>W828*12.0107+X828*1.00784+Y828*15.999+Z828*14.0067</f>
        <v>74.120199999999997</v>
      </c>
      <c r="AD828" s="12">
        <v>117.7</v>
      </c>
      <c r="AE828" s="3" t="s">
        <v>262</v>
      </c>
      <c r="AF828" s="2" t="s">
        <v>79</v>
      </c>
      <c r="AG828" s="2" t="str">
        <f>IF(AD828&gt;37,"Proton symporter", "Diffusion")</f>
        <v>Proton symporter</v>
      </c>
      <c r="AH828" s="3" t="s">
        <v>304</v>
      </c>
    </row>
    <row r="829" spans="1:35" hidden="1" x14ac:dyDescent="0.2">
      <c r="A829" s="8" t="s">
        <v>34</v>
      </c>
      <c r="B829" s="9" t="s">
        <v>35</v>
      </c>
      <c r="C829" s="1" t="s">
        <v>48</v>
      </c>
      <c r="D829" s="10" t="s">
        <v>37</v>
      </c>
      <c r="E829" s="1" t="s">
        <v>289</v>
      </c>
      <c r="F829" s="1" t="s">
        <v>290</v>
      </c>
      <c r="G829" s="1">
        <v>-10</v>
      </c>
      <c r="H829" s="1">
        <v>-20</v>
      </c>
      <c r="I829" s="1" t="s">
        <v>40</v>
      </c>
      <c r="J829" s="1">
        <v>3.15</v>
      </c>
      <c r="K829" s="1">
        <v>-10</v>
      </c>
      <c r="L829" s="1">
        <v>-4.4365671641791096</v>
      </c>
      <c r="M829" s="1" t="s">
        <v>40</v>
      </c>
      <c r="N829" s="1">
        <v>6.2910447761194099</v>
      </c>
      <c r="O829" s="1">
        <v>2.7417910447761198</v>
      </c>
      <c r="Q829" s="1">
        <v>0.27417910447761201</v>
      </c>
      <c r="R829" s="1">
        <v>0.38938862842317501</v>
      </c>
      <c r="S829" s="11" t="s">
        <v>289</v>
      </c>
      <c r="T829" s="2" t="s">
        <v>291</v>
      </c>
      <c r="U829" s="3" t="s">
        <v>41</v>
      </c>
      <c r="V829" s="2" t="s">
        <v>292</v>
      </c>
      <c r="W829" s="2">
        <v>5</v>
      </c>
      <c r="X829" s="2">
        <v>12</v>
      </c>
      <c r="Y829" s="2">
        <v>1</v>
      </c>
      <c r="Z829" s="2">
        <v>0</v>
      </c>
      <c r="AA829" s="2">
        <v>0</v>
      </c>
      <c r="AB829" s="12">
        <f>(W829*4+X829*1+Y829*-2+Z829*-3)/W829</f>
        <v>6</v>
      </c>
      <c r="AC829" s="3">
        <f>W829*12.0107+X829*1.00784+Y829*15.999+Z829*14.0067</f>
        <v>88.14658</v>
      </c>
      <c r="AD829" s="12">
        <v>129</v>
      </c>
      <c r="AE829" s="2" t="s">
        <v>262</v>
      </c>
      <c r="AF829" s="2" t="s">
        <v>293</v>
      </c>
      <c r="AG829" s="2" t="str">
        <f>IF(AD829&gt;37,"Proton symporter", "Diffusion")</f>
        <v>Proton symporter</v>
      </c>
      <c r="AH829" s="3" t="s">
        <v>294</v>
      </c>
    </row>
    <row r="830" spans="1:35" hidden="1" x14ac:dyDescent="0.2">
      <c r="A830" s="16" t="s">
        <v>63</v>
      </c>
      <c r="B830" s="17" t="s">
        <v>64</v>
      </c>
      <c r="C830" t="s">
        <v>68</v>
      </c>
      <c r="D830" s="18" t="s">
        <v>66</v>
      </c>
      <c r="E830" t="s">
        <v>289</v>
      </c>
      <c r="F830" t="s">
        <v>290</v>
      </c>
      <c r="G830">
        <v>-10</v>
      </c>
      <c r="H830">
        <v>0</v>
      </c>
      <c r="I830">
        <v>-10</v>
      </c>
      <c r="J830">
        <v>0.45</v>
      </c>
      <c r="K830">
        <v>-10</v>
      </c>
      <c r="L830">
        <v>0</v>
      </c>
      <c r="M830">
        <v>-10</v>
      </c>
      <c r="N830">
        <v>3.3090909090909202</v>
      </c>
      <c r="O830">
        <v>1.3236363636363599</v>
      </c>
      <c r="P830"/>
      <c r="Q830">
        <v>0.13236363636363599</v>
      </c>
      <c r="R830">
        <v>0.388524870523416</v>
      </c>
      <c r="S830" s="11" t="s">
        <v>289</v>
      </c>
      <c r="T830" s="2" t="s">
        <v>291</v>
      </c>
      <c r="U830" s="3" t="s">
        <v>41</v>
      </c>
      <c r="V830" s="2" t="s">
        <v>292</v>
      </c>
      <c r="W830" s="2">
        <v>5</v>
      </c>
      <c r="X830" s="2">
        <v>12</v>
      </c>
      <c r="Y830" s="2">
        <v>1</v>
      </c>
      <c r="Z830" s="2">
        <v>0</v>
      </c>
      <c r="AA830" s="2">
        <v>0</v>
      </c>
      <c r="AB830" s="12">
        <f>(W830*4+X830*1+Y830*-2+Z830*-3)/W830</f>
        <v>6</v>
      </c>
      <c r="AC830" s="3">
        <f>W830*12.0107+X830*1.00784+Y830*15.999+Z830*14.0067</f>
        <v>88.14658</v>
      </c>
      <c r="AD830" s="12">
        <v>129</v>
      </c>
      <c r="AE830" s="2" t="s">
        <v>262</v>
      </c>
      <c r="AF830" s="2" t="s">
        <v>293</v>
      </c>
      <c r="AG830" s="2" t="str">
        <f>IF(AD830&gt;37,"Proton symporter", "Diffusion")</f>
        <v>Proton symporter</v>
      </c>
      <c r="AH830" s="3" t="s">
        <v>294</v>
      </c>
    </row>
    <row r="831" spans="1:35" hidden="1" x14ac:dyDescent="0.2">
      <c r="A831" s="8" t="s">
        <v>34</v>
      </c>
      <c r="B831" s="9" t="s">
        <v>35</v>
      </c>
      <c r="C831" s="1" t="s">
        <v>48</v>
      </c>
      <c r="D831" s="10" t="s">
        <v>37</v>
      </c>
      <c r="E831" s="1" t="s">
        <v>315</v>
      </c>
      <c r="F831" s="1" t="s">
        <v>311</v>
      </c>
      <c r="G831" s="1">
        <v>-10</v>
      </c>
      <c r="H831" s="1">
        <v>-20</v>
      </c>
      <c r="I831" s="1" t="s">
        <v>40</v>
      </c>
      <c r="J831" s="1">
        <v>3.15</v>
      </c>
      <c r="K831" s="1">
        <v>-10</v>
      </c>
      <c r="L831" s="1">
        <v>-4.4932885906040303</v>
      </c>
      <c r="M831" s="1" t="s">
        <v>40</v>
      </c>
      <c r="N831" s="1">
        <v>6.3288590604026904</v>
      </c>
      <c r="O831" s="1">
        <v>2.7342281879194599</v>
      </c>
      <c r="Q831" s="1">
        <v>0.27342281879194602</v>
      </c>
      <c r="R831" s="1">
        <v>0.38831455297020301</v>
      </c>
      <c r="S831" s="20" t="s">
        <v>315</v>
      </c>
      <c r="T831" s="3" t="s">
        <v>316</v>
      </c>
      <c r="U831" s="3" t="s">
        <v>106</v>
      </c>
      <c r="V831" s="3" t="s">
        <v>292</v>
      </c>
      <c r="W831" s="3">
        <v>5</v>
      </c>
      <c r="X831" s="3">
        <v>12</v>
      </c>
      <c r="Y831" s="3">
        <v>1</v>
      </c>
      <c r="Z831" s="3">
        <v>0</v>
      </c>
      <c r="AA831" s="3">
        <v>0</v>
      </c>
      <c r="AB831" s="12">
        <f>(W831*4+X831*1+Y831*-2+Z831*-3)/W831</f>
        <v>6</v>
      </c>
      <c r="AC831" s="3">
        <f>W831*12.0107+X831*1.00784+Y831*15.999+Z831*14.0067</f>
        <v>88.14658</v>
      </c>
      <c r="AD831" s="12">
        <v>138</v>
      </c>
      <c r="AE831" s="3" t="s">
        <v>262</v>
      </c>
      <c r="AF831" s="3" t="s">
        <v>44</v>
      </c>
      <c r="AG831" s="2" t="str">
        <f>IF(AD831&gt;37,"Proton symporter", "Diffusion")</f>
        <v>Proton symporter</v>
      </c>
      <c r="AH831" s="3" t="s">
        <v>314</v>
      </c>
    </row>
    <row r="832" spans="1:35" hidden="1" x14ac:dyDescent="0.2">
      <c r="A832" s="8" t="s">
        <v>350</v>
      </c>
      <c r="B832" s="17" t="s">
        <v>64</v>
      </c>
      <c r="C832" t="s">
        <v>354</v>
      </c>
      <c r="D832" s="13" t="s">
        <v>51</v>
      </c>
      <c r="E832" t="s">
        <v>310</v>
      </c>
      <c r="F832" t="s">
        <v>311</v>
      </c>
      <c r="G832">
        <v>-10</v>
      </c>
      <c r="H832">
        <v>0</v>
      </c>
      <c r="I832">
        <v>0</v>
      </c>
      <c r="J832">
        <v>0.45</v>
      </c>
      <c r="K832">
        <v>-10</v>
      </c>
      <c r="L832">
        <v>0</v>
      </c>
      <c r="M832">
        <v>0</v>
      </c>
      <c r="N832">
        <v>0</v>
      </c>
      <c r="O832" s="26">
        <v>1.4060606060606</v>
      </c>
      <c r="P832"/>
      <c r="Q832" s="26">
        <v>0.14060606060606001</v>
      </c>
      <c r="R832" s="26">
        <v>0.38681439907721399</v>
      </c>
      <c r="S832" s="3" t="str">
        <f>VLOOKUP($E832,'[1]Product Naming'!$A$1:$P$58,2)</f>
        <v>Pentanol-PW1</v>
      </c>
      <c r="T832" s="3" t="str">
        <f>VLOOKUP($E832,'[1]Product Naming'!$A$1:$P$58,3)</f>
        <v>Pentanol (PW1)</v>
      </c>
      <c r="U832" s="3" t="str">
        <f>VLOOKUP($E832,'[1]Product Naming'!$A$1:$P$58,4)</f>
        <v>E</v>
      </c>
      <c r="V832" s="3" t="str">
        <f>VLOOKUP($E832,'[1]Product Naming'!$A$1:$P$58,5)</f>
        <v>C5H12O</v>
      </c>
      <c r="W832" s="3">
        <f>VLOOKUP($E832,'[1]Product Naming'!$A$1:$P$58,6)</f>
        <v>5</v>
      </c>
      <c r="X832" s="3">
        <f>VLOOKUP($E832,'[1]Product Naming'!$A$1:$P$58,7)</f>
        <v>12</v>
      </c>
      <c r="Y832" s="3">
        <f>VLOOKUP($E832,'[1]Product Naming'!$A$1:$P$58,8)</f>
        <v>1</v>
      </c>
      <c r="Z832" s="3">
        <f>VLOOKUP($E832,'[1]Product Naming'!$A$1:$P$58,9)</f>
        <v>0</v>
      </c>
      <c r="AA832" s="3">
        <f>VLOOKUP($E832,'[1]Product Naming'!$A$1:$P$58,10)</f>
        <v>0</v>
      </c>
      <c r="AB832" s="3">
        <f>VLOOKUP($E832,'[1]Product Naming'!$A$1:$P$58,11)</f>
        <v>6</v>
      </c>
      <c r="AC832" s="3">
        <f>VLOOKUP($E832,'[1]Product Naming'!$A$1:$P$58,12)</f>
        <v>88.14658</v>
      </c>
      <c r="AD832" s="3">
        <f>VLOOKUP($E832,'[1]Product Naming'!$A$1:$P$58,13)</f>
        <v>138</v>
      </c>
      <c r="AE832" s="3" t="str">
        <f>VLOOKUP($E832,'[1]Product Naming'!$A$1:$P$58,14)</f>
        <v>Alcohol</v>
      </c>
      <c r="AF832" s="3" t="str">
        <f>VLOOKUP($E832,'[1]Product Naming'!$A$1:$P$58,15)</f>
        <v>Acetyl-CoA + Succinyl-CoA</v>
      </c>
      <c r="AG832" s="3" t="str">
        <f>VLOOKUP($E832,'[1]Product Naming'!$A$1:$P$58,16)</f>
        <v>Proton symporter</v>
      </c>
      <c r="AH832" s="3" t="str">
        <f>VLOOKUP($E832,'[1]Product Naming'!$A$1:$Q$58,17)</f>
        <v>pentoh_c</v>
      </c>
    </row>
    <row r="833" spans="1:34" hidden="1" x14ac:dyDescent="0.2">
      <c r="A833" s="8" t="s">
        <v>350</v>
      </c>
      <c r="B833" s="17" t="s">
        <v>64</v>
      </c>
      <c r="C833" t="s">
        <v>354</v>
      </c>
      <c r="D833" s="13" t="s">
        <v>51</v>
      </c>
      <c r="E833" t="s">
        <v>315</v>
      </c>
      <c r="F833" t="s">
        <v>311</v>
      </c>
      <c r="G833">
        <v>-10</v>
      </c>
      <c r="H833">
        <v>0</v>
      </c>
      <c r="I833">
        <v>0</v>
      </c>
      <c r="J833">
        <v>0.45</v>
      </c>
      <c r="K833">
        <v>-10</v>
      </c>
      <c r="L833">
        <v>0</v>
      </c>
      <c r="M833">
        <v>0</v>
      </c>
      <c r="N833">
        <v>0</v>
      </c>
      <c r="O833" s="26">
        <v>1.4060606060606</v>
      </c>
      <c r="P833"/>
      <c r="Q833" s="26">
        <v>0.14060606060606001</v>
      </c>
      <c r="R833" s="26">
        <v>0.38681439907721399</v>
      </c>
      <c r="S833" s="3" t="str">
        <f>VLOOKUP($E833,'[1]Product Naming'!$A$1:$P$58,2)</f>
        <v>Pentanol-PW2</v>
      </c>
      <c r="T833" s="3" t="str">
        <f>VLOOKUP($E833,'[1]Product Naming'!$A$1:$P$58,3)</f>
        <v>Pentanol (PW2)</v>
      </c>
      <c r="U833" s="3" t="str">
        <f>VLOOKUP($E833,'[1]Product Naming'!$A$1:$P$58,4)</f>
        <v>E</v>
      </c>
      <c r="V833" s="3" t="str">
        <f>VLOOKUP($E833,'[1]Product Naming'!$A$1:$P$58,5)</f>
        <v>C5H12O</v>
      </c>
      <c r="W833" s="3">
        <f>VLOOKUP($E833,'[1]Product Naming'!$A$1:$P$58,6)</f>
        <v>5</v>
      </c>
      <c r="X833" s="3">
        <f>VLOOKUP($E833,'[1]Product Naming'!$A$1:$P$58,7)</f>
        <v>12</v>
      </c>
      <c r="Y833" s="3">
        <f>VLOOKUP($E833,'[1]Product Naming'!$A$1:$P$58,8)</f>
        <v>1</v>
      </c>
      <c r="Z833" s="3">
        <f>VLOOKUP($E833,'[1]Product Naming'!$A$1:$P$58,9)</f>
        <v>0</v>
      </c>
      <c r="AA833" s="3">
        <f>VLOOKUP($E833,'[1]Product Naming'!$A$1:$P$58,10)</f>
        <v>0</v>
      </c>
      <c r="AB833" s="3">
        <f>VLOOKUP($E833,'[1]Product Naming'!$A$1:$P$58,11)</f>
        <v>6</v>
      </c>
      <c r="AC833" s="3">
        <f>VLOOKUP($E833,'[1]Product Naming'!$A$1:$P$58,12)</f>
        <v>88.14658</v>
      </c>
      <c r="AD833" s="3">
        <f>VLOOKUP($E833,'[1]Product Naming'!$A$1:$P$58,13)</f>
        <v>138</v>
      </c>
      <c r="AE833" s="3" t="str">
        <f>VLOOKUP($E833,'[1]Product Naming'!$A$1:$P$58,14)</f>
        <v>Alcohol</v>
      </c>
      <c r="AF833" s="3" t="str">
        <f>VLOOKUP($E833,'[1]Product Naming'!$A$1:$P$58,15)</f>
        <v>Oxaloacetate</v>
      </c>
      <c r="AG833" s="3" t="str">
        <f>VLOOKUP($E833,'[1]Product Naming'!$A$1:$P$58,16)</f>
        <v>Proton symporter</v>
      </c>
      <c r="AH833" s="3" t="str">
        <f>VLOOKUP($E833,'[1]Product Naming'!$A$1:$Q$58,17)</f>
        <v>pentoh_c</v>
      </c>
    </row>
    <row r="834" spans="1:34" hidden="1" x14ac:dyDescent="0.2">
      <c r="A834" s="8" t="s">
        <v>34</v>
      </c>
      <c r="B834" s="9" t="s">
        <v>35</v>
      </c>
      <c r="C834" s="1" t="s">
        <v>62</v>
      </c>
      <c r="D834" s="15" t="s">
        <v>55</v>
      </c>
      <c r="E834" s="1" t="s">
        <v>310</v>
      </c>
      <c r="F834" s="1" t="s">
        <v>311</v>
      </c>
      <c r="G834" s="1">
        <v>-10</v>
      </c>
      <c r="H834" s="1">
        <v>-20</v>
      </c>
      <c r="I834" s="1" t="s">
        <v>40</v>
      </c>
      <c r="J834" s="1">
        <v>3.15</v>
      </c>
      <c r="K834" s="1">
        <v>-10</v>
      </c>
      <c r="L834" s="1">
        <v>-0.58898305084746105</v>
      </c>
      <c r="M834" s="1" t="s">
        <v>40</v>
      </c>
      <c r="N834" s="1">
        <v>17.059322033898301</v>
      </c>
      <c r="O834" s="1">
        <v>6.58813559322033</v>
      </c>
      <c r="Q834" s="1">
        <v>0.658813559322033</v>
      </c>
      <c r="R834" s="1">
        <v>0.38681250990384602</v>
      </c>
      <c r="S834" s="20" t="s">
        <v>310</v>
      </c>
      <c r="T834" s="3" t="s">
        <v>312</v>
      </c>
      <c r="U834" s="3" t="s">
        <v>106</v>
      </c>
      <c r="V834" s="3" t="s">
        <v>292</v>
      </c>
      <c r="W834" s="3">
        <v>5</v>
      </c>
      <c r="X834" s="3">
        <v>12</v>
      </c>
      <c r="Y834" s="3">
        <v>1</v>
      </c>
      <c r="Z834" s="3">
        <v>0</v>
      </c>
      <c r="AA834" s="3">
        <v>0</v>
      </c>
      <c r="AB834" s="12">
        <f>(W834*4+X834*1+Y834*-2+Z834*-3)/W834</f>
        <v>6</v>
      </c>
      <c r="AC834" s="3">
        <f>W834*12.0107+X834*1.00784+Y834*15.999+Z834*14.0067</f>
        <v>88.14658</v>
      </c>
      <c r="AD834" s="12">
        <v>138</v>
      </c>
      <c r="AE834" s="3" t="s">
        <v>262</v>
      </c>
      <c r="AF834" s="2" t="s">
        <v>313</v>
      </c>
      <c r="AG834" s="2" t="str">
        <f>IF(AD834&gt;37,"Proton symporter", "Diffusion")</f>
        <v>Proton symporter</v>
      </c>
      <c r="AH834" s="3" t="s">
        <v>314</v>
      </c>
    </row>
    <row r="835" spans="1:34" hidden="1" x14ac:dyDescent="0.2">
      <c r="A835" s="16" t="s">
        <v>63</v>
      </c>
      <c r="B835" s="17" t="s">
        <v>64</v>
      </c>
      <c r="C835" t="s">
        <v>69</v>
      </c>
      <c r="D835" s="18" t="s">
        <v>66</v>
      </c>
      <c r="E835" t="s">
        <v>315</v>
      </c>
      <c r="F835" t="s">
        <v>311</v>
      </c>
      <c r="G835">
        <v>-10</v>
      </c>
      <c r="H835">
        <v>0</v>
      </c>
      <c r="I835">
        <v>-20</v>
      </c>
      <c r="J835">
        <v>0.45</v>
      </c>
      <c r="K835">
        <v>-10</v>
      </c>
      <c r="L835">
        <v>0</v>
      </c>
      <c r="M835">
        <v>-20</v>
      </c>
      <c r="N835">
        <v>0</v>
      </c>
      <c r="O835">
        <v>1.40606060606061</v>
      </c>
      <c r="P835"/>
      <c r="Q835">
        <v>0.14060606060606101</v>
      </c>
      <c r="R835" s="19">
        <v>0.386706501394602</v>
      </c>
      <c r="S835" s="20" t="s">
        <v>315</v>
      </c>
      <c r="T835" s="3" t="s">
        <v>316</v>
      </c>
      <c r="U835" s="3" t="s">
        <v>106</v>
      </c>
      <c r="V835" s="3" t="s">
        <v>292</v>
      </c>
      <c r="W835" s="3">
        <v>5</v>
      </c>
      <c r="X835" s="3">
        <v>12</v>
      </c>
      <c r="Y835" s="3">
        <v>1</v>
      </c>
      <c r="Z835" s="3">
        <v>0</v>
      </c>
      <c r="AA835" s="3">
        <v>0</v>
      </c>
      <c r="AB835" s="12">
        <f>(W835*4+X835*1+Y835*-2+Z835*-3)/W835</f>
        <v>6</v>
      </c>
      <c r="AC835" s="3">
        <f>W835*12.0107+X835*1.00784+Y835*15.999+Z835*14.0067</f>
        <v>88.14658</v>
      </c>
      <c r="AD835" s="12">
        <v>138</v>
      </c>
      <c r="AE835" s="3" t="s">
        <v>262</v>
      </c>
      <c r="AF835" s="3" t="s">
        <v>44</v>
      </c>
      <c r="AG835" s="2" t="str">
        <f>IF(AD835&gt;37,"Proton symporter", "Diffusion")</f>
        <v>Proton symporter</v>
      </c>
      <c r="AH835" s="3" t="s">
        <v>314</v>
      </c>
    </row>
    <row r="836" spans="1:34" hidden="1" x14ac:dyDescent="0.2">
      <c r="A836" s="16" t="s">
        <v>63</v>
      </c>
      <c r="B836" s="17" t="s">
        <v>64</v>
      </c>
      <c r="C836" t="s">
        <v>69</v>
      </c>
      <c r="D836" s="18" t="s">
        <v>66</v>
      </c>
      <c r="E836" t="s">
        <v>310</v>
      </c>
      <c r="F836" t="s">
        <v>311</v>
      </c>
      <c r="G836">
        <v>-10</v>
      </c>
      <c r="H836">
        <v>0</v>
      </c>
      <c r="I836">
        <v>-20</v>
      </c>
      <c r="J836">
        <v>0.45</v>
      </c>
      <c r="K836">
        <v>-10</v>
      </c>
      <c r="L836">
        <v>0</v>
      </c>
      <c r="M836">
        <v>-20</v>
      </c>
      <c r="N836">
        <v>0</v>
      </c>
      <c r="O836">
        <v>1.4060606060606</v>
      </c>
      <c r="P836"/>
      <c r="Q836">
        <v>0.14060606060606001</v>
      </c>
      <c r="R836" s="19">
        <v>0.3867065013946</v>
      </c>
      <c r="S836" s="20" t="s">
        <v>310</v>
      </c>
      <c r="T836" s="3" t="s">
        <v>312</v>
      </c>
      <c r="U836" s="3" t="s">
        <v>106</v>
      </c>
      <c r="V836" s="3" t="s">
        <v>292</v>
      </c>
      <c r="W836" s="3">
        <v>5</v>
      </c>
      <c r="X836" s="3">
        <v>12</v>
      </c>
      <c r="Y836" s="3">
        <v>1</v>
      </c>
      <c r="Z836" s="3">
        <v>0</v>
      </c>
      <c r="AA836" s="3">
        <v>0</v>
      </c>
      <c r="AB836" s="12">
        <f>(W836*4+X836*1+Y836*-2+Z836*-3)/W836</f>
        <v>6</v>
      </c>
      <c r="AC836" s="3">
        <f>W836*12.0107+X836*1.00784+Y836*15.999+Z836*14.0067</f>
        <v>88.14658</v>
      </c>
      <c r="AD836" s="12">
        <v>138</v>
      </c>
      <c r="AE836" s="3" t="s">
        <v>262</v>
      </c>
      <c r="AF836" s="2" t="s">
        <v>313</v>
      </c>
      <c r="AG836" s="2" t="str">
        <f>IF(AD836&gt;37,"Proton symporter", "Diffusion")</f>
        <v>Proton symporter</v>
      </c>
      <c r="AH836" s="3" t="s">
        <v>314</v>
      </c>
    </row>
    <row r="837" spans="1:34" hidden="1" x14ac:dyDescent="0.2">
      <c r="A837" s="8" t="s">
        <v>34</v>
      </c>
      <c r="B837" s="9" t="s">
        <v>35</v>
      </c>
      <c r="C837" s="1" t="s">
        <v>56</v>
      </c>
      <c r="D837" s="14" t="s">
        <v>55</v>
      </c>
      <c r="E837" s="1" t="s">
        <v>315</v>
      </c>
      <c r="F837" s="1" t="s">
        <v>311</v>
      </c>
      <c r="G837" s="1">
        <v>-10</v>
      </c>
      <c r="H837" s="1">
        <v>-20</v>
      </c>
      <c r="I837" s="1" t="s">
        <v>40</v>
      </c>
      <c r="J837" s="1">
        <v>3.15</v>
      </c>
      <c r="K837" s="1">
        <v>-10</v>
      </c>
      <c r="L837" s="1">
        <v>-4.9458762886597896</v>
      </c>
      <c r="M837" s="1" t="s">
        <v>40</v>
      </c>
      <c r="N837" s="1">
        <v>9.96391752577318</v>
      </c>
      <c r="O837" s="1">
        <v>4.0072164948453599</v>
      </c>
      <c r="Q837" s="1">
        <v>0.40072164948453598</v>
      </c>
      <c r="R837" s="1">
        <v>0.38354628936035701</v>
      </c>
      <c r="S837" s="20" t="s">
        <v>315</v>
      </c>
      <c r="T837" s="3" t="s">
        <v>316</v>
      </c>
      <c r="U837" s="3" t="s">
        <v>106</v>
      </c>
      <c r="V837" s="3" t="s">
        <v>292</v>
      </c>
      <c r="W837" s="3">
        <v>5</v>
      </c>
      <c r="X837" s="3">
        <v>12</v>
      </c>
      <c r="Y837" s="3">
        <v>1</v>
      </c>
      <c r="Z837" s="3">
        <v>0</v>
      </c>
      <c r="AA837" s="3">
        <v>0</v>
      </c>
      <c r="AB837" s="12">
        <f>(W837*4+X837*1+Y837*-2+Z837*-3)/W837</f>
        <v>6</v>
      </c>
      <c r="AC837" s="3">
        <f>W837*12.0107+X837*1.00784+Y837*15.999+Z837*14.0067</f>
        <v>88.14658</v>
      </c>
      <c r="AD837" s="12">
        <v>138</v>
      </c>
      <c r="AE837" s="3" t="s">
        <v>262</v>
      </c>
      <c r="AF837" s="3" t="s">
        <v>44</v>
      </c>
      <c r="AG837" s="2" t="str">
        <f>IF(AD837&gt;37,"Proton symporter", "Diffusion")</f>
        <v>Proton symporter</v>
      </c>
      <c r="AH837" s="3" t="s">
        <v>314</v>
      </c>
    </row>
    <row r="838" spans="1:34" hidden="1" x14ac:dyDescent="0.2">
      <c r="A838" s="8" t="s">
        <v>34</v>
      </c>
      <c r="B838" s="9" t="s">
        <v>35</v>
      </c>
      <c r="C838" s="1" t="s">
        <v>61</v>
      </c>
      <c r="D838" s="13" t="s">
        <v>51</v>
      </c>
      <c r="E838" s="1" t="s">
        <v>300</v>
      </c>
      <c r="F838" s="1" t="s">
        <v>301</v>
      </c>
      <c r="G838" s="1">
        <v>-10</v>
      </c>
      <c r="H838" s="1">
        <v>-20</v>
      </c>
      <c r="I838" s="1" t="s">
        <v>40</v>
      </c>
      <c r="J838" s="1">
        <v>3.15</v>
      </c>
      <c r="K838" s="1">
        <v>-10</v>
      </c>
      <c r="L838" s="1">
        <v>-5.0523364485981297</v>
      </c>
      <c r="M838" s="1" t="s">
        <v>40</v>
      </c>
      <c r="N838" s="1">
        <v>3.3682242990654201</v>
      </c>
      <c r="O838" s="1">
        <v>1.6579439252336501</v>
      </c>
      <c r="Q838" s="1">
        <v>0.165794392523365</v>
      </c>
      <c r="R838" s="1">
        <v>0.38353018073404199</v>
      </c>
      <c r="S838" s="20" t="s">
        <v>300</v>
      </c>
      <c r="T838" s="3" t="s">
        <v>302</v>
      </c>
      <c r="U838" s="3" t="s">
        <v>106</v>
      </c>
      <c r="V838" s="3" t="s">
        <v>303</v>
      </c>
      <c r="W838" s="3">
        <v>4</v>
      </c>
      <c r="X838" s="3">
        <v>10</v>
      </c>
      <c r="Y838" s="3">
        <v>1</v>
      </c>
      <c r="Z838" s="3">
        <v>0</v>
      </c>
      <c r="AA838" s="3">
        <v>0</v>
      </c>
      <c r="AB838" s="12">
        <f>(W838*4+X838*1+Y838*-2+Z838*-3)/W838</f>
        <v>6</v>
      </c>
      <c r="AC838" s="3">
        <f>W838*12.0107+X838*1.00784+Y838*15.999+Z838*14.0067</f>
        <v>74.120199999999997</v>
      </c>
      <c r="AD838" s="12">
        <v>117.7</v>
      </c>
      <c r="AE838" s="3" t="s">
        <v>262</v>
      </c>
      <c r="AF838" s="2" t="s">
        <v>79</v>
      </c>
      <c r="AG838" s="2" t="str">
        <f>IF(AD838&gt;37,"Proton symporter", "Diffusion")</f>
        <v>Proton symporter</v>
      </c>
      <c r="AH838" s="3" t="s">
        <v>304</v>
      </c>
    </row>
    <row r="839" spans="1:34" hidden="1" x14ac:dyDescent="0.2">
      <c r="A839" s="8" t="s">
        <v>34</v>
      </c>
      <c r="B839" s="9" t="s">
        <v>35</v>
      </c>
      <c r="C839" s="1" t="s">
        <v>54</v>
      </c>
      <c r="D839" s="14" t="s">
        <v>55</v>
      </c>
      <c r="E839" s="1" t="s">
        <v>178</v>
      </c>
      <c r="F839" s="1" t="s">
        <v>179</v>
      </c>
      <c r="G839" s="1">
        <v>-10</v>
      </c>
      <c r="H839" s="1">
        <v>-20</v>
      </c>
      <c r="I839" s="1" t="s">
        <v>40</v>
      </c>
      <c r="J839" s="1">
        <v>3.15</v>
      </c>
      <c r="K839" s="1">
        <v>-10</v>
      </c>
      <c r="L839" s="1">
        <v>-5.4059782608695697</v>
      </c>
      <c r="M839" s="1" t="s">
        <v>40</v>
      </c>
      <c r="N839" s="1">
        <v>14.0260869565217</v>
      </c>
      <c r="O839" s="1">
        <v>5.7467391304347801</v>
      </c>
      <c r="Q839" s="1">
        <v>0.57467391304347804</v>
      </c>
      <c r="R839" s="1">
        <v>0.38326204101378503</v>
      </c>
      <c r="S839" s="20" t="s">
        <v>178</v>
      </c>
      <c r="T839" s="3" t="s">
        <v>178</v>
      </c>
      <c r="U839" s="3" t="s">
        <v>106</v>
      </c>
      <c r="V839" s="3" t="s">
        <v>180</v>
      </c>
      <c r="W839" s="3">
        <v>8</v>
      </c>
      <c r="X839" s="3">
        <v>8</v>
      </c>
      <c r="Y839" s="3">
        <v>1</v>
      </c>
      <c r="Z839" s="3">
        <v>0</v>
      </c>
      <c r="AA839" s="3">
        <v>0</v>
      </c>
      <c r="AB839" s="12">
        <f>(W839*4+X839*1+Y839*-2+Z839*-3)/W839</f>
        <v>4.75</v>
      </c>
      <c r="AC839" s="3">
        <f>W839*12.0107+X839*1.00784+Y839*15.999+Z839*14.0067</f>
        <v>120.14731999999999</v>
      </c>
      <c r="AD839" s="12">
        <v>229</v>
      </c>
      <c r="AE839" s="3" t="s">
        <v>176</v>
      </c>
      <c r="AF839" s="2" t="s">
        <v>150</v>
      </c>
      <c r="AG839" s="2" t="str">
        <f>IF(AD839&gt;37,"Proton symporter", "Diffusion")</f>
        <v>Proton symporter</v>
      </c>
      <c r="AH839" s="3" t="s">
        <v>181</v>
      </c>
    </row>
    <row r="840" spans="1:34" hidden="1" x14ac:dyDescent="0.2">
      <c r="A840" s="8" t="s">
        <v>34</v>
      </c>
      <c r="B840" s="9" t="s">
        <v>35</v>
      </c>
      <c r="C840" s="1" t="s">
        <v>47</v>
      </c>
      <c r="D840" s="10" t="s">
        <v>37</v>
      </c>
      <c r="E840" s="1" t="s">
        <v>307</v>
      </c>
      <c r="F840" s="1" t="s">
        <v>308</v>
      </c>
      <c r="G840" s="1">
        <v>-10</v>
      </c>
      <c r="H840" s="1">
        <v>-20</v>
      </c>
      <c r="I840" s="1" t="s">
        <v>40</v>
      </c>
      <c r="J840" s="1">
        <v>3.15</v>
      </c>
      <c r="K840" s="1">
        <v>-10</v>
      </c>
      <c r="L840" s="1">
        <v>-7.19166666666667</v>
      </c>
      <c r="M840" s="1" t="s">
        <v>40</v>
      </c>
      <c r="N840" s="1">
        <v>8.12777777777778</v>
      </c>
      <c r="O840" s="1">
        <v>3.9574074074074099</v>
      </c>
      <c r="Q840" s="1">
        <v>0.395740740740741</v>
      </c>
      <c r="R840" s="1">
        <v>0.38316339985468401</v>
      </c>
      <c r="S840" s="11" t="s">
        <v>307</v>
      </c>
      <c r="T840" s="2" t="s">
        <v>307</v>
      </c>
      <c r="U840" s="3" t="s">
        <v>41</v>
      </c>
      <c r="V840" s="2" t="s">
        <v>283</v>
      </c>
      <c r="W840" s="2">
        <v>3</v>
      </c>
      <c r="X840" s="2">
        <v>8</v>
      </c>
      <c r="Y840" s="2">
        <v>1</v>
      </c>
      <c r="Z840" s="2">
        <v>0</v>
      </c>
      <c r="AA840" s="2">
        <v>0</v>
      </c>
      <c r="AB840" s="12">
        <f>(W840*4+X840*1+Y840*-2+Z840*-3)/W840</f>
        <v>6</v>
      </c>
      <c r="AC840" s="3">
        <f>W840*12.0107+X840*1.00784+Y840*15.999+Z840*14.0067</f>
        <v>60.093820000000001</v>
      </c>
      <c r="AD840" s="12">
        <v>82.5</v>
      </c>
      <c r="AE840" s="2" t="s">
        <v>262</v>
      </c>
      <c r="AF840" s="2" t="s">
        <v>79</v>
      </c>
      <c r="AG840" s="2" t="str">
        <f>IF(AD840&gt;37,"Proton symporter", "Diffusion")</f>
        <v>Proton symporter</v>
      </c>
      <c r="AH840" s="3" t="s">
        <v>309</v>
      </c>
    </row>
    <row r="841" spans="1:34" hidden="1" x14ac:dyDescent="0.2">
      <c r="A841" s="8" t="s">
        <v>34</v>
      </c>
      <c r="B841" s="9" t="s">
        <v>35</v>
      </c>
      <c r="C841" s="1" t="s">
        <v>58</v>
      </c>
      <c r="D841" s="10" t="s">
        <v>37</v>
      </c>
      <c r="E841" s="1" t="s">
        <v>300</v>
      </c>
      <c r="F841" s="1" t="s">
        <v>301</v>
      </c>
      <c r="G841" s="1">
        <v>-10</v>
      </c>
      <c r="H841" s="1">
        <v>-20</v>
      </c>
      <c r="I841" s="1" t="s">
        <v>40</v>
      </c>
      <c r="J841" s="1">
        <v>3.15</v>
      </c>
      <c r="K841" s="1">
        <v>-10</v>
      </c>
      <c r="L841" s="1">
        <v>-1.37488372093023</v>
      </c>
      <c r="M841" s="1" t="s">
        <v>40</v>
      </c>
      <c r="N841" s="1">
        <v>7.58325581395348</v>
      </c>
      <c r="O841" s="1">
        <v>3.10418604651163</v>
      </c>
      <c r="Q841" s="1">
        <v>0.310418604651163</v>
      </c>
      <c r="R841" s="1">
        <v>0.38313943016827301</v>
      </c>
      <c r="S841" s="20" t="s">
        <v>300</v>
      </c>
      <c r="T841" s="3" t="s">
        <v>302</v>
      </c>
      <c r="U841" s="3" t="s">
        <v>106</v>
      </c>
      <c r="V841" s="3" t="s">
        <v>303</v>
      </c>
      <c r="W841" s="3">
        <v>4</v>
      </c>
      <c r="X841" s="3">
        <v>10</v>
      </c>
      <c r="Y841" s="3">
        <v>1</v>
      </c>
      <c r="Z841" s="3">
        <v>0</v>
      </c>
      <c r="AA841" s="3">
        <v>0</v>
      </c>
      <c r="AB841" s="12">
        <f>(W841*4+X841*1+Y841*-2+Z841*-3)/W841</f>
        <v>6</v>
      </c>
      <c r="AC841" s="3">
        <f>W841*12.0107+X841*1.00784+Y841*15.999+Z841*14.0067</f>
        <v>74.120199999999997</v>
      </c>
      <c r="AD841" s="12">
        <v>117.7</v>
      </c>
      <c r="AE841" s="3" t="s">
        <v>262</v>
      </c>
      <c r="AF841" s="2" t="s">
        <v>79</v>
      </c>
      <c r="AG841" s="2" t="str">
        <f>IF(AD841&gt;37,"Proton symporter", "Diffusion")</f>
        <v>Proton symporter</v>
      </c>
      <c r="AH841" s="3" t="s">
        <v>304</v>
      </c>
    </row>
    <row r="842" spans="1:34" hidden="1" x14ac:dyDescent="0.2">
      <c r="A842" s="8" t="s">
        <v>34</v>
      </c>
      <c r="B842" s="9" t="s">
        <v>35</v>
      </c>
      <c r="C842" s="1" t="s">
        <v>47</v>
      </c>
      <c r="D842" s="10" t="s">
        <v>37</v>
      </c>
      <c r="E842" s="1" t="s">
        <v>286</v>
      </c>
      <c r="F842" s="1" t="s">
        <v>280</v>
      </c>
      <c r="G842" s="1">
        <v>-10</v>
      </c>
      <c r="H842" s="1">
        <v>-20</v>
      </c>
      <c r="I842" s="1" t="s">
        <v>40</v>
      </c>
      <c r="J842" s="1">
        <v>3.15</v>
      </c>
      <c r="K842" s="1">
        <v>-10</v>
      </c>
      <c r="L842" s="1">
        <v>-7.2352272727272702</v>
      </c>
      <c r="M842" s="1" t="s">
        <v>40</v>
      </c>
      <c r="N842" s="1">
        <v>8.1568181818181902</v>
      </c>
      <c r="O842" s="1">
        <v>3.9477272727272799</v>
      </c>
      <c r="Q842" s="1">
        <v>0.394772727272728</v>
      </c>
      <c r="R842" s="1">
        <v>0.382226151567296</v>
      </c>
      <c r="S842" s="20" t="s">
        <v>287</v>
      </c>
      <c r="T842" s="3" t="s">
        <v>288</v>
      </c>
      <c r="U842" s="3" t="s">
        <v>174</v>
      </c>
      <c r="V842" s="3" t="s">
        <v>283</v>
      </c>
      <c r="W842" s="3">
        <v>3</v>
      </c>
      <c r="X842" s="3">
        <v>8</v>
      </c>
      <c r="Y842" s="3">
        <v>1</v>
      </c>
      <c r="Z842" s="3">
        <v>0</v>
      </c>
      <c r="AA842" s="3">
        <v>0</v>
      </c>
      <c r="AB842" s="12">
        <f>(W842*4+X842*1+Y842*-2+Z842*-3)/W842</f>
        <v>6</v>
      </c>
      <c r="AC842" s="3">
        <f>W842*12.0107+X842*1.00784+Y842*15.999+Z842*14.0067</f>
        <v>60.093820000000001</v>
      </c>
      <c r="AD842" s="12">
        <v>97</v>
      </c>
      <c r="AE842" s="2" t="s">
        <v>262</v>
      </c>
      <c r="AF842" s="3" t="s">
        <v>44</v>
      </c>
      <c r="AG842" s="2" t="str">
        <f>IF(AD842&gt;37,"Proton symporter", "Diffusion")</f>
        <v>Proton symporter</v>
      </c>
      <c r="AH842" s="3" t="s">
        <v>285</v>
      </c>
    </row>
    <row r="843" spans="1:34" hidden="1" x14ac:dyDescent="0.2">
      <c r="A843" s="8" t="s">
        <v>34</v>
      </c>
      <c r="B843" s="9" t="s">
        <v>35</v>
      </c>
      <c r="C843" s="1" t="s">
        <v>62</v>
      </c>
      <c r="D843" s="15" t="s">
        <v>55</v>
      </c>
      <c r="E843" s="1" t="s">
        <v>178</v>
      </c>
      <c r="F843" s="1" t="s">
        <v>179</v>
      </c>
      <c r="G843" s="1">
        <v>-10</v>
      </c>
      <c r="H843" s="1">
        <v>-20</v>
      </c>
      <c r="I843" s="1" t="s">
        <v>40</v>
      </c>
      <c r="J843" s="1">
        <v>3.15</v>
      </c>
      <c r="K843" s="1">
        <v>-10</v>
      </c>
      <c r="L843" s="1">
        <v>-4.6994565217391298</v>
      </c>
      <c r="M843" s="1" t="s">
        <v>40</v>
      </c>
      <c r="N843" s="1">
        <v>11.852173913043501</v>
      </c>
      <c r="O843" s="1">
        <v>4.7684782608695704</v>
      </c>
      <c r="Q843" s="1">
        <v>0.47684782608695597</v>
      </c>
      <c r="R843" s="1">
        <v>0.38161585527325598</v>
      </c>
      <c r="S843" s="20" t="s">
        <v>178</v>
      </c>
      <c r="T843" s="3" t="s">
        <v>178</v>
      </c>
      <c r="U843" s="3" t="s">
        <v>106</v>
      </c>
      <c r="V843" s="3" t="s">
        <v>180</v>
      </c>
      <c r="W843" s="3">
        <v>8</v>
      </c>
      <c r="X843" s="3">
        <v>8</v>
      </c>
      <c r="Y843" s="3">
        <v>1</v>
      </c>
      <c r="Z843" s="3">
        <v>0</v>
      </c>
      <c r="AA843" s="3">
        <v>0</v>
      </c>
      <c r="AB843" s="12">
        <f>(W843*4+X843*1+Y843*-2+Z843*-3)/W843</f>
        <v>4.75</v>
      </c>
      <c r="AC843" s="3">
        <f>W843*12.0107+X843*1.00784+Y843*15.999+Z843*14.0067</f>
        <v>120.14731999999999</v>
      </c>
      <c r="AD843" s="12">
        <v>229</v>
      </c>
      <c r="AE843" s="3" t="s">
        <v>176</v>
      </c>
      <c r="AF843" s="2" t="s">
        <v>150</v>
      </c>
      <c r="AG843" s="2" t="str">
        <f>IF(AD843&gt;37,"Proton symporter", "Diffusion")</f>
        <v>Proton symporter</v>
      </c>
      <c r="AH843" s="3" t="s">
        <v>181</v>
      </c>
    </row>
    <row r="844" spans="1:34" hidden="1" x14ac:dyDescent="0.2">
      <c r="A844" s="16" t="s">
        <v>74</v>
      </c>
      <c r="B844" s="9" t="s">
        <v>35</v>
      </c>
      <c r="C844" t="s">
        <v>59</v>
      </c>
      <c r="D844" s="13" t="s">
        <v>51</v>
      </c>
      <c r="E844" t="s">
        <v>268</v>
      </c>
      <c r="F844" t="s">
        <v>269</v>
      </c>
      <c r="G844">
        <v>-10</v>
      </c>
      <c r="H844">
        <v>-20</v>
      </c>
      <c r="I844" s="1" t="s">
        <v>40</v>
      </c>
      <c r="J844">
        <v>3.15</v>
      </c>
      <c r="K844">
        <v>-10</v>
      </c>
      <c r="L844">
        <v>-2.4426745329400199</v>
      </c>
      <c r="M844" s="1" t="s">
        <v>40</v>
      </c>
      <c r="N844">
        <v>1.03048180924287</v>
      </c>
      <c r="O844">
        <v>0.89695181907571397</v>
      </c>
      <c r="P844"/>
      <c r="Q844">
        <v>8.9695181907571406E-2</v>
      </c>
      <c r="R844">
        <v>0.38136670533098099</v>
      </c>
      <c r="S844" s="3" t="s">
        <v>268</v>
      </c>
      <c r="T844" s="3" t="s">
        <v>268</v>
      </c>
      <c r="U844" s="3" t="s">
        <v>106</v>
      </c>
      <c r="V844" s="3" t="s">
        <v>270</v>
      </c>
      <c r="W844" s="3">
        <v>10</v>
      </c>
      <c r="X844" s="3">
        <v>16</v>
      </c>
      <c r="Y844" s="3">
        <v>0</v>
      </c>
      <c r="Z844" s="3">
        <v>0</v>
      </c>
      <c r="AA844" s="3">
        <v>0</v>
      </c>
      <c r="AB844" s="12">
        <f>(W844*4+X844*1+Y844*-2+Z844*-3)/W844</f>
        <v>5.6</v>
      </c>
      <c r="AC844" s="3">
        <f>W844*12.0107+X844*1.00784+Y844*15.999+Z844*14.0067</f>
        <v>136.23244</v>
      </c>
      <c r="AD844" s="12">
        <v>176</v>
      </c>
      <c r="AE844" s="3" t="s">
        <v>271</v>
      </c>
      <c r="AF844" s="3" t="s">
        <v>79</v>
      </c>
      <c r="AG844" s="2" t="str">
        <f>IF(AD844&gt;37,"Proton symporter", "Diffusion")</f>
        <v>Proton symporter</v>
      </c>
      <c r="AH844" s="3" t="s">
        <v>272</v>
      </c>
    </row>
    <row r="845" spans="1:34" hidden="1" x14ac:dyDescent="0.2">
      <c r="A845" s="16" t="s">
        <v>74</v>
      </c>
      <c r="B845" s="9" t="s">
        <v>35</v>
      </c>
      <c r="C845" t="s">
        <v>60</v>
      </c>
      <c r="D845" s="13" t="s">
        <v>51</v>
      </c>
      <c r="E845" t="s">
        <v>268</v>
      </c>
      <c r="F845" t="s">
        <v>269</v>
      </c>
      <c r="G845">
        <v>-10</v>
      </c>
      <c r="H845">
        <v>-20</v>
      </c>
      <c r="I845" s="1" t="s">
        <v>40</v>
      </c>
      <c r="J845">
        <v>3.15</v>
      </c>
      <c r="K845">
        <v>-10</v>
      </c>
      <c r="L845">
        <v>-2.4426745329400199</v>
      </c>
      <c r="M845" s="1" t="s">
        <v>40</v>
      </c>
      <c r="N845">
        <v>1.03048180924287</v>
      </c>
      <c r="O845">
        <v>0.89695181907571297</v>
      </c>
      <c r="P845"/>
      <c r="Q845">
        <v>8.9695181907571406E-2</v>
      </c>
      <c r="R845">
        <v>0.38136670533098099</v>
      </c>
      <c r="S845" s="3" t="s">
        <v>268</v>
      </c>
      <c r="T845" s="3" t="s">
        <v>268</v>
      </c>
      <c r="U845" s="3" t="s">
        <v>106</v>
      </c>
      <c r="V845" s="3" t="s">
        <v>270</v>
      </c>
      <c r="W845" s="3">
        <v>10</v>
      </c>
      <c r="X845" s="3">
        <v>16</v>
      </c>
      <c r="Y845" s="3">
        <v>0</v>
      </c>
      <c r="Z845" s="3">
        <v>0</v>
      </c>
      <c r="AA845" s="3">
        <v>0</v>
      </c>
      <c r="AB845" s="12">
        <f>(W845*4+X845*1+Y845*-2+Z845*-3)/W845</f>
        <v>5.6</v>
      </c>
      <c r="AC845" s="3">
        <f>W845*12.0107+X845*1.00784+Y845*15.999+Z845*14.0067</f>
        <v>136.23244</v>
      </c>
      <c r="AD845" s="12">
        <v>176</v>
      </c>
      <c r="AE845" s="3" t="s">
        <v>271</v>
      </c>
      <c r="AF845" s="3" t="s">
        <v>79</v>
      </c>
      <c r="AG845" s="2" t="str">
        <f>IF(AD845&gt;37,"Proton symporter", "Diffusion")</f>
        <v>Proton symporter</v>
      </c>
      <c r="AH845" s="3" t="s">
        <v>272</v>
      </c>
    </row>
    <row r="846" spans="1:34" hidden="1" x14ac:dyDescent="0.2">
      <c r="A846" s="8" t="s">
        <v>34</v>
      </c>
      <c r="B846" s="9" t="s">
        <v>35</v>
      </c>
      <c r="C846" s="1" t="s">
        <v>56</v>
      </c>
      <c r="D846" s="14" t="s">
        <v>55</v>
      </c>
      <c r="E846" s="1" t="s">
        <v>199</v>
      </c>
      <c r="F846" s="1" t="s">
        <v>200</v>
      </c>
      <c r="G846" s="1">
        <v>-10</v>
      </c>
      <c r="H846" s="1">
        <v>-20</v>
      </c>
      <c r="I846" s="1" t="s">
        <v>40</v>
      </c>
      <c r="J846" s="1">
        <v>3.15</v>
      </c>
      <c r="K846" s="1">
        <v>-10</v>
      </c>
      <c r="L846" s="1">
        <v>-7.4089999999999998</v>
      </c>
      <c r="M846" s="1" t="s">
        <v>40</v>
      </c>
      <c r="N846" s="1">
        <v>7.2779999999999996</v>
      </c>
      <c r="O846" s="1">
        <v>3.246</v>
      </c>
      <c r="Q846" s="1">
        <v>0.3246</v>
      </c>
      <c r="R846" s="1">
        <v>0.38114551934103702</v>
      </c>
      <c r="S846" s="20" t="s">
        <v>201</v>
      </c>
      <c r="T846" s="3" t="s">
        <v>201</v>
      </c>
      <c r="U846" s="3" t="s">
        <v>106</v>
      </c>
      <c r="V846" s="3" t="s">
        <v>202</v>
      </c>
      <c r="W846" s="3">
        <v>7</v>
      </c>
      <c r="X846" s="3">
        <v>8</v>
      </c>
      <c r="Y846" s="3">
        <v>1</v>
      </c>
      <c r="Z846" s="3">
        <v>0</v>
      </c>
      <c r="AA846" s="3">
        <v>0</v>
      </c>
      <c r="AB846" s="12">
        <f>(W846*4+X846*1+Y846*-2+Z846*-3)/W846</f>
        <v>4.8571428571428568</v>
      </c>
      <c r="AC846" s="3">
        <f>W846*12.0107+X846*1.00784+Y846*15.999+Z846*14.0067</f>
        <v>108.13661999999999</v>
      </c>
      <c r="AD846" s="12">
        <v>205</v>
      </c>
      <c r="AE846" s="3" t="s">
        <v>176</v>
      </c>
      <c r="AF846" s="3" t="s">
        <v>203</v>
      </c>
      <c r="AG846" s="2" t="str">
        <f>IF(AD846&gt;37,"Proton symporter", "Diffusion")</f>
        <v>Proton symporter</v>
      </c>
      <c r="AH846" s="3" t="s">
        <v>204</v>
      </c>
    </row>
    <row r="847" spans="1:34" hidden="1" x14ac:dyDescent="0.2">
      <c r="A847" s="8" t="s">
        <v>34</v>
      </c>
      <c r="B847" s="9" t="s">
        <v>35</v>
      </c>
      <c r="C847" s="1" t="s">
        <v>59</v>
      </c>
      <c r="D847" s="13" t="s">
        <v>51</v>
      </c>
      <c r="E847" s="1" t="s">
        <v>254</v>
      </c>
      <c r="F847" s="1" t="s">
        <v>255</v>
      </c>
      <c r="G847" s="1">
        <v>-10</v>
      </c>
      <c r="H847" s="1">
        <v>-20</v>
      </c>
      <c r="I847" s="1" t="s">
        <v>40</v>
      </c>
      <c r="J847" s="1">
        <v>3.15</v>
      </c>
      <c r="K847" s="1">
        <v>-10</v>
      </c>
      <c r="L847" s="1">
        <v>-2.45500982318271</v>
      </c>
      <c r="M847" s="1" t="s">
        <v>40</v>
      </c>
      <c r="N847" s="1">
        <v>1.0392927308447899</v>
      </c>
      <c r="O847" s="1">
        <v>0.59738048461034698</v>
      </c>
      <c r="Q847" s="1">
        <v>5.9738048461034698E-2</v>
      </c>
      <c r="R847" s="1">
        <v>0.38099208184833799</v>
      </c>
      <c r="S847" s="11" t="s">
        <v>254</v>
      </c>
      <c r="T847" s="2" t="s">
        <v>254</v>
      </c>
      <c r="U847" s="3" t="s">
        <v>41</v>
      </c>
      <c r="V847" s="2" t="s">
        <v>256</v>
      </c>
      <c r="W847" s="2">
        <v>15</v>
      </c>
      <c r="X847" s="2">
        <v>24</v>
      </c>
      <c r="Y847" s="2">
        <v>0</v>
      </c>
      <c r="Z847" s="2">
        <v>0</v>
      </c>
      <c r="AA847" s="2">
        <v>0</v>
      </c>
      <c r="AB847" s="12">
        <f>(W847*4+X847*1+Y847*-2+Z847*-3)/W847+0.01</f>
        <v>5.6099999999999994</v>
      </c>
      <c r="AC847" s="3">
        <f>W847*12.0107+X847*1.00784+Y847*15.999+Z847*14.0067</f>
        <v>204.34866000000002</v>
      </c>
      <c r="AD847" s="12" t="s">
        <v>257</v>
      </c>
      <c r="AE847" s="2" t="s">
        <v>231</v>
      </c>
      <c r="AF847" s="2" t="s">
        <v>79</v>
      </c>
      <c r="AG847" s="2" t="str">
        <f>IF(AD847&gt;37,"Proton symporter", "Diffusion")</f>
        <v>Proton symporter</v>
      </c>
      <c r="AH847" s="3" t="s">
        <v>258</v>
      </c>
    </row>
    <row r="848" spans="1:34" hidden="1" x14ac:dyDescent="0.2">
      <c r="A848" s="8" t="s">
        <v>34</v>
      </c>
      <c r="B848" s="9" t="s">
        <v>35</v>
      </c>
      <c r="C848" s="1" t="s">
        <v>60</v>
      </c>
      <c r="D848" s="13" t="s">
        <v>51</v>
      </c>
      <c r="E848" s="1" t="s">
        <v>254</v>
      </c>
      <c r="F848" s="1" t="s">
        <v>255</v>
      </c>
      <c r="G848" s="1">
        <v>-10</v>
      </c>
      <c r="H848" s="1">
        <v>-20</v>
      </c>
      <c r="I848" s="1" t="s">
        <v>40</v>
      </c>
      <c r="J848" s="1">
        <v>3.15</v>
      </c>
      <c r="K848" s="1">
        <v>-10</v>
      </c>
      <c r="L848" s="1">
        <v>-2.45500982318271</v>
      </c>
      <c r="M848" s="1" t="s">
        <v>40</v>
      </c>
      <c r="N848" s="1">
        <v>1.0392927308447899</v>
      </c>
      <c r="O848" s="1">
        <v>0.59738048461034698</v>
      </c>
      <c r="Q848" s="1">
        <v>5.9738048461034698E-2</v>
      </c>
      <c r="R848" s="1">
        <v>0.38099208184833799</v>
      </c>
      <c r="S848" s="11" t="s">
        <v>254</v>
      </c>
      <c r="T848" s="2" t="s">
        <v>254</v>
      </c>
      <c r="U848" s="3" t="s">
        <v>41</v>
      </c>
      <c r="V848" s="2" t="s">
        <v>256</v>
      </c>
      <c r="W848" s="2">
        <v>15</v>
      </c>
      <c r="X848" s="2">
        <v>24</v>
      </c>
      <c r="Y848" s="2">
        <v>0</v>
      </c>
      <c r="Z848" s="2">
        <v>0</v>
      </c>
      <c r="AA848" s="2">
        <v>0</v>
      </c>
      <c r="AB848" s="12">
        <f>(W848*4+X848*1+Y848*-2+Z848*-3)/W848+0.01</f>
        <v>5.6099999999999994</v>
      </c>
      <c r="AC848" s="3">
        <f>W848*12.0107+X848*1.00784+Y848*15.999+Z848*14.0067</f>
        <v>204.34866000000002</v>
      </c>
      <c r="AD848" s="12" t="s">
        <v>257</v>
      </c>
      <c r="AE848" s="2" t="s">
        <v>231</v>
      </c>
      <c r="AF848" s="2" t="s">
        <v>79</v>
      </c>
      <c r="AG848" s="2" t="str">
        <f>IF(AD848&gt;37,"Proton symporter", "Diffusion")</f>
        <v>Proton symporter</v>
      </c>
      <c r="AH848" s="3" t="s">
        <v>258</v>
      </c>
    </row>
    <row r="849" spans="1:34" hidden="1" x14ac:dyDescent="0.2">
      <c r="A849" s="8" t="s">
        <v>34</v>
      </c>
      <c r="B849" s="9" t="s">
        <v>35</v>
      </c>
      <c r="C849" s="1" t="s">
        <v>54</v>
      </c>
      <c r="D849" s="14" t="s">
        <v>55</v>
      </c>
      <c r="E849" s="1" t="s">
        <v>172</v>
      </c>
      <c r="F849" s="1" t="s">
        <v>173</v>
      </c>
      <c r="G849" s="1">
        <v>-10</v>
      </c>
      <c r="H849" s="1">
        <v>-20</v>
      </c>
      <c r="I849" s="1" t="s">
        <v>40</v>
      </c>
      <c r="J849" s="1">
        <v>3.15</v>
      </c>
      <c r="K849" s="1">
        <v>-10</v>
      </c>
      <c r="L849" s="1">
        <v>-8.9858956276445703</v>
      </c>
      <c r="M849" s="1" t="s">
        <v>40</v>
      </c>
      <c r="N849" s="1">
        <v>16.2736248236954</v>
      </c>
      <c r="O849" s="1">
        <v>7.2877291960507904</v>
      </c>
      <c r="Q849" s="1">
        <v>0.72877291960507895</v>
      </c>
      <c r="R849" s="1">
        <v>0.38070566950101697</v>
      </c>
      <c r="S849" s="20" t="s">
        <v>172</v>
      </c>
      <c r="T849" s="3" t="s">
        <v>172</v>
      </c>
      <c r="U849" s="3" t="s">
        <v>174</v>
      </c>
      <c r="V849" s="3" t="s">
        <v>175</v>
      </c>
      <c r="W849" s="3">
        <v>6</v>
      </c>
      <c r="X849" s="3">
        <v>6</v>
      </c>
      <c r="Y849" s="3">
        <v>1</v>
      </c>
      <c r="Z849" s="3">
        <v>0</v>
      </c>
      <c r="AA849" s="3">
        <v>0</v>
      </c>
      <c r="AB849" s="12">
        <f>(W849*4+X849*1+Y849*-2+Z849*-3)/W849</f>
        <v>4.666666666666667</v>
      </c>
      <c r="AC849" s="3">
        <f>W849*12.0107+X849*1.00784+Y849*15.999+Z849*14.0067</f>
        <v>94.11023999999999</v>
      </c>
      <c r="AD849" s="12">
        <v>181.7</v>
      </c>
      <c r="AE849" s="3" t="s">
        <v>176</v>
      </c>
      <c r="AF849" s="2" t="s">
        <v>150</v>
      </c>
      <c r="AG849" s="2" t="str">
        <f>IF(AD849&gt;37,"Proton symporter", "Diffusion")</f>
        <v>Proton symporter</v>
      </c>
      <c r="AH849" s="3" t="s">
        <v>177</v>
      </c>
    </row>
    <row r="850" spans="1:34" hidden="1" x14ac:dyDescent="0.2">
      <c r="A850" s="8" t="s">
        <v>34</v>
      </c>
      <c r="B850" s="9" t="s">
        <v>35</v>
      </c>
      <c r="C850" s="1" t="s">
        <v>46</v>
      </c>
      <c r="D850" s="10" t="s">
        <v>37</v>
      </c>
      <c r="E850" s="1" t="s">
        <v>161</v>
      </c>
      <c r="F850" s="1" t="s">
        <v>162</v>
      </c>
      <c r="G850" s="1">
        <v>-10</v>
      </c>
      <c r="H850" s="1">
        <v>-20</v>
      </c>
      <c r="I850" s="1" t="s">
        <v>40</v>
      </c>
      <c r="J850" s="1">
        <v>3.15</v>
      </c>
      <c r="K850" s="1">
        <v>-10</v>
      </c>
      <c r="L850" s="1">
        <v>-6.7355300859598897</v>
      </c>
      <c r="M850" s="1" t="s">
        <v>40</v>
      </c>
      <c r="N850" s="1">
        <v>7.7558739255014402</v>
      </c>
      <c r="O850" s="1">
        <v>2.0406876790831001</v>
      </c>
      <c r="Q850" s="1">
        <v>0.20406876790830999</v>
      </c>
      <c r="R850" s="1">
        <v>0.38056818568797701</v>
      </c>
      <c r="S850" s="20" t="s">
        <v>161</v>
      </c>
      <c r="T850" s="3" t="s">
        <v>161</v>
      </c>
      <c r="U850" s="3" t="s">
        <v>106</v>
      </c>
      <c r="V850" s="20" t="s">
        <v>163</v>
      </c>
      <c r="W850" s="3">
        <v>6</v>
      </c>
      <c r="X850" s="3">
        <v>6</v>
      </c>
      <c r="Y850" s="3">
        <v>2</v>
      </c>
      <c r="Z850" s="3">
        <v>0</v>
      </c>
      <c r="AA850" s="3">
        <v>0</v>
      </c>
      <c r="AB850" s="12">
        <f>(W850*4+X850*1+Y850*-2+Z850*-3)/W850</f>
        <v>4.333333333333333</v>
      </c>
      <c r="AC850" s="3">
        <f>W850*12.0107+X850*1.00784+Y850*15.999+Z850*14.0067</f>
        <v>110.10924</v>
      </c>
      <c r="AD850" s="12">
        <v>245</v>
      </c>
      <c r="AE850" s="3" t="s">
        <v>164</v>
      </c>
      <c r="AF850" s="2" t="s">
        <v>98</v>
      </c>
      <c r="AG850" s="2" t="str">
        <f>IF(AD850&gt;37,"Proton symporter", "Diffusion")</f>
        <v>Proton symporter</v>
      </c>
      <c r="AH850" s="3" t="s">
        <v>165</v>
      </c>
    </row>
    <row r="851" spans="1:34" hidden="1" x14ac:dyDescent="0.2">
      <c r="A851" s="8" t="s">
        <v>34</v>
      </c>
      <c r="B851" s="9" t="s">
        <v>35</v>
      </c>
      <c r="C851" s="1" t="s">
        <v>59</v>
      </c>
      <c r="D851" s="13" t="s">
        <v>51</v>
      </c>
      <c r="E851" s="1" t="s">
        <v>264</v>
      </c>
      <c r="F851" s="1" t="s">
        <v>265</v>
      </c>
      <c r="G851" s="1">
        <v>-10</v>
      </c>
      <c r="H851" s="1">
        <v>-20</v>
      </c>
      <c r="I851" s="1" t="s">
        <v>40</v>
      </c>
      <c r="J851" s="1">
        <v>3.15</v>
      </c>
      <c r="K851" s="1">
        <v>-10</v>
      </c>
      <c r="L851" s="1">
        <v>-2.4796078431372499</v>
      </c>
      <c r="M851" s="1" t="s">
        <v>40</v>
      </c>
      <c r="N851" s="1">
        <v>1.0568627450980399</v>
      </c>
      <c r="O851" s="1">
        <v>1.7886274509803901</v>
      </c>
      <c r="Q851" s="1">
        <v>0.17886274509803901</v>
      </c>
      <c r="R851" s="1">
        <v>0.38024503855059599</v>
      </c>
      <c r="S851" s="20" t="s">
        <v>264</v>
      </c>
      <c r="T851" s="3" t="s">
        <v>264</v>
      </c>
      <c r="U851" s="3" t="s">
        <v>106</v>
      </c>
      <c r="V851" s="3" t="s">
        <v>266</v>
      </c>
      <c r="W851" s="3">
        <v>5</v>
      </c>
      <c r="X851" s="3">
        <v>8</v>
      </c>
      <c r="Y851" s="3">
        <v>0</v>
      </c>
      <c r="Z851" s="3">
        <v>0</v>
      </c>
      <c r="AA851" s="3">
        <v>0</v>
      </c>
      <c r="AB851" s="12">
        <f>(W851*4+X851*1+Y851*-2+Z851*-3)/W851</f>
        <v>5.6</v>
      </c>
      <c r="AC851" s="3">
        <f>W851*12.0107+X851*1.00784+Y851*15.999+Z851*14.0067</f>
        <v>68.116219999999998</v>
      </c>
      <c r="AD851" s="24">
        <v>34.07</v>
      </c>
      <c r="AE851" s="3" t="s">
        <v>231</v>
      </c>
      <c r="AF851" s="3" t="s">
        <v>79</v>
      </c>
      <c r="AG851" s="25" t="str">
        <f>IF(AD851&gt;37,"Proton symporter", "Diffusion")</f>
        <v>Diffusion</v>
      </c>
      <c r="AH851" s="3" t="s">
        <v>267</v>
      </c>
    </row>
    <row r="852" spans="1:34" hidden="1" x14ac:dyDescent="0.2">
      <c r="A852" s="8" t="s">
        <v>34</v>
      </c>
      <c r="B852" s="9" t="s">
        <v>35</v>
      </c>
      <c r="C852" s="1" t="s">
        <v>60</v>
      </c>
      <c r="D852" s="13" t="s">
        <v>51</v>
      </c>
      <c r="E852" s="1" t="s">
        <v>264</v>
      </c>
      <c r="F852" s="1" t="s">
        <v>265</v>
      </c>
      <c r="G852" s="1">
        <v>-10</v>
      </c>
      <c r="H852" s="1">
        <v>-20</v>
      </c>
      <c r="I852" s="1" t="s">
        <v>40</v>
      </c>
      <c r="J852" s="1">
        <v>3.15</v>
      </c>
      <c r="K852" s="1">
        <v>-10</v>
      </c>
      <c r="L852" s="1">
        <v>-2.4796078431372601</v>
      </c>
      <c r="M852" s="1" t="s">
        <v>40</v>
      </c>
      <c r="N852" s="1">
        <v>1.0568627450980299</v>
      </c>
      <c r="O852" s="1">
        <v>1.7886274509803901</v>
      </c>
      <c r="Q852" s="1">
        <v>0.17886274509803901</v>
      </c>
      <c r="R852" s="1">
        <v>0.38024503855059599</v>
      </c>
      <c r="S852" s="20" t="s">
        <v>264</v>
      </c>
      <c r="T852" s="3" t="s">
        <v>264</v>
      </c>
      <c r="U852" s="3" t="s">
        <v>106</v>
      </c>
      <c r="V852" s="3" t="s">
        <v>266</v>
      </c>
      <c r="W852" s="3">
        <v>5</v>
      </c>
      <c r="X852" s="3">
        <v>8</v>
      </c>
      <c r="Y852" s="3">
        <v>0</v>
      </c>
      <c r="Z852" s="3">
        <v>0</v>
      </c>
      <c r="AA852" s="3">
        <v>0</v>
      </c>
      <c r="AB852" s="12">
        <f>(W852*4+X852*1+Y852*-2+Z852*-3)/W852</f>
        <v>5.6</v>
      </c>
      <c r="AC852" s="3">
        <f>W852*12.0107+X852*1.00784+Y852*15.999+Z852*14.0067</f>
        <v>68.116219999999998</v>
      </c>
      <c r="AD852" s="24">
        <v>34.07</v>
      </c>
      <c r="AE852" s="3" t="s">
        <v>231</v>
      </c>
      <c r="AF852" s="3" t="s">
        <v>79</v>
      </c>
      <c r="AG852" s="25" t="str">
        <f>IF(AD852&gt;37,"Proton symporter", "Diffusion")</f>
        <v>Diffusion</v>
      </c>
      <c r="AH852" s="3" t="s">
        <v>267</v>
      </c>
    </row>
    <row r="853" spans="1:34" hidden="1" x14ac:dyDescent="0.2">
      <c r="A853" s="8" t="s">
        <v>34</v>
      </c>
      <c r="B853" s="9" t="s">
        <v>35</v>
      </c>
      <c r="C853" s="1" t="s">
        <v>62</v>
      </c>
      <c r="D853" s="15" t="s">
        <v>55</v>
      </c>
      <c r="E853" s="1" t="s">
        <v>172</v>
      </c>
      <c r="F853" s="1" t="s">
        <v>173</v>
      </c>
      <c r="G853" s="1">
        <v>-10</v>
      </c>
      <c r="H853" s="1">
        <v>-20</v>
      </c>
      <c r="I853" s="1" t="s">
        <v>40</v>
      </c>
      <c r="J853" s="1">
        <v>3.15</v>
      </c>
      <c r="K853" s="1">
        <v>-10</v>
      </c>
      <c r="L853" s="1">
        <v>-7.6741889985895604</v>
      </c>
      <c r="M853" s="1" t="s">
        <v>40</v>
      </c>
      <c r="N853" s="1">
        <v>13.7207334273625</v>
      </c>
      <c r="O853" s="1">
        <v>6.0465444287729202</v>
      </c>
      <c r="Q853" s="1">
        <v>0.60465444287729198</v>
      </c>
      <c r="R853" s="1">
        <v>0.379032669927718</v>
      </c>
      <c r="S853" s="20" t="s">
        <v>172</v>
      </c>
      <c r="T853" s="3" t="s">
        <v>172</v>
      </c>
      <c r="U853" s="3" t="s">
        <v>174</v>
      </c>
      <c r="V853" s="3" t="s">
        <v>175</v>
      </c>
      <c r="W853" s="3">
        <v>6</v>
      </c>
      <c r="X853" s="3">
        <v>6</v>
      </c>
      <c r="Y853" s="3">
        <v>1</v>
      </c>
      <c r="Z853" s="3">
        <v>0</v>
      </c>
      <c r="AA853" s="3">
        <v>0</v>
      </c>
      <c r="AB853" s="12">
        <f>(W853*4+X853*1+Y853*-2+Z853*-3)/W853</f>
        <v>4.666666666666667</v>
      </c>
      <c r="AC853" s="3">
        <f>W853*12.0107+X853*1.00784+Y853*15.999+Z853*14.0067</f>
        <v>94.11023999999999</v>
      </c>
      <c r="AD853" s="12">
        <v>181.7</v>
      </c>
      <c r="AE853" s="3" t="s">
        <v>176</v>
      </c>
      <c r="AF853" s="2" t="s">
        <v>150</v>
      </c>
      <c r="AG853" s="2" t="str">
        <f>IF(AD853&gt;37,"Proton symporter", "Diffusion")</f>
        <v>Proton symporter</v>
      </c>
      <c r="AH853" s="3" t="s">
        <v>177</v>
      </c>
    </row>
    <row r="854" spans="1:34" hidden="1" x14ac:dyDescent="0.2">
      <c r="A854" s="8" t="s">
        <v>34</v>
      </c>
      <c r="B854" s="9" t="s">
        <v>35</v>
      </c>
      <c r="C854" s="1" t="s">
        <v>59</v>
      </c>
      <c r="D854" s="13" t="s">
        <v>51</v>
      </c>
      <c r="E854" s="1" t="s">
        <v>211</v>
      </c>
      <c r="F854" s="1" t="s">
        <v>212</v>
      </c>
      <c r="G854" s="1">
        <v>-10</v>
      </c>
      <c r="H854" s="1">
        <v>-20</v>
      </c>
      <c r="I854" s="1" t="s">
        <v>40</v>
      </c>
      <c r="J854" s="1">
        <v>3.15</v>
      </c>
      <c r="K854" s="1">
        <v>-10</v>
      </c>
      <c r="L854" s="1">
        <v>-3.3681125439624799</v>
      </c>
      <c r="M854" s="1" t="s">
        <v>40</v>
      </c>
      <c r="N854" s="1">
        <v>0.69449003516998697</v>
      </c>
      <c r="O854" s="1">
        <v>1.16318874560375</v>
      </c>
      <c r="Q854" s="1">
        <v>0.116318874560375</v>
      </c>
      <c r="R854" s="1">
        <v>0.378090343133274</v>
      </c>
      <c r="S854" s="20" t="s">
        <v>211</v>
      </c>
      <c r="T854" s="3" t="s">
        <v>211</v>
      </c>
      <c r="U854" s="3" t="s">
        <v>174</v>
      </c>
      <c r="V854" s="3" t="s">
        <v>213</v>
      </c>
      <c r="W854" s="3">
        <v>8</v>
      </c>
      <c r="X854" s="3">
        <v>8</v>
      </c>
      <c r="Y854" s="3">
        <v>0</v>
      </c>
      <c r="Z854" s="3">
        <v>0</v>
      </c>
      <c r="AA854" s="3">
        <v>0</v>
      </c>
      <c r="AB854" s="12">
        <f>(W854*4+X854*1+Y854*-2+Z854*-3)/W854</f>
        <v>5</v>
      </c>
      <c r="AC854" s="3">
        <f>W854*12.0107+X854*1.00784+Y854*15.999+Z854*14.0067</f>
        <v>104.14832</v>
      </c>
      <c r="AD854" s="12">
        <v>145</v>
      </c>
      <c r="AE854" s="3" t="s">
        <v>214</v>
      </c>
      <c r="AF854" s="3" t="s">
        <v>203</v>
      </c>
      <c r="AG854" s="2" t="str">
        <f>IF(AD854&gt;37,"Proton symporter", "Diffusion")</f>
        <v>Proton symporter</v>
      </c>
      <c r="AH854" s="3" t="s">
        <v>215</v>
      </c>
    </row>
    <row r="855" spans="1:34" hidden="1" x14ac:dyDescent="0.2">
      <c r="A855" s="8" t="s">
        <v>34</v>
      </c>
      <c r="B855" s="9" t="s">
        <v>35</v>
      </c>
      <c r="C855" s="1" t="s">
        <v>60</v>
      </c>
      <c r="D855" s="13" t="s">
        <v>51</v>
      </c>
      <c r="E855" s="1" t="s">
        <v>211</v>
      </c>
      <c r="F855" s="1" t="s">
        <v>212</v>
      </c>
      <c r="G855" s="1">
        <v>-10</v>
      </c>
      <c r="H855" s="1">
        <v>-20</v>
      </c>
      <c r="I855" s="1" t="s">
        <v>40</v>
      </c>
      <c r="J855" s="1">
        <v>3.15</v>
      </c>
      <c r="K855" s="1">
        <v>-10</v>
      </c>
      <c r="L855" s="1">
        <v>-3.3681125439624902</v>
      </c>
      <c r="M855" s="1" t="s">
        <v>40</v>
      </c>
      <c r="N855" s="1">
        <v>0.69449003516998697</v>
      </c>
      <c r="O855" s="1">
        <v>1.16318874560375</v>
      </c>
      <c r="Q855" s="1">
        <v>0.116318874560375</v>
      </c>
      <c r="R855" s="1">
        <v>0.378090343133274</v>
      </c>
      <c r="S855" s="20" t="s">
        <v>211</v>
      </c>
      <c r="T855" s="3" t="s">
        <v>211</v>
      </c>
      <c r="U855" s="3" t="s">
        <v>174</v>
      </c>
      <c r="V855" s="3" t="s">
        <v>213</v>
      </c>
      <c r="W855" s="3">
        <v>8</v>
      </c>
      <c r="X855" s="3">
        <v>8</v>
      </c>
      <c r="Y855" s="3">
        <v>0</v>
      </c>
      <c r="Z855" s="3">
        <v>0</v>
      </c>
      <c r="AA855" s="3">
        <v>0</v>
      </c>
      <c r="AB855" s="12">
        <f>(W855*4+X855*1+Y855*-2+Z855*-3)/W855</f>
        <v>5</v>
      </c>
      <c r="AC855" s="3">
        <f>W855*12.0107+X855*1.00784+Y855*15.999+Z855*14.0067</f>
        <v>104.14832</v>
      </c>
      <c r="AD855" s="12">
        <v>145</v>
      </c>
      <c r="AE855" s="3" t="s">
        <v>214</v>
      </c>
      <c r="AF855" s="3" t="s">
        <v>203</v>
      </c>
      <c r="AG855" s="2" t="str">
        <f>IF(AD855&gt;37,"Proton symporter", "Diffusion")</f>
        <v>Proton symporter</v>
      </c>
      <c r="AH855" s="3" t="s">
        <v>215</v>
      </c>
    </row>
    <row r="856" spans="1:34" hidden="1" x14ac:dyDescent="0.2">
      <c r="A856" s="8" t="s">
        <v>34</v>
      </c>
      <c r="B856" s="9" t="s">
        <v>35</v>
      </c>
      <c r="C856" s="1" t="s">
        <v>61</v>
      </c>
      <c r="D856" s="13" t="s">
        <v>51</v>
      </c>
      <c r="E856" s="1" t="s">
        <v>279</v>
      </c>
      <c r="F856" s="1" t="s">
        <v>280</v>
      </c>
      <c r="G856" s="1">
        <v>-10</v>
      </c>
      <c r="H856" s="1">
        <v>-20</v>
      </c>
      <c r="I856" s="1" t="s">
        <v>40</v>
      </c>
      <c r="J856" s="1">
        <v>3.15</v>
      </c>
      <c r="K856" s="1">
        <v>-10</v>
      </c>
      <c r="L856" s="1">
        <v>-5.9284090909090903</v>
      </c>
      <c r="M856" s="1" t="s">
        <v>40</v>
      </c>
      <c r="N856" s="1">
        <v>3.9522727272727098</v>
      </c>
      <c r="O856" s="1">
        <v>2.01590909090908</v>
      </c>
      <c r="Q856" s="1">
        <v>0.20159090909090799</v>
      </c>
      <c r="R856" s="1">
        <v>0.37808885862531999</v>
      </c>
      <c r="S856" s="20" t="s">
        <v>281</v>
      </c>
      <c r="T856" s="3" t="s">
        <v>282</v>
      </c>
      <c r="U856" s="3" t="s">
        <v>174</v>
      </c>
      <c r="V856" s="3" t="s">
        <v>283</v>
      </c>
      <c r="W856" s="3">
        <v>3</v>
      </c>
      <c r="X856" s="3">
        <v>8</v>
      </c>
      <c r="Y856" s="3">
        <v>1</v>
      </c>
      <c r="Z856" s="3">
        <v>0</v>
      </c>
      <c r="AA856" s="3">
        <v>0</v>
      </c>
      <c r="AB856" s="12">
        <f>(W856*4+X856*1+Y856*-2+Z856*-3)/W856</f>
        <v>6</v>
      </c>
      <c r="AC856" s="3">
        <f>W856*12.0107+X856*1.00784+Y856*15.999+Z856*14.0067</f>
        <v>60.093820000000001</v>
      </c>
      <c r="AD856" s="12">
        <v>97</v>
      </c>
      <c r="AE856" s="2" t="s">
        <v>262</v>
      </c>
      <c r="AF856" s="2" t="s">
        <v>284</v>
      </c>
      <c r="AG856" s="2" t="str">
        <f>IF(AD856&gt;37,"Proton symporter", "Diffusion")</f>
        <v>Proton symporter</v>
      </c>
      <c r="AH856" s="3" t="s">
        <v>285</v>
      </c>
    </row>
    <row r="857" spans="1:34" hidden="1" x14ac:dyDescent="0.2">
      <c r="A857" s="8" t="s">
        <v>34</v>
      </c>
      <c r="B857" s="9" t="s">
        <v>35</v>
      </c>
      <c r="C857" s="1" t="s">
        <v>48</v>
      </c>
      <c r="D857" s="10" t="s">
        <v>37</v>
      </c>
      <c r="E857" s="1" t="s">
        <v>295</v>
      </c>
      <c r="F857" s="1" t="s">
        <v>296</v>
      </c>
      <c r="G857" s="1">
        <v>-10</v>
      </c>
      <c r="H857" s="1">
        <v>-20</v>
      </c>
      <c r="I857" s="1" t="s">
        <v>40</v>
      </c>
      <c r="J857" s="1">
        <v>3.15</v>
      </c>
      <c r="K857" s="1">
        <v>-10</v>
      </c>
      <c r="L857" s="1">
        <v>-4.3337499999999904</v>
      </c>
      <c r="M857" s="1" t="s">
        <v>40</v>
      </c>
      <c r="N857" s="1">
        <v>6.2225000000000099</v>
      </c>
      <c r="O857" s="1">
        <v>2.2962500000000001</v>
      </c>
      <c r="Q857" s="1">
        <v>0.229625</v>
      </c>
      <c r="R857" s="1">
        <v>0.37800590883312102</v>
      </c>
      <c r="S857" s="11" t="s">
        <v>295</v>
      </c>
      <c r="T857" s="2" t="s">
        <v>297</v>
      </c>
      <c r="U857" s="3" t="s">
        <v>41</v>
      </c>
      <c r="V857" s="2" t="s">
        <v>298</v>
      </c>
      <c r="W857" s="2">
        <v>6</v>
      </c>
      <c r="X857" s="2">
        <v>14</v>
      </c>
      <c r="Y857" s="2">
        <v>1</v>
      </c>
      <c r="Z857" s="2">
        <v>0</v>
      </c>
      <c r="AA857" s="2">
        <v>0</v>
      </c>
      <c r="AB857" s="12">
        <f>(W857*4+X857*1+Y857*-2+Z857*-3)/W857</f>
        <v>6</v>
      </c>
      <c r="AC857" s="3">
        <f>W857*12.0107+X857*1.00784+Y857*15.999+Z857*14.0067</f>
        <v>102.17295999999999</v>
      </c>
      <c r="AD857" s="12">
        <v>153</v>
      </c>
      <c r="AE857" s="2" t="s">
        <v>262</v>
      </c>
      <c r="AF857" s="2" t="s">
        <v>44</v>
      </c>
      <c r="AG857" s="2" t="str">
        <f>IF(AD857&gt;37,"Proton symporter", "Diffusion")</f>
        <v>Proton symporter</v>
      </c>
      <c r="AH857" s="3" t="s">
        <v>299</v>
      </c>
    </row>
    <row r="858" spans="1:34" hidden="1" x14ac:dyDescent="0.2">
      <c r="A858" s="16" t="s">
        <v>317</v>
      </c>
      <c r="B858" s="9" t="s">
        <v>35</v>
      </c>
      <c r="C858" t="s">
        <v>59</v>
      </c>
      <c r="D858" s="13" t="s">
        <v>51</v>
      </c>
      <c r="E858" t="s">
        <v>323</v>
      </c>
      <c r="F858" t="s">
        <v>324</v>
      </c>
      <c r="G858">
        <v>-10</v>
      </c>
      <c r="H858">
        <v>-20</v>
      </c>
      <c r="I858" s="1" t="s">
        <v>40</v>
      </c>
      <c r="J858">
        <v>3.15</v>
      </c>
      <c r="K858">
        <v>-10</v>
      </c>
      <c r="L858">
        <v>-1.75760950259837</v>
      </c>
      <c r="M858" s="1" t="s">
        <v>40</v>
      </c>
      <c r="N858">
        <v>1.5248700816629599</v>
      </c>
      <c r="O858">
        <v>1.0593912397921299</v>
      </c>
      <c r="P858"/>
      <c r="Q858">
        <v>0.105939123979213</v>
      </c>
      <c r="R858">
        <v>0.377674104783639</v>
      </c>
      <c r="S858" s="11" t="s">
        <v>323</v>
      </c>
      <c r="T858" s="2" t="s">
        <v>323</v>
      </c>
      <c r="U858" s="3" t="s">
        <v>106</v>
      </c>
      <c r="V858" s="2" t="s">
        <v>325</v>
      </c>
      <c r="W858" s="2">
        <v>8</v>
      </c>
      <c r="X858" s="2">
        <v>18</v>
      </c>
      <c r="Y858" s="2">
        <v>0</v>
      </c>
      <c r="Z858" s="2">
        <v>0</v>
      </c>
      <c r="AA858" s="2">
        <v>0</v>
      </c>
      <c r="AB858" s="12">
        <f>(W858*4+X858*1+Y858*-2+Z858*-3)/W858</f>
        <v>6.25</v>
      </c>
      <c r="AC858" s="3">
        <f>W858*12.0107+X858*1.00784+Y858*15.999+Z858*14.0067</f>
        <v>114.22672</v>
      </c>
      <c r="AD858" s="12">
        <v>126</v>
      </c>
      <c r="AE858" s="3" t="s">
        <v>321</v>
      </c>
      <c r="AF858" s="2" t="s">
        <v>313</v>
      </c>
      <c r="AG858" s="2" t="str">
        <f>IF(AD858&gt;37,"Proton symporter", "Diffusion")</f>
        <v>Proton symporter</v>
      </c>
      <c r="AH858" s="3" t="s">
        <v>326</v>
      </c>
    </row>
    <row r="859" spans="1:34" hidden="1" x14ac:dyDescent="0.2">
      <c r="A859" s="16" t="s">
        <v>317</v>
      </c>
      <c r="B859" s="9" t="s">
        <v>35</v>
      </c>
      <c r="C859" t="s">
        <v>60</v>
      </c>
      <c r="D859" s="13" t="s">
        <v>51</v>
      </c>
      <c r="E859" t="s">
        <v>323</v>
      </c>
      <c r="F859" t="s">
        <v>324</v>
      </c>
      <c r="G859">
        <v>-10</v>
      </c>
      <c r="H859">
        <v>-20</v>
      </c>
      <c r="I859" s="1" t="s">
        <v>40</v>
      </c>
      <c r="J859">
        <v>3.15</v>
      </c>
      <c r="K859">
        <v>-10</v>
      </c>
      <c r="L859">
        <v>-1.75760950259837</v>
      </c>
      <c r="M859" s="1" t="s">
        <v>40</v>
      </c>
      <c r="N859">
        <v>1.5248700816629599</v>
      </c>
      <c r="O859">
        <v>1.0593912397921299</v>
      </c>
      <c r="P859"/>
      <c r="Q859">
        <v>0.105939123979213</v>
      </c>
      <c r="R859">
        <v>0.377674104783639</v>
      </c>
      <c r="S859" s="11" t="s">
        <v>323</v>
      </c>
      <c r="T859" s="2" t="s">
        <v>323</v>
      </c>
      <c r="U859" s="3" t="s">
        <v>106</v>
      </c>
      <c r="V859" s="2" t="s">
        <v>325</v>
      </c>
      <c r="W859" s="2">
        <v>8</v>
      </c>
      <c r="X859" s="2">
        <v>18</v>
      </c>
      <c r="Y859" s="2">
        <v>0</v>
      </c>
      <c r="Z859" s="2">
        <v>0</v>
      </c>
      <c r="AA859" s="2">
        <v>0</v>
      </c>
      <c r="AB859" s="12">
        <f>(W859*4+X859*1+Y859*-2+Z859*-3)/W859</f>
        <v>6.25</v>
      </c>
      <c r="AC859" s="3">
        <f>W859*12.0107+X859*1.00784+Y859*15.999+Z859*14.0067</f>
        <v>114.22672</v>
      </c>
      <c r="AD859" s="12">
        <v>126</v>
      </c>
      <c r="AE859" s="3" t="s">
        <v>321</v>
      </c>
      <c r="AF859" s="2" t="s">
        <v>313</v>
      </c>
      <c r="AG859" s="2" t="str">
        <f>IF(AD859&gt;37,"Proton symporter", "Diffusion")</f>
        <v>Proton symporter</v>
      </c>
      <c r="AH859" s="3" t="s">
        <v>326</v>
      </c>
    </row>
    <row r="860" spans="1:34" hidden="1" x14ac:dyDescent="0.2">
      <c r="A860" s="8" t="s">
        <v>34</v>
      </c>
      <c r="B860" s="9" t="s">
        <v>35</v>
      </c>
      <c r="C860" s="1" t="s">
        <v>48</v>
      </c>
      <c r="D860" s="10" t="s">
        <v>37</v>
      </c>
      <c r="E860" s="1" t="s">
        <v>178</v>
      </c>
      <c r="F860" s="1" t="s">
        <v>179</v>
      </c>
      <c r="G860" s="1">
        <v>-10</v>
      </c>
      <c r="H860" s="1">
        <v>-20</v>
      </c>
      <c r="I860" s="1" t="s">
        <v>40</v>
      </c>
      <c r="J860" s="1">
        <v>3.15</v>
      </c>
      <c r="K860" s="1">
        <v>-10</v>
      </c>
      <c r="L860" s="1">
        <v>-6.5001766784452304</v>
      </c>
      <c r="M860" s="1" t="s">
        <v>40</v>
      </c>
      <c r="N860" s="1">
        <v>4.4212014134275703</v>
      </c>
      <c r="O860" s="1">
        <v>1.94734982332156</v>
      </c>
      <c r="Q860" s="1">
        <v>0.194734982332156</v>
      </c>
      <c r="R860" s="1">
        <v>0.37696541506283299</v>
      </c>
      <c r="S860" s="20" t="s">
        <v>178</v>
      </c>
      <c r="T860" s="3" t="s">
        <v>178</v>
      </c>
      <c r="U860" s="3" t="s">
        <v>106</v>
      </c>
      <c r="V860" s="3" t="s">
        <v>180</v>
      </c>
      <c r="W860" s="3">
        <v>8</v>
      </c>
      <c r="X860" s="3">
        <v>8</v>
      </c>
      <c r="Y860" s="3">
        <v>1</v>
      </c>
      <c r="Z860" s="3">
        <v>0</v>
      </c>
      <c r="AA860" s="3">
        <v>0</v>
      </c>
      <c r="AB860" s="12">
        <f>(W860*4+X860*1+Y860*-2+Z860*-3)/W860</f>
        <v>4.75</v>
      </c>
      <c r="AC860" s="3">
        <f>W860*12.0107+X860*1.00784+Y860*15.999+Z860*14.0067</f>
        <v>120.14731999999999</v>
      </c>
      <c r="AD860" s="12">
        <v>229</v>
      </c>
      <c r="AE860" s="3" t="s">
        <v>176</v>
      </c>
      <c r="AF860" s="2" t="s">
        <v>150</v>
      </c>
      <c r="AG860" s="2" t="str">
        <f>IF(AD860&gt;37,"Proton symporter", "Diffusion")</f>
        <v>Proton symporter</v>
      </c>
      <c r="AH860" s="3" t="s">
        <v>181</v>
      </c>
    </row>
    <row r="861" spans="1:34" hidden="1" x14ac:dyDescent="0.2">
      <c r="A861" s="16" t="s">
        <v>63</v>
      </c>
      <c r="B861" s="17" t="s">
        <v>64</v>
      </c>
      <c r="C861" t="s">
        <v>67</v>
      </c>
      <c r="D861" s="18" t="s">
        <v>66</v>
      </c>
      <c r="E861" t="s">
        <v>194</v>
      </c>
      <c r="F861" t="s">
        <v>195</v>
      </c>
      <c r="G861">
        <v>-10</v>
      </c>
      <c r="H861">
        <v>0</v>
      </c>
      <c r="I861">
        <v>-5</v>
      </c>
      <c r="J861">
        <v>0.45</v>
      </c>
      <c r="K861">
        <v>-10</v>
      </c>
      <c r="L861">
        <v>0</v>
      </c>
      <c r="M861">
        <v>-5</v>
      </c>
      <c r="N861">
        <v>3.2410256410256402</v>
      </c>
      <c r="O861">
        <v>0.74102564102563995</v>
      </c>
      <c r="P861"/>
      <c r="Q861">
        <v>7.4102564102563995E-2</v>
      </c>
      <c r="R861">
        <v>0.37585780628744098</v>
      </c>
      <c r="S861" s="3" t="s">
        <v>194</v>
      </c>
      <c r="T861" s="2" t="s">
        <v>196</v>
      </c>
      <c r="U861" s="3" t="s">
        <v>35</v>
      </c>
      <c r="V861" s="3" t="s">
        <v>197</v>
      </c>
      <c r="W861" s="3">
        <v>6</v>
      </c>
      <c r="X861" s="3">
        <v>15</v>
      </c>
      <c r="Y861" s="3">
        <v>2</v>
      </c>
      <c r="Z861" s="3">
        <v>2</v>
      </c>
      <c r="AA861" s="3">
        <v>1</v>
      </c>
      <c r="AB861" s="12">
        <f>(W861*4+X861*1+Y861*-2+Z861*-3)/W861</f>
        <v>4.833333333333333</v>
      </c>
      <c r="AC861" s="3">
        <f>W861*12.0107+X861*1.00784+Y861*15.999+Z861*14.0067</f>
        <v>147.19319999999999</v>
      </c>
      <c r="AD861" s="12" t="s">
        <v>40</v>
      </c>
      <c r="AE861" s="3" t="s">
        <v>119</v>
      </c>
      <c r="AF861" s="3" t="s">
        <v>44</v>
      </c>
      <c r="AG861" s="2" t="s">
        <v>80</v>
      </c>
      <c r="AH861" s="2" t="s">
        <v>198</v>
      </c>
    </row>
    <row r="862" spans="1:34" hidden="1" x14ac:dyDescent="0.2">
      <c r="A862" s="16" t="s">
        <v>63</v>
      </c>
      <c r="B862" s="17" t="s">
        <v>64</v>
      </c>
      <c r="C862" t="s">
        <v>67</v>
      </c>
      <c r="D862" s="18" t="s">
        <v>66</v>
      </c>
      <c r="E862" t="s">
        <v>222</v>
      </c>
      <c r="F862" t="s">
        <v>223</v>
      </c>
      <c r="G862">
        <v>-10</v>
      </c>
      <c r="H862">
        <v>0</v>
      </c>
      <c r="I862">
        <v>-5</v>
      </c>
      <c r="J862">
        <v>0.45</v>
      </c>
      <c r="K862">
        <v>-10</v>
      </c>
      <c r="L862">
        <v>0</v>
      </c>
      <c r="M862">
        <v>-5</v>
      </c>
      <c r="N862">
        <v>4.375</v>
      </c>
      <c r="O862">
        <v>1.875</v>
      </c>
      <c r="P862"/>
      <c r="Q862">
        <v>0.1875</v>
      </c>
      <c r="R862">
        <v>0.37524642487939303</v>
      </c>
      <c r="S862" s="11" t="s">
        <v>222</v>
      </c>
      <c r="T862" s="2" t="s">
        <v>222</v>
      </c>
      <c r="U862" s="3" t="s">
        <v>41</v>
      </c>
      <c r="V862" s="2" t="s">
        <v>224</v>
      </c>
      <c r="W862" s="2">
        <v>3</v>
      </c>
      <c r="X862" s="2">
        <v>6</v>
      </c>
      <c r="Y862" s="2">
        <v>1</v>
      </c>
      <c r="Z862" s="2">
        <v>0</v>
      </c>
      <c r="AA862" s="2">
        <v>0</v>
      </c>
      <c r="AB862" s="12">
        <f>(W862*4+X862*1+Y862*-2+Z862*-3)/W862</f>
        <v>5.333333333333333</v>
      </c>
      <c r="AC862" s="3">
        <f>W862*12.0107+X862*1.00784+Y862*15.999+Z862*14.0067</f>
        <v>58.078140000000005</v>
      </c>
      <c r="AD862" s="12">
        <v>56</v>
      </c>
      <c r="AE862" s="2" t="s">
        <v>225</v>
      </c>
      <c r="AF862" s="2" t="s">
        <v>79</v>
      </c>
      <c r="AG862" s="2" t="str">
        <f>IF(AD862&gt;37,"Proton symporter", "Diffusion")</f>
        <v>Proton symporter</v>
      </c>
      <c r="AH862" s="3" t="s">
        <v>226</v>
      </c>
    </row>
    <row r="863" spans="1:34" hidden="1" x14ac:dyDescent="0.2">
      <c r="A863" s="8" t="s">
        <v>34</v>
      </c>
      <c r="B863" s="9" t="s">
        <v>35</v>
      </c>
      <c r="C863" s="1" t="s">
        <v>54</v>
      </c>
      <c r="D863" s="14" t="s">
        <v>55</v>
      </c>
      <c r="E863" s="1" t="s">
        <v>305</v>
      </c>
      <c r="F863" s="1" t="s">
        <v>301</v>
      </c>
      <c r="G863" s="1">
        <v>-10</v>
      </c>
      <c r="H863" s="1">
        <v>-20</v>
      </c>
      <c r="I863" s="1" t="s">
        <v>40</v>
      </c>
      <c r="J863" s="1">
        <v>3.15</v>
      </c>
      <c r="K863" s="1">
        <v>-10</v>
      </c>
      <c r="L863" s="1">
        <v>-5.3068965517241402</v>
      </c>
      <c r="M863" s="1" t="s">
        <v>40</v>
      </c>
      <c r="N863" s="1">
        <v>23.537931034482799</v>
      </c>
      <c r="O863" s="1">
        <v>9.11551724137931</v>
      </c>
      <c r="Q863" s="1">
        <v>0.91155172413793095</v>
      </c>
      <c r="R863" s="1">
        <v>0.375040471891048</v>
      </c>
      <c r="S863" s="20" t="s">
        <v>305</v>
      </c>
      <c r="T863" s="3" t="s">
        <v>306</v>
      </c>
      <c r="U863" s="3" t="s">
        <v>106</v>
      </c>
      <c r="V863" s="3" t="s">
        <v>303</v>
      </c>
      <c r="W863" s="3">
        <v>4</v>
      </c>
      <c r="X863" s="3">
        <v>10</v>
      </c>
      <c r="Y863" s="3">
        <v>1</v>
      </c>
      <c r="Z863" s="3">
        <v>0</v>
      </c>
      <c r="AA863" s="3">
        <v>0</v>
      </c>
      <c r="AB863" s="12">
        <f>(W863*4+X863*1+Y863*-2+Z863*-3)/W863</f>
        <v>6</v>
      </c>
      <c r="AC863" s="3">
        <f>W863*12.0107+X863*1.00784+Y863*15.999+Z863*14.0067</f>
        <v>74.120199999999997</v>
      </c>
      <c r="AD863" s="12">
        <v>117.7</v>
      </c>
      <c r="AE863" s="3" t="s">
        <v>262</v>
      </c>
      <c r="AF863" s="3" t="s">
        <v>44</v>
      </c>
      <c r="AG863" s="2" t="str">
        <f>IF(AD863&gt;37,"Proton symporter", "Diffusion")</f>
        <v>Proton symporter</v>
      </c>
      <c r="AH863" s="3" t="s">
        <v>304</v>
      </c>
    </row>
    <row r="864" spans="1:34" hidden="1" x14ac:dyDescent="0.2">
      <c r="A864" s="8" t="s">
        <v>34</v>
      </c>
      <c r="B864" s="9" t="s">
        <v>35</v>
      </c>
      <c r="C864" s="1" t="s">
        <v>46</v>
      </c>
      <c r="D864" s="10" t="s">
        <v>37</v>
      </c>
      <c r="E864" s="1" t="s">
        <v>146</v>
      </c>
      <c r="F864" s="1" t="s">
        <v>147</v>
      </c>
      <c r="G864" s="1">
        <v>-10</v>
      </c>
      <c r="H864" s="1">
        <v>-20</v>
      </c>
      <c r="I864" s="1" t="s">
        <v>40</v>
      </c>
      <c r="J864" s="1">
        <v>3.15</v>
      </c>
      <c r="K864" s="1">
        <v>-10</v>
      </c>
      <c r="L864" s="1">
        <v>-7.1073813708260101</v>
      </c>
      <c r="M864" s="1" t="s">
        <v>40</v>
      </c>
      <c r="N864" s="1">
        <v>7.7859402460456897</v>
      </c>
      <c r="O864" s="1">
        <v>1.3571177504393701</v>
      </c>
      <c r="Q864" s="1">
        <v>0.135711775043937</v>
      </c>
      <c r="R864" s="1">
        <v>0.37500057759656302</v>
      </c>
      <c r="S864" s="20" t="s">
        <v>148</v>
      </c>
      <c r="T864" s="3" t="s">
        <v>148</v>
      </c>
      <c r="U864" s="3" t="s">
        <v>106</v>
      </c>
      <c r="V864" s="3" t="s">
        <v>149</v>
      </c>
      <c r="W864" s="3">
        <v>9</v>
      </c>
      <c r="X864" s="3">
        <v>7</v>
      </c>
      <c r="Y864" s="3">
        <v>3</v>
      </c>
      <c r="Z864" s="3">
        <v>0</v>
      </c>
      <c r="AA864" s="3">
        <v>-1</v>
      </c>
      <c r="AB864" s="12">
        <f>(W864*4+X864*1+Y864*-2+Z864*-3)/W864</f>
        <v>4.1111111111111107</v>
      </c>
      <c r="AC864" s="3">
        <f>W864*12.0107+X864*1.00784+Y864*15.999+Z864*14.0067</f>
        <v>163.14818</v>
      </c>
      <c r="AD864" s="12">
        <v>346</v>
      </c>
      <c r="AE864" s="22" t="s">
        <v>139</v>
      </c>
      <c r="AF864" s="2" t="s">
        <v>150</v>
      </c>
      <c r="AG864" s="2" t="str">
        <f>IF(AD864&gt;37,"Proton symporter", "Diffusion")</f>
        <v>Proton symporter</v>
      </c>
      <c r="AH864" s="3" t="s">
        <v>151</v>
      </c>
    </row>
    <row r="865" spans="1:34" hidden="1" x14ac:dyDescent="0.2">
      <c r="A865" s="8" t="s">
        <v>34</v>
      </c>
      <c r="B865" s="9" t="s">
        <v>35</v>
      </c>
      <c r="C865" s="1" t="s">
        <v>48</v>
      </c>
      <c r="D865" s="10" t="s">
        <v>37</v>
      </c>
      <c r="E865" s="1" t="s">
        <v>172</v>
      </c>
      <c r="F865" s="1" t="s">
        <v>173</v>
      </c>
      <c r="G865" s="1">
        <v>-10</v>
      </c>
      <c r="H865" s="1">
        <v>-20</v>
      </c>
      <c r="I865" s="1" t="s">
        <v>40</v>
      </c>
      <c r="J865" s="1">
        <v>3.15</v>
      </c>
      <c r="K865" s="1">
        <v>-10</v>
      </c>
      <c r="L865" s="1">
        <v>-7.7008968609865498</v>
      </c>
      <c r="M865" s="1" t="s">
        <v>40</v>
      </c>
      <c r="N865" s="1">
        <v>5.1721973094170499</v>
      </c>
      <c r="O865" s="1">
        <v>2.4713004484304899</v>
      </c>
      <c r="Q865" s="1">
        <v>0.24713004484304901</v>
      </c>
      <c r="R865" s="1">
        <v>0.37471913678560598</v>
      </c>
      <c r="S865" s="20" t="s">
        <v>172</v>
      </c>
      <c r="T865" s="3" t="s">
        <v>172</v>
      </c>
      <c r="U865" s="3" t="s">
        <v>174</v>
      </c>
      <c r="V865" s="3" t="s">
        <v>175</v>
      </c>
      <c r="W865" s="3">
        <v>6</v>
      </c>
      <c r="X865" s="3">
        <v>6</v>
      </c>
      <c r="Y865" s="3">
        <v>1</v>
      </c>
      <c r="Z865" s="3">
        <v>0</v>
      </c>
      <c r="AA865" s="3">
        <v>0</v>
      </c>
      <c r="AB865" s="12">
        <f>(W865*4+X865*1+Y865*-2+Z865*-3)/W865</f>
        <v>4.666666666666667</v>
      </c>
      <c r="AC865" s="3">
        <f>W865*12.0107+X865*1.00784+Y865*15.999+Z865*14.0067</f>
        <v>94.11023999999999</v>
      </c>
      <c r="AD865" s="12">
        <v>181.7</v>
      </c>
      <c r="AE865" s="3" t="s">
        <v>176</v>
      </c>
      <c r="AF865" s="2" t="s">
        <v>150</v>
      </c>
      <c r="AG865" s="2" t="str">
        <f>IF(AD865&gt;37,"Proton symporter", "Diffusion")</f>
        <v>Proton symporter</v>
      </c>
      <c r="AH865" s="3" t="s">
        <v>177</v>
      </c>
    </row>
    <row r="866" spans="1:34" hidden="1" x14ac:dyDescent="0.2">
      <c r="A866" s="16" t="s">
        <v>317</v>
      </c>
      <c r="B866" s="9" t="s">
        <v>35</v>
      </c>
      <c r="C866" t="s">
        <v>59</v>
      </c>
      <c r="D866" s="13" t="s">
        <v>51</v>
      </c>
      <c r="E866" t="s">
        <v>331</v>
      </c>
      <c r="F866" t="s">
        <v>332</v>
      </c>
      <c r="G866">
        <v>-10</v>
      </c>
      <c r="H866">
        <v>-20</v>
      </c>
      <c r="I866" s="1" t="s">
        <v>40</v>
      </c>
      <c r="J866">
        <v>3.15</v>
      </c>
      <c r="K866">
        <v>-10</v>
      </c>
      <c r="L866">
        <v>-1.7999026290165501</v>
      </c>
      <c r="M866" s="1" t="s">
        <v>40</v>
      </c>
      <c r="N866">
        <v>1.6630963972736099</v>
      </c>
      <c r="O866">
        <v>1.3894839337877301</v>
      </c>
      <c r="P866"/>
      <c r="Q866">
        <v>0.13894839337877299</v>
      </c>
      <c r="R866">
        <v>0.37369966203011601</v>
      </c>
      <c r="S866" s="11" t="s">
        <v>331</v>
      </c>
      <c r="T866" s="2" t="s">
        <v>331</v>
      </c>
      <c r="U866" s="3" t="s">
        <v>106</v>
      </c>
      <c r="V866" s="3" t="s">
        <v>333</v>
      </c>
      <c r="W866" s="2">
        <v>6</v>
      </c>
      <c r="X866" s="2">
        <v>14</v>
      </c>
      <c r="Y866" s="2">
        <v>0</v>
      </c>
      <c r="Z866" s="2">
        <v>0</v>
      </c>
      <c r="AA866" s="2">
        <v>0</v>
      </c>
      <c r="AB866" s="12">
        <f>(W866*4+X866*1+Y866*-2+Z866*-3)/W866</f>
        <v>6.333333333333333</v>
      </c>
      <c r="AC866" s="3">
        <f>W866*12.0107+X866*1.00784+Y866*15.999+Z866*14.0067</f>
        <v>86.173959999999994</v>
      </c>
      <c r="AD866" s="12">
        <v>69</v>
      </c>
      <c r="AE866" s="3" t="s">
        <v>321</v>
      </c>
      <c r="AF866" s="2" t="s">
        <v>313</v>
      </c>
      <c r="AG866" s="2" t="str">
        <f>IF(AD866&gt;37,"Proton symporter", "Diffusion")</f>
        <v>Proton symporter</v>
      </c>
      <c r="AH866" s="3" t="s">
        <v>334</v>
      </c>
    </row>
    <row r="867" spans="1:34" hidden="1" x14ac:dyDescent="0.2">
      <c r="A867" s="16" t="s">
        <v>317</v>
      </c>
      <c r="B867" s="9" t="s">
        <v>35</v>
      </c>
      <c r="C867" t="s">
        <v>60</v>
      </c>
      <c r="D867" s="13" t="s">
        <v>51</v>
      </c>
      <c r="E867" t="s">
        <v>331</v>
      </c>
      <c r="F867" t="s">
        <v>332</v>
      </c>
      <c r="G867">
        <v>-10</v>
      </c>
      <c r="H867">
        <v>-20</v>
      </c>
      <c r="I867" s="1" t="s">
        <v>40</v>
      </c>
      <c r="J867">
        <v>3.15</v>
      </c>
      <c r="K867">
        <v>-10</v>
      </c>
      <c r="L867">
        <v>-1.7999026290165401</v>
      </c>
      <c r="M867" s="1" t="s">
        <v>40</v>
      </c>
      <c r="N867">
        <v>1.6630963972736099</v>
      </c>
      <c r="O867">
        <v>1.3894839337877301</v>
      </c>
      <c r="P867"/>
      <c r="Q867">
        <v>0.13894839337877299</v>
      </c>
      <c r="R867">
        <v>0.37369966203011401</v>
      </c>
      <c r="S867" s="11" t="s">
        <v>331</v>
      </c>
      <c r="T867" s="2" t="s">
        <v>331</v>
      </c>
      <c r="U867" s="3" t="s">
        <v>106</v>
      </c>
      <c r="V867" s="3" t="s">
        <v>333</v>
      </c>
      <c r="W867" s="2">
        <v>6</v>
      </c>
      <c r="X867" s="2">
        <v>14</v>
      </c>
      <c r="Y867" s="2">
        <v>0</v>
      </c>
      <c r="Z867" s="2">
        <v>0</v>
      </c>
      <c r="AA867" s="2">
        <v>0</v>
      </c>
      <c r="AB867" s="12">
        <f>(W867*4+X867*1+Y867*-2+Z867*-3)/W867</f>
        <v>6.333333333333333</v>
      </c>
      <c r="AC867" s="3">
        <f>W867*12.0107+X867*1.00784+Y867*15.999+Z867*14.0067</f>
        <v>86.173959999999994</v>
      </c>
      <c r="AD867" s="12">
        <v>69</v>
      </c>
      <c r="AE867" s="3" t="s">
        <v>321</v>
      </c>
      <c r="AF867" s="2" t="s">
        <v>313</v>
      </c>
      <c r="AG867" s="2" t="str">
        <f>IF(AD867&gt;37,"Proton symporter", "Diffusion")</f>
        <v>Proton symporter</v>
      </c>
      <c r="AH867" s="3" t="s">
        <v>334</v>
      </c>
    </row>
    <row r="868" spans="1:34" hidden="1" x14ac:dyDescent="0.2">
      <c r="A868" s="8" t="s">
        <v>34</v>
      </c>
      <c r="B868" s="9" t="s">
        <v>35</v>
      </c>
      <c r="C868" s="1" t="s">
        <v>58</v>
      </c>
      <c r="D868" s="10" t="s">
        <v>37</v>
      </c>
      <c r="E868" s="1" t="s">
        <v>279</v>
      </c>
      <c r="F868" s="1" t="s">
        <v>280</v>
      </c>
      <c r="G868" s="1">
        <v>-10</v>
      </c>
      <c r="H868" s="1">
        <v>-20</v>
      </c>
      <c r="I868" s="1" t="s">
        <v>40</v>
      </c>
      <c r="J868" s="1">
        <v>3.15</v>
      </c>
      <c r="K868" s="1">
        <v>-10</v>
      </c>
      <c r="L868" s="1">
        <v>-3.20389610389612</v>
      </c>
      <c r="M868" s="1" t="s">
        <v>40</v>
      </c>
      <c r="N868" s="1">
        <v>8.8025974025974492</v>
      </c>
      <c r="O868" s="1">
        <v>3.73246753246756</v>
      </c>
      <c r="Q868" s="1">
        <v>0.37324675324675599</v>
      </c>
      <c r="R868" s="1">
        <v>0.37350668096308098</v>
      </c>
      <c r="S868" s="20" t="s">
        <v>281</v>
      </c>
      <c r="T868" s="3" t="s">
        <v>282</v>
      </c>
      <c r="U868" s="3" t="s">
        <v>174</v>
      </c>
      <c r="V868" s="3" t="s">
        <v>283</v>
      </c>
      <c r="W868" s="3">
        <v>3</v>
      </c>
      <c r="X868" s="3">
        <v>8</v>
      </c>
      <c r="Y868" s="3">
        <v>1</v>
      </c>
      <c r="Z868" s="3">
        <v>0</v>
      </c>
      <c r="AA868" s="3">
        <v>0</v>
      </c>
      <c r="AB868" s="12">
        <f>(W868*4+X868*1+Y868*-2+Z868*-3)/W868</f>
        <v>6</v>
      </c>
      <c r="AC868" s="3">
        <f>W868*12.0107+X868*1.00784+Y868*15.999+Z868*14.0067</f>
        <v>60.093820000000001</v>
      </c>
      <c r="AD868" s="12">
        <v>97</v>
      </c>
      <c r="AE868" s="2" t="s">
        <v>262</v>
      </c>
      <c r="AF868" s="2" t="s">
        <v>284</v>
      </c>
      <c r="AG868" s="2" t="str">
        <f>IF(AD868&gt;37,"Proton symporter", "Diffusion")</f>
        <v>Proton symporter</v>
      </c>
      <c r="AH868" s="3" t="s">
        <v>285</v>
      </c>
    </row>
    <row r="869" spans="1:34" hidden="1" x14ac:dyDescent="0.2">
      <c r="A869" s="8" t="s">
        <v>34</v>
      </c>
      <c r="B869" s="9" t="s">
        <v>35</v>
      </c>
      <c r="C869" s="1" t="s">
        <v>47</v>
      </c>
      <c r="D869" s="10" t="s">
        <v>37</v>
      </c>
      <c r="E869" s="1" t="s">
        <v>310</v>
      </c>
      <c r="F869" s="1" t="s">
        <v>311</v>
      </c>
      <c r="G869" s="1">
        <v>-10</v>
      </c>
      <c r="H869" s="1">
        <v>-20</v>
      </c>
      <c r="I869" s="1" t="s">
        <v>40</v>
      </c>
      <c r="J869" s="1">
        <v>3.15</v>
      </c>
      <c r="K869" s="1">
        <v>-10</v>
      </c>
      <c r="L869" s="1">
        <v>-5.3343558282208603</v>
      </c>
      <c r="M869" s="1" t="s">
        <v>40</v>
      </c>
      <c r="N869" s="1">
        <v>6.8895705521472603</v>
      </c>
      <c r="O869" s="1">
        <v>2.6220858895705601</v>
      </c>
      <c r="Q869" s="1">
        <v>0.26220858895705601</v>
      </c>
      <c r="R869" s="1">
        <v>0.37238812567170398</v>
      </c>
      <c r="S869" s="20" t="s">
        <v>310</v>
      </c>
      <c r="T869" s="3" t="s">
        <v>312</v>
      </c>
      <c r="U869" s="3" t="s">
        <v>106</v>
      </c>
      <c r="V869" s="3" t="s">
        <v>292</v>
      </c>
      <c r="W869" s="3">
        <v>5</v>
      </c>
      <c r="X869" s="3">
        <v>12</v>
      </c>
      <c r="Y869" s="3">
        <v>1</v>
      </c>
      <c r="Z869" s="3">
        <v>0</v>
      </c>
      <c r="AA869" s="3">
        <v>0</v>
      </c>
      <c r="AB869" s="12">
        <f>(W869*4+X869*1+Y869*-2+Z869*-3)/W869</f>
        <v>6</v>
      </c>
      <c r="AC869" s="3">
        <f>W869*12.0107+X869*1.00784+Y869*15.999+Z869*14.0067</f>
        <v>88.14658</v>
      </c>
      <c r="AD869" s="12">
        <v>138</v>
      </c>
      <c r="AE869" s="3" t="s">
        <v>262</v>
      </c>
      <c r="AF869" s="2" t="s">
        <v>313</v>
      </c>
      <c r="AG869" s="2" t="str">
        <f>IF(AD869&gt;37,"Proton symporter", "Diffusion")</f>
        <v>Proton symporter</v>
      </c>
      <c r="AH869" s="3" t="s">
        <v>314</v>
      </c>
    </row>
    <row r="870" spans="1:34" hidden="1" x14ac:dyDescent="0.2">
      <c r="A870" s="8" t="s">
        <v>350</v>
      </c>
      <c r="B870" s="17" t="s">
        <v>64</v>
      </c>
      <c r="C870" t="s">
        <v>354</v>
      </c>
      <c r="D870" s="13" t="s">
        <v>51</v>
      </c>
      <c r="E870" t="s">
        <v>348</v>
      </c>
      <c r="F870" t="s">
        <v>344</v>
      </c>
      <c r="G870">
        <v>-10</v>
      </c>
      <c r="H870">
        <v>0</v>
      </c>
      <c r="I870">
        <v>0</v>
      </c>
      <c r="J870">
        <v>0.45</v>
      </c>
      <c r="K870">
        <v>-10</v>
      </c>
      <c r="L870">
        <v>0</v>
      </c>
      <c r="M870">
        <v>0</v>
      </c>
      <c r="N870" s="26" t="s">
        <v>367</v>
      </c>
      <c r="O870" s="26">
        <v>2.7052631578947302</v>
      </c>
      <c r="P870"/>
      <c r="Q870" s="26">
        <v>0.270526315789473</v>
      </c>
      <c r="R870" s="26">
        <v>0.37229758316360301</v>
      </c>
      <c r="S870" s="3" t="s">
        <v>348</v>
      </c>
      <c r="T870" s="3" t="str">
        <f>VLOOKUP($E870,'[1]Product Naming'!$A$1:$P$58,3)</f>
        <v>Propane (PW2)</v>
      </c>
      <c r="U870" s="3" t="str">
        <f>VLOOKUP($E870,'[1]Product Naming'!$A$1:$P$58,4)</f>
        <v>E</v>
      </c>
      <c r="V870" s="3" t="str">
        <f>VLOOKUP($E870,'[1]Product Naming'!$A$1:$P$58,5)</f>
        <v>C3H8</v>
      </c>
      <c r="W870" s="3">
        <f>VLOOKUP($E870,'[1]Product Naming'!$A$1:$P$58,6)</f>
        <v>3</v>
      </c>
      <c r="X870" s="3">
        <f>VLOOKUP($E870,'[1]Product Naming'!$A$1:$P$58,7)</f>
        <v>8</v>
      </c>
      <c r="Y870" s="3">
        <f>VLOOKUP($E870,'[1]Product Naming'!$A$1:$P$58,8)</f>
        <v>0</v>
      </c>
      <c r="Z870" s="3">
        <f>VLOOKUP($E870,'[1]Product Naming'!$A$1:$P$58,9)</f>
        <v>0</v>
      </c>
      <c r="AA870" s="3">
        <f>VLOOKUP($E870,'[1]Product Naming'!$A$1:$P$58,10)</f>
        <v>0</v>
      </c>
      <c r="AB870" s="3">
        <f>VLOOKUP($E870,'[1]Product Naming'!$A$1:$P$58,11)</f>
        <v>6.666666666666667</v>
      </c>
      <c r="AC870" s="3">
        <f>VLOOKUP($E870,'[1]Product Naming'!$A$1:$P$58,12)</f>
        <v>44.094819999999999</v>
      </c>
      <c r="AD870" s="3">
        <f>VLOOKUP($E870,'[1]Product Naming'!$A$1:$P$58,13)</f>
        <v>-42</v>
      </c>
      <c r="AE870" s="3" t="str">
        <f>VLOOKUP($E870,'[1]Product Naming'!$A$1:$P$58,14)</f>
        <v>Hydrocarbon</v>
      </c>
      <c r="AF870" s="3" t="str">
        <f>VLOOKUP($E870,'[1]Product Naming'!$A$1:$P$58,15)</f>
        <v>Oxaloacetate</v>
      </c>
      <c r="AG870" s="3" t="str">
        <f>VLOOKUP($E870,'[1]Product Naming'!$A$1:$P$58,16)</f>
        <v>Diffusion</v>
      </c>
      <c r="AH870" s="3" t="str">
        <f>VLOOKUP($E870,'[1]Product Naming'!$A$1:$Q$58,17)</f>
        <v>prop_c</v>
      </c>
    </row>
    <row r="871" spans="1:34" hidden="1" x14ac:dyDescent="0.2">
      <c r="A871" s="8" t="s">
        <v>34</v>
      </c>
      <c r="B871" s="9" t="s">
        <v>35</v>
      </c>
      <c r="C871" s="1" t="s">
        <v>54</v>
      </c>
      <c r="D871" s="14" t="s">
        <v>55</v>
      </c>
      <c r="E871" s="1" t="s">
        <v>289</v>
      </c>
      <c r="F871" s="1" t="s">
        <v>290</v>
      </c>
      <c r="G871" s="1">
        <v>-10</v>
      </c>
      <c r="H871" s="1">
        <v>-20</v>
      </c>
      <c r="I871" s="1" t="s">
        <v>40</v>
      </c>
      <c r="J871" s="1">
        <v>3.15</v>
      </c>
      <c r="K871" s="1">
        <v>-10</v>
      </c>
      <c r="L871" s="1">
        <v>-2.9460431654676298</v>
      </c>
      <c r="M871" s="1" t="s">
        <v>40</v>
      </c>
      <c r="N871" s="1">
        <v>21.964028776978399</v>
      </c>
      <c r="O871" s="1">
        <v>7.6071942446043099</v>
      </c>
      <c r="Q871" s="1">
        <v>0.76071942446043095</v>
      </c>
      <c r="R871" s="1">
        <v>0.372211862129946</v>
      </c>
      <c r="S871" s="11" t="s">
        <v>289</v>
      </c>
      <c r="T871" s="2" t="s">
        <v>291</v>
      </c>
      <c r="U871" s="3" t="s">
        <v>41</v>
      </c>
      <c r="V871" s="2" t="s">
        <v>292</v>
      </c>
      <c r="W871" s="2">
        <v>5</v>
      </c>
      <c r="X871" s="2">
        <v>12</v>
      </c>
      <c r="Y871" s="2">
        <v>1</v>
      </c>
      <c r="Z871" s="2">
        <v>0</v>
      </c>
      <c r="AA871" s="2">
        <v>0</v>
      </c>
      <c r="AB871" s="12">
        <f>(W871*4+X871*1+Y871*-2+Z871*-3)/W871</f>
        <v>6</v>
      </c>
      <c r="AC871" s="3">
        <f>W871*12.0107+X871*1.00784+Y871*15.999+Z871*14.0067</f>
        <v>88.14658</v>
      </c>
      <c r="AD871" s="12">
        <v>129</v>
      </c>
      <c r="AE871" s="2" t="s">
        <v>262</v>
      </c>
      <c r="AF871" s="2" t="s">
        <v>293</v>
      </c>
      <c r="AG871" s="2" t="str">
        <f>IF(AD871&gt;37,"Proton symporter", "Diffusion")</f>
        <v>Proton symporter</v>
      </c>
      <c r="AH871" s="3" t="s">
        <v>294</v>
      </c>
    </row>
    <row r="872" spans="1:34" hidden="1" x14ac:dyDescent="0.2">
      <c r="A872" s="16" t="s">
        <v>63</v>
      </c>
      <c r="B872" s="17" t="s">
        <v>64</v>
      </c>
      <c r="C872" t="s">
        <v>69</v>
      </c>
      <c r="D872" s="18" t="s">
        <v>66</v>
      </c>
      <c r="E872" t="s">
        <v>348</v>
      </c>
      <c r="F872" t="s">
        <v>344</v>
      </c>
      <c r="G872">
        <v>-10</v>
      </c>
      <c r="H872">
        <v>0</v>
      </c>
      <c r="I872">
        <v>-20</v>
      </c>
      <c r="J872">
        <v>0.45</v>
      </c>
      <c r="K872">
        <v>-10</v>
      </c>
      <c r="L872">
        <v>0</v>
      </c>
      <c r="M872">
        <v>-20</v>
      </c>
      <c r="N872">
        <v>0.41052631578947801</v>
      </c>
      <c r="O872">
        <v>2.7052631578947399</v>
      </c>
      <c r="P872"/>
      <c r="Q872">
        <v>0.270526315789474</v>
      </c>
      <c r="R872" s="19">
        <v>0.37219373478939199</v>
      </c>
      <c r="S872" s="20" t="s">
        <v>348</v>
      </c>
      <c r="T872" s="3" t="s">
        <v>349</v>
      </c>
      <c r="U872" s="3" t="s">
        <v>106</v>
      </c>
      <c r="V872" s="3" t="s">
        <v>346</v>
      </c>
      <c r="W872" s="3">
        <v>3</v>
      </c>
      <c r="X872" s="3">
        <v>8</v>
      </c>
      <c r="Y872" s="3">
        <v>0</v>
      </c>
      <c r="Z872" s="3">
        <v>0</v>
      </c>
      <c r="AA872" s="3">
        <v>0</v>
      </c>
      <c r="AB872" s="12">
        <f>(W872*4+X872*1+Y872*-2+Z872*-3)/W872</f>
        <v>6.666666666666667</v>
      </c>
      <c r="AC872" s="3">
        <f>W872*12.0107+X872*1.00784+Y872*15.999+Z872*14.0067</f>
        <v>44.094819999999999</v>
      </c>
      <c r="AD872" s="24">
        <v>-42</v>
      </c>
      <c r="AE872" s="3" t="s">
        <v>231</v>
      </c>
      <c r="AF872" s="3" t="s">
        <v>44</v>
      </c>
      <c r="AG872" s="25" t="str">
        <f>IF(AD872&gt;37,"Proton symporter", "Diffusion")</f>
        <v>Diffusion</v>
      </c>
      <c r="AH872" s="3" t="s">
        <v>347</v>
      </c>
    </row>
    <row r="873" spans="1:34" hidden="1" x14ac:dyDescent="0.2">
      <c r="A873" s="16" t="s">
        <v>317</v>
      </c>
      <c r="B873" s="9" t="s">
        <v>35</v>
      </c>
      <c r="C873" t="s">
        <v>59</v>
      </c>
      <c r="D873" s="13" t="s">
        <v>51</v>
      </c>
      <c r="E873" t="s">
        <v>318</v>
      </c>
      <c r="F873" t="s">
        <v>319</v>
      </c>
      <c r="G873">
        <v>-10</v>
      </c>
      <c r="H873">
        <v>-20</v>
      </c>
      <c r="I873" s="1" t="s">
        <v>40</v>
      </c>
      <c r="J873">
        <v>3.15</v>
      </c>
      <c r="K873">
        <v>-10</v>
      </c>
      <c r="L873">
        <v>-1.9850162866449499</v>
      </c>
      <c r="M873" s="1" t="s">
        <v>40</v>
      </c>
      <c r="N873">
        <v>1.6332247557003201</v>
      </c>
      <c r="O873">
        <v>0.92964169381107398</v>
      </c>
      <c r="P873"/>
      <c r="Q873">
        <v>9.2964169381107506E-2</v>
      </c>
      <c r="R873">
        <v>0.37211449658819401</v>
      </c>
      <c r="S873" s="20" t="s">
        <v>318</v>
      </c>
      <c r="T873" s="3" t="s">
        <v>318</v>
      </c>
      <c r="U873" s="3" t="s">
        <v>106</v>
      </c>
      <c r="V873" s="3" t="s">
        <v>320</v>
      </c>
      <c r="W873" s="3">
        <v>9</v>
      </c>
      <c r="X873" s="3">
        <v>20</v>
      </c>
      <c r="Y873" s="3">
        <v>0</v>
      </c>
      <c r="Z873" s="3">
        <v>0</v>
      </c>
      <c r="AA873" s="3">
        <v>0</v>
      </c>
      <c r="AB873" s="12">
        <f>(W873*4+X873*1+Y873*-2+Z873*-3)/W873</f>
        <v>6.2222222222222223</v>
      </c>
      <c r="AC873" s="3">
        <f>W873*12.0107+X873*1.00784+Y873*15.999+Z873*14.0067</f>
        <v>128.25309999999999</v>
      </c>
      <c r="AD873" s="12">
        <v>151</v>
      </c>
      <c r="AE873" s="3" t="s">
        <v>321</v>
      </c>
      <c r="AF873" s="2" t="s">
        <v>79</v>
      </c>
      <c r="AG873" s="2" t="str">
        <f>IF(AD873&gt;37,"Proton symporter", "Diffusion")</f>
        <v>Proton symporter</v>
      </c>
      <c r="AH873" s="3" t="s">
        <v>322</v>
      </c>
    </row>
    <row r="874" spans="1:34" hidden="1" x14ac:dyDescent="0.2">
      <c r="A874" s="16" t="s">
        <v>317</v>
      </c>
      <c r="B874" s="9" t="s">
        <v>35</v>
      </c>
      <c r="C874" t="s">
        <v>60</v>
      </c>
      <c r="D874" s="13" t="s">
        <v>51</v>
      </c>
      <c r="E874" t="s">
        <v>318</v>
      </c>
      <c r="F874" t="s">
        <v>319</v>
      </c>
      <c r="G874">
        <v>-10</v>
      </c>
      <c r="H874">
        <v>-20</v>
      </c>
      <c r="I874" s="1" t="s">
        <v>40</v>
      </c>
      <c r="J874">
        <v>3.15</v>
      </c>
      <c r="K874">
        <v>-10</v>
      </c>
      <c r="L874">
        <v>-1.9850162866449499</v>
      </c>
      <c r="M874" s="1" t="s">
        <v>40</v>
      </c>
      <c r="N874">
        <v>1.6332247557003301</v>
      </c>
      <c r="O874">
        <v>0.92964169381107498</v>
      </c>
      <c r="P874"/>
      <c r="Q874">
        <v>9.2964169381107506E-2</v>
      </c>
      <c r="R874">
        <v>0.37211449658819401</v>
      </c>
      <c r="S874" s="20" t="s">
        <v>318</v>
      </c>
      <c r="T874" s="3" t="s">
        <v>318</v>
      </c>
      <c r="U874" s="3" t="s">
        <v>106</v>
      </c>
      <c r="V874" s="3" t="s">
        <v>320</v>
      </c>
      <c r="W874" s="3">
        <v>9</v>
      </c>
      <c r="X874" s="3">
        <v>20</v>
      </c>
      <c r="Y874" s="3">
        <v>0</v>
      </c>
      <c r="Z874" s="3">
        <v>0</v>
      </c>
      <c r="AA874" s="3">
        <v>0</v>
      </c>
      <c r="AB874" s="12">
        <f>(W874*4+X874*1+Y874*-2+Z874*-3)/W874</f>
        <v>6.2222222222222223</v>
      </c>
      <c r="AC874" s="3">
        <f>W874*12.0107+X874*1.00784+Y874*15.999+Z874*14.0067</f>
        <v>128.25309999999999</v>
      </c>
      <c r="AD874" s="12">
        <v>151</v>
      </c>
      <c r="AE874" s="3" t="s">
        <v>321</v>
      </c>
      <c r="AF874" s="2" t="s">
        <v>79</v>
      </c>
      <c r="AG874" s="2" t="str">
        <f>IF(AD874&gt;37,"Proton symporter", "Diffusion")</f>
        <v>Proton symporter</v>
      </c>
      <c r="AH874" s="3" t="s">
        <v>322</v>
      </c>
    </row>
    <row r="875" spans="1:34" hidden="1" x14ac:dyDescent="0.2">
      <c r="A875" s="8" t="s">
        <v>350</v>
      </c>
      <c r="B875" s="17" t="s">
        <v>64</v>
      </c>
      <c r="C875" t="s">
        <v>353</v>
      </c>
      <c r="D875" s="13" t="s">
        <v>51</v>
      </c>
      <c r="E875" t="s">
        <v>315</v>
      </c>
      <c r="F875" t="s">
        <v>311</v>
      </c>
      <c r="G875">
        <v>-10</v>
      </c>
      <c r="H875">
        <v>0</v>
      </c>
      <c r="I875">
        <v>0</v>
      </c>
      <c r="J875">
        <v>0.45</v>
      </c>
      <c r="K875">
        <v>-10</v>
      </c>
      <c r="L875">
        <v>0</v>
      </c>
      <c r="M875">
        <v>0</v>
      </c>
      <c r="N875">
        <v>0</v>
      </c>
      <c r="O875" s="26">
        <v>1.35202492211837</v>
      </c>
      <c r="P875"/>
      <c r="Q875" s="26">
        <v>0.135202492211837</v>
      </c>
      <c r="R875" s="26">
        <v>0.371948908555152</v>
      </c>
      <c r="S875" s="3" t="str">
        <f>VLOOKUP($E875,'[1]Product Naming'!$A$1:$P$58,2)</f>
        <v>Pentanol-PW2</v>
      </c>
      <c r="T875" s="3" t="str">
        <f>VLOOKUP($E875,'[1]Product Naming'!$A$1:$P$58,3)</f>
        <v>Pentanol (PW2)</v>
      </c>
      <c r="U875" s="3" t="str">
        <f>VLOOKUP($E875,'[1]Product Naming'!$A$1:$P$58,4)</f>
        <v>E</v>
      </c>
      <c r="V875" s="3" t="str">
        <f>VLOOKUP($E875,'[1]Product Naming'!$A$1:$P$58,5)</f>
        <v>C5H12O</v>
      </c>
      <c r="W875" s="3">
        <f>VLOOKUP($E875,'[1]Product Naming'!$A$1:$P$58,6)</f>
        <v>5</v>
      </c>
      <c r="X875" s="3">
        <f>VLOOKUP($E875,'[1]Product Naming'!$A$1:$P$58,7)</f>
        <v>12</v>
      </c>
      <c r="Y875" s="3">
        <f>VLOOKUP($E875,'[1]Product Naming'!$A$1:$P$58,8)</f>
        <v>1</v>
      </c>
      <c r="Z875" s="3">
        <f>VLOOKUP($E875,'[1]Product Naming'!$A$1:$P$58,9)</f>
        <v>0</v>
      </c>
      <c r="AA875" s="3">
        <f>VLOOKUP($E875,'[1]Product Naming'!$A$1:$P$58,10)</f>
        <v>0</v>
      </c>
      <c r="AB875" s="3">
        <f>VLOOKUP($E875,'[1]Product Naming'!$A$1:$P$58,11)</f>
        <v>6</v>
      </c>
      <c r="AC875" s="3">
        <f>VLOOKUP($E875,'[1]Product Naming'!$A$1:$P$58,12)</f>
        <v>88.14658</v>
      </c>
      <c r="AD875" s="3">
        <f>VLOOKUP($E875,'[1]Product Naming'!$A$1:$P$58,13)</f>
        <v>138</v>
      </c>
      <c r="AE875" s="3" t="str">
        <f>VLOOKUP($E875,'[1]Product Naming'!$A$1:$P$58,14)</f>
        <v>Alcohol</v>
      </c>
      <c r="AF875" s="3" t="str">
        <f>VLOOKUP($E875,'[1]Product Naming'!$A$1:$P$58,15)</f>
        <v>Oxaloacetate</v>
      </c>
      <c r="AG875" s="3" t="str">
        <f>VLOOKUP($E875,'[1]Product Naming'!$A$1:$P$58,16)</f>
        <v>Proton symporter</v>
      </c>
      <c r="AH875" s="3" t="str">
        <f>VLOOKUP($E875,'[1]Product Naming'!$A$1:$Q$58,17)</f>
        <v>pentoh_c</v>
      </c>
    </row>
    <row r="876" spans="1:34" hidden="1" x14ac:dyDescent="0.2">
      <c r="A876" s="8" t="s">
        <v>34</v>
      </c>
      <c r="B876" s="9" t="s">
        <v>35</v>
      </c>
      <c r="C876" s="1" t="s">
        <v>59</v>
      </c>
      <c r="D876" s="13" t="s">
        <v>51</v>
      </c>
      <c r="E876" s="1" t="s">
        <v>227</v>
      </c>
      <c r="F876" s="1" t="s">
        <v>228</v>
      </c>
      <c r="G876" s="1">
        <v>-10</v>
      </c>
      <c r="H876" s="1">
        <v>-20</v>
      </c>
      <c r="I876" s="1" t="s">
        <v>40</v>
      </c>
      <c r="J876" s="1">
        <v>3.15</v>
      </c>
      <c r="K876" s="1">
        <v>-10</v>
      </c>
      <c r="L876" s="1">
        <v>-3.0175862068965502</v>
      </c>
      <c r="M876" s="1" t="s">
        <v>40</v>
      </c>
      <c r="N876" s="1">
        <v>1.1241379310344799</v>
      </c>
      <c r="O876" s="1">
        <v>0.221896551724138</v>
      </c>
      <c r="Q876" s="1">
        <v>2.2189655172413801E-2</v>
      </c>
      <c r="R876" s="1">
        <v>0.37180088583319298</v>
      </c>
      <c r="S876" s="11" t="s">
        <v>227</v>
      </c>
      <c r="T876" s="2" t="s">
        <v>229</v>
      </c>
      <c r="U876" s="3" t="s">
        <v>41</v>
      </c>
      <c r="V876" s="2" t="s">
        <v>230</v>
      </c>
      <c r="W876" s="2">
        <v>40</v>
      </c>
      <c r="X876" s="2">
        <v>56</v>
      </c>
      <c r="Y876" s="2">
        <v>0</v>
      </c>
      <c r="Z876" s="2">
        <v>0</v>
      </c>
      <c r="AA876" s="2">
        <v>0</v>
      </c>
      <c r="AB876" s="12">
        <f>(W876*4+X876*1+Y876*-2+Z876*-3)/W876</f>
        <v>5.4</v>
      </c>
      <c r="AC876" s="3">
        <f>W876*12.0107+X876*1.00784+Y876*15.999+Z876*14.0067</f>
        <v>536.86703999999997</v>
      </c>
      <c r="AD876" s="12">
        <v>633</v>
      </c>
      <c r="AE876" s="2" t="s">
        <v>231</v>
      </c>
      <c r="AF876" s="2" t="s">
        <v>79</v>
      </c>
      <c r="AG876" s="2" t="s">
        <v>232</v>
      </c>
      <c r="AH876" s="3" t="s">
        <v>233</v>
      </c>
    </row>
    <row r="877" spans="1:34" hidden="1" x14ac:dyDescent="0.2">
      <c r="A877" s="8" t="s">
        <v>34</v>
      </c>
      <c r="B877" s="9" t="s">
        <v>35</v>
      </c>
      <c r="C877" s="1" t="s">
        <v>60</v>
      </c>
      <c r="D877" s="13" t="s">
        <v>51</v>
      </c>
      <c r="E877" s="1" t="s">
        <v>227</v>
      </c>
      <c r="F877" s="1" t="s">
        <v>228</v>
      </c>
      <c r="G877" s="1">
        <v>-10</v>
      </c>
      <c r="H877" s="1">
        <v>-20</v>
      </c>
      <c r="I877" s="1" t="s">
        <v>40</v>
      </c>
      <c r="J877" s="1">
        <v>3.15</v>
      </c>
      <c r="K877" s="1">
        <v>-10</v>
      </c>
      <c r="L877" s="1">
        <v>-3.0175862068965502</v>
      </c>
      <c r="M877" s="1" t="s">
        <v>40</v>
      </c>
      <c r="N877" s="1">
        <v>1.1241379310344899</v>
      </c>
      <c r="O877" s="1">
        <v>0.221896551724138</v>
      </c>
      <c r="Q877" s="1">
        <v>2.2189655172413801E-2</v>
      </c>
      <c r="R877" s="1">
        <v>0.37180088583319298</v>
      </c>
      <c r="S877" s="11" t="s">
        <v>227</v>
      </c>
      <c r="T877" s="2" t="s">
        <v>229</v>
      </c>
      <c r="U877" s="3" t="s">
        <v>41</v>
      </c>
      <c r="V877" s="2" t="s">
        <v>230</v>
      </c>
      <c r="W877" s="2">
        <v>40</v>
      </c>
      <c r="X877" s="2">
        <v>56</v>
      </c>
      <c r="Y877" s="2">
        <v>0</v>
      </c>
      <c r="Z877" s="2">
        <v>0</v>
      </c>
      <c r="AA877" s="2">
        <v>0</v>
      </c>
      <c r="AB877" s="12">
        <f>(W877*4+X877*1+Y877*-2+Z877*-3)/W877</f>
        <v>5.4</v>
      </c>
      <c r="AC877" s="3">
        <f>W877*12.0107+X877*1.00784+Y877*15.999+Z877*14.0067</f>
        <v>536.86703999999997</v>
      </c>
      <c r="AD877" s="12">
        <v>633</v>
      </c>
      <c r="AE877" s="2" t="s">
        <v>231</v>
      </c>
      <c r="AF877" s="2" t="s">
        <v>79</v>
      </c>
      <c r="AG877" s="2" t="s">
        <v>232</v>
      </c>
      <c r="AH877" s="3" t="s">
        <v>233</v>
      </c>
    </row>
    <row r="878" spans="1:34" hidden="1" x14ac:dyDescent="0.2">
      <c r="A878" s="16" t="s">
        <v>63</v>
      </c>
      <c r="B878" s="17" t="s">
        <v>64</v>
      </c>
      <c r="C878" t="s">
        <v>73</v>
      </c>
      <c r="D878" s="18" t="s">
        <v>66</v>
      </c>
      <c r="E878" t="s">
        <v>286</v>
      </c>
      <c r="F878" t="s">
        <v>280</v>
      </c>
      <c r="G878">
        <v>-10</v>
      </c>
      <c r="H878">
        <v>0</v>
      </c>
      <c r="I878">
        <v>-20</v>
      </c>
      <c r="J878">
        <v>0.45</v>
      </c>
      <c r="K878">
        <v>-10</v>
      </c>
      <c r="L878">
        <v>0</v>
      </c>
      <c r="M878">
        <v>-20</v>
      </c>
      <c r="N878">
        <v>0</v>
      </c>
      <c r="O878">
        <v>3.0933333333333302</v>
      </c>
      <c r="P878"/>
      <c r="Q878">
        <v>0.30933333333333302</v>
      </c>
      <c r="R878" s="19">
        <v>0.371260668131282</v>
      </c>
      <c r="S878" s="20" t="s">
        <v>287</v>
      </c>
      <c r="T878" s="3" t="s">
        <v>288</v>
      </c>
      <c r="U878" s="3" t="s">
        <v>174</v>
      </c>
      <c r="V878" s="3" t="s">
        <v>283</v>
      </c>
      <c r="W878" s="3">
        <v>3</v>
      </c>
      <c r="X878" s="3">
        <v>8</v>
      </c>
      <c r="Y878" s="3">
        <v>1</v>
      </c>
      <c r="Z878" s="3">
        <v>0</v>
      </c>
      <c r="AA878" s="3">
        <v>0</v>
      </c>
      <c r="AB878" s="12">
        <f>(W878*4+X878*1+Y878*-2+Z878*-3)/W878</f>
        <v>6</v>
      </c>
      <c r="AC878" s="3">
        <f>W878*12.0107+X878*1.00784+Y878*15.999+Z878*14.0067</f>
        <v>60.093820000000001</v>
      </c>
      <c r="AD878" s="12">
        <v>97</v>
      </c>
      <c r="AE878" s="2" t="s">
        <v>262</v>
      </c>
      <c r="AF878" s="3" t="s">
        <v>44</v>
      </c>
      <c r="AG878" s="2" t="str">
        <f>IF(AD878&gt;37,"Proton symporter", "Diffusion")</f>
        <v>Proton symporter</v>
      </c>
      <c r="AH878" s="3" t="s">
        <v>285</v>
      </c>
    </row>
    <row r="879" spans="1:34" hidden="1" x14ac:dyDescent="0.2">
      <c r="A879" s="16" t="s">
        <v>63</v>
      </c>
      <c r="B879" s="17" t="s">
        <v>64</v>
      </c>
      <c r="C879" t="s">
        <v>67</v>
      </c>
      <c r="D879" s="18" t="s">
        <v>66</v>
      </c>
      <c r="E879" t="s">
        <v>259</v>
      </c>
      <c r="F879" t="s">
        <v>260</v>
      </c>
      <c r="G879">
        <v>-10</v>
      </c>
      <c r="H879">
        <v>0</v>
      </c>
      <c r="I879">
        <v>-5</v>
      </c>
      <c r="J879">
        <v>0.45</v>
      </c>
      <c r="K879">
        <v>-10</v>
      </c>
      <c r="L879">
        <v>0</v>
      </c>
      <c r="M879">
        <v>-5</v>
      </c>
      <c r="N879">
        <v>5</v>
      </c>
      <c r="O879">
        <v>1.25</v>
      </c>
      <c r="P879"/>
      <c r="Q879">
        <v>0.125</v>
      </c>
      <c r="R879">
        <v>0.37099801860785703</v>
      </c>
      <c r="S879" s="20" t="s">
        <v>259</v>
      </c>
      <c r="T879" s="3" t="s">
        <v>259</v>
      </c>
      <c r="U879" s="3" t="s">
        <v>106</v>
      </c>
      <c r="V879" s="3" t="s">
        <v>261</v>
      </c>
      <c r="W879" s="3">
        <v>5</v>
      </c>
      <c r="X879" s="3">
        <v>10</v>
      </c>
      <c r="Y879" s="3">
        <v>1</v>
      </c>
      <c r="Z879" s="3">
        <v>0</v>
      </c>
      <c r="AA879" s="3">
        <v>0</v>
      </c>
      <c r="AB879" s="12">
        <f>(W879*4+X879*1+Y879*-2+Z879*-3)/W879+0.02</f>
        <v>5.6199999999999992</v>
      </c>
      <c r="AC879" s="3">
        <f>W879*12.0107+X879*1.00784+Y879*15.999+Z879*14.0067</f>
        <v>86.130899999999997</v>
      </c>
      <c r="AD879" s="12">
        <v>108</v>
      </c>
      <c r="AE879" s="3" t="s">
        <v>262</v>
      </c>
      <c r="AF879" s="3" t="s">
        <v>135</v>
      </c>
      <c r="AG879" s="2" t="str">
        <f>IF(AD879&gt;37,"Proton symporter", "Diffusion")</f>
        <v>Proton symporter</v>
      </c>
      <c r="AH879" s="3" t="s">
        <v>263</v>
      </c>
    </row>
    <row r="880" spans="1:34" hidden="1" x14ac:dyDescent="0.2">
      <c r="A880" s="8" t="s">
        <v>34</v>
      </c>
      <c r="B880" s="9" t="s">
        <v>35</v>
      </c>
      <c r="C880" s="1" t="s">
        <v>62</v>
      </c>
      <c r="D880" s="15" t="s">
        <v>55</v>
      </c>
      <c r="E880" s="1" t="s">
        <v>305</v>
      </c>
      <c r="F880" s="1" t="s">
        <v>301</v>
      </c>
      <c r="G880" s="1">
        <v>-10</v>
      </c>
      <c r="H880" s="1">
        <v>-20</v>
      </c>
      <c r="I880" s="1" t="s">
        <v>40</v>
      </c>
      <c r="J880" s="1">
        <v>3.15</v>
      </c>
      <c r="K880" s="1">
        <v>-10</v>
      </c>
      <c r="L880" s="1">
        <v>-5.0051282051281998</v>
      </c>
      <c r="M880" s="1" t="s">
        <v>40</v>
      </c>
      <c r="N880" s="1">
        <v>20.0034188034188</v>
      </c>
      <c r="O880" s="1">
        <v>7.4991452991453</v>
      </c>
      <c r="Q880" s="1">
        <v>0.74991452991453</v>
      </c>
      <c r="R880" s="1">
        <v>0.370237893426836</v>
      </c>
      <c r="S880" s="20" t="s">
        <v>305</v>
      </c>
      <c r="T880" s="3" t="s">
        <v>306</v>
      </c>
      <c r="U880" s="3" t="s">
        <v>106</v>
      </c>
      <c r="V880" s="3" t="s">
        <v>303</v>
      </c>
      <c r="W880" s="3">
        <v>4</v>
      </c>
      <c r="X880" s="3">
        <v>10</v>
      </c>
      <c r="Y880" s="3">
        <v>1</v>
      </c>
      <c r="Z880" s="3">
        <v>0</v>
      </c>
      <c r="AA880" s="3">
        <v>0</v>
      </c>
      <c r="AB880" s="12">
        <f>(W880*4+X880*1+Y880*-2+Z880*-3)/W880</f>
        <v>6</v>
      </c>
      <c r="AC880" s="3">
        <f>W880*12.0107+X880*1.00784+Y880*15.999+Z880*14.0067</f>
        <v>74.120199999999997</v>
      </c>
      <c r="AD880" s="12">
        <v>117.7</v>
      </c>
      <c r="AE880" s="3" t="s">
        <v>262</v>
      </c>
      <c r="AF880" s="3" t="s">
        <v>44</v>
      </c>
      <c r="AG880" s="2" t="str">
        <f>IF(AD880&gt;37,"Proton symporter", "Diffusion")</f>
        <v>Proton symporter</v>
      </c>
      <c r="AH880" s="3" t="s">
        <v>304</v>
      </c>
    </row>
    <row r="881" spans="1:34" hidden="1" x14ac:dyDescent="0.2">
      <c r="A881" s="8" t="s">
        <v>368</v>
      </c>
      <c r="B881" s="17" t="s">
        <v>64</v>
      </c>
      <c r="C881" t="s">
        <v>369</v>
      </c>
      <c r="D881" s="18" t="s">
        <v>66</v>
      </c>
      <c r="E881" t="s">
        <v>305</v>
      </c>
      <c r="F881" t="s">
        <v>301</v>
      </c>
      <c r="G881">
        <v>-10</v>
      </c>
      <c r="H881">
        <v>0</v>
      </c>
      <c r="I881">
        <v>-20</v>
      </c>
      <c r="J881">
        <v>0.45</v>
      </c>
      <c r="K881">
        <v>-6.6666666666666599</v>
      </c>
      <c r="L881">
        <v>0</v>
      </c>
      <c r="M881">
        <v>-20</v>
      </c>
      <c r="N881">
        <v>-6.6666666666666599</v>
      </c>
      <c r="O881">
        <v>1.6666666666666701</v>
      </c>
      <c r="P881"/>
      <c r="Q881">
        <v>0.25</v>
      </c>
      <c r="R881">
        <v>0.37017160094290702</v>
      </c>
      <c r="S881" s="1" t="str">
        <f>VLOOKUP($E881,'[1]Product Naming'!$A$1:$P$58,2)</f>
        <v>Butanol-PW2</v>
      </c>
      <c r="T881" s="1" t="str">
        <f>VLOOKUP($E881,'[1]Product Naming'!$A$1:$P$58,3)</f>
        <v>Butanol (PW2)</v>
      </c>
      <c r="U881" s="1" t="str">
        <f>VLOOKUP($E881,'[1]Product Naming'!$A$1:$P$58,4)</f>
        <v>E</v>
      </c>
      <c r="V881" s="1" t="str">
        <f>VLOOKUP($E881,'[1]Product Naming'!$A$1:$P$58,5)</f>
        <v>C4H10O</v>
      </c>
      <c r="W881" s="1">
        <f>VLOOKUP($E881,'[1]Product Naming'!$A$1:$P$58,6)</f>
        <v>4</v>
      </c>
      <c r="X881" s="1">
        <f>VLOOKUP($E881,'[1]Product Naming'!$A$1:$P$58,7)</f>
        <v>10</v>
      </c>
      <c r="Y881" s="1">
        <f>VLOOKUP($E881,'[1]Product Naming'!$A$1:$P$58,8)</f>
        <v>1</v>
      </c>
      <c r="Z881" s="1">
        <f>VLOOKUP($E881,'[1]Product Naming'!$A$1:$P$58,9)</f>
        <v>0</v>
      </c>
      <c r="AA881" s="1">
        <f>VLOOKUP($E881,'[1]Product Naming'!$A$1:$P$58,10)</f>
        <v>0</v>
      </c>
      <c r="AB881" s="27">
        <f>VLOOKUP($E881,'[1]Product Naming'!$A$1:$P$58,11)</f>
        <v>6</v>
      </c>
      <c r="AC881" s="3">
        <f>VLOOKUP($E881,'[1]Product Naming'!$A$1:$P$58,12)</f>
        <v>74.120199999999997</v>
      </c>
      <c r="AD881" s="1">
        <f>VLOOKUP($E881,'[1]Product Naming'!$A$1:$P$58,13)</f>
        <v>117.7</v>
      </c>
      <c r="AE881" s="1" t="str">
        <f>VLOOKUP($E881,'[1]Product Naming'!$A$1:$P$58,14)</f>
        <v>Alcohol</v>
      </c>
      <c r="AF881" s="1" t="str">
        <f>VLOOKUP($E881,'[1]Product Naming'!$A$1:$P$58,15)</f>
        <v>Oxaloacetate</v>
      </c>
      <c r="AG881" s="28" t="str">
        <f>VLOOKUP($E881,'[1]Product Naming'!$A$1:$P$58,16)</f>
        <v>Proton symporter</v>
      </c>
      <c r="AH881" s="3" t="str">
        <f>VLOOKUP($E881,'[1]Product Naming'!$A$1:$Q$58,17)</f>
        <v>btoh_c</v>
      </c>
    </row>
    <row r="882" spans="1:34" hidden="1" x14ac:dyDescent="0.2">
      <c r="A882" s="8" t="s">
        <v>368</v>
      </c>
      <c r="B882" s="17" t="s">
        <v>64</v>
      </c>
      <c r="C882" t="s">
        <v>369</v>
      </c>
      <c r="D882" s="18" t="s">
        <v>66</v>
      </c>
      <c r="E882" t="s">
        <v>300</v>
      </c>
      <c r="F882" t="s">
        <v>301</v>
      </c>
      <c r="G882">
        <v>-10</v>
      </c>
      <c r="H882">
        <v>0</v>
      </c>
      <c r="I882">
        <v>-20</v>
      </c>
      <c r="J882">
        <v>0.45</v>
      </c>
      <c r="K882">
        <v>-6.6666666666666599</v>
      </c>
      <c r="L882">
        <v>0</v>
      </c>
      <c r="M882">
        <v>-20</v>
      </c>
      <c r="N882">
        <v>-6.6666666666666599</v>
      </c>
      <c r="O882">
        <v>1.6666666666666601</v>
      </c>
      <c r="P882"/>
      <c r="Q882">
        <v>0.25</v>
      </c>
      <c r="R882">
        <v>0.37017160094290602</v>
      </c>
      <c r="S882" s="1" t="str">
        <f>VLOOKUP($E882,'[1]Product Naming'!$A$1:$P$58,2)</f>
        <v>Butanol-PW1</v>
      </c>
      <c r="T882" s="1" t="str">
        <f>VLOOKUP($E882,'[1]Product Naming'!$A$1:$P$58,3)</f>
        <v>Butanol (PW1)</v>
      </c>
      <c r="U882" s="1" t="str">
        <f>VLOOKUP($E882,'[1]Product Naming'!$A$1:$P$58,4)</f>
        <v>E</v>
      </c>
      <c r="V882" s="1" t="str">
        <f>VLOOKUP($E882,'[1]Product Naming'!$A$1:$P$58,5)</f>
        <v>C4H10O</v>
      </c>
      <c r="W882" s="1">
        <f>VLOOKUP($E882,'[1]Product Naming'!$A$1:$P$58,6)</f>
        <v>4</v>
      </c>
      <c r="X882" s="1">
        <f>VLOOKUP($E882,'[1]Product Naming'!$A$1:$P$58,7)</f>
        <v>10</v>
      </c>
      <c r="Y882" s="1">
        <f>VLOOKUP($E882,'[1]Product Naming'!$A$1:$P$58,8)</f>
        <v>1</v>
      </c>
      <c r="Z882" s="1">
        <f>VLOOKUP($E882,'[1]Product Naming'!$A$1:$P$58,9)</f>
        <v>0</v>
      </c>
      <c r="AA882" s="1">
        <f>VLOOKUP($E882,'[1]Product Naming'!$A$1:$P$58,10)</f>
        <v>0</v>
      </c>
      <c r="AB882" s="27">
        <f>VLOOKUP($E882,'[1]Product Naming'!$A$1:$P$58,11)</f>
        <v>6</v>
      </c>
      <c r="AC882" s="3">
        <f>VLOOKUP($E882,'[1]Product Naming'!$A$1:$P$58,12)</f>
        <v>74.120199999999997</v>
      </c>
      <c r="AD882" s="1">
        <f>VLOOKUP($E882,'[1]Product Naming'!$A$1:$P$58,13)</f>
        <v>117.7</v>
      </c>
      <c r="AE882" s="1" t="str">
        <f>VLOOKUP($E882,'[1]Product Naming'!$A$1:$P$58,14)</f>
        <v>Alcohol</v>
      </c>
      <c r="AF882" s="1" t="str">
        <f>VLOOKUP($E882,'[1]Product Naming'!$A$1:$P$58,15)</f>
        <v>Acetyl-CoA</v>
      </c>
      <c r="AG882" s="28" t="str">
        <f>VLOOKUP($E882,'[1]Product Naming'!$A$1:$P$58,16)</f>
        <v>Proton symporter</v>
      </c>
      <c r="AH882" s="3" t="str">
        <f>VLOOKUP($E882,'[1]Product Naming'!$A$1:$Q$58,17)</f>
        <v>btoh_c</v>
      </c>
    </row>
    <row r="883" spans="1:34" hidden="1" x14ac:dyDescent="0.2">
      <c r="A883" s="16" t="s">
        <v>63</v>
      </c>
      <c r="B883" s="17" t="s">
        <v>64</v>
      </c>
      <c r="C883" t="s">
        <v>73</v>
      </c>
      <c r="D883" s="18" t="s">
        <v>66</v>
      </c>
      <c r="E883" t="s">
        <v>300</v>
      </c>
      <c r="F883" t="s">
        <v>301</v>
      </c>
      <c r="G883">
        <v>-10</v>
      </c>
      <c r="H883">
        <v>0</v>
      </c>
      <c r="I883">
        <v>-20</v>
      </c>
      <c r="J883">
        <v>0.45</v>
      </c>
      <c r="K883">
        <v>-10</v>
      </c>
      <c r="L883">
        <v>0</v>
      </c>
      <c r="M883">
        <v>-20</v>
      </c>
      <c r="N883">
        <v>0</v>
      </c>
      <c r="O883">
        <v>2.5</v>
      </c>
      <c r="P883"/>
      <c r="Q883">
        <v>0.25</v>
      </c>
      <c r="R883" s="19">
        <v>0.37008288396245198</v>
      </c>
      <c r="S883" s="20" t="s">
        <v>300</v>
      </c>
      <c r="T883" s="3" t="s">
        <v>302</v>
      </c>
      <c r="U883" s="3" t="s">
        <v>106</v>
      </c>
      <c r="V883" s="3" t="s">
        <v>303</v>
      </c>
      <c r="W883" s="3">
        <v>4</v>
      </c>
      <c r="X883" s="3">
        <v>10</v>
      </c>
      <c r="Y883" s="3">
        <v>1</v>
      </c>
      <c r="Z883" s="3">
        <v>0</v>
      </c>
      <c r="AA883" s="3">
        <v>0</v>
      </c>
      <c r="AB883" s="12">
        <f>(W883*4+X883*1+Y883*-2+Z883*-3)/W883</f>
        <v>6</v>
      </c>
      <c r="AC883" s="3">
        <f>W883*12.0107+X883*1.00784+Y883*15.999+Z883*14.0067</f>
        <v>74.120199999999997</v>
      </c>
      <c r="AD883" s="12">
        <v>117.7</v>
      </c>
      <c r="AE883" s="3" t="s">
        <v>262</v>
      </c>
      <c r="AF883" s="2" t="s">
        <v>79</v>
      </c>
      <c r="AG883" s="2" t="str">
        <f>IF(AD883&gt;37,"Proton symporter", "Diffusion")</f>
        <v>Proton symporter</v>
      </c>
      <c r="AH883" s="3" t="s">
        <v>304</v>
      </c>
    </row>
    <row r="884" spans="1:34" hidden="1" x14ac:dyDescent="0.2">
      <c r="A884" s="16" t="s">
        <v>63</v>
      </c>
      <c r="B884" s="17" t="s">
        <v>64</v>
      </c>
      <c r="C884" t="s">
        <v>73</v>
      </c>
      <c r="D884" s="18" t="s">
        <v>66</v>
      </c>
      <c r="E884" t="s">
        <v>305</v>
      </c>
      <c r="F884" t="s">
        <v>301</v>
      </c>
      <c r="G884">
        <v>-10</v>
      </c>
      <c r="H884">
        <v>0</v>
      </c>
      <c r="I884">
        <v>-20</v>
      </c>
      <c r="J884">
        <v>0.45</v>
      </c>
      <c r="K884">
        <v>-10</v>
      </c>
      <c r="L884">
        <v>0</v>
      </c>
      <c r="M884">
        <v>-20</v>
      </c>
      <c r="N884">
        <v>0</v>
      </c>
      <c r="O884">
        <v>2.5</v>
      </c>
      <c r="P884"/>
      <c r="Q884">
        <v>0.25</v>
      </c>
      <c r="R884" s="19">
        <v>0.37008288396245198</v>
      </c>
      <c r="S884" s="20" t="s">
        <v>305</v>
      </c>
      <c r="T884" s="3" t="s">
        <v>306</v>
      </c>
      <c r="U884" s="3" t="s">
        <v>106</v>
      </c>
      <c r="V884" s="3" t="s">
        <v>303</v>
      </c>
      <c r="W884" s="3">
        <v>4</v>
      </c>
      <c r="X884" s="3">
        <v>10</v>
      </c>
      <c r="Y884" s="3">
        <v>1</v>
      </c>
      <c r="Z884" s="3">
        <v>0</v>
      </c>
      <c r="AA884" s="3">
        <v>0</v>
      </c>
      <c r="AB884" s="12">
        <f>(W884*4+X884*1+Y884*-2+Z884*-3)/W884</f>
        <v>6</v>
      </c>
      <c r="AC884" s="3">
        <f>W884*12.0107+X884*1.00784+Y884*15.999+Z884*14.0067</f>
        <v>74.120199999999997</v>
      </c>
      <c r="AD884" s="12">
        <v>117.7</v>
      </c>
      <c r="AE884" s="3" t="s">
        <v>262</v>
      </c>
      <c r="AF884" s="3" t="s">
        <v>44</v>
      </c>
      <c r="AG884" s="2" t="str">
        <f>IF(AD884&gt;37,"Proton symporter", "Diffusion")</f>
        <v>Proton symporter</v>
      </c>
      <c r="AH884" s="3" t="s">
        <v>304</v>
      </c>
    </row>
    <row r="885" spans="1:34" hidden="1" x14ac:dyDescent="0.2">
      <c r="A885" s="8" t="s">
        <v>34</v>
      </c>
      <c r="B885" s="9" t="s">
        <v>35</v>
      </c>
      <c r="C885" s="1" t="s">
        <v>58</v>
      </c>
      <c r="D885" s="10" t="s">
        <v>37</v>
      </c>
      <c r="E885" s="1" t="s">
        <v>152</v>
      </c>
      <c r="F885" s="1" t="s">
        <v>153</v>
      </c>
      <c r="G885" s="1">
        <v>-10</v>
      </c>
      <c r="H885" s="1">
        <v>-20</v>
      </c>
      <c r="I885" s="1" t="s">
        <v>40</v>
      </c>
      <c r="J885" s="1">
        <v>3.15</v>
      </c>
      <c r="K885" s="1">
        <v>-10</v>
      </c>
      <c r="L885" s="1">
        <v>-6.2879098360655696</v>
      </c>
      <c r="M885" s="1" t="s">
        <v>40</v>
      </c>
      <c r="N885" s="1">
        <v>7.2020491803278697</v>
      </c>
      <c r="O885" s="1">
        <v>1.8282786885245901</v>
      </c>
      <c r="Q885" s="1">
        <v>0.182827868852459</v>
      </c>
      <c r="R885" s="1">
        <v>0.36872489068217401</v>
      </c>
      <c r="S885" s="11" t="s">
        <v>152</v>
      </c>
      <c r="T885" s="2" t="s">
        <v>154</v>
      </c>
      <c r="U885" s="3" t="s">
        <v>41</v>
      </c>
      <c r="V885" s="2" t="s">
        <v>155</v>
      </c>
      <c r="W885" s="2">
        <v>7</v>
      </c>
      <c r="X885" s="2">
        <v>5</v>
      </c>
      <c r="Y885" s="2">
        <v>2</v>
      </c>
      <c r="Z885" s="2">
        <v>0</v>
      </c>
      <c r="AA885" s="2">
        <v>0</v>
      </c>
      <c r="AB885" s="12">
        <f>(W885*4+X885*1+Y885*-2+Z885*-3)/W885</f>
        <v>4.1428571428571432</v>
      </c>
      <c r="AC885" s="3">
        <f>W885*12.0107+X885*1.00784+Y885*15.999+Z885*14.0067</f>
        <v>121.1121</v>
      </c>
      <c r="AD885" s="12">
        <v>249.2</v>
      </c>
      <c r="AE885" s="2" t="s">
        <v>156</v>
      </c>
      <c r="AF885" s="2" t="s">
        <v>157</v>
      </c>
      <c r="AG885" s="2" t="str">
        <f>IF(AD885&gt;37,"Proton symporter", "Diffusion")</f>
        <v>Proton symporter</v>
      </c>
      <c r="AH885" s="3" t="s">
        <v>158</v>
      </c>
    </row>
    <row r="886" spans="1:34" hidden="1" x14ac:dyDescent="0.2">
      <c r="A886" s="8" t="s">
        <v>34</v>
      </c>
      <c r="B886" s="9" t="s">
        <v>35</v>
      </c>
      <c r="C886" s="1" t="s">
        <v>58</v>
      </c>
      <c r="D886" s="10" t="s">
        <v>37</v>
      </c>
      <c r="E886" s="1" t="s">
        <v>159</v>
      </c>
      <c r="F886" s="1" t="s">
        <v>153</v>
      </c>
      <c r="G886" s="1">
        <v>-10</v>
      </c>
      <c r="H886" s="1">
        <v>-20</v>
      </c>
      <c r="I886" s="1" t="s">
        <v>40</v>
      </c>
      <c r="J886" s="1">
        <v>3.15</v>
      </c>
      <c r="K886" s="1">
        <v>-10</v>
      </c>
      <c r="L886" s="1">
        <v>-6.2879098360655696</v>
      </c>
      <c r="M886" s="1" t="s">
        <v>40</v>
      </c>
      <c r="N886" s="1">
        <v>7.2020491803278697</v>
      </c>
      <c r="O886" s="1">
        <v>1.8282786885245901</v>
      </c>
      <c r="Q886" s="1">
        <v>0.182827868852459</v>
      </c>
      <c r="R886" s="1">
        <v>0.36872489068217401</v>
      </c>
      <c r="S886" s="11" t="s">
        <v>159</v>
      </c>
      <c r="T886" s="2" t="s">
        <v>160</v>
      </c>
      <c r="U886" s="3" t="s">
        <v>41</v>
      </c>
      <c r="V886" s="2" t="s">
        <v>155</v>
      </c>
      <c r="W886" s="2">
        <v>7</v>
      </c>
      <c r="X886" s="2">
        <v>5</v>
      </c>
      <c r="Y886" s="2">
        <v>2</v>
      </c>
      <c r="Z886" s="2">
        <v>0</v>
      </c>
      <c r="AA886" s="2">
        <v>0</v>
      </c>
      <c r="AB886" s="12">
        <f>(W886*4+X886*1+Y886*-2+Z886*-3)/W886</f>
        <v>4.1428571428571432</v>
      </c>
      <c r="AC886" s="3">
        <f>W886*12.0107+X886*1.00784+Y886*15.999+Z886*14.0067</f>
        <v>121.1121</v>
      </c>
      <c r="AD886" s="12">
        <v>249.2</v>
      </c>
      <c r="AE886" s="2" t="s">
        <v>156</v>
      </c>
      <c r="AF886" s="2" t="s">
        <v>157</v>
      </c>
      <c r="AG886" s="2" t="str">
        <f>IF(AD886&gt;37,"Proton symporter", "Diffusion")</f>
        <v>Proton symporter</v>
      </c>
      <c r="AH886" s="3" t="s">
        <v>158</v>
      </c>
    </row>
    <row r="887" spans="1:34" hidden="1" x14ac:dyDescent="0.2">
      <c r="A887" s="8" t="s">
        <v>34</v>
      </c>
      <c r="B887" s="9" t="s">
        <v>35</v>
      </c>
      <c r="C887" s="1" t="s">
        <v>62</v>
      </c>
      <c r="D887" s="15" t="s">
        <v>55</v>
      </c>
      <c r="E887" s="1" t="s">
        <v>289</v>
      </c>
      <c r="F887" s="1" t="s">
        <v>290</v>
      </c>
      <c r="G887" s="1">
        <v>-10</v>
      </c>
      <c r="H887" s="1">
        <v>-20</v>
      </c>
      <c r="I887" s="1" t="s">
        <v>40</v>
      </c>
      <c r="J887" s="1">
        <v>3.15</v>
      </c>
      <c r="K887" s="1">
        <v>-10</v>
      </c>
      <c r="L887" s="1">
        <v>-2.9964285714285701</v>
      </c>
      <c r="M887" s="1" t="s">
        <v>40</v>
      </c>
      <c r="N887" s="1">
        <v>18.6642857142857</v>
      </c>
      <c r="O887" s="1">
        <v>6.2671428571428596</v>
      </c>
      <c r="Q887" s="1">
        <v>0.626714285714286</v>
      </c>
      <c r="R887" s="1">
        <v>0.367965902370327</v>
      </c>
      <c r="S887" s="11" t="s">
        <v>289</v>
      </c>
      <c r="T887" s="2" t="s">
        <v>291</v>
      </c>
      <c r="U887" s="3" t="s">
        <v>41</v>
      </c>
      <c r="V887" s="2" t="s">
        <v>292</v>
      </c>
      <c r="W887" s="2">
        <v>5</v>
      </c>
      <c r="X887" s="2">
        <v>12</v>
      </c>
      <c r="Y887" s="2">
        <v>1</v>
      </c>
      <c r="Z887" s="2">
        <v>0</v>
      </c>
      <c r="AA887" s="2">
        <v>0</v>
      </c>
      <c r="AB887" s="12">
        <f>(W887*4+X887*1+Y887*-2+Z887*-3)/W887</f>
        <v>6</v>
      </c>
      <c r="AC887" s="3">
        <f>W887*12.0107+X887*1.00784+Y887*15.999+Z887*14.0067</f>
        <v>88.14658</v>
      </c>
      <c r="AD887" s="12">
        <v>129</v>
      </c>
      <c r="AE887" s="2" t="s">
        <v>262</v>
      </c>
      <c r="AF887" s="2" t="s">
        <v>293</v>
      </c>
      <c r="AG887" s="2" t="str">
        <f>IF(AD887&gt;37,"Proton symporter", "Diffusion")</f>
        <v>Proton symporter</v>
      </c>
      <c r="AH887" s="3" t="s">
        <v>294</v>
      </c>
    </row>
    <row r="888" spans="1:34" hidden="1" x14ac:dyDescent="0.2">
      <c r="A888" s="8" t="s">
        <v>350</v>
      </c>
      <c r="B888" s="17" t="s">
        <v>64</v>
      </c>
      <c r="C888" t="s">
        <v>351</v>
      </c>
      <c r="D888" s="13" t="s">
        <v>51</v>
      </c>
      <c r="E888" t="s">
        <v>331</v>
      </c>
      <c r="F888" t="s">
        <v>332</v>
      </c>
      <c r="G888">
        <v>-10</v>
      </c>
      <c r="H888">
        <v>0</v>
      </c>
      <c r="I888">
        <v>0</v>
      </c>
      <c r="J888">
        <v>0.45</v>
      </c>
      <c r="K888">
        <v>-10</v>
      </c>
      <c r="L888">
        <v>0</v>
      </c>
      <c r="M888">
        <v>0</v>
      </c>
      <c r="N888">
        <v>0</v>
      </c>
      <c r="O888" s="26">
        <v>1.36666666666666</v>
      </c>
      <c r="P888"/>
      <c r="Q888" s="26">
        <v>0.13666666666666599</v>
      </c>
      <c r="R888" s="26">
        <v>0.36756299156977501</v>
      </c>
      <c r="S888" s="3" t="str">
        <f>VLOOKUP($E888,'[1]Product Naming'!$A$1:$P$58,2)</f>
        <v>Hexane</v>
      </c>
      <c r="T888" s="3" t="str">
        <f>VLOOKUP($E888,'[1]Product Naming'!$A$1:$P$58,3)</f>
        <v>Hexane</v>
      </c>
      <c r="U888" s="3" t="str">
        <f>VLOOKUP($E888,'[1]Product Naming'!$A$1:$P$58,4)</f>
        <v>E</v>
      </c>
      <c r="V888" s="3" t="str">
        <f>VLOOKUP($E888,'[1]Product Naming'!$A$1:$P$58,5)</f>
        <v>C6H14</v>
      </c>
      <c r="W888" s="3">
        <f>VLOOKUP($E888,'[1]Product Naming'!$A$1:$P$58,6)</f>
        <v>6</v>
      </c>
      <c r="X888" s="3">
        <f>VLOOKUP($E888,'[1]Product Naming'!$A$1:$P$58,7)</f>
        <v>14</v>
      </c>
      <c r="Y888" s="3">
        <f>VLOOKUP($E888,'[1]Product Naming'!$A$1:$P$58,8)</f>
        <v>0</v>
      </c>
      <c r="Z888" s="3">
        <f>VLOOKUP($E888,'[1]Product Naming'!$A$1:$P$58,9)</f>
        <v>0</v>
      </c>
      <c r="AA888" s="3">
        <f>VLOOKUP($E888,'[1]Product Naming'!$A$1:$P$58,10)</f>
        <v>0</v>
      </c>
      <c r="AB888" s="3">
        <f>VLOOKUP($E888,'[1]Product Naming'!$A$1:$P$58,11)</f>
        <v>6.333333333333333</v>
      </c>
      <c r="AC888" s="3">
        <f>VLOOKUP($E888,'[1]Product Naming'!$A$1:$P$58,12)</f>
        <v>86.173959999999994</v>
      </c>
      <c r="AD888" s="3">
        <f>VLOOKUP($E888,'[1]Product Naming'!$A$1:$P$58,13)</f>
        <v>69</v>
      </c>
      <c r="AE888" s="3" t="str">
        <f>VLOOKUP($E888,'[1]Product Naming'!$A$1:$P$58,14)</f>
        <v>Hydrocarbon (alkane)</v>
      </c>
      <c r="AF888" s="3" t="str">
        <f>VLOOKUP($E888,'[1]Product Naming'!$A$1:$P$58,15)</f>
        <v>Acetyl-CoA + Succinyl-CoA</v>
      </c>
      <c r="AG888" s="3" t="str">
        <f>VLOOKUP($E888,'[1]Product Naming'!$A$1:$P$58,16)</f>
        <v>Proton symporter</v>
      </c>
      <c r="AH888" s="3" t="str">
        <f>VLOOKUP($E888,'[1]Product Naming'!$A$1:$Q$58,17)</f>
        <v>hex_c</v>
      </c>
    </row>
    <row r="889" spans="1:34" hidden="1" x14ac:dyDescent="0.2">
      <c r="A889" s="16" t="s">
        <v>317</v>
      </c>
      <c r="B889" s="9" t="s">
        <v>35</v>
      </c>
      <c r="C889" t="s">
        <v>59</v>
      </c>
      <c r="D889" s="13" t="s">
        <v>51</v>
      </c>
      <c r="E889" t="s">
        <v>327</v>
      </c>
      <c r="F889" t="s">
        <v>328</v>
      </c>
      <c r="G889">
        <v>-10</v>
      </c>
      <c r="H889">
        <v>-20</v>
      </c>
      <c r="I889" s="1" t="s">
        <v>40</v>
      </c>
      <c r="J889">
        <v>3.15</v>
      </c>
      <c r="K889">
        <v>-10</v>
      </c>
      <c r="L889">
        <v>-2.0806584362139899</v>
      </c>
      <c r="M889" s="1" t="s">
        <v>40</v>
      </c>
      <c r="N889">
        <v>1.7786008230452699</v>
      </c>
      <c r="O889">
        <v>1.17448559670782</v>
      </c>
      <c r="P889"/>
      <c r="Q889">
        <v>0.11744855967078199</v>
      </c>
      <c r="R889">
        <v>0.36729077039032598</v>
      </c>
      <c r="S889" s="20" t="s">
        <v>327</v>
      </c>
      <c r="T889" s="3" t="s">
        <v>327</v>
      </c>
      <c r="U889" s="3" t="s">
        <v>106</v>
      </c>
      <c r="V889" s="3" t="s">
        <v>329</v>
      </c>
      <c r="W889" s="3">
        <v>7</v>
      </c>
      <c r="X889" s="3">
        <v>16</v>
      </c>
      <c r="Y889" s="3">
        <v>0</v>
      </c>
      <c r="Z889" s="3">
        <v>0</v>
      </c>
      <c r="AA889" s="3">
        <v>0</v>
      </c>
      <c r="AB889" s="12">
        <f>(W889*4+X889*1+Y889*-2+Z889*-3)/W889</f>
        <v>6.2857142857142856</v>
      </c>
      <c r="AC889" s="3">
        <f>W889*12.0107+X889*1.00784+Y889*15.999+Z889*14.0067</f>
        <v>100.20034</v>
      </c>
      <c r="AD889" s="3">
        <v>98</v>
      </c>
      <c r="AE889" s="3" t="s">
        <v>321</v>
      </c>
      <c r="AF889" s="2" t="s">
        <v>79</v>
      </c>
      <c r="AG889" s="2" t="str">
        <f>IF(AD889&gt;37,"Proton symporter", "Diffusion")</f>
        <v>Proton symporter</v>
      </c>
      <c r="AH889" s="3" t="s">
        <v>330</v>
      </c>
    </row>
    <row r="890" spans="1:34" hidden="1" x14ac:dyDescent="0.2">
      <c r="A890" s="16" t="s">
        <v>317</v>
      </c>
      <c r="B890" s="9" t="s">
        <v>35</v>
      </c>
      <c r="C890" t="s">
        <v>60</v>
      </c>
      <c r="D890" s="13" t="s">
        <v>51</v>
      </c>
      <c r="E890" t="s">
        <v>327</v>
      </c>
      <c r="F890" t="s">
        <v>328</v>
      </c>
      <c r="G890">
        <v>-10</v>
      </c>
      <c r="H890">
        <v>-20</v>
      </c>
      <c r="I890" s="1" t="s">
        <v>40</v>
      </c>
      <c r="J890">
        <v>3.15</v>
      </c>
      <c r="K890">
        <v>-10</v>
      </c>
      <c r="L890">
        <v>-2.0806584362139899</v>
      </c>
      <c r="M890" s="1" t="s">
        <v>40</v>
      </c>
      <c r="N890">
        <v>1.7786008230452699</v>
      </c>
      <c r="O890">
        <v>1.17448559670782</v>
      </c>
      <c r="P890"/>
      <c r="Q890">
        <v>0.11744855967078199</v>
      </c>
      <c r="R890">
        <v>0.36729077039032498</v>
      </c>
      <c r="S890" s="20" t="s">
        <v>327</v>
      </c>
      <c r="T890" s="3" t="s">
        <v>327</v>
      </c>
      <c r="U890" s="3" t="s">
        <v>106</v>
      </c>
      <c r="V890" s="3" t="s">
        <v>329</v>
      </c>
      <c r="W890" s="3">
        <v>7</v>
      </c>
      <c r="X890" s="3">
        <v>16</v>
      </c>
      <c r="Y890" s="3">
        <v>0</v>
      </c>
      <c r="Z890" s="3">
        <v>0</v>
      </c>
      <c r="AA890" s="3">
        <v>0</v>
      </c>
      <c r="AB890" s="12">
        <f>(W890*4+X890*1+Y890*-2+Z890*-3)/W890</f>
        <v>6.2857142857142856</v>
      </c>
      <c r="AC890" s="3">
        <f>W890*12.0107+X890*1.00784+Y890*15.999+Z890*14.0067</f>
        <v>100.20034</v>
      </c>
      <c r="AD890" s="3">
        <v>98</v>
      </c>
      <c r="AE890" s="3" t="s">
        <v>321</v>
      </c>
      <c r="AF890" s="2" t="s">
        <v>79</v>
      </c>
      <c r="AG890" s="2" t="str">
        <f>IF(AD890&gt;37,"Proton symporter", "Diffusion")</f>
        <v>Proton symporter</v>
      </c>
      <c r="AH890" s="3" t="s">
        <v>330</v>
      </c>
    </row>
    <row r="891" spans="1:34" hidden="1" x14ac:dyDescent="0.2">
      <c r="A891" s="16" t="s">
        <v>63</v>
      </c>
      <c r="B891" s="17" t="s">
        <v>64</v>
      </c>
      <c r="C891" t="s">
        <v>72</v>
      </c>
      <c r="D891" s="18" t="s">
        <v>66</v>
      </c>
      <c r="E891" t="s">
        <v>205</v>
      </c>
      <c r="F891" t="s">
        <v>206</v>
      </c>
      <c r="G891">
        <v>-10</v>
      </c>
      <c r="H891">
        <v>0</v>
      </c>
      <c r="I891">
        <v>-10</v>
      </c>
      <c r="J891">
        <v>0.45</v>
      </c>
      <c r="K891">
        <v>-10</v>
      </c>
      <c r="L891">
        <v>0</v>
      </c>
      <c r="M891">
        <v>-10</v>
      </c>
      <c r="N891">
        <v>2</v>
      </c>
      <c r="O891">
        <v>2</v>
      </c>
      <c r="P891"/>
      <c r="Q891">
        <v>0.2</v>
      </c>
      <c r="R891">
        <v>0.36671905697446</v>
      </c>
      <c r="S891" s="20" t="s">
        <v>205</v>
      </c>
      <c r="T891" s="3" t="s">
        <v>207</v>
      </c>
      <c r="U891" s="3" t="s">
        <v>106</v>
      </c>
      <c r="V891" s="3" t="s">
        <v>208</v>
      </c>
      <c r="W891" s="3">
        <v>4</v>
      </c>
      <c r="X891" s="3">
        <v>8</v>
      </c>
      <c r="Y891" s="3">
        <v>2</v>
      </c>
      <c r="Z891" s="3">
        <v>0</v>
      </c>
      <c r="AA891" s="3">
        <v>0</v>
      </c>
      <c r="AB891" s="12">
        <f>(W891*4+X891*1+Y891*-2+Z891*-3)/W891</f>
        <v>5</v>
      </c>
      <c r="AC891" s="3">
        <f>W891*12.0107+X891*1.00784+Y891*15.999+Z891*14.0067</f>
        <v>88.103520000000003</v>
      </c>
      <c r="AD891" s="12">
        <v>77.099999999999994</v>
      </c>
      <c r="AE891" s="3" t="s">
        <v>209</v>
      </c>
      <c r="AF891" s="3" t="s">
        <v>79</v>
      </c>
      <c r="AG891" s="2" t="str">
        <f>IF(AD891&gt;37,"Proton symporter", "Diffusion")</f>
        <v>Proton symporter</v>
      </c>
      <c r="AH891" s="3" t="s">
        <v>210</v>
      </c>
    </row>
    <row r="892" spans="1:34" hidden="1" x14ac:dyDescent="0.2">
      <c r="A892" s="8" t="s">
        <v>350</v>
      </c>
      <c r="B892" s="17" t="s">
        <v>64</v>
      </c>
      <c r="C892" t="s">
        <v>351</v>
      </c>
      <c r="D892" s="13" t="s">
        <v>51</v>
      </c>
      <c r="E892" t="s">
        <v>323</v>
      </c>
      <c r="F892" t="s">
        <v>324</v>
      </c>
      <c r="G892">
        <v>-10</v>
      </c>
      <c r="H892">
        <v>0</v>
      </c>
      <c r="I892">
        <v>0</v>
      </c>
      <c r="J892">
        <v>0.45</v>
      </c>
      <c r="K892">
        <v>-10</v>
      </c>
      <c r="L892">
        <v>0</v>
      </c>
      <c r="M892">
        <v>0</v>
      </c>
      <c r="N892">
        <v>0</v>
      </c>
      <c r="O892" s="26">
        <v>1.0249999999999799</v>
      </c>
      <c r="P892"/>
      <c r="Q892" s="26">
        <v>0.102499999999998</v>
      </c>
      <c r="R892" s="26">
        <v>0.36541359118580502</v>
      </c>
      <c r="S892" s="3" t="str">
        <f>VLOOKUP($E892,'[1]Product Naming'!$A$1:$P$58,2)</f>
        <v>Octane</v>
      </c>
      <c r="T892" s="3" t="str">
        <f>VLOOKUP($E892,'[1]Product Naming'!$A$1:$P$58,3)</f>
        <v>Octane</v>
      </c>
      <c r="U892" s="3" t="str">
        <f>VLOOKUP($E892,'[1]Product Naming'!$A$1:$P$58,4)</f>
        <v>E</v>
      </c>
      <c r="V892" s="3" t="str">
        <f>VLOOKUP($E892,'[1]Product Naming'!$A$1:$P$58,5)</f>
        <v>C8H18</v>
      </c>
      <c r="W892" s="3">
        <f>VLOOKUP($E892,'[1]Product Naming'!$A$1:$P$58,6)</f>
        <v>8</v>
      </c>
      <c r="X892" s="3">
        <f>VLOOKUP($E892,'[1]Product Naming'!$A$1:$P$58,7)</f>
        <v>18</v>
      </c>
      <c r="Y892" s="3">
        <f>VLOOKUP($E892,'[1]Product Naming'!$A$1:$P$58,8)</f>
        <v>0</v>
      </c>
      <c r="Z892" s="3">
        <f>VLOOKUP($E892,'[1]Product Naming'!$A$1:$P$58,9)</f>
        <v>0</v>
      </c>
      <c r="AA892" s="3">
        <f>VLOOKUP($E892,'[1]Product Naming'!$A$1:$P$58,10)</f>
        <v>0</v>
      </c>
      <c r="AB892" s="3">
        <f>VLOOKUP($E892,'[1]Product Naming'!$A$1:$P$58,11)</f>
        <v>6.25</v>
      </c>
      <c r="AC892" s="3">
        <f>VLOOKUP($E892,'[1]Product Naming'!$A$1:$P$58,12)</f>
        <v>114.22672</v>
      </c>
      <c r="AD892" s="3">
        <f>VLOOKUP($E892,'[1]Product Naming'!$A$1:$P$58,13)</f>
        <v>126</v>
      </c>
      <c r="AE892" s="3" t="str">
        <f>VLOOKUP($E892,'[1]Product Naming'!$A$1:$P$58,14)</f>
        <v>Hydrocarbon (alkane)</v>
      </c>
      <c r="AF892" s="3" t="str">
        <f>VLOOKUP($E892,'[1]Product Naming'!$A$1:$P$58,15)</f>
        <v>Acetyl-CoA + Succinyl-CoA</v>
      </c>
      <c r="AG892" s="3" t="str">
        <f>VLOOKUP($E892,'[1]Product Naming'!$A$1:$P$58,16)</f>
        <v>Proton symporter</v>
      </c>
      <c r="AH892" s="3" t="str">
        <f>VLOOKUP($E892,'[1]Product Naming'!$A$1:$Q$58,17)</f>
        <v>octn_c</v>
      </c>
    </row>
    <row r="893" spans="1:34" hidden="1" x14ac:dyDescent="0.2">
      <c r="A893" s="8" t="s">
        <v>350</v>
      </c>
      <c r="B893" s="17" t="s">
        <v>64</v>
      </c>
      <c r="C893" t="s">
        <v>353</v>
      </c>
      <c r="D893" s="13" t="s">
        <v>51</v>
      </c>
      <c r="E893" t="s">
        <v>310</v>
      </c>
      <c r="F893" t="s">
        <v>311</v>
      </c>
      <c r="G893">
        <v>-10</v>
      </c>
      <c r="H893">
        <v>0</v>
      </c>
      <c r="I893">
        <v>0</v>
      </c>
      <c r="J893">
        <v>0.45</v>
      </c>
      <c r="K893">
        <v>-10</v>
      </c>
      <c r="L893">
        <v>0</v>
      </c>
      <c r="M893">
        <v>0</v>
      </c>
      <c r="N893">
        <v>0</v>
      </c>
      <c r="O893" s="26">
        <v>1.32721712538226</v>
      </c>
      <c r="P893"/>
      <c r="Q893" s="26">
        <v>0.13272171253822601</v>
      </c>
      <c r="R893" s="26">
        <v>0.36512415793946101</v>
      </c>
      <c r="S893" s="3" t="str">
        <f>VLOOKUP($E893,'[1]Product Naming'!$A$1:$P$58,2)</f>
        <v>Pentanol-PW1</v>
      </c>
      <c r="T893" s="3" t="str">
        <f>VLOOKUP($E893,'[1]Product Naming'!$A$1:$P$58,3)</f>
        <v>Pentanol (PW1)</v>
      </c>
      <c r="U893" s="3" t="str">
        <f>VLOOKUP($E893,'[1]Product Naming'!$A$1:$P$58,4)</f>
        <v>E</v>
      </c>
      <c r="V893" s="3" t="str">
        <f>VLOOKUP($E893,'[1]Product Naming'!$A$1:$P$58,5)</f>
        <v>C5H12O</v>
      </c>
      <c r="W893" s="3">
        <f>VLOOKUP($E893,'[1]Product Naming'!$A$1:$P$58,6)</f>
        <v>5</v>
      </c>
      <c r="X893" s="3">
        <f>VLOOKUP($E893,'[1]Product Naming'!$A$1:$P$58,7)</f>
        <v>12</v>
      </c>
      <c r="Y893" s="3">
        <f>VLOOKUP($E893,'[1]Product Naming'!$A$1:$P$58,8)</f>
        <v>1</v>
      </c>
      <c r="Z893" s="3">
        <f>VLOOKUP($E893,'[1]Product Naming'!$A$1:$P$58,9)</f>
        <v>0</v>
      </c>
      <c r="AA893" s="3">
        <f>VLOOKUP($E893,'[1]Product Naming'!$A$1:$P$58,10)</f>
        <v>0</v>
      </c>
      <c r="AB893" s="3">
        <f>VLOOKUP($E893,'[1]Product Naming'!$A$1:$P$58,11)</f>
        <v>6</v>
      </c>
      <c r="AC893" s="3">
        <f>VLOOKUP($E893,'[1]Product Naming'!$A$1:$P$58,12)</f>
        <v>88.14658</v>
      </c>
      <c r="AD893" s="3">
        <f>VLOOKUP($E893,'[1]Product Naming'!$A$1:$P$58,13)</f>
        <v>138</v>
      </c>
      <c r="AE893" s="3" t="str">
        <f>VLOOKUP($E893,'[1]Product Naming'!$A$1:$P$58,14)</f>
        <v>Alcohol</v>
      </c>
      <c r="AF893" s="3" t="str">
        <f>VLOOKUP($E893,'[1]Product Naming'!$A$1:$P$58,15)</f>
        <v>Acetyl-CoA + Succinyl-CoA</v>
      </c>
      <c r="AG893" s="3" t="str">
        <f>VLOOKUP($E893,'[1]Product Naming'!$A$1:$P$58,16)</f>
        <v>Proton symporter</v>
      </c>
      <c r="AH893" s="3" t="str">
        <f>VLOOKUP($E893,'[1]Product Naming'!$A$1:$Q$58,17)</f>
        <v>pentoh_c</v>
      </c>
    </row>
    <row r="894" spans="1:34" hidden="1" x14ac:dyDescent="0.2">
      <c r="A894" s="8" t="s">
        <v>34</v>
      </c>
      <c r="B894" s="9" t="s">
        <v>35</v>
      </c>
      <c r="C894" s="1" t="s">
        <v>61</v>
      </c>
      <c r="D894" s="13" t="s">
        <v>51</v>
      </c>
      <c r="E894" s="1" t="s">
        <v>159</v>
      </c>
      <c r="F894" s="1" t="s">
        <v>153</v>
      </c>
      <c r="G894" s="1">
        <v>-10</v>
      </c>
      <c r="H894" s="1">
        <v>-20</v>
      </c>
      <c r="I894" s="1" t="s">
        <v>40</v>
      </c>
      <c r="J894" s="1">
        <v>3.15</v>
      </c>
      <c r="K894" s="1">
        <v>-10</v>
      </c>
      <c r="L894" s="1">
        <v>-7.7558983666061696</v>
      </c>
      <c r="M894" s="1" t="s">
        <v>40</v>
      </c>
      <c r="N894" s="1">
        <v>3.2388384754990902</v>
      </c>
      <c r="O894" s="1">
        <v>0.96588021778584199</v>
      </c>
      <c r="Q894" s="1">
        <v>9.6588021778584193E-2</v>
      </c>
      <c r="R894" s="1">
        <v>0.36509335685055599</v>
      </c>
      <c r="S894" s="11" t="s">
        <v>159</v>
      </c>
      <c r="T894" s="2" t="s">
        <v>160</v>
      </c>
      <c r="U894" s="3" t="s">
        <v>41</v>
      </c>
      <c r="V894" s="2" t="s">
        <v>155</v>
      </c>
      <c r="W894" s="2">
        <v>7</v>
      </c>
      <c r="X894" s="2">
        <v>5</v>
      </c>
      <c r="Y894" s="2">
        <v>2</v>
      </c>
      <c r="Z894" s="2">
        <v>0</v>
      </c>
      <c r="AA894" s="2">
        <v>0</v>
      </c>
      <c r="AB894" s="12">
        <f>(W894*4+X894*1+Y894*-2+Z894*-3)/W894</f>
        <v>4.1428571428571432</v>
      </c>
      <c r="AC894" s="3">
        <f>W894*12.0107+X894*1.00784+Y894*15.999+Z894*14.0067</f>
        <v>121.1121</v>
      </c>
      <c r="AD894" s="12">
        <v>249.2</v>
      </c>
      <c r="AE894" s="2" t="s">
        <v>156</v>
      </c>
      <c r="AF894" s="2" t="s">
        <v>157</v>
      </c>
      <c r="AG894" s="2" t="str">
        <f>IF(AD894&gt;37,"Proton symporter", "Diffusion")</f>
        <v>Proton symporter</v>
      </c>
      <c r="AH894" s="3" t="s">
        <v>158</v>
      </c>
    </row>
    <row r="895" spans="1:34" hidden="1" x14ac:dyDescent="0.2">
      <c r="A895" s="8" t="s">
        <v>34</v>
      </c>
      <c r="B895" s="9" t="s">
        <v>35</v>
      </c>
      <c r="C895" s="1" t="s">
        <v>61</v>
      </c>
      <c r="D895" s="13" t="s">
        <v>51</v>
      </c>
      <c r="E895" s="1" t="s">
        <v>152</v>
      </c>
      <c r="F895" s="1" t="s">
        <v>153</v>
      </c>
      <c r="G895" s="1">
        <v>-10</v>
      </c>
      <c r="H895" s="1">
        <v>-20</v>
      </c>
      <c r="I895" s="1" t="s">
        <v>40</v>
      </c>
      <c r="J895" s="1">
        <v>3.15</v>
      </c>
      <c r="K895" s="1">
        <v>-10</v>
      </c>
      <c r="L895" s="1">
        <v>-7.7558983666061598</v>
      </c>
      <c r="M895" s="1" t="s">
        <v>40</v>
      </c>
      <c r="N895" s="1">
        <v>3.23883847549908</v>
      </c>
      <c r="O895" s="1">
        <v>0.96588021778584099</v>
      </c>
      <c r="Q895" s="1">
        <v>9.6588021778584193E-2</v>
      </c>
      <c r="R895" s="1">
        <v>0.365093356850555</v>
      </c>
      <c r="S895" s="11" t="s">
        <v>152</v>
      </c>
      <c r="T895" s="2" t="s">
        <v>154</v>
      </c>
      <c r="U895" s="3" t="s">
        <v>41</v>
      </c>
      <c r="V895" s="2" t="s">
        <v>155</v>
      </c>
      <c r="W895" s="2">
        <v>7</v>
      </c>
      <c r="X895" s="2">
        <v>5</v>
      </c>
      <c r="Y895" s="2">
        <v>2</v>
      </c>
      <c r="Z895" s="2">
        <v>0</v>
      </c>
      <c r="AA895" s="2">
        <v>0</v>
      </c>
      <c r="AB895" s="12">
        <f>(W895*4+X895*1+Y895*-2+Z895*-3)/W895</f>
        <v>4.1428571428571432</v>
      </c>
      <c r="AC895" s="3">
        <f>W895*12.0107+X895*1.00784+Y895*15.999+Z895*14.0067</f>
        <v>121.1121</v>
      </c>
      <c r="AD895" s="12">
        <v>249.2</v>
      </c>
      <c r="AE895" s="2" t="s">
        <v>156</v>
      </c>
      <c r="AF895" s="2" t="s">
        <v>157</v>
      </c>
      <c r="AG895" s="2" t="str">
        <f>IF(AD895&gt;37,"Proton symporter", "Diffusion")</f>
        <v>Proton symporter</v>
      </c>
      <c r="AH895" s="3" t="s">
        <v>158</v>
      </c>
    </row>
    <row r="896" spans="1:34" hidden="1" x14ac:dyDescent="0.2">
      <c r="A896" s="16" t="s">
        <v>63</v>
      </c>
      <c r="B896" s="17" t="s">
        <v>64</v>
      </c>
      <c r="C896" t="s">
        <v>72</v>
      </c>
      <c r="D896" s="18" t="s">
        <v>66</v>
      </c>
      <c r="E896" t="s">
        <v>182</v>
      </c>
      <c r="F896" t="s">
        <v>183</v>
      </c>
      <c r="G896">
        <v>-10</v>
      </c>
      <c r="H896">
        <v>0</v>
      </c>
      <c r="I896">
        <v>-10</v>
      </c>
      <c r="J896">
        <v>0.45</v>
      </c>
      <c r="K896">
        <v>-10</v>
      </c>
      <c r="L896">
        <v>0</v>
      </c>
      <c r="M896">
        <v>-10</v>
      </c>
      <c r="N896">
        <v>2</v>
      </c>
      <c r="O896">
        <v>2</v>
      </c>
      <c r="P896"/>
      <c r="Q896">
        <v>0.2</v>
      </c>
      <c r="R896">
        <v>0.36252405847291203</v>
      </c>
      <c r="S896" s="11" t="s">
        <v>182</v>
      </c>
      <c r="T896" s="2" t="s">
        <v>182</v>
      </c>
      <c r="U896" s="3" t="s">
        <v>41</v>
      </c>
      <c r="V896" s="2" t="s">
        <v>184</v>
      </c>
      <c r="W896" s="2">
        <v>4</v>
      </c>
      <c r="X896" s="2">
        <v>7</v>
      </c>
      <c r="Y896" s="2">
        <v>2</v>
      </c>
      <c r="Z896" s="2">
        <v>0</v>
      </c>
      <c r="AA896" s="2">
        <v>0</v>
      </c>
      <c r="AB896" s="12">
        <f>(W896*4+X896*1+Y896*-2+Z896*-3)/W896</f>
        <v>4.75</v>
      </c>
      <c r="AC896" s="3">
        <f>W896*12.0107+X896*1.00784+Y896*15.999+Z896*14.0067</f>
        <v>87.095680000000002</v>
      </c>
      <c r="AD896" s="12">
        <v>163.5</v>
      </c>
      <c r="AE896" s="2" t="s">
        <v>131</v>
      </c>
      <c r="AF896" s="2" t="s">
        <v>79</v>
      </c>
      <c r="AG896" s="2" t="str">
        <f>IF(AD896&gt;37,"Proton symporter", "Diffusion")</f>
        <v>Proton symporter</v>
      </c>
      <c r="AH896" s="3" t="s">
        <v>185</v>
      </c>
    </row>
    <row r="897" spans="1:35" hidden="1" x14ac:dyDescent="0.2">
      <c r="A897" s="16" t="s">
        <v>63</v>
      </c>
      <c r="B897" s="17" t="s">
        <v>64</v>
      </c>
      <c r="C897" t="s">
        <v>72</v>
      </c>
      <c r="D897" s="18" t="s">
        <v>66</v>
      </c>
      <c r="E897" t="s">
        <v>186</v>
      </c>
      <c r="F897" t="s">
        <v>187</v>
      </c>
      <c r="G897">
        <v>-10</v>
      </c>
      <c r="H897">
        <v>0</v>
      </c>
      <c r="I897">
        <v>-10</v>
      </c>
      <c r="J897">
        <v>0.45</v>
      </c>
      <c r="K897">
        <v>-10</v>
      </c>
      <c r="L897">
        <v>0</v>
      </c>
      <c r="M897">
        <v>-10</v>
      </c>
      <c r="N897">
        <v>2</v>
      </c>
      <c r="O897">
        <v>2</v>
      </c>
      <c r="P897"/>
      <c r="Q897">
        <v>0.2</v>
      </c>
      <c r="R897">
        <v>0.36252405847291103</v>
      </c>
      <c r="S897" s="11" t="s">
        <v>186</v>
      </c>
      <c r="T897" s="2" t="s">
        <v>186</v>
      </c>
      <c r="U897" s="3" t="s">
        <v>41</v>
      </c>
      <c r="V897" s="2" t="s">
        <v>184</v>
      </c>
      <c r="W897" s="2">
        <v>4</v>
      </c>
      <c r="X897" s="2">
        <v>7</v>
      </c>
      <c r="Y897" s="2">
        <v>2</v>
      </c>
      <c r="Z897" s="2">
        <v>0</v>
      </c>
      <c r="AA897" s="2">
        <v>0</v>
      </c>
      <c r="AB897" s="12">
        <f>(W897*4+X897*1+Y897*-2+Z897*-3)/W897</f>
        <v>4.75</v>
      </c>
      <c r="AC897" s="3">
        <f>W897*12.0107+X897*1.00784+Y897*15.999+Z897*14.0067</f>
        <v>87.095680000000002</v>
      </c>
      <c r="AD897" s="12">
        <v>155</v>
      </c>
      <c r="AE897" s="2" t="s">
        <v>131</v>
      </c>
      <c r="AF897" s="2" t="s">
        <v>135</v>
      </c>
      <c r="AG897" s="2" t="str">
        <f>IF(AD897&gt;37,"Proton symporter", "Diffusion")</f>
        <v>Proton symporter</v>
      </c>
      <c r="AH897" s="3" t="s">
        <v>188</v>
      </c>
    </row>
    <row r="898" spans="1:35" hidden="1" x14ac:dyDescent="0.2">
      <c r="A898" s="8" t="s">
        <v>34</v>
      </c>
      <c r="B898" s="9" t="s">
        <v>35</v>
      </c>
      <c r="C898" s="1" t="s">
        <v>36</v>
      </c>
      <c r="D898" s="10" t="s">
        <v>37</v>
      </c>
      <c r="E898" s="1" t="s">
        <v>348</v>
      </c>
      <c r="F898" s="1" t="s">
        <v>344</v>
      </c>
      <c r="G898" s="1">
        <v>-10</v>
      </c>
      <c r="H898" s="1">
        <v>-20</v>
      </c>
      <c r="I898" s="1" t="s">
        <v>40</v>
      </c>
      <c r="J898" s="1">
        <v>3.15</v>
      </c>
      <c r="K898" s="1">
        <v>-10</v>
      </c>
      <c r="L898" s="1">
        <v>-6.9901960784313699</v>
      </c>
      <c r="M898" s="1" t="s">
        <v>40</v>
      </c>
      <c r="N898" s="1">
        <v>9.1941176470588495</v>
      </c>
      <c r="O898" s="1">
        <v>3.60196078431373</v>
      </c>
      <c r="Q898" s="1">
        <v>0.36019607843137302</v>
      </c>
      <c r="R898" s="1">
        <v>0.36054816522965899</v>
      </c>
      <c r="S898" s="20" t="s">
        <v>348</v>
      </c>
      <c r="T898" s="3" t="s">
        <v>349</v>
      </c>
      <c r="U898" s="3" t="s">
        <v>106</v>
      </c>
      <c r="V898" s="3" t="s">
        <v>346</v>
      </c>
      <c r="W898" s="3">
        <v>3</v>
      </c>
      <c r="X898" s="3">
        <v>8</v>
      </c>
      <c r="Y898" s="3">
        <v>0</v>
      </c>
      <c r="Z898" s="3">
        <v>0</v>
      </c>
      <c r="AA898" s="3">
        <v>0</v>
      </c>
      <c r="AB898" s="12">
        <f>(W898*4+X898*1+Y898*-2+Z898*-3)/W898</f>
        <v>6.666666666666667</v>
      </c>
      <c r="AC898" s="3">
        <f>W898*12.0107+X898*1.00784+Y898*15.999+Z898*14.0067</f>
        <v>44.094819999999999</v>
      </c>
      <c r="AD898" s="24">
        <v>-42</v>
      </c>
      <c r="AE898" s="3" t="s">
        <v>231</v>
      </c>
      <c r="AF898" s="3" t="s">
        <v>44</v>
      </c>
      <c r="AG898" s="25" t="str">
        <f>IF(AD898&gt;37,"Proton symporter", "Diffusion")</f>
        <v>Diffusion</v>
      </c>
      <c r="AH898" s="3" t="s">
        <v>347</v>
      </c>
      <c r="AI898"/>
    </row>
    <row r="899" spans="1:35" hidden="1" x14ac:dyDescent="0.2">
      <c r="A899" s="8" t="s">
        <v>368</v>
      </c>
      <c r="B899" s="17" t="s">
        <v>64</v>
      </c>
      <c r="C899" t="s">
        <v>369</v>
      </c>
      <c r="D899" s="18" t="s">
        <v>66</v>
      </c>
      <c r="E899" t="s">
        <v>259</v>
      </c>
      <c r="F899" t="s">
        <v>260</v>
      </c>
      <c r="G899">
        <v>-10</v>
      </c>
      <c r="H899">
        <v>0</v>
      </c>
      <c r="I899">
        <v>-20</v>
      </c>
      <c r="J899">
        <v>0.45</v>
      </c>
      <c r="K899">
        <v>-7.0666666666666602</v>
      </c>
      <c r="L899">
        <v>0</v>
      </c>
      <c r="M899">
        <v>-20</v>
      </c>
      <c r="N899">
        <v>-7.0666666666666602</v>
      </c>
      <c r="O899">
        <v>1.4666666666666599</v>
      </c>
      <c r="P899"/>
      <c r="Q899">
        <v>0.20754716981131999</v>
      </c>
      <c r="R899">
        <v>0.35956928647060798</v>
      </c>
      <c r="S899" s="1" t="str">
        <f>VLOOKUP($E899,'[1]Product Naming'!$A$1:$P$58,2)</f>
        <v>Isobutanol</v>
      </c>
      <c r="T899" s="1" t="str">
        <f>VLOOKUP($E899,'[1]Product Naming'!$A$1:$P$58,3)</f>
        <v>Isobutanol</v>
      </c>
      <c r="U899" s="1" t="str">
        <f>VLOOKUP($E899,'[1]Product Naming'!$A$1:$P$58,4)</f>
        <v>E</v>
      </c>
      <c r="V899" s="1" t="str">
        <f>VLOOKUP($E899,'[1]Product Naming'!$A$1:$P$58,5)</f>
        <v>C5H10O</v>
      </c>
      <c r="W899" s="1">
        <f>VLOOKUP($E899,'[1]Product Naming'!$A$1:$P$58,6)</f>
        <v>5</v>
      </c>
      <c r="X899" s="1">
        <f>VLOOKUP($E899,'[1]Product Naming'!$A$1:$P$58,7)</f>
        <v>10</v>
      </c>
      <c r="Y899" s="1">
        <f>VLOOKUP($E899,'[1]Product Naming'!$A$1:$P$58,8)</f>
        <v>1</v>
      </c>
      <c r="Z899" s="1">
        <f>VLOOKUP($E899,'[1]Product Naming'!$A$1:$P$58,9)</f>
        <v>0</v>
      </c>
      <c r="AA899" s="1">
        <f>VLOOKUP($E899,'[1]Product Naming'!$A$1:$P$58,10)</f>
        <v>0</v>
      </c>
      <c r="AB899" s="27">
        <f>VLOOKUP($E899,'[1]Product Naming'!$A$1:$P$58,11)</f>
        <v>5.6</v>
      </c>
      <c r="AC899" s="3">
        <f>VLOOKUP($E899,'[1]Product Naming'!$A$1:$P$58,12)</f>
        <v>86.130899999999997</v>
      </c>
      <c r="AD899" s="1">
        <f>VLOOKUP($E899,'[1]Product Naming'!$A$1:$P$58,13)</f>
        <v>108</v>
      </c>
      <c r="AE899" s="1" t="str">
        <f>VLOOKUP($E899,'[1]Product Naming'!$A$1:$P$58,14)</f>
        <v>Alcohol</v>
      </c>
      <c r="AF899" s="1" t="str">
        <f>VLOOKUP($E899,'[1]Product Naming'!$A$1:$P$58,15)</f>
        <v>Pyruvate</v>
      </c>
      <c r="AG899" s="28" t="str">
        <f>VLOOKUP($E899,'[1]Product Naming'!$A$1:$P$58,16)</f>
        <v>Proton symporter</v>
      </c>
      <c r="AH899" s="3" t="str">
        <f>VLOOKUP($E899,'[1]Product Naming'!$A$1:$Q$58,17)</f>
        <v>ibutoh_c</v>
      </c>
    </row>
    <row r="900" spans="1:35" hidden="1" x14ac:dyDescent="0.2">
      <c r="A900" s="8" t="s">
        <v>34</v>
      </c>
      <c r="B900" s="9" t="s">
        <v>35</v>
      </c>
      <c r="C900" s="1" t="s">
        <v>57</v>
      </c>
      <c r="D900" s="10" t="s">
        <v>37</v>
      </c>
      <c r="E900" s="1" t="s">
        <v>259</v>
      </c>
      <c r="F900" s="1" t="s">
        <v>260</v>
      </c>
      <c r="G900" s="1">
        <v>-10</v>
      </c>
      <c r="H900" s="1">
        <v>-20</v>
      </c>
      <c r="I900" s="1" t="s">
        <v>40</v>
      </c>
      <c r="J900" s="1">
        <v>3.15</v>
      </c>
      <c r="K900" s="1">
        <v>-10</v>
      </c>
      <c r="L900" s="1">
        <v>-4.9999999999999902</v>
      </c>
      <c r="M900" s="1" t="s">
        <v>40</v>
      </c>
      <c r="N900" s="1">
        <v>10</v>
      </c>
      <c r="O900" s="1">
        <v>2.5</v>
      </c>
      <c r="Q900" s="1">
        <v>0.25</v>
      </c>
      <c r="R900" s="1">
        <v>0.35856799107440201</v>
      </c>
      <c r="S900" s="20" t="s">
        <v>259</v>
      </c>
      <c r="T900" s="3" t="s">
        <v>259</v>
      </c>
      <c r="U900" s="3" t="s">
        <v>106</v>
      </c>
      <c r="V900" s="3" t="s">
        <v>261</v>
      </c>
      <c r="W900" s="3">
        <v>5</v>
      </c>
      <c r="X900" s="3">
        <v>10</v>
      </c>
      <c r="Y900" s="3">
        <v>1</v>
      </c>
      <c r="Z900" s="3">
        <v>0</v>
      </c>
      <c r="AA900" s="3">
        <v>0</v>
      </c>
      <c r="AB900" s="12">
        <f>(W900*4+X900*1+Y900*-2+Z900*-3)/W900+0.02</f>
        <v>5.6199999999999992</v>
      </c>
      <c r="AC900" s="3">
        <f>W900*12.0107+X900*1.00784+Y900*15.999+Z900*14.0067</f>
        <v>86.130899999999997</v>
      </c>
      <c r="AD900" s="12">
        <v>108</v>
      </c>
      <c r="AE900" s="3" t="s">
        <v>262</v>
      </c>
      <c r="AF900" s="3" t="s">
        <v>135</v>
      </c>
      <c r="AG900" s="2" t="str">
        <f>IF(AD900&gt;37,"Proton symporter", "Diffusion")</f>
        <v>Proton symporter</v>
      </c>
      <c r="AH900" s="3" t="s">
        <v>263</v>
      </c>
    </row>
    <row r="901" spans="1:35" hidden="1" x14ac:dyDescent="0.2">
      <c r="A901" s="8" t="s">
        <v>34</v>
      </c>
      <c r="B901" s="9" t="s">
        <v>35</v>
      </c>
      <c r="C901" s="1" t="s">
        <v>59</v>
      </c>
      <c r="D901" s="13" t="s">
        <v>51</v>
      </c>
      <c r="E901" s="1" t="s">
        <v>335</v>
      </c>
      <c r="F901" s="1" t="s">
        <v>336</v>
      </c>
      <c r="G901" s="1">
        <v>-10</v>
      </c>
      <c r="H901" s="1">
        <v>-20</v>
      </c>
      <c r="I901" s="1" t="s">
        <v>40</v>
      </c>
      <c r="J901" s="1">
        <v>3.15</v>
      </c>
      <c r="K901" s="1">
        <v>-10</v>
      </c>
      <c r="L901" s="1">
        <v>-2.31555555555556</v>
      </c>
      <c r="M901" s="1" t="s">
        <v>40</v>
      </c>
      <c r="N901" s="1">
        <v>2.0722222222222202</v>
      </c>
      <c r="O901" s="1">
        <v>1.58555555555556</v>
      </c>
      <c r="Q901" s="1">
        <v>0.158555555555556</v>
      </c>
      <c r="R901" s="1">
        <v>0.35702313309512501</v>
      </c>
      <c r="S901" s="11" t="s">
        <v>335</v>
      </c>
      <c r="T901" s="2" t="s">
        <v>335</v>
      </c>
      <c r="U901" s="3" t="s">
        <v>106</v>
      </c>
      <c r="V901" s="2" t="s">
        <v>337</v>
      </c>
      <c r="W901" s="2">
        <v>5</v>
      </c>
      <c r="X901" s="2">
        <v>12</v>
      </c>
      <c r="Y901" s="2">
        <v>0</v>
      </c>
      <c r="Z901" s="2">
        <v>0</v>
      </c>
      <c r="AA901" s="2">
        <v>0</v>
      </c>
      <c r="AB901" s="12">
        <f>(W901*4+X901*1+Y901*-2+Z901*-3)/W901</f>
        <v>6.4</v>
      </c>
      <c r="AC901" s="3">
        <f>W901*12.0107+X901*1.00784+Y901*15.999+Z901*14.0067</f>
        <v>72.147580000000005</v>
      </c>
      <c r="AD901" s="24">
        <v>36.1</v>
      </c>
      <c r="AE901" s="3" t="s">
        <v>321</v>
      </c>
      <c r="AF901" s="2" t="s">
        <v>79</v>
      </c>
      <c r="AG901" s="25" t="str">
        <f>IF(AD901&gt;37,"Proton symporter", "Diffusion")</f>
        <v>Diffusion</v>
      </c>
      <c r="AH901" s="3" t="s">
        <v>338</v>
      </c>
    </row>
    <row r="902" spans="1:35" hidden="1" x14ac:dyDescent="0.2">
      <c r="A902" s="8" t="s">
        <v>34</v>
      </c>
      <c r="B902" s="9" t="s">
        <v>35</v>
      </c>
      <c r="C902" s="1" t="s">
        <v>60</v>
      </c>
      <c r="D902" s="13" t="s">
        <v>51</v>
      </c>
      <c r="E902" s="1" t="s">
        <v>335</v>
      </c>
      <c r="F902" s="1" t="s">
        <v>336</v>
      </c>
      <c r="G902" s="1">
        <v>-10</v>
      </c>
      <c r="H902" s="1">
        <v>-20</v>
      </c>
      <c r="I902" s="1" t="s">
        <v>40</v>
      </c>
      <c r="J902" s="1">
        <v>3.15</v>
      </c>
      <c r="K902" s="1">
        <v>-10</v>
      </c>
      <c r="L902" s="1">
        <v>-2.3155555555555498</v>
      </c>
      <c r="M902" s="1" t="s">
        <v>40</v>
      </c>
      <c r="N902" s="1">
        <v>2.0722222222222202</v>
      </c>
      <c r="O902" s="1">
        <v>1.58555555555556</v>
      </c>
      <c r="Q902" s="1">
        <v>0.158555555555556</v>
      </c>
      <c r="R902" s="1">
        <v>0.35702313309512501</v>
      </c>
      <c r="S902" s="11" t="s">
        <v>335</v>
      </c>
      <c r="T902" s="2" t="s">
        <v>335</v>
      </c>
      <c r="U902" s="3" t="s">
        <v>106</v>
      </c>
      <c r="V902" s="2" t="s">
        <v>337</v>
      </c>
      <c r="W902" s="2">
        <v>5</v>
      </c>
      <c r="X902" s="2">
        <v>12</v>
      </c>
      <c r="Y902" s="2">
        <v>0</v>
      </c>
      <c r="Z902" s="2">
        <v>0</v>
      </c>
      <c r="AA902" s="2">
        <v>0</v>
      </c>
      <c r="AB902" s="12">
        <f>(W902*4+X902*1+Y902*-2+Z902*-3)/W902</f>
        <v>6.4</v>
      </c>
      <c r="AC902" s="3">
        <f>W902*12.0107+X902*1.00784+Y902*15.999+Z902*14.0067</f>
        <v>72.147580000000005</v>
      </c>
      <c r="AD902" s="24">
        <v>36.1</v>
      </c>
      <c r="AE902" s="3" t="s">
        <v>321</v>
      </c>
      <c r="AF902" s="2" t="s">
        <v>79</v>
      </c>
      <c r="AG902" s="25" t="str">
        <f>IF(AD902&gt;37,"Proton symporter", "Diffusion")</f>
        <v>Diffusion</v>
      </c>
      <c r="AH902" s="3" t="s">
        <v>338</v>
      </c>
    </row>
    <row r="903" spans="1:35" hidden="1" x14ac:dyDescent="0.2">
      <c r="A903" s="8" t="s">
        <v>34</v>
      </c>
      <c r="B903" s="9" t="s">
        <v>35</v>
      </c>
      <c r="C903" s="1" t="s">
        <v>56</v>
      </c>
      <c r="D903" s="14" t="s">
        <v>55</v>
      </c>
      <c r="E903" s="1" t="s">
        <v>211</v>
      </c>
      <c r="F903" s="1" t="s">
        <v>212</v>
      </c>
      <c r="G903" s="1">
        <v>-10</v>
      </c>
      <c r="H903" s="1">
        <v>-20</v>
      </c>
      <c r="I903" s="1" t="s">
        <v>40</v>
      </c>
      <c r="J903" s="1">
        <v>3.15</v>
      </c>
      <c r="K903" s="1">
        <v>-10</v>
      </c>
      <c r="L903" s="1">
        <v>-3.5122807017543902</v>
      </c>
      <c r="M903" s="1" t="s">
        <v>40</v>
      </c>
      <c r="N903" s="1">
        <v>4.8098245614035102</v>
      </c>
      <c r="O903" s="1">
        <v>3.14877192982456</v>
      </c>
      <c r="Q903" s="1">
        <v>0.31487719298245598</v>
      </c>
      <c r="R903" s="1">
        <v>0.35609263092179899</v>
      </c>
      <c r="S903" s="20" t="s">
        <v>211</v>
      </c>
      <c r="T903" s="3" t="s">
        <v>211</v>
      </c>
      <c r="U903" s="3" t="s">
        <v>174</v>
      </c>
      <c r="V903" s="3" t="s">
        <v>213</v>
      </c>
      <c r="W903" s="3">
        <v>8</v>
      </c>
      <c r="X903" s="3">
        <v>8</v>
      </c>
      <c r="Y903" s="3">
        <v>0</v>
      </c>
      <c r="Z903" s="3">
        <v>0</v>
      </c>
      <c r="AA903" s="3">
        <v>0</v>
      </c>
      <c r="AB903" s="12">
        <f>(W903*4+X903*1+Y903*-2+Z903*-3)/W903</f>
        <v>5</v>
      </c>
      <c r="AC903" s="3">
        <f>W903*12.0107+X903*1.00784+Y903*15.999+Z903*14.0067</f>
        <v>104.14832</v>
      </c>
      <c r="AD903" s="12">
        <v>145</v>
      </c>
      <c r="AE903" s="3" t="s">
        <v>214</v>
      </c>
      <c r="AF903" s="3" t="s">
        <v>203</v>
      </c>
      <c r="AG903" s="2" t="str">
        <f>IF(AD903&gt;37,"Proton symporter", "Diffusion")</f>
        <v>Proton symporter</v>
      </c>
      <c r="AH903" s="3" t="s">
        <v>215</v>
      </c>
    </row>
    <row r="904" spans="1:35" hidden="1" x14ac:dyDescent="0.2">
      <c r="A904" s="8" t="s">
        <v>350</v>
      </c>
      <c r="B904" s="17" t="s">
        <v>64</v>
      </c>
      <c r="C904" t="s">
        <v>353</v>
      </c>
      <c r="D904" s="13" t="s">
        <v>51</v>
      </c>
      <c r="E904" t="s">
        <v>348</v>
      </c>
      <c r="F904" t="s">
        <v>344</v>
      </c>
      <c r="G904">
        <v>-10</v>
      </c>
      <c r="H904">
        <v>0</v>
      </c>
      <c r="I904">
        <v>0</v>
      </c>
      <c r="J904">
        <v>0.45</v>
      </c>
      <c r="K904">
        <v>-10</v>
      </c>
      <c r="L904">
        <v>0</v>
      </c>
      <c r="M904">
        <v>0</v>
      </c>
      <c r="N904" s="26" t="s">
        <v>366</v>
      </c>
      <c r="O904" s="26">
        <v>2.58549222797927</v>
      </c>
      <c r="P904"/>
      <c r="Q904" s="26">
        <v>0.25854922279792703</v>
      </c>
      <c r="R904" s="26">
        <v>0.35581474022440202</v>
      </c>
      <c r="S904" s="3" t="s">
        <v>348</v>
      </c>
      <c r="T904" s="3" t="str">
        <f>VLOOKUP($E904,'[1]Product Naming'!$A$1:$P$58,3)</f>
        <v>Propane (PW2)</v>
      </c>
      <c r="U904" s="3" t="str">
        <f>VLOOKUP($E904,'[1]Product Naming'!$A$1:$P$58,4)</f>
        <v>E</v>
      </c>
      <c r="V904" s="3" t="str">
        <f>VLOOKUP($E904,'[1]Product Naming'!$A$1:$P$58,5)</f>
        <v>C3H8</v>
      </c>
      <c r="W904" s="3">
        <f>VLOOKUP($E904,'[1]Product Naming'!$A$1:$P$58,6)</f>
        <v>3</v>
      </c>
      <c r="X904" s="3">
        <f>VLOOKUP($E904,'[1]Product Naming'!$A$1:$P$58,7)</f>
        <v>8</v>
      </c>
      <c r="Y904" s="3">
        <f>VLOOKUP($E904,'[1]Product Naming'!$A$1:$P$58,8)</f>
        <v>0</v>
      </c>
      <c r="Z904" s="3">
        <f>VLOOKUP($E904,'[1]Product Naming'!$A$1:$P$58,9)</f>
        <v>0</v>
      </c>
      <c r="AA904" s="3">
        <f>VLOOKUP($E904,'[1]Product Naming'!$A$1:$P$58,10)</f>
        <v>0</v>
      </c>
      <c r="AB904" s="3">
        <f>VLOOKUP($E904,'[1]Product Naming'!$A$1:$P$58,11)</f>
        <v>6.666666666666667</v>
      </c>
      <c r="AC904" s="3">
        <f>VLOOKUP($E904,'[1]Product Naming'!$A$1:$P$58,12)</f>
        <v>44.094819999999999</v>
      </c>
      <c r="AD904" s="3">
        <f>VLOOKUP($E904,'[1]Product Naming'!$A$1:$P$58,13)</f>
        <v>-42</v>
      </c>
      <c r="AE904" s="3" t="str">
        <f>VLOOKUP($E904,'[1]Product Naming'!$A$1:$P$58,14)</f>
        <v>Hydrocarbon</v>
      </c>
      <c r="AF904" s="3" t="str">
        <f>VLOOKUP($E904,'[1]Product Naming'!$A$1:$P$58,15)</f>
        <v>Oxaloacetate</v>
      </c>
      <c r="AG904" s="3" t="str">
        <f>VLOOKUP($E904,'[1]Product Naming'!$A$1:$P$58,16)</f>
        <v>Diffusion</v>
      </c>
      <c r="AH904" s="3" t="str">
        <f>VLOOKUP($E904,'[1]Product Naming'!$A$1:$Q$58,17)</f>
        <v>prop_c</v>
      </c>
    </row>
    <row r="905" spans="1:35" hidden="1" x14ac:dyDescent="0.2">
      <c r="A905" s="16" t="s">
        <v>63</v>
      </c>
      <c r="B905" s="17" t="s">
        <v>64</v>
      </c>
      <c r="C905" t="s">
        <v>68</v>
      </c>
      <c r="D905" s="18" t="s">
        <v>66</v>
      </c>
      <c r="E905" t="s">
        <v>273</v>
      </c>
      <c r="F905" t="s">
        <v>274</v>
      </c>
      <c r="G905">
        <v>-10</v>
      </c>
      <c r="H905">
        <v>0</v>
      </c>
      <c r="I905">
        <v>-10</v>
      </c>
      <c r="J905">
        <v>0.45</v>
      </c>
      <c r="K905">
        <v>-10</v>
      </c>
      <c r="L905">
        <v>0</v>
      </c>
      <c r="M905">
        <v>-10</v>
      </c>
      <c r="N905">
        <v>1.4</v>
      </c>
      <c r="O905">
        <v>1.4</v>
      </c>
      <c r="P905"/>
      <c r="Q905">
        <v>0.14000000000000001</v>
      </c>
      <c r="R905">
        <v>0.35496307692307699</v>
      </c>
      <c r="S905" s="22" t="s">
        <v>273</v>
      </c>
      <c r="T905" s="3" t="s">
        <v>275</v>
      </c>
      <c r="U905" s="3" t="s">
        <v>41</v>
      </c>
      <c r="V905" s="2" t="s">
        <v>276</v>
      </c>
      <c r="W905" s="2">
        <v>3</v>
      </c>
      <c r="X905" s="2">
        <v>12</v>
      </c>
      <c r="Y905" s="2">
        <v>0</v>
      </c>
      <c r="Z905" s="2">
        <v>2</v>
      </c>
      <c r="AA905" s="2">
        <v>0</v>
      </c>
      <c r="AB905" s="12">
        <f>(W905*4+X905*1+Y905*-2+Z905*-3)/W905</f>
        <v>6</v>
      </c>
      <c r="AC905" s="3">
        <f>W905*12.0107+X905*1.00784+Y905*15.999+Z905*14.0067</f>
        <v>76.139580000000009</v>
      </c>
      <c r="AD905" s="12">
        <v>139.30000000000001</v>
      </c>
      <c r="AE905" s="2" t="s">
        <v>277</v>
      </c>
      <c r="AF905" s="2" t="s">
        <v>125</v>
      </c>
      <c r="AG905" s="2" t="str">
        <f>IF(AD905&gt;37,"Proton symporter", "Diffusion")</f>
        <v>Proton symporter</v>
      </c>
      <c r="AH905" s="3" t="s">
        <v>278</v>
      </c>
    </row>
    <row r="906" spans="1:35" hidden="1" x14ac:dyDescent="0.2">
      <c r="A906" s="8" t="s">
        <v>34</v>
      </c>
      <c r="B906" s="9" t="s">
        <v>35</v>
      </c>
      <c r="C906" s="1" t="s">
        <v>58</v>
      </c>
      <c r="D906" s="10" t="s">
        <v>37</v>
      </c>
      <c r="E906" s="1" t="s">
        <v>310</v>
      </c>
      <c r="F906" s="1" t="s">
        <v>311</v>
      </c>
      <c r="G906" s="1">
        <v>-10</v>
      </c>
      <c r="H906" s="1">
        <v>-20</v>
      </c>
      <c r="I906" s="1" t="s">
        <v>40</v>
      </c>
      <c r="J906" s="1">
        <v>3.15</v>
      </c>
      <c r="K906" s="1">
        <v>-10</v>
      </c>
      <c r="L906" s="1">
        <v>-1.90869565217391</v>
      </c>
      <c r="M906" s="1" t="s">
        <v>40</v>
      </c>
      <c r="N906" s="1">
        <v>7.9391304347825997</v>
      </c>
      <c r="O906" s="1">
        <v>2.4121739130434801</v>
      </c>
      <c r="Q906" s="1">
        <v>0.24121739130434799</v>
      </c>
      <c r="R906" s="1">
        <v>0.35406794244987599</v>
      </c>
      <c r="S906" s="20" t="s">
        <v>310</v>
      </c>
      <c r="T906" s="3" t="s">
        <v>312</v>
      </c>
      <c r="U906" s="3" t="s">
        <v>106</v>
      </c>
      <c r="V906" s="3" t="s">
        <v>292</v>
      </c>
      <c r="W906" s="3">
        <v>5</v>
      </c>
      <c r="X906" s="3">
        <v>12</v>
      </c>
      <c r="Y906" s="3">
        <v>1</v>
      </c>
      <c r="Z906" s="3">
        <v>0</v>
      </c>
      <c r="AA906" s="3">
        <v>0</v>
      </c>
      <c r="AB906" s="12">
        <f>(W906*4+X906*1+Y906*-2+Z906*-3)/W906</f>
        <v>6</v>
      </c>
      <c r="AC906" s="3">
        <f>W906*12.0107+X906*1.00784+Y906*15.999+Z906*14.0067</f>
        <v>88.14658</v>
      </c>
      <c r="AD906" s="12">
        <v>138</v>
      </c>
      <c r="AE906" s="3" t="s">
        <v>262</v>
      </c>
      <c r="AF906" s="2" t="s">
        <v>313</v>
      </c>
      <c r="AG906" s="2" t="str">
        <f>IF(AD906&gt;37,"Proton symporter", "Diffusion")</f>
        <v>Proton symporter</v>
      </c>
      <c r="AH906" s="3" t="s">
        <v>314</v>
      </c>
    </row>
    <row r="907" spans="1:35" hidden="1" x14ac:dyDescent="0.2">
      <c r="A907" s="8" t="s">
        <v>34</v>
      </c>
      <c r="B907" s="9" t="s">
        <v>35</v>
      </c>
      <c r="C907" s="1" t="s">
        <v>54</v>
      </c>
      <c r="D907" s="14" t="s">
        <v>55</v>
      </c>
      <c r="E907" s="1" t="s">
        <v>295</v>
      </c>
      <c r="F907" s="1" t="s">
        <v>296</v>
      </c>
      <c r="G907" s="1">
        <v>-10</v>
      </c>
      <c r="H907" s="1">
        <v>-20</v>
      </c>
      <c r="I907" s="1" t="s">
        <v>40</v>
      </c>
      <c r="J907" s="1">
        <v>3.15</v>
      </c>
      <c r="K907" s="1">
        <v>-10</v>
      </c>
      <c r="L907" s="1">
        <v>-3.8210526315789402</v>
      </c>
      <c r="M907" s="1" t="s">
        <v>40</v>
      </c>
      <c r="N907" s="1">
        <v>22.5473684210526</v>
      </c>
      <c r="O907" s="1">
        <v>6.2421052631579004</v>
      </c>
      <c r="Q907" s="1">
        <v>0.62421052631578999</v>
      </c>
      <c r="R907" s="1">
        <v>0.354019594627623</v>
      </c>
      <c r="S907" s="11" t="s">
        <v>295</v>
      </c>
      <c r="T907" s="2" t="s">
        <v>297</v>
      </c>
      <c r="U907" s="3" t="s">
        <v>41</v>
      </c>
      <c r="V907" s="2" t="s">
        <v>298</v>
      </c>
      <c r="W907" s="2">
        <v>6</v>
      </c>
      <c r="X907" s="2">
        <v>14</v>
      </c>
      <c r="Y907" s="2">
        <v>1</v>
      </c>
      <c r="Z907" s="2">
        <v>0</v>
      </c>
      <c r="AA907" s="2">
        <v>0</v>
      </c>
      <c r="AB907" s="12">
        <f>(W907*4+X907*1+Y907*-2+Z907*-3)/W907</f>
        <v>6</v>
      </c>
      <c r="AC907" s="3">
        <f>W907*12.0107+X907*1.00784+Y907*15.999+Z907*14.0067</f>
        <v>102.17295999999999</v>
      </c>
      <c r="AD907" s="12">
        <v>153</v>
      </c>
      <c r="AE907" s="2" t="s">
        <v>262</v>
      </c>
      <c r="AF907" s="2" t="s">
        <v>44</v>
      </c>
      <c r="AG907" s="2" t="str">
        <f>IF(AD907&gt;37,"Proton symporter", "Diffusion")</f>
        <v>Proton symporter</v>
      </c>
      <c r="AH907" s="3" t="s">
        <v>299</v>
      </c>
    </row>
    <row r="908" spans="1:35" hidden="1" x14ac:dyDescent="0.2">
      <c r="A908" s="8" t="s">
        <v>34</v>
      </c>
      <c r="B908" s="9" t="s">
        <v>35</v>
      </c>
      <c r="C908" s="1" t="s">
        <v>57</v>
      </c>
      <c r="D908" s="10" t="s">
        <v>37</v>
      </c>
      <c r="E908" s="1" t="s">
        <v>152</v>
      </c>
      <c r="F908" s="1" t="s">
        <v>153</v>
      </c>
      <c r="G908" s="1">
        <v>-10</v>
      </c>
      <c r="H908" s="1">
        <v>-20</v>
      </c>
      <c r="I908" s="1" t="s">
        <v>40</v>
      </c>
      <c r="J908" s="1">
        <v>3.15</v>
      </c>
      <c r="K908" s="1">
        <v>-10</v>
      </c>
      <c r="L908" s="1">
        <v>-6.8635371179039497</v>
      </c>
      <c r="M908" s="1" t="s">
        <v>40</v>
      </c>
      <c r="N908" s="1">
        <v>7.7393013100436798</v>
      </c>
      <c r="O908" s="1">
        <v>1.75152838427948</v>
      </c>
      <c r="Q908" s="1">
        <v>0.17515283842794799</v>
      </c>
      <c r="R908" s="1">
        <v>0.35324598819305802</v>
      </c>
      <c r="S908" s="11" t="s">
        <v>152</v>
      </c>
      <c r="T908" s="2" t="s">
        <v>154</v>
      </c>
      <c r="U908" s="3" t="s">
        <v>41</v>
      </c>
      <c r="V908" s="2" t="s">
        <v>155</v>
      </c>
      <c r="W908" s="2">
        <v>7</v>
      </c>
      <c r="X908" s="2">
        <v>5</v>
      </c>
      <c r="Y908" s="2">
        <v>2</v>
      </c>
      <c r="Z908" s="2">
        <v>0</v>
      </c>
      <c r="AA908" s="2">
        <v>0</v>
      </c>
      <c r="AB908" s="12">
        <f>(W908*4+X908*1+Y908*-2+Z908*-3)/W908</f>
        <v>4.1428571428571432</v>
      </c>
      <c r="AC908" s="3">
        <f>W908*12.0107+X908*1.00784+Y908*15.999+Z908*14.0067</f>
        <v>121.1121</v>
      </c>
      <c r="AD908" s="12">
        <v>249.2</v>
      </c>
      <c r="AE908" s="2" t="s">
        <v>156</v>
      </c>
      <c r="AF908" s="2" t="s">
        <v>157</v>
      </c>
      <c r="AG908" s="2" t="str">
        <f>IF(AD908&gt;37,"Proton symporter", "Diffusion")</f>
        <v>Proton symporter</v>
      </c>
      <c r="AH908" s="3" t="s">
        <v>158</v>
      </c>
    </row>
    <row r="909" spans="1:35" hidden="1" x14ac:dyDescent="0.2">
      <c r="A909" s="8" t="s">
        <v>34</v>
      </c>
      <c r="B909" s="9" t="s">
        <v>35</v>
      </c>
      <c r="C909" s="1" t="s">
        <v>57</v>
      </c>
      <c r="D909" s="10" t="s">
        <v>37</v>
      </c>
      <c r="E909" s="1" t="s">
        <v>159</v>
      </c>
      <c r="F909" s="1" t="s">
        <v>153</v>
      </c>
      <c r="G909" s="1">
        <v>-10</v>
      </c>
      <c r="H909" s="1">
        <v>-20</v>
      </c>
      <c r="I909" s="1" t="s">
        <v>40</v>
      </c>
      <c r="J909" s="1">
        <v>3.15</v>
      </c>
      <c r="K909" s="1">
        <v>-10</v>
      </c>
      <c r="L909" s="1">
        <v>-6.8635371179039302</v>
      </c>
      <c r="M909" s="1" t="s">
        <v>40</v>
      </c>
      <c r="N909" s="1">
        <v>7.7393013100436701</v>
      </c>
      <c r="O909" s="1">
        <v>1.75152838427948</v>
      </c>
      <c r="Q909" s="1">
        <v>0.17515283842794799</v>
      </c>
      <c r="R909" s="1">
        <v>0.35324598819305703</v>
      </c>
      <c r="S909" s="11" t="s">
        <v>159</v>
      </c>
      <c r="T909" s="2" t="s">
        <v>160</v>
      </c>
      <c r="U909" s="3" t="s">
        <v>41</v>
      </c>
      <c r="V909" s="2" t="s">
        <v>155</v>
      </c>
      <c r="W909" s="2">
        <v>7</v>
      </c>
      <c r="X909" s="2">
        <v>5</v>
      </c>
      <c r="Y909" s="2">
        <v>2</v>
      </c>
      <c r="Z909" s="2">
        <v>0</v>
      </c>
      <c r="AA909" s="2">
        <v>0</v>
      </c>
      <c r="AB909" s="12">
        <f>(W909*4+X909*1+Y909*-2+Z909*-3)/W909</f>
        <v>4.1428571428571432</v>
      </c>
      <c r="AC909" s="3">
        <f>W909*12.0107+X909*1.00784+Y909*15.999+Z909*14.0067</f>
        <v>121.1121</v>
      </c>
      <c r="AD909" s="12">
        <v>249.2</v>
      </c>
      <c r="AE909" s="2" t="s">
        <v>156</v>
      </c>
      <c r="AF909" s="2" t="s">
        <v>157</v>
      </c>
      <c r="AG909" s="2" t="str">
        <f>IF(AD909&gt;37,"Proton symporter", "Diffusion")</f>
        <v>Proton symporter</v>
      </c>
      <c r="AH909" s="3" t="s">
        <v>158</v>
      </c>
    </row>
    <row r="910" spans="1:35" hidden="1" x14ac:dyDescent="0.2">
      <c r="A910" s="8" t="s">
        <v>34</v>
      </c>
      <c r="B910" s="9" t="s">
        <v>35</v>
      </c>
      <c r="C910" s="1" t="s">
        <v>47</v>
      </c>
      <c r="D910" s="10" t="s">
        <v>37</v>
      </c>
      <c r="E910" s="1" t="s">
        <v>289</v>
      </c>
      <c r="F910" s="1" t="s">
        <v>290</v>
      </c>
      <c r="G910" s="1">
        <v>-10</v>
      </c>
      <c r="H910" s="1">
        <v>-20</v>
      </c>
      <c r="I910" s="1" t="s">
        <v>40</v>
      </c>
      <c r="J910" s="1">
        <v>3.15</v>
      </c>
      <c r="K910" s="1">
        <v>-10</v>
      </c>
      <c r="L910" s="1">
        <v>-6.3892857142857196</v>
      </c>
      <c r="M910" s="1" t="s">
        <v>40</v>
      </c>
      <c r="N910" s="1">
        <v>7.5928571428571399</v>
      </c>
      <c r="O910" s="1">
        <v>2.48142857142857</v>
      </c>
      <c r="Q910" s="1">
        <v>0.248142857142857</v>
      </c>
      <c r="R910" s="1">
        <v>0.35241200083412899</v>
      </c>
      <c r="S910" s="11" t="s">
        <v>289</v>
      </c>
      <c r="T910" s="2" t="s">
        <v>291</v>
      </c>
      <c r="U910" s="3" t="s">
        <v>41</v>
      </c>
      <c r="V910" s="2" t="s">
        <v>292</v>
      </c>
      <c r="W910" s="2">
        <v>5</v>
      </c>
      <c r="X910" s="2">
        <v>12</v>
      </c>
      <c r="Y910" s="2">
        <v>1</v>
      </c>
      <c r="Z910" s="2">
        <v>0</v>
      </c>
      <c r="AA910" s="2">
        <v>0</v>
      </c>
      <c r="AB910" s="12">
        <f>(W910*4+X910*1+Y910*-2+Z910*-3)/W910</f>
        <v>6</v>
      </c>
      <c r="AC910" s="3">
        <f>W910*12.0107+X910*1.00784+Y910*15.999+Z910*14.0067</f>
        <v>88.14658</v>
      </c>
      <c r="AD910" s="12">
        <v>129</v>
      </c>
      <c r="AE910" s="2" t="s">
        <v>262</v>
      </c>
      <c r="AF910" s="2" t="s">
        <v>293</v>
      </c>
      <c r="AG910" s="2" t="str">
        <f>IF(AD910&gt;37,"Proton symporter", "Diffusion")</f>
        <v>Proton symporter</v>
      </c>
      <c r="AH910" s="3" t="s">
        <v>294</v>
      </c>
    </row>
    <row r="911" spans="1:35" hidden="1" x14ac:dyDescent="0.2">
      <c r="A911" s="8" t="s">
        <v>34</v>
      </c>
      <c r="B911" s="9" t="s">
        <v>35</v>
      </c>
      <c r="C911" s="1" t="s">
        <v>54</v>
      </c>
      <c r="D911" s="14" t="s">
        <v>55</v>
      </c>
      <c r="E911" s="1" t="s">
        <v>315</v>
      </c>
      <c r="F911" s="1" t="s">
        <v>311</v>
      </c>
      <c r="G911" s="1">
        <v>-10</v>
      </c>
      <c r="H911" s="1">
        <v>-20</v>
      </c>
      <c r="I911" s="1" t="s">
        <v>40</v>
      </c>
      <c r="J911" s="1">
        <v>3.15</v>
      </c>
      <c r="K911" s="1">
        <v>-10</v>
      </c>
      <c r="L911" s="1">
        <v>-6.1349206349206398</v>
      </c>
      <c r="M911" s="1" t="s">
        <v>40</v>
      </c>
      <c r="N911" s="1">
        <v>24.089947089947099</v>
      </c>
      <c r="O911" s="1">
        <v>7.1820105820105802</v>
      </c>
      <c r="Q911" s="1">
        <v>0.71820105820105795</v>
      </c>
      <c r="R911" s="1">
        <v>0.35140808116779998</v>
      </c>
      <c r="S911" s="20" t="s">
        <v>315</v>
      </c>
      <c r="T911" s="3" t="s">
        <v>316</v>
      </c>
      <c r="U911" s="3" t="s">
        <v>106</v>
      </c>
      <c r="V911" s="3" t="s">
        <v>292</v>
      </c>
      <c r="W911" s="3">
        <v>5</v>
      </c>
      <c r="X911" s="3">
        <v>12</v>
      </c>
      <c r="Y911" s="3">
        <v>1</v>
      </c>
      <c r="Z911" s="3">
        <v>0</v>
      </c>
      <c r="AA911" s="3">
        <v>0</v>
      </c>
      <c r="AB911" s="12">
        <f>(W911*4+X911*1+Y911*-2+Z911*-3)/W911</f>
        <v>6</v>
      </c>
      <c r="AC911" s="3">
        <f>W911*12.0107+X911*1.00784+Y911*15.999+Z911*14.0067</f>
        <v>88.14658</v>
      </c>
      <c r="AD911" s="12">
        <v>138</v>
      </c>
      <c r="AE911" s="3" t="s">
        <v>262</v>
      </c>
      <c r="AF911" s="3" t="s">
        <v>44</v>
      </c>
      <c r="AG911" s="2" t="str">
        <f>IF(AD911&gt;37,"Proton symporter", "Diffusion")</f>
        <v>Proton symporter</v>
      </c>
      <c r="AH911" s="3" t="s">
        <v>314</v>
      </c>
    </row>
    <row r="912" spans="1:35" hidden="1" x14ac:dyDescent="0.2">
      <c r="A912" s="16" t="s">
        <v>74</v>
      </c>
      <c r="B912" s="9" t="s">
        <v>35</v>
      </c>
      <c r="C912" t="s">
        <v>56</v>
      </c>
      <c r="D912" s="14" t="s">
        <v>55</v>
      </c>
      <c r="E912" t="s">
        <v>268</v>
      </c>
      <c r="F912" t="s">
        <v>269</v>
      </c>
      <c r="G912">
        <v>-10</v>
      </c>
      <c r="H912">
        <v>-20</v>
      </c>
      <c r="I912" s="1" t="s">
        <v>40</v>
      </c>
      <c r="J912">
        <v>3.15</v>
      </c>
      <c r="K912">
        <v>-10</v>
      </c>
      <c r="L912">
        <v>-1.7931914893617</v>
      </c>
      <c r="M912" s="1" t="s">
        <v>40</v>
      </c>
      <c r="N912">
        <v>6.2808510638297799</v>
      </c>
      <c r="O912">
        <v>2.3719148936170198</v>
      </c>
      <c r="P912"/>
      <c r="Q912">
        <v>0.23719148936170201</v>
      </c>
      <c r="R912">
        <v>0.35087235324779398</v>
      </c>
      <c r="S912" s="3" t="s">
        <v>268</v>
      </c>
      <c r="T912" s="3" t="s">
        <v>268</v>
      </c>
      <c r="U912" s="3" t="s">
        <v>106</v>
      </c>
      <c r="V912" s="3" t="s">
        <v>270</v>
      </c>
      <c r="W912" s="3">
        <v>10</v>
      </c>
      <c r="X912" s="3">
        <v>16</v>
      </c>
      <c r="Y912" s="3">
        <v>0</v>
      </c>
      <c r="Z912" s="3">
        <v>0</v>
      </c>
      <c r="AA912" s="3">
        <v>0</v>
      </c>
      <c r="AB912" s="12">
        <f>(W912*4+X912*1+Y912*-2+Z912*-3)/W912</f>
        <v>5.6</v>
      </c>
      <c r="AC912" s="3">
        <f>W912*12.0107+X912*1.00784+Y912*15.999+Z912*14.0067</f>
        <v>136.23244</v>
      </c>
      <c r="AD912" s="12">
        <v>176</v>
      </c>
      <c r="AE912" s="3" t="s">
        <v>271</v>
      </c>
      <c r="AF912" s="3" t="s">
        <v>79</v>
      </c>
      <c r="AG912" s="2" t="str">
        <f>IF(AD912&gt;37,"Proton symporter", "Diffusion")</f>
        <v>Proton symporter</v>
      </c>
      <c r="AH912" s="3" t="s">
        <v>272</v>
      </c>
    </row>
    <row r="913" spans="1:34" hidden="1" x14ac:dyDescent="0.2">
      <c r="A913" s="8" t="s">
        <v>34</v>
      </c>
      <c r="B913" s="9" t="s">
        <v>35</v>
      </c>
      <c r="C913" s="1" t="s">
        <v>46</v>
      </c>
      <c r="D913" s="10" t="s">
        <v>37</v>
      </c>
      <c r="E913" s="1" t="s">
        <v>300</v>
      </c>
      <c r="F913" s="1" t="s">
        <v>301</v>
      </c>
      <c r="G913" s="1">
        <v>-10</v>
      </c>
      <c r="H913" s="1">
        <v>-20</v>
      </c>
      <c r="I913" s="1" t="s">
        <v>40</v>
      </c>
      <c r="J913" s="1">
        <v>3.15</v>
      </c>
      <c r="K913" s="1">
        <v>-10</v>
      </c>
      <c r="L913" s="1">
        <v>-3.24235294117647</v>
      </c>
      <c r="M913" s="1" t="s">
        <v>40</v>
      </c>
      <c r="N913" s="1">
        <v>8.8282352941176505</v>
      </c>
      <c r="O913" s="1">
        <v>2.79294117647059</v>
      </c>
      <c r="Q913" s="1">
        <v>0.27929411764705903</v>
      </c>
      <c r="R913" s="1">
        <v>0.35061504171581498</v>
      </c>
      <c r="S913" s="20" t="s">
        <v>300</v>
      </c>
      <c r="T913" s="3" t="s">
        <v>302</v>
      </c>
      <c r="U913" s="3" t="s">
        <v>106</v>
      </c>
      <c r="V913" s="3" t="s">
        <v>303</v>
      </c>
      <c r="W913" s="3">
        <v>4</v>
      </c>
      <c r="X913" s="3">
        <v>10</v>
      </c>
      <c r="Y913" s="3">
        <v>1</v>
      </c>
      <c r="Z913" s="3">
        <v>0</v>
      </c>
      <c r="AA913" s="3">
        <v>0</v>
      </c>
      <c r="AB913" s="12">
        <f>(W913*4+X913*1+Y913*-2+Z913*-3)/W913</f>
        <v>6</v>
      </c>
      <c r="AC913" s="3">
        <f>W913*12.0107+X913*1.00784+Y913*15.999+Z913*14.0067</f>
        <v>74.120199999999997</v>
      </c>
      <c r="AD913" s="12">
        <v>117.7</v>
      </c>
      <c r="AE913" s="3" t="s">
        <v>262</v>
      </c>
      <c r="AF913" s="2" t="s">
        <v>79</v>
      </c>
      <c r="AG913" s="2" t="str">
        <f>IF(AD913&gt;37,"Proton symporter", "Diffusion")</f>
        <v>Proton symporter</v>
      </c>
      <c r="AH913" s="3" t="s">
        <v>304</v>
      </c>
    </row>
    <row r="914" spans="1:34" hidden="1" x14ac:dyDescent="0.2">
      <c r="A914" s="8" t="s">
        <v>34</v>
      </c>
      <c r="B914" s="9" t="s">
        <v>35</v>
      </c>
      <c r="C914" s="1" t="s">
        <v>56</v>
      </c>
      <c r="D914" s="14" t="s">
        <v>55</v>
      </c>
      <c r="E914" s="1" t="s">
        <v>254</v>
      </c>
      <c r="F914" s="1" t="s">
        <v>255</v>
      </c>
      <c r="G914" s="1">
        <v>-10</v>
      </c>
      <c r="H914" s="1">
        <v>-20</v>
      </c>
      <c r="I914" s="1" t="s">
        <v>40</v>
      </c>
      <c r="J914" s="1">
        <v>3.15</v>
      </c>
      <c r="K914" s="1">
        <v>-10</v>
      </c>
      <c r="L914" s="1">
        <v>-1.8402266288951801</v>
      </c>
      <c r="M914" s="1" t="s">
        <v>40</v>
      </c>
      <c r="N914" s="1">
        <v>6.3144475920680003</v>
      </c>
      <c r="O914" s="1">
        <v>1.57903682719547</v>
      </c>
      <c r="Q914" s="1">
        <v>0.15790368271954699</v>
      </c>
      <c r="R914" s="1">
        <v>0.35037536691174898</v>
      </c>
      <c r="S914" s="11" t="s">
        <v>254</v>
      </c>
      <c r="T914" s="2" t="s">
        <v>254</v>
      </c>
      <c r="U914" s="3" t="s">
        <v>41</v>
      </c>
      <c r="V914" s="2" t="s">
        <v>256</v>
      </c>
      <c r="W914" s="2">
        <v>15</v>
      </c>
      <c r="X914" s="2">
        <v>24</v>
      </c>
      <c r="Y914" s="2">
        <v>0</v>
      </c>
      <c r="Z914" s="2">
        <v>0</v>
      </c>
      <c r="AA914" s="2">
        <v>0</v>
      </c>
      <c r="AB914" s="12">
        <f>(W914*4+X914*1+Y914*-2+Z914*-3)/W914+0.01</f>
        <v>5.6099999999999994</v>
      </c>
      <c r="AC914" s="3">
        <f>W914*12.0107+X914*1.00784+Y914*15.999+Z914*14.0067</f>
        <v>204.34866000000002</v>
      </c>
      <c r="AD914" s="12" t="s">
        <v>257</v>
      </c>
      <c r="AE914" s="2" t="s">
        <v>231</v>
      </c>
      <c r="AF914" s="2" t="s">
        <v>79</v>
      </c>
      <c r="AG914" s="2" t="str">
        <f>IF(AD914&gt;37,"Proton symporter", "Diffusion")</f>
        <v>Proton symporter</v>
      </c>
      <c r="AH914" s="3" t="s">
        <v>258</v>
      </c>
    </row>
    <row r="915" spans="1:34" hidden="1" x14ac:dyDescent="0.2">
      <c r="A915" s="8" t="s">
        <v>34</v>
      </c>
      <c r="B915" s="9" t="s">
        <v>35</v>
      </c>
      <c r="C915" s="1" t="s">
        <v>58</v>
      </c>
      <c r="D915" s="10" t="s">
        <v>37</v>
      </c>
      <c r="E915" s="1" t="s">
        <v>286</v>
      </c>
      <c r="F915" s="1" t="s">
        <v>280</v>
      </c>
      <c r="G915" s="1">
        <v>-10</v>
      </c>
      <c r="H915" s="1">
        <v>-20</v>
      </c>
      <c r="I915" s="1" t="s">
        <v>40</v>
      </c>
      <c r="J915" s="1">
        <v>3.15</v>
      </c>
      <c r="K915" s="1">
        <v>-10</v>
      </c>
      <c r="L915" s="1">
        <v>-4.2552941176470602</v>
      </c>
      <c r="M915" s="1" t="s">
        <v>40</v>
      </c>
      <c r="N915" s="1">
        <v>9.5035294117646991</v>
      </c>
      <c r="O915" s="1">
        <v>3.49882352941176</v>
      </c>
      <c r="Q915" s="1">
        <v>0.34988235294117598</v>
      </c>
      <c r="R915" s="1">
        <v>0.35012600977192299</v>
      </c>
      <c r="S915" s="20" t="s">
        <v>287</v>
      </c>
      <c r="T915" s="3" t="s">
        <v>288</v>
      </c>
      <c r="U915" s="3" t="s">
        <v>174</v>
      </c>
      <c r="V915" s="3" t="s">
        <v>283</v>
      </c>
      <c r="W915" s="3">
        <v>3</v>
      </c>
      <c r="X915" s="3">
        <v>8</v>
      </c>
      <c r="Y915" s="3">
        <v>1</v>
      </c>
      <c r="Z915" s="3">
        <v>0</v>
      </c>
      <c r="AA915" s="3">
        <v>0</v>
      </c>
      <c r="AB915" s="12">
        <f>(W915*4+X915*1+Y915*-2+Z915*-3)/W915</f>
        <v>6</v>
      </c>
      <c r="AC915" s="3">
        <f>W915*12.0107+X915*1.00784+Y915*15.999+Z915*14.0067</f>
        <v>60.093820000000001</v>
      </c>
      <c r="AD915" s="12">
        <v>97</v>
      </c>
      <c r="AE915" s="2" t="s">
        <v>262</v>
      </c>
      <c r="AF915" s="3" t="s">
        <v>44</v>
      </c>
      <c r="AG915" s="2" t="str">
        <f>IF(AD915&gt;37,"Proton symporter", "Diffusion")</f>
        <v>Proton symporter</v>
      </c>
      <c r="AH915" s="3" t="s">
        <v>285</v>
      </c>
    </row>
    <row r="916" spans="1:34" hidden="1" x14ac:dyDescent="0.2">
      <c r="A916" s="8" t="s">
        <v>34</v>
      </c>
      <c r="B916" s="9" t="s">
        <v>35</v>
      </c>
      <c r="C916" s="1" t="s">
        <v>56</v>
      </c>
      <c r="D916" s="14" t="s">
        <v>55</v>
      </c>
      <c r="E916" s="1" t="s">
        <v>264</v>
      </c>
      <c r="F916" s="1" t="s">
        <v>265</v>
      </c>
      <c r="G916" s="1">
        <v>-10</v>
      </c>
      <c r="H916" s="1">
        <v>-20</v>
      </c>
      <c r="I916" s="1" t="s">
        <v>40</v>
      </c>
      <c r="J916" s="1">
        <v>3.15</v>
      </c>
      <c r="K916" s="1">
        <v>-10</v>
      </c>
      <c r="L916" s="1">
        <v>-1.93389830508475</v>
      </c>
      <c r="M916" s="1" t="s">
        <v>40</v>
      </c>
      <c r="N916" s="1">
        <v>6.3813559322033804</v>
      </c>
      <c r="O916" s="1">
        <v>4.7237288135593101</v>
      </c>
      <c r="Q916" s="1">
        <v>0.47237288135593097</v>
      </c>
      <c r="R916" s="1">
        <v>0.34938560598826901</v>
      </c>
      <c r="S916" s="20" t="s">
        <v>264</v>
      </c>
      <c r="T916" s="3" t="s">
        <v>264</v>
      </c>
      <c r="U916" s="3" t="s">
        <v>106</v>
      </c>
      <c r="V916" s="3" t="s">
        <v>266</v>
      </c>
      <c r="W916" s="3">
        <v>5</v>
      </c>
      <c r="X916" s="3">
        <v>8</v>
      </c>
      <c r="Y916" s="3">
        <v>0</v>
      </c>
      <c r="Z916" s="3">
        <v>0</v>
      </c>
      <c r="AA916" s="3">
        <v>0</v>
      </c>
      <c r="AB916" s="12">
        <f>(W916*4+X916*1+Y916*-2+Z916*-3)/W916</f>
        <v>5.6</v>
      </c>
      <c r="AC916" s="3">
        <f>W916*12.0107+X916*1.00784+Y916*15.999+Z916*14.0067</f>
        <v>68.116219999999998</v>
      </c>
      <c r="AD916" s="24">
        <v>34.07</v>
      </c>
      <c r="AE916" s="3" t="s">
        <v>231</v>
      </c>
      <c r="AF916" s="3" t="s">
        <v>79</v>
      </c>
      <c r="AG916" s="25" t="str">
        <f>IF(AD916&gt;37,"Proton symporter", "Diffusion")</f>
        <v>Diffusion</v>
      </c>
      <c r="AH916" s="3" t="s">
        <v>267</v>
      </c>
    </row>
    <row r="917" spans="1:34" hidden="1" x14ac:dyDescent="0.2">
      <c r="A917" s="8" t="s">
        <v>34</v>
      </c>
      <c r="B917" s="9" t="s">
        <v>35</v>
      </c>
      <c r="C917" s="1" t="s">
        <v>62</v>
      </c>
      <c r="D917" s="15" t="s">
        <v>55</v>
      </c>
      <c r="E917" s="1" t="s">
        <v>295</v>
      </c>
      <c r="F917" s="1" t="s">
        <v>296</v>
      </c>
      <c r="G917" s="1">
        <v>-10</v>
      </c>
      <c r="H917" s="1">
        <v>-20</v>
      </c>
      <c r="I917" s="1" t="s">
        <v>40</v>
      </c>
      <c r="J917" s="1">
        <v>3.15</v>
      </c>
      <c r="K917" s="1">
        <v>-10</v>
      </c>
      <c r="L917" s="1">
        <v>-3.8210526315789499</v>
      </c>
      <c r="M917" s="1" t="s">
        <v>40</v>
      </c>
      <c r="N917" s="1">
        <v>19.214035087719299</v>
      </c>
      <c r="O917" s="1">
        <v>5.1309941520467799</v>
      </c>
      <c r="Q917" s="1">
        <v>0.51309941520467806</v>
      </c>
      <c r="R917" s="1">
        <v>0.34919660311550599</v>
      </c>
      <c r="S917" s="11" t="s">
        <v>295</v>
      </c>
      <c r="T917" s="2" t="s">
        <v>297</v>
      </c>
      <c r="U917" s="3" t="s">
        <v>41</v>
      </c>
      <c r="V917" s="2" t="s">
        <v>298</v>
      </c>
      <c r="W917" s="2">
        <v>6</v>
      </c>
      <c r="X917" s="2">
        <v>14</v>
      </c>
      <c r="Y917" s="2">
        <v>1</v>
      </c>
      <c r="Z917" s="2">
        <v>0</v>
      </c>
      <c r="AA917" s="2">
        <v>0</v>
      </c>
      <c r="AB917" s="12">
        <f>(W917*4+X917*1+Y917*-2+Z917*-3)/W917</f>
        <v>6</v>
      </c>
      <c r="AC917" s="3">
        <f>W917*12.0107+X917*1.00784+Y917*15.999+Z917*14.0067</f>
        <v>102.17295999999999</v>
      </c>
      <c r="AD917" s="12">
        <v>153</v>
      </c>
      <c r="AE917" s="2" t="s">
        <v>262</v>
      </c>
      <c r="AF917" s="2" t="s">
        <v>44</v>
      </c>
      <c r="AG917" s="2" t="str">
        <f>IF(AD917&gt;37,"Proton symporter", "Diffusion")</f>
        <v>Proton symporter</v>
      </c>
      <c r="AH917" s="3" t="s">
        <v>299</v>
      </c>
    </row>
    <row r="918" spans="1:34" hidden="1" x14ac:dyDescent="0.2">
      <c r="A918" s="8" t="s">
        <v>34</v>
      </c>
      <c r="B918" s="9" t="s">
        <v>35</v>
      </c>
      <c r="C918" s="1" t="s">
        <v>47</v>
      </c>
      <c r="D918" s="10" t="s">
        <v>37</v>
      </c>
      <c r="E918" s="1" t="s">
        <v>172</v>
      </c>
      <c r="F918" s="1" t="s">
        <v>173</v>
      </c>
      <c r="G918" s="1">
        <v>-10</v>
      </c>
      <c r="H918" s="1">
        <v>-20</v>
      </c>
      <c r="I918" s="1" t="s">
        <v>40</v>
      </c>
      <c r="J918" s="1">
        <v>3.15</v>
      </c>
      <c r="K918" s="1">
        <v>-10</v>
      </c>
      <c r="L918" s="1">
        <v>-8.8812598425196896</v>
      </c>
      <c r="M918" s="1" t="s">
        <v>40</v>
      </c>
      <c r="N918" s="1">
        <v>6.1839370078740101</v>
      </c>
      <c r="O918" s="1">
        <v>2.3026771653543299</v>
      </c>
      <c r="Q918" s="1">
        <v>0.23026771653543299</v>
      </c>
      <c r="R918" s="1">
        <v>0.34915107155242697</v>
      </c>
      <c r="S918" s="20" t="s">
        <v>172</v>
      </c>
      <c r="T918" s="3" t="s">
        <v>172</v>
      </c>
      <c r="U918" s="3" t="s">
        <v>174</v>
      </c>
      <c r="V918" s="3" t="s">
        <v>175</v>
      </c>
      <c r="W918" s="3">
        <v>6</v>
      </c>
      <c r="X918" s="3">
        <v>6</v>
      </c>
      <c r="Y918" s="3">
        <v>1</v>
      </c>
      <c r="Z918" s="3">
        <v>0</v>
      </c>
      <c r="AA918" s="3">
        <v>0</v>
      </c>
      <c r="AB918" s="12">
        <f>(W918*4+X918*1+Y918*-2+Z918*-3)/W918</f>
        <v>4.666666666666667</v>
      </c>
      <c r="AC918" s="3">
        <f>W918*12.0107+X918*1.00784+Y918*15.999+Z918*14.0067</f>
        <v>94.11023999999999</v>
      </c>
      <c r="AD918" s="12">
        <v>181.7</v>
      </c>
      <c r="AE918" s="3" t="s">
        <v>176</v>
      </c>
      <c r="AF918" s="2" t="s">
        <v>150</v>
      </c>
      <c r="AG918" s="2" t="str">
        <f>IF(AD918&gt;37,"Proton symporter", "Diffusion")</f>
        <v>Proton symporter</v>
      </c>
      <c r="AH918" s="3" t="s">
        <v>177</v>
      </c>
    </row>
    <row r="919" spans="1:34" hidden="1" x14ac:dyDescent="0.2">
      <c r="A919" s="8" t="s">
        <v>34</v>
      </c>
      <c r="B919" s="9" t="s">
        <v>35</v>
      </c>
      <c r="C919" s="1" t="s">
        <v>57</v>
      </c>
      <c r="D919" s="10" t="s">
        <v>37</v>
      </c>
      <c r="E919" s="1" t="s">
        <v>222</v>
      </c>
      <c r="F919" s="1" t="s">
        <v>223</v>
      </c>
      <c r="G919" s="1">
        <v>-10</v>
      </c>
      <c r="H919" s="1">
        <v>-20</v>
      </c>
      <c r="I919" s="1" t="s">
        <v>40</v>
      </c>
      <c r="J919" s="1">
        <v>3.15</v>
      </c>
      <c r="K919" s="1">
        <v>-10</v>
      </c>
      <c r="L919" s="1">
        <v>-5.5595959595959599</v>
      </c>
      <c r="M919" s="1" t="s">
        <v>40</v>
      </c>
      <c r="N919" s="1">
        <v>9.1696969696969699</v>
      </c>
      <c r="O919" s="1">
        <v>3.61010101010101</v>
      </c>
      <c r="Q919" s="1">
        <v>0.361010101010101</v>
      </c>
      <c r="R919" s="1">
        <v>0.34914399500231103</v>
      </c>
      <c r="S919" s="11" t="s">
        <v>222</v>
      </c>
      <c r="T919" s="2" t="s">
        <v>222</v>
      </c>
      <c r="U919" s="3" t="s">
        <v>41</v>
      </c>
      <c r="V919" s="2" t="s">
        <v>224</v>
      </c>
      <c r="W919" s="2">
        <v>3</v>
      </c>
      <c r="X919" s="2">
        <v>6</v>
      </c>
      <c r="Y919" s="2">
        <v>1</v>
      </c>
      <c r="Z919" s="2">
        <v>0</v>
      </c>
      <c r="AA919" s="2">
        <v>0</v>
      </c>
      <c r="AB919" s="12">
        <f>(W919*4+X919*1+Y919*-2+Z919*-3)/W919</f>
        <v>5.333333333333333</v>
      </c>
      <c r="AC919" s="3">
        <f>W919*12.0107+X919*1.00784+Y919*15.999+Z919*14.0067</f>
        <v>58.078140000000005</v>
      </c>
      <c r="AD919" s="12">
        <v>56</v>
      </c>
      <c r="AE919" s="2" t="s">
        <v>225</v>
      </c>
      <c r="AF919" s="2" t="s">
        <v>79</v>
      </c>
      <c r="AG919" s="2" t="str">
        <f>IF(AD919&gt;37,"Proton symporter", "Diffusion")</f>
        <v>Proton symporter</v>
      </c>
      <c r="AH919" s="3" t="s">
        <v>226</v>
      </c>
    </row>
    <row r="920" spans="1:34" hidden="1" x14ac:dyDescent="0.2">
      <c r="A920" s="8" t="s">
        <v>34</v>
      </c>
      <c r="B920" s="9" t="s">
        <v>35</v>
      </c>
      <c r="C920" s="1" t="s">
        <v>60</v>
      </c>
      <c r="D920" s="13" t="s">
        <v>51</v>
      </c>
      <c r="E920" s="1" t="s">
        <v>339</v>
      </c>
      <c r="F920" s="1" t="s">
        <v>340</v>
      </c>
      <c r="G920" s="1">
        <v>-10</v>
      </c>
      <c r="H920" s="1">
        <v>-20</v>
      </c>
      <c r="I920" s="1" t="s">
        <v>40</v>
      </c>
      <c r="J920" s="1">
        <v>3.15</v>
      </c>
      <c r="K920" s="1">
        <v>-10</v>
      </c>
      <c r="L920" s="1">
        <v>-2.4993261455525602</v>
      </c>
      <c r="M920" s="1" t="s">
        <v>40</v>
      </c>
      <c r="N920" s="1">
        <v>2.3072776280323501</v>
      </c>
      <c r="O920" s="1">
        <v>1.9231805929919199</v>
      </c>
      <c r="Q920" s="1">
        <v>0.19231805929919199</v>
      </c>
      <c r="R920" s="1">
        <v>0.34885725965808301</v>
      </c>
      <c r="S920" s="11" t="s">
        <v>339</v>
      </c>
      <c r="T920" s="2" t="s">
        <v>339</v>
      </c>
      <c r="U920" s="3" t="s">
        <v>106</v>
      </c>
      <c r="V920" s="2" t="s">
        <v>341</v>
      </c>
      <c r="W920" s="2">
        <v>4</v>
      </c>
      <c r="X920" s="2">
        <v>10</v>
      </c>
      <c r="Y920" s="2">
        <v>0</v>
      </c>
      <c r="Z920" s="2">
        <v>0</v>
      </c>
      <c r="AA920" s="2">
        <v>0</v>
      </c>
      <c r="AB920" s="12">
        <f>(W920*4+X920*1+Y920*-2+Z920*-3)/W920</f>
        <v>6.5</v>
      </c>
      <c r="AC920" s="3">
        <f>W920*12.0107+X920*1.00784+Y920*15.999+Z920*14.0067</f>
        <v>58.121200000000002</v>
      </c>
      <c r="AD920" s="24">
        <v>-1</v>
      </c>
      <c r="AE920" s="3" t="s">
        <v>321</v>
      </c>
      <c r="AF920" s="2" t="s">
        <v>313</v>
      </c>
      <c r="AG920" s="25" t="str">
        <f>IF(AD920&gt;37,"Proton symporter", "Diffusion")</f>
        <v>Diffusion</v>
      </c>
      <c r="AH920" s="3" t="s">
        <v>342</v>
      </c>
    </row>
    <row r="921" spans="1:34" hidden="1" x14ac:dyDescent="0.2">
      <c r="A921" s="8" t="s">
        <v>34</v>
      </c>
      <c r="B921" s="9" t="s">
        <v>35</v>
      </c>
      <c r="C921" s="1" t="s">
        <v>59</v>
      </c>
      <c r="D921" s="13" t="s">
        <v>51</v>
      </c>
      <c r="E921" s="1" t="s">
        <v>339</v>
      </c>
      <c r="F921" s="1" t="s">
        <v>340</v>
      </c>
      <c r="G921" s="1">
        <v>-10</v>
      </c>
      <c r="H921" s="1">
        <v>-20</v>
      </c>
      <c r="I921" s="1" t="s">
        <v>40</v>
      </c>
      <c r="J921" s="1">
        <v>3.15</v>
      </c>
      <c r="K921" s="1">
        <v>-10</v>
      </c>
      <c r="L921" s="1">
        <v>-2.4993261455525602</v>
      </c>
      <c r="M921" s="1" t="s">
        <v>40</v>
      </c>
      <c r="N921" s="1">
        <v>2.3072776280323501</v>
      </c>
      <c r="O921" s="1">
        <v>1.9231805929919099</v>
      </c>
      <c r="Q921" s="1">
        <v>0.19231805929919099</v>
      </c>
      <c r="R921" s="1">
        <v>0.34885725965808101</v>
      </c>
      <c r="S921" s="11" t="s">
        <v>339</v>
      </c>
      <c r="T921" s="2" t="s">
        <v>339</v>
      </c>
      <c r="U921" s="3" t="s">
        <v>106</v>
      </c>
      <c r="V921" s="2" t="s">
        <v>341</v>
      </c>
      <c r="W921" s="2">
        <v>4</v>
      </c>
      <c r="X921" s="2">
        <v>10</v>
      </c>
      <c r="Y921" s="2">
        <v>0</v>
      </c>
      <c r="Z921" s="2">
        <v>0</v>
      </c>
      <c r="AA921" s="2">
        <v>0</v>
      </c>
      <c r="AB921" s="12">
        <f>(W921*4+X921*1+Y921*-2+Z921*-3)/W921</f>
        <v>6.5</v>
      </c>
      <c r="AC921" s="3">
        <f>W921*12.0107+X921*1.00784+Y921*15.999+Z921*14.0067</f>
        <v>58.121200000000002</v>
      </c>
      <c r="AD921" s="24">
        <v>-1</v>
      </c>
      <c r="AE921" s="3" t="s">
        <v>321</v>
      </c>
      <c r="AF921" s="2" t="s">
        <v>313</v>
      </c>
      <c r="AG921" s="25" t="str">
        <f>IF(AD921&gt;37,"Proton symporter", "Diffusion")</f>
        <v>Diffusion</v>
      </c>
      <c r="AH921" s="3" t="s">
        <v>342</v>
      </c>
    </row>
    <row r="922" spans="1:34" hidden="1" x14ac:dyDescent="0.2">
      <c r="A922" s="8" t="s">
        <v>34</v>
      </c>
      <c r="B922" s="9" t="s">
        <v>35</v>
      </c>
      <c r="C922" s="1" t="s">
        <v>54</v>
      </c>
      <c r="D922" s="14" t="s">
        <v>55</v>
      </c>
      <c r="E922" s="1" t="s">
        <v>199</v>
      </c>
      <c r="F922" s="1" t="s">
        <v>200</v>
      </c>
      <c r="G922" s="1">
        <v>-10</v>
      </c>
      <c r="H922" s="1">
        <v>-20</v>
      </c>
      <c r="I922" s="1" t="s">
        <v>40</v>
      </c>
      <c r="J922" s="1">
        <v>3.15</v>
      </c>
      <c r="K922" s="1">
        <v>-10</v>
      </c>
      <c r="L922" s="1">
        <v>-10.6159340659341</v>
      </c>
      <c r="M922" s="1" t="s">
        <v>40</v>
      </c>
      <c r="N922" s="1">
        <v>19.330769230769199</v>
      </c>
      <c r="O922" s="1">
        <v>5.8098901098901097</v>
      </c>
      <c r="Q922" s="1">
        <v>0.58098901098901101</v>
      </c>
      <c r="R922" s="1">
        <v>0.34873934376791998</v>
      </c>
      <c r="S922" s="20" t="s">
        <v>201</v>
      </c>
      <c r="T922" s="3" t="s">
        <v>201</v>
      </c>
      <c r="U922" s="3" t="s">
        <v>106</v>
      </c>
      <c r="V922" s="3" t="s">
        <v>202</v>
      </c>
      <c r="W922" s="3">
        <v>7</v>
      </c>
      <c r="X922" s="3">
        <v>8</v>
      </c>
      <c r="Y922" s="3">
        <v>1</v>
      </c>
      <c r="Z922" s="3">
        <v>0</v>
      </c>
      <c r="AA922" s="3">
        <v>0</v>
      </c>
      <c r="AB922" s="12">
        <f>(W922*4+X922*1+Y922*-2+Z922*-3)/W922</f>
        <v>4.8571428571428568</v>
      </c>
      <c r="AC922" s="3">
        <f>W922*12.0107+X922*1.00784+Y922*15.999+Z922*14.0067</f>
        <v>108.13661999999999</v>
      </c>
      <c r="AD922" s="12">
        <v>205</v>
      </c>
      <c r="AE922" s="3" t="s">
        <v>176</v>
      </c>
      <c r="AF922" s="3" t="s">
        <v>203</v>
      </c>
      <c r="AG922" s="2" t="str">
        <f>IF(AD922&gt;37,"Proton symporter", "Diffusion")</f>
        <v>Proton symporter</v>
      </c>
      <c r="AH922" s="3" t="s">
        <v>204</v>
      </c>
    </row>
    <row r="923" spans="1:34" hidden="1" x14ac:dyDescent="0.2">
      <c r="A923" s="16" t="s">
        <v>317</v>
      </c>
      <c r="B923" s="9" t="s">
        <v>35</v>
      </c>
      <c r="C923" t="s">
        <v>48</v>
      </c>
      <c r="D923" s="10" t="s">
        <v>37</v>
      </c>
      <c r="E923" t="s">
        <v>318</v>
      </c>
      <c r="F923" t="s">
        <v>319</v>
      </c>
      <c r="G923">
        <v>-10</v>
      </c>
      <c r="H923">
        <v>-20</v>
      </c>
      <c r="I923" s="1" t="s">
        <v>40</v>
      </c>
      <c r="J923">
        <v>3.15</v>
      </c>
      <c r="K923">
        <v>-10</v>
      </c>
      <c r="L923">
        <v>-1.3743190661478599</v>
      </c>
      <c r="M923" s="1" t="s">
        <v>40</v>
      </c>
      <c r="N923">
        <v>4.8120622568093303</v>
      </c>
      <c r="O923">
        <v>1.6875486381322899</v>
      </c>
      <c r="P923"/>
      <c r="Q923">
        <v>0.16875486381322899</v>
      </c>
      <c r="R923">
        <v>0.34871257917527798</v>
      </c>
      <c r="S923" s="20" t="s">
        <v>318</v>
      </c>
      <c r="T923" s="3" t="s">
        <v>318</v>
      </c>
      <c r="U923" s="3" t="s">
        <v>106</v>
      </c>
      <c r="V923" s="3" t="s">
        <v>320</v>
      </c>
      <c r="W923" s="3">
        <v>9</v>
      </c>
      <c r="X923" s="3">
        <v>20</v>
      </c>
      <c r="Y923" s="3">
        <v>0</v>
      </c>
      <c r="Z923" s="3">
        <v>0</v>
      </c>
      <c r="AA923" s="3">
        <v>0</v>
      </c>
      <c r="AB923" s="12">
        <f>(W923*4+X923*1+Y923*-2+Z923*-3)/W923</f>
        <v>6.2222222222222223</v>
      </c>
      <c r="AC923" s="3">
        <f>W923*12.0107+X923*1.00784+Y923*15.999+Z923*14.0067</f>
        <v>128.25309999999999</v>
      </c>
      <c r="AD923" s="12">
        <v>151</v>
      </c>
      <c r="AE923" s="3" t="s">
        <v>321</v>
      </c>
      <c r="AF923" s="2" t="s">
        <v>79</v>
      </c>
      <c r="AG923" s="2" t="str">
        <f>IF(AD923&gt;37,"Proton symporter", "Diffusion")</f>
        <v>Proton symporter</v>
      </c>
      <c r="AH923" s="3" t="s">
        <v>322</v>
      </c>
    </row>
    <row r="924" spans="1:34" hidden="1" x14ac:dyDescent="0.2">
      <c r="A924" s="8" t="s">
        <v>350</v>
      </c>
      <c r="B924" s="17" t="s">
        <v>64</v>
      </c>
      <c r="C924" t="s">
        <v>354</v>
      </c>
      <c r="D924" s="13" t="s">
        <v>51</v>
      </c>
      <c r="E924" t="s">
        <v>279</v>
      </c>
      <c r="F924" t="s">
        <v>280</v>
      </c>
      <c r="G924">
        <v>-10</v>
      </c>
      <c r="H924">
        <v>0</v>
      </c>
      <c r="I924">
        <v>0</v>
      </c>
      <c r="J924">
        <v>0.45</v>
      </c>
      <c r="K924">
        <v>-10</v>
      </c>
      <c r="L924">
        <v>0</v>
      </c>
      <c r="M924">
        <v>0</v>
      </c>
      <c r="N924">
        <v>0</v>
      </c>
      <c r="O924" s="26">
        <v>1.8559999999999901</v>
      </c>
      <c r="P924"/>
      <c r="Q924" s="26">
        <v>0.18559999999999899</v>
      </c>
      <c r="R924" s="26">
        <v>0.34809750339096002</v>
      </c>
      <c r="S924" s="3" t="str">
        <f>VLOOKUP($E924,'[1]Product Naming'!$A$1:$P$58,2)</f>
        <v>1-propanol-PW1</v>
      </c>
      <c r="T924" s="3" t="str">
        <f>VLOOKUP($E924,'[1]Product Naming'!$A$1:$P$58,3)</f>
        <v>1-Propanol (PW1)</v>
      </c>
      <c r="U924" s="3" t="str">
        <f>VLOOKUP($E924,'[1]Product Naming'!$A$1:$P$58,4)</f>
        <v>E-S</v>
      </c>
      <c r="V924" s="3" t="str">
        <f>VLOOKUP($E924,'[1]Product Naming'!$A$1:$P$58,5)</f>
        <v>C3H8O</v>
      </c>
      <c r="W924" s="3">
        <f>VLOOKUP($E924,'[1]Product Naming'!$A$1:$P$58,6)</f>
        <v>3</v>
      </c>
      <c r="X924" s="3">
        <f>VLOOKUP($E924,'[1]Product Naming'!$A$1:$P$58,7)</f>
        <v>8</v>
      </c>
      <c r="Y924" s="3">
        <f>VLOOKUP($E924,'[1]Product Naming'!$A$1:$P$58,8)</f>
        <v>1</v>
      </c>
      <c r="Z924" s="3">
        <f>VLOOKUP($E924,'[1]Product Naming'!$A$1:$P$58,9)</f>
        <v>0</v>
      </c>
      <c r="AA924" s="3">
        <f>VLOOKUP($E924,'[1]Product Naming'!$A$1:$P$58,10)</f>
        <v>0</v>
      </c>
      <c r="AB924" s="3">
        <f>VLOOKUP($E924,'[1]Product Naming'!$A$1:$P$58,11)</f>
        <v>6</v>
      </c>
      <c r="AC924" s="3">
        <f>VLOOKUP($E924,'[1]Product Naming'!$A$1:$P$58,12)</f>
        <v>60.093820000000001</v>
      </c>
      <c r="AD924" s="3">
        <f>VLOOKUP($E924,'[1]Product Naming'!$A$1:$P$58,13)</f>
        <v>97</v>
      </c>
      <c r="AE924" s="3" t="str">
        <f>VLOOKUP($E924,'[1]Product Naming'!$A$1:$P$58,14)</f>
        <v>Alcohol</v>
      </c>
      <c r="AF924" s="3" t="str">
        <f>VLOOKUP($E924,'[1]Product Naming'!$A$1:$P$58,15)</f>
        <v>Glyceraldehyde 3-P (--&gt;DHAP)</v>
      </c>
      <c r="AG924" s="3" t="str">
        <f>VLOOKUP($E924,'[1]Product Naming'!$A$1:$P$58,16)</f>
        <v>Proton symporter</v>
      </c>
      <c r="AH924" s="3" t="str">
        <f>VLOOKUP($E924,'[1]Product Naming'!$A$1:$Q$58,17)</f>
        <v>ppoh_c</v>
      </c>
    </row>
    <row r="925" spans="1:34" hidden="1" x14ac:dyDescent="0.2">
      <c r="A925" s="16" t="s">
        <v>63</v>
      </c>
      <c r="B925" s="17" t="s">
        <v>64</v>
      </c>
      <c r="C925" t="s">
        <v>69</v>
      </c>
      <c r="D925" s="18" t="s">
        <v>66</v>
      </c>
      <c r="E925" t="s">
        <v>279</v>
      </c>
      <c r="F925" t="s">
        <v>280</v>
      </c>
      <c r="G925">
        <v>-10</v>
      </c>
      <c r="H925">
        <v>0</v>
      </c>
      <c r="I925">
        <v>-20</v>
      </c>
      <c r="J925">
        <v>0.45</v>
      </c>
      <c r="K925">
        <v>-10</v>
      </c>
      <c r="L925">
        <v>0</v>
      </c>
      <c r="M925">
        <v>-20</v>
      </c>
      <c r="N925">
        <v>0</v>
      </c>
      <c r="O925">
        <v>1.8560000000000001</v>
      </c>
      <c r="P925"/>
      <c r="Q925">
        <v>0.18559999999999999</v>
      </c>
      <c r="R925" s="19">
        <v>0.34800040536661497</v>
      </c>
      <c r="S925" s="20" t="s">
        <v>281</v>
      </c>
      <c r="T925" s="3" t="s">
        <v>282</v>
      </c>
      <c r="U925" s="3" t="s">
        <v>174</v>
      </c>
      <c r="V925" s="3" t="s">
        <v>283</v>
      </c>
      <c r="W925" s="3">
        <v>3</v>
      </c>
      <c r="X925" s="3">
        <v>8</v>
      </c>
      <c r="Y925" s="3">
        <v>1</v>
      </c>
      <c r="Z925" s="3">
        <v>0</v>
      </c>
      <c r="AA925" s="3">
        <v>0</v>
      </c>
      <c r="AB925" s="12">
        <f>(W925*4+X925*1+Y925*-2+Z925*-3)/W925</f>
        <v>6</v>
      </c>
      <c r="AC925" s="3">
        <f>W925*12.0107+X925*1.00784+Y925*15.999+Z925*14.0067</f>
        <v>60.093820000000001</v>
      </c>
      <c r="AD925" s="12">
        <v>97</v>
      </c>
      <c r="AE925" s="2" t="s">
        <v>262</v>
      </c>
      <c r="AF925" s="2" t="s">
        <v>284</v>
      </c>
      <c r="AG925" s="2" t="str">
        <f>IF(AD925&gt;37,"Proton symporter", "Diffusion")</f>
        <v>Proton symporter</v>
      </c>
      <c r="AH925" s="3" t="s">
        <v>285</v>
      </c>
    </row>
    <row r="926" spans="1:34" hidden="1" x14ac:dyDescent="0.2">
      <c r="A926" s="8" t="s">
        <v>34</v>
      </c>
      <c r="B926" s="9" t="s">
        <v>35</v>
      </c>
      <c r="C926" s="1" t="s">
        <v>62</v>
      </c>
      <c r="D926" s="15" t="s">
        <v>55</v>
      </c>
      <c r="E926" s="1" t="s">
        <v>315</v>
      </c>
      <c r="F926" s="1" t="s">
        <v>311</v>
      </c>
      <c r="G926" s="1">
        <v>-10</v>
      </c>
      <c r="H926" s="1">
        <v>-20</v>
      </c>
      <c r="I926" s="1" t="s">
        <v>40</v>
      </c>
      <c r="J926" s="1">
        <v>3.15</v>
      </c>
      <c r="K926" s="1">
        <v>-10</v>
      </c>
      <c r="L926" s="1">
        <v>-5.6016483516483504</v>
      </c>
      <c r="M926" s="1" t="s">
        <v>40</v>
      </c>
      <c r="N926" s="1">
        <v>20.401098901098901</v>
      </c>
      <c r="O926" s="1">
        <v>5.9197802197802298</v>
      </c>
      <c r="Q926" s="1">
        <v>0.59197802197802296</v>
      </c>
      <c r="R926" s="1">
        <v>0.34757102559466801</v>
      </c>
      <c r="S926" s="20" t="s">
        <v>315</v>
      </c>
      <c r="T926" s="3" t="s">
        <v>316</v>
      </c>
      <c r="U926" s="3" t="s">
        <v>106</v>
      </c>
      <c r="V926" s="3" t="s">
        <v>292</v>
      </c>
      <c r="W926" s="3">
        <v>5</v>
      </c>
      <c r="X926" s="3">
        <v>12</v>
      </c>
      <c r="Y926" s="3">
        <v>1</v>
      </c>
      <c r="Z926" s="3">
        <v>0</v>
      </c>
      <c r="AA926" s="3">
        <v>0</v>
      </c>
      <c r="AB926" s="12">
        <f>(W926*4+X926*1+Y926*-2+Z926*-3)/W926</f>
        <v>6</v>
      </c>
      <c r="AC926" s="3">
        <f>W926*12.0107+X926*1.00784+Y926*15.999+Z926*14.0067</f>
        <v>88.14658</v>
      </c>
      <c r="AD926" s="12">
        <v>138</v>
      </c>
      <c r="AE926" s="3" t="s">
        <v>262</v>
      </c>
      <c r="AF926" s="3" t="s">
        <v>44</v>
      </c>
      <c r="AG926" s="2" t="str">
        <f>IF(AD926&gt;37,"Proton symporter", "Diffusion")</f>
        <v>Proton symporter</v>
      </c>
      <c r="AH926" s="3" t="s">
        <v>314</v>
      </c>
    </row>
    <row r="927" spans="1:34" hidden="1" x14ac:dyDescent="0.2">
      <c r="A927" s="8" t="s">
        <v>34</v>
      </c>
      <c r="B927" s="9" t="s">
        <v>35</v>
      </c>
      <c r="C927" s="1" t="s">
        <v>62</v>
      </c>
      <c r="D927" s="15" t="s">
        <v>55</v>
      </c>
      <c r="E927" s="1" t="s">
        <v>199</v>
      </c>
      <c r="F927" s="1" t="s">
        <v>200</v>
      </c>
      <c r="G927" s="1">
        <v>-10</v>
      </c>
      <c r="H927" s="1">
        <v>-20</v>
      </c>
      <c r="I927" s="1" t="s">
        <v>40</v>
      </c>
      <c r="J927" s="1">
        <v>3.15</v>
      </c>
      <c r="K927" s="1">
        <v>-10</v>
      </c>
      <c r="L927" s="1">
        <v>-9.0225274725274591</v>
      </c>
      <c r="M927" s="1" t="s">
        <v>40</v>
      </c>
      <c r="N927" s="1">
        <v>16.253846153846101</v>
      </c>
      <c r="O927" s="1">
        <v>4.82087912087911</v>
      </c>
      <c r="Q927" s="1">
        <v>0.48208791208791102</v>
      </c>
      <c r="R927" s="1">
        <v>0.34724143979247202</v>
      </c>
      <c r="S927" s="20" t="s">
        <v>201</v>
      </c>
      <c r="T927" s="3" t="s">
        <v>201</v>
      </c>
      <c r="U927" s="3" t="s">
        <v>106</v>
      </c>
      <c r="V927" s="3" t="s">
        <v>202</v>
      </c>
      <c r="W927" s="3">
        <v>7</v>
      </c>
      <c r="X927" s="3">
        <v>8</v>
      </c>
      <c r="Y927" s="3">
        <v>1</v>
      </c>
      <c r="Z927" s="3">
        <v>0</v>
      </c>
      <c r="AA927" s="3">
        <v>0</v>
      </c>
      <c r="AB927" s="12">
        <f>(W927*4+X927*1+Y927*-2+Z927*-3)/W927</f>
        <v>4.8571428571428568</v>
      </c>
      <c r="AC927" s="3">
        <f>W927*12.0107+X927*1.00784+Y927*15.999+Z927*14.0067</f>
        <v>108.13661999999999</v>
      </c>
      <c r="AD927" s="12">
        <v>205</v>
      </c>
      <c r="AE927" s="3" t="s">
        <v>176</v>
      </c>
      <c r="AF927" s="3" t="s">
        <v>203</v>
      </c>
      <c r="AG927" s="2" t="str">
        <f>IF(AD927&gt;37,"Proton symporter", "Diffusion")</f>
        <v>Proton symporter</v>
      </c>
      <c r="AH927" s="3" t="s">
        <v>204</v>
      </c>
    </row>
    <row r="928" spans="1:34" hidden="1" x14ac:dyDescent="0.2">
      <c r="A928" s="16" t="s">
        <v>317</v>
      </c>
      <c r="B928" s="9" t="s">
        <v>35</v>
      </c>
      <c r="C928" t="s">
        <v>48</v>
      </c>
      <c r="D928" s="10" t="s">
        <v>37</v>
      </c>
      <c r="E928" t="s">
        <v>323</v>
      </c>
      <c r="F928" t="s">
        <v>324</v>
      </c>
      <c r="G928">
        <v>-10</v>
      </c>
      <c r="H928">
        <v>-20</v>
      </c>
      <c r="I928" s="1" t="s">
        <v>40</v>
      </c>
      <c r="J928">
        <v>3.15</v>
      </c>
      <c r="K928">
        <v>-10</v>
      </c>
      <c r="L928">
        <v>-1.5270270270270301</v>
      </c>
      <c r="M928" s="1" t="s">
        <v>40</v>
      </c>
      <c r="N928">
        <v>4.9772972972972997</v>
      </c>
      <c r="O928">
        <v>1.87783783783784</v>
      </c>
      <c r="P928"/>
      <c r="Q928">
        <v>0.18778378378378399</v>
      </c>
      <c r="R928">
        <v>0.34559642078178898</v>
      </c>
      <c r="S928" s="11" t="s">
        <v>323</v>
      </c>
      <c r="T928" s="2" t="s">
        <v>323</v>
      </c>
      <c r="U928" s="3" t="s">
        <v>106</v>
      </c>
      <c r="V928" s="2" t="s">
        <v>325</v>
      </c>
      <c r="W928" s="2">
        <v>8</v>
      </c>
      <c r="X928" s="2">
        <v>18</v>
      </c>
      <c r="Y928" s="2">
        <v>0</v>
      </c>
      <c r="Z928" s="2">
        <v>0</v>
      </c>
      <c r="AA928" s="2">
        <v>0</v>
      </c>
      <c r="AB928" s="12">
        <f>(W928*4+X928*1+Y928*-2+Z928*-3)/W928</f>
        <v>6.25</v>
      </c>
      <c r="AC928" s="3">
        <f>W928*12.0107+X928*1.00784+Y928*15.999+Z928*14.0067</f>
        <v>114.22672</v>
      </c>
      <c r="AD928" s="12">
        <v>126</v>
      </c>
      <c r="AE928" s="3" t="s">
        <v>321</v>
      </c>
      <c r="AF928" s="2" t="s">
        <v>313</v>
      </c>
      <c r="AG928" s="2" t="str">
        <f>IF(AD928&gt;37,"Proton symporter", "Diffusion")</f>
        <v>Proton symporter</v>
      </c>
      <c r="AH928" s="3" t="s">
        <v>326</v>
      </c>
    </row>
    <row r="929" spans="1:34" hidden="1" x14ac:dyDescent="0.2">
      <c r="A929" s="16" t="s">
        <v>63</v>
      </c>
      <c r="B929" s="17" t="s">
        <v>64</v>
      </c>
      <c r="C929" t="s">
        <v>67</v>
      </c>
      <c r="D929" s="18" t="s">
        <v>66</v>
      </c>
      <c r="E929" t="s">
        <v>286</v>
      </c>
      <c r="F929" t="s">
        <v>280</v>
      </c>
      <c r="G929">
        <v>-10</v>
      </c>
      <c r="H929">
        <v>0</v>
      </c>
      <c r="I929">
        <v>-5</v>
      </c>
      <c r="J929">
        <v>0.45</v>
      </c>
      <c r="K929">
        <v>-10</v>
      </c>
      <c r="L929">
        <v>0</v>
      </c>
      <c r="M929">
        <v>-5</v>
      </c>
      <c r="N929">
        <v>5</v>
      </c>
      <c r="O929">
        <v>1.6666666666666701</v>
      </c>
      <c r="P929"/>
      <c r="Q929">
        <v>0.16666666666666699</v>
      </c>
      <c r="R929">
        <v>0.345128761773489</v>
      </c>
      <c r="S929" s="20" t="s">
        <v>287</v>
      </c>
      <c r="T929" s="3" t="s">
        <v>288</v>
      </c>
      <c r="U929" s="3" t="s">
        <v>174</v>
      </c>
      <c r="V929" s="3" t="s">
        <v>283</v>
      </c>
      <c r="W929" s="3">
        <v>3</v>
      </c>
      <c r="X929" s="3">
        <v>8</v>
      </c>
      <c r="Y929" s="3">
        <v>1</v>
      </c>
      <c r="Z929" s="3">
        <v>0</v>
      </c>
      <c r="AA929" s="3">
        <v>0</v>
      </c>
      <c r="AB929" s="12">
        <f>(W929*4+X929*1+Y929*-2+Z929*-3)/W929</f>
        <v>6</v>
      </c>
      <c r="AC929" s="3">
        <f>W929*12.0107+X929*1.00784+Y929*15.999+Z929*14.0067</f>
        <v>60.093820000000001</v>
      </c>
      <c r="AD929" s="12">
        <v>97</v>
      </c>
      <c r="AE929" s="2" t="s">
        <v>262</v>
      </c>
      <c r="AF929" s="3" t="s">
        <v>44</v>
      </c>
      <c r="AG929" s="2" t="str">
        <f>IF(AD929&gt;37,"Proton symporter", "Diffusion")</f>
        <v>Proton symporter</v>
      </c>
      <c r="AH929" s="3" t="s">
        <v>285</v>
      </c>
    </row>
    <row r="930" spans="1:34" hidden="1" x14ac:dyDescent="0.2">
      <c r="A930" s="16" t="s">
        <v>63</v>
      </c>
      <c r="B930" s="17" t="s">
        <v>64</v>
      </c>
      <c r="C930" t="s">
        <v>67</v>
      </c>
      <c r="D930" s="18" t="s">
        <v>66</v>
      </c>
      <c r="E930" t="s">
        <v>307</v>
      </c>
      <c r="F930" t="s">
        <v>308</v>
      </c>
      <c r="G930">
        <v>-10</v>
      </c>
      <c r="H930">
        <v>0</v>
      </c>
      <c r="I930">
        <v>-5</v>
      </c>
      <c r="J930">
        <v>0.45</v>
      </c>
      <c r="K930">
        <v>-10</v>
      </c>
      <c r="L930">
        <v>0</v>
      </c>
      <c r="M930">
        <v>-5</v>
      </c>
      <c r="N930">
        <v>5</v>
      </c>
      <c r="O930">
        <v>1.6666666666666701</v>
      </c>
      <c r="P930"/>
      <c r="Q930">
        <v>0.16666666666666699</v>
      </c>
      <c r="R930">
        <v>0.345128761773489</v>
      </c>
      <c r="S930" s="11" t="s">
        <v>307</v>
      </c>
      <c r="T930" s="2" t="s">
        <v>307</v>
      </c>
      <c r="U930" s="3" t="s">
        <v>41</v>
      </c>
      <c r="V930" s="2" t="s">
        <v>283</v>
      </c>
      <c r="W930" s="2">
        <v>3</v>
      </c>
      <c r="X930" s="2">
        <v>8</v>
      </c>
      <c r="Y930" s="2">
        <v>1</v>
      </c>
      <c r="Z930" s="2">
        <v>0</v>
      </c>
      <c r="AA930" s="2">
        <v>0</v>
      </c>
      <c r="AB930" s="12">
        <f>(W930*4+X930*1+Y930*-2+Z930*-3)/W930</f>
        <v>6</v>
      </c>
      <c r="AC930" s="3">
        <f>W930*12.0107+X930*1.00784+Y930*15.999+Z930*14.0067</f>
        <v>60.093820000000001</v>
      </c>
      <c r="AD930" s="12">
        <v>82.5</v>
      </c>
      <c r="AE930" s="2" t="s">
        <v>262</v>
      </c>
      <c r="AF930" s="2" t="s">
        <v>79</v>
      </c>
      <c r="AG930" s="2" t="str">
        <f>IF(AD930&gt;37,"Proton symporter", "Diffusion")</f>
        <v>Proton symporter</v>
      </c>
      <c r="AH930" s="3" t="s">
        <v>309</v>
      </c>
    </row>
    <row r="931" spans="1:34" hidden="1" x14ac:dyDescent="0.2">
      <c r="A931" s="16" t="s">
        <v>317</v>
      </c>
      <c r="B931" s="9" t="s">
        <v>35</v>
      </c>
      <c r="C931" t="s">
        <v>48</v>
      </c>
      <c r="D931" s="10" t="s">
        <v>37</v>
      </c>
      <c r="E931" t="s">
        <v>327</v>
      </c>
      <c r="F931" t="s">
        <v>328</v>
      </c>
      <c r="G931">
        <v>-10</v>
      </c>
      <c r="H931">
        <v>-20</v>
      </c>
      <c r="I931" s="1" t="s">
        <v>40</v>
      </c>
      <c r="J931">
        <v>3.15</v>
      </c>
      <c r="K931">
        <v>-10</v>
      </c>
      <c r="L931">
        <v>-1.49901477832513</v>
      </c>
      <c r="M931" s="1" t="s">
        <v>40</v>
      </c>
      <c r="N931">
        <v>5.0448275862068996</v>
      </c>
      <c r="O931">
        <v>2.1364532019704501</v>
      </c>
      <c r="P931"/>
      <c r="Q931">
        <v>0.21364532019704399</v>
      </c>
      <c r="R931">
        <v>0.34491018849414101</v>
      </c>
      <c r="S931" s="20" t="s">
        <v>327</v>
      </c>
      <c r="T931" s="3" t="s">
        <v>327</v>
      </c>
      <c r="U931" s="3" t="s">
        <v>106</v>
      </c>
      <c r="V931" s="3" t="s">
        <v>329</v>
      </c>
      <c r="W931" s="3">
        <v>7</v>
      </c>
      <c r="X931" s="3">
        <v>16</v>
      </c>
      <c r="Y931" s="3">
        <v>0</v>
      </c>
      <c r="Z931" s="3">
        <v>0</v>
      </c>
      <c r="AA931" s="3">
        <v>0</v>
      </c>
      <c r="AB931" s="12">
        <f>(W931*4+X931*1+Y931*-2+Z931*-3)/W931</f>
        <v>6.2857142857142856</v>
      </c>
      <c r="AC931" s="3">
        <f>W931*12.0107+X931*1.00784+Y931*15.999+Z931*14.0067</f>
        <v>100.20034</v>
      </c>
      <c r="AD931" s="3">
        <v>98</v>
      </c>
      <c r="AE931" s="3" t="s">
        <v>321</v>
      </c>
      <c r="AF931" s="2" t="s">
        <v>79</v>
      </c>
      <c r="AG931" s="2" t="str">
        <f>IF(AD931&gt;37,"Proton symporter", "Diffusion")</f>
        <v>Proton symporter</v>
      </c>
      <c r="AH931" s="3" t="s">
        <v>330</v>
      </c>
    </row>
    <row r="932" spans="1:34" hidden="1" x14ac:dyDescent="0.2">
      <c r="A932" s="16" t="s">
        <v>317</v>
      </c>
      <c r="B932" s="9" t="s">
        <v>35</v>
      </c>
      <c r="C932" t="s">
        <v>56</v>
      </c>
      <c r="D932" s="14" t="s">
        <v>55</v>
      </c>
      <c r="E932" t="s">
        <v>323</v>
      </c>
      <c r="F932" t="s">
        <v>324</v>
      </c>
      <c r="G932">
        <v>-10</v>
      </c>
      <c r="H932">
        <v>-20</v>
      </c>
      <c r="I932" s="1" t="s">
        <v>40</v>
      </c>
      <c r="J932">
        <v>3.15</v>
      </c>
      <c r="K932">
        <v>-10</v>
      </c>
      <c r="L932">
        <v>-0.32700421940934399</v>
      </c>
      <c r="M932" s="1" t="s">
        <v>40</v>
      </c>
      <c r="N932">
        <v>7.8092827004218801</v>
      </c>
      <c r="O932">
        <v>2.7738396624472399</v>
      </c>
      <c r="P932"/>
      <c r="Q932">
        <v>0.277383966244724</v>
      </c>
      <c r="R932">
        <v>0.34404763147761203</v>
      </c>
      <c r="S932" s="11" t="s">
        <v>323</v>
      </c>
      <c r="T932" s="2" t="s">
        <v>323</v>
      </c>
      <c r="U932" s="3" t="s">
        <v>106</v>
      </c>
      <c r="V932" s="2" t="s">
        <v>325</v>
      </c>
      <c r="W932" s="2">
        <v>8</v>
      </c>
      <c r="X932" s="2">
        <v>18</v>
      </c>
      <c r="Y932" s="2">
        <v>0</v>
      </c>
      <c r="Z932" s="2">
        <v>0</v>
      </c>
      <c r="AA932" s="2">
        <v>0</v>
      </c>
      <c r="AB932" s="12">
        <f>(W932*4+X932*1+Y932*-2+Z932*-3)/W932</f>
        <v>6.25</v>
      </c>
      <c r="AC932" s="3">
        <f>W932*12.0107+X932*1.00784+Y932*15.999+Z932*14.0067</f>
        <v>114.22672</v>
      </c>
      <c r="AD932" s="12">
        <v>126</v>
      </c>
      <c r="AE932" s="3" t="s">
        <v>321</v>
      </c>
      <c r="AF932" s="2" t="s">
        <v>313</v>
      </c>
      <c r="AG932" s="2" t="str">
        <f>IF(AD932&gt;37,"Proton symporter", "Diffusion")</f>
        <v>Proton symporter</v>
      </c>
      <c r="AH932" s="3" t="s">
        <v>326</v>
      </c>
    </row>
    <row r="933" spans="1:34" hidden="1" x14ac:dyDescent="0.2">
      <c r="A933" s="8" t="s">
        <v>34</v>
      </c>
      <c r="B933" s="9" t="s">
        <v>35</v>
      </c>
      <c r="C933" s="1" t="s">
        <v>48</v>
      </c>
      <c r="D933" s="10" t="s">
        <v>37</v>
      </c>
      <c r="E933" s="1" t="s">
        <v>199</v>
      </c>
      <c r="F933" s="1" t="s">
        <v>200</v>
      </c>
      <c r="G933" s="1">
        <v>-10</v>
      </c>
      <c r="H933" s="1">
        <v>-20</v>
      </c>
      <c r="I933" s="1" t="s">
        <v>40</v>
      </c>
      <c r="J933" s="1">
        <v>3.15</v>
      </c>
      <c r="K933" s="1">
        <v>-10</v>
      </c>
      <c r="L933" s="1">
        <v>-8.2701785714285698</v>
      </c>
      <c r="M933" s="1" t="s">
        <v>40</v>
      </c>
      <c r="N933" s="1">
        <v>6.2225000000000001</v>
      </c>
      <c r="O933" s="1">
        <v>1.9682142857142899</v>
      </c>
      <c r="Q933" s="1">
        <v>0.19682142857142901</v>
      </c>
      <c r="R933" s="1">
        <v>0.34291668325028901</v>
      </c>
      <c r="S933" s="20" t="s">
        <v>201</v>
      </c>
      <c r="T933" s="3" t="s">
        <v>201</v>
      </c>
      <c r="U933" s="3" t="s">
        <v>106</v>
      </c>
      <c r="V933" s="3" t="s">
        <v>202</v>
      </c>
      <c r="W933" s="3">
        <v>7</v>
      </c>
      <c r="X933" s="3">
        <v>8</v>
      </c>
      <c r="Y933" s="3">
        <v>1</v>
      </c>
      <c r="Z933" s="3">
        <v>0</v>
      </c>
      <c r="AA933" s="3">
        <v>0</v>
      </c>
      <c r="AB933" s="12">
        <f>(W933*4+X933*1+Y933*-2+Z933*-3)/W933</f>
        <v>4.8571428571428568</v>
      </c>
      <c r="AC933" s="3">
        <f>W933*12.0107+X933*1.00784+Y933*15.999+Z933*14.0067</f>
        <v>108.13661999999999</v>
      </c>
      <c r="AD933" s="12">
        <v>205</v>
      </c>
      <c r="AE933" s="3" t="s">
        <v>176</v>
      </c>
      <c r="AF933" s="3" t="s">
        <v>203</v>
      </c>
      <c r="AG933" s="2" t="str">
        <f>IF(AD933&gt;37,"Proton symporter", "Diffusion")</f>
        <v>Proton symporter</v>
      </c>
      <c r="AH933" s="3" t="s">
        <v>204</v>
      </c>
    </row>
    <row r="934" spans="1:34" hidden="1" x14ac:dyDescent="0.2">
      <c r="A934" s="16" t="s">
        <v>317</v>
      </c>
      <c r="B934" s="9" t="s">
        <v>35</v>
      </c>
      <c r="C934" t="s">
        <v>56</v>
      </c>
      <c r="D934" s="14" t="s">
        <v>55</v>
      </c>
      <c r="E934" t="s">
        <v>318</v>
      </c>
      <c r="F934" t="s">
        <v>319</v>
      </c>
      <c r="G934">
        <v>-10</v>
      </c>
      <c r="H934">
        <v>-20</v>
      </c>
      <c r="I934" s="1" t="s">
        <v>40</v>
      </c>
      <c r="J934">
        <v>3.15</v>
      </c>
      <c r="K934">
        <v>-10</v>
      </c>
      <c r="L934">
        <v>-0.52958801498128005</v>
      </c>
      <c r="M934" s="1" t="s">
        <v>40</v>
      </c>
      <c r="N934">
        <v>7.8404494382022198</v>
      </c>
      <c r="O934">
        <v>2.4621722846441898</v>
      </c>
      <c r="P934"/>
      <c r="Q934">
        <v>0.24621722846441901</v>
      </c>
      <c r="R934">
        <v>0.34289079141217099</v>
      </c>
      <c r="S934" s="20" t="s">
        <v>318</v>
      </c>
      <c r="T934" s="3" t="s">
        <v>318</v>
      </c>
      <c r="U934" s="3" t="s">
        <v>106</v>
      </c>
      <c r="V934" s="3" t="s">
        <v>320</v>
      </c>
      <c r="W934" s="3">
        <v>9</v>
      </c>
      <c r="X934" s="3">
        <v>20</v>
      </c>
      <c r="Y934" s="3">
        <v>0</v>
      </c>
      <c r="Z934" s="3">
        <v>0</v>
      </c>
      <c r="AA934" s="3">
        <v>0</v>
      </c>
      <c r="AB934" s="12">
        <f>(W934*4+X934*1+Y934*-2+Z934*-3)/W934</f>
        <v>6.2222222222222223</v>
      </c>
      <c r="AC934" s="3">
        <f>W934*12.0107+X934*1.00784+Y934*15.999+Z934*14.0067</f>
        <v>128.25309999999999</v>
      </c>
      <c r="AD934" s="12">
        <v>151</v>
      </c>
      <c r="AE934" s="3" t="s">
        <v>321</v>
      </c>
      <c r="AF934" s="2" t="s">
        <v>79</v>
      </c>
      <c r="AG934" s="2" t="str">
        <f>IF(AD934&gt;37,"Proton symporter", "Diffusion")</f>
        <v>Proton symporter</v>
      </c>
      <c r="AH934" s="3" t="s">
        <v>322</v>
      </c>
    </row>
    <row r="935" spans="1:34" hidden="1" x14ac:dyDescent="0.2">
      <c r="A935" s="8" t="s">
        <v>34</v>
      </c>
      <c r="B935" s="9" t="s">
        <v>35</v>
      </c>
      <c r="C935" s="1" t="s">
        <v>47</v>
      </c>
      <c r="D935" s="10" t="s">
        <v>37</v>
      </c>
      <c r="E935" s="1" t="s">
        <v>305</v>
      </c>
      <c r="F935" s="1" t="s">
        <v>301</v>
      </c>
      <c r="G935" s="1">
        <v>-10</v>
      </c>
      <c r="H935" s="1">
        <v>-20</v>
      </c>
      <c r="I935" s="1" t="s">
        <v>40</v>
      </c>
      <c r="J935" s="1">
        <v>3.15</v>
      </c>
      <c r="K935" s="1">
        <v>-10</v>
      </c>
      <c r="L935" s="1">
        <v>-7.7892617449664403</v>
      </c>
      <c r="M935" s="1" t="s">
        <v>40</v>
      </c>
      <c r="N935" s="1">
        <v>8.5261744966443</v>
      </c>
      <c r="O935" s="1">
        <v>2.8684563758389299</v>
      </c>
      <c r="Q935" s="1">
        <v>0.28684563758389298</v>
      </c>
      <c r="R935" s="1">
        <v>0.34255339486172298</v>
      </c>
      <c r="S935" s="20" t="s">
        <v>305</v>
      </c>
      <c r="T935" s="3" t="s">
        <v>306</v>
      </c>
      <c r="U935" s="3" t="s">
        <v>106</v>
      </c>
      <c r="V935" s="3" t="s">
        <v>303</v>
      </c>
      <c r="W935" s="3">
        <v>4</v>
      </c>
      <c r="X935" s="3">
        <v>10</v>
      </c>
      <c r="Y935" s="3">
        <v>1</v>
      </c>
      <c r="Z935" s="3">
        <v>0</v>
      </c>
      <c r="AA935" s="3">
        <v>0</v>
      </c>
      <c r="AB935" s="12">
        <f>(W935*4+X935*1+Y935*-2+Z935*-3)/W935</f>
        <v>6</v>
      </c>
      <c r="AC935" s="3">
        <f>W935*12.0107+X935*1.00784+Y935*15.999+Z935*14.0067</f>
        <v>74.120199999999997</v>
      </c>
      <c r="AD935" s="12">
        <v>117.7</v>
      </c>
      <c r="AE935" s="3" t="s">
        <v>262</v>
      </c>
      <c r="AF935" s="3" t="s">
        <v>44</v>
      </c>
      <c r="AG935" s="2" t="str">
        <f>IF(AD935&gt;37,"Proton symporter", "Diffusion")</f>
        <v>Proton symporter</v>
      </c>
      <c r="AH935" s="3" t="s">
        <v>304</v>
      </c>
    </row>
    <row r="936" spans="1:34" hidden="1" x14ac:dyDescent="0.2">
      <c r="A936" s="16" t="s">
        <v>63</v>
      </c>
      <c r="B936" s="17" t="s">
        <v>64</v>
      </c>
      <c r="C936" t="s">
        <v>72</v>
      </c>
      <c r="D936" s="18" t="s">
        <v>66</v>
      </c>
      <c r="E936" t="s">
        <v>240</v>
      </c>
      <c r="F936" t="s">
        <v>235</v>
      </c>
      <c r="G936">
        <v>-10</v>
      </c>
      <c r="H936">
        <v>0</v>
      </c>
      <c r="I936">
        <v>-10</v>
      </c>
      <c r="J936">
        <v>0.45</v>
      </c>
      <c r="K936">
        <v>-10</v>
      </c>
      <c r="L936">
        <v>0</v>
      </c>
      <c r="M936">
        <v>-10</v>
      </c>
      <c r="N936">
        <v>2.7272727272727302</v>
      </c>
      <c r="O936">
        <v>1.8181818181818199</v>
      </c>
      <c r="P936"/>
      <c r="Q936">
        <v>0.18181818181818199</v>
      </c>
      <c r="R936">
        <v>0.34100823088868798</v>
      </c>
      <c r="S936" s="20" t="s">
        <v>241</v>
      </c>
      <c r="T936" s="3" t="s">
        <v>242</v>
      </c>
      <c r="U936" s="3" t="s">
        <v>106</v>
      </c>
      <c r="V936" s="3" t="s">
        <v>238</v>
      </c>
      <c r="W936" s="3">
        <v>4</v>
      </c>
      <c r="X936" s="3">
        <v>10</v>
      </c>
      <c r="Y936" s="3">
        <v>2</v>
      </c>
      <c r="Z936" s="3">
        <v>0</v>
      </c>
      <c r="AA936" s="3">
        <v>0</v>
      </c>
      <c r="AB936" s="12">
        <f>(W936*4+X936*1+Y936*-2+Z936*-3)/W936</f>
        <v>5.5</v>
      </c>
      <c r="AC936" s="3">
        <f>W936*12.0107+X936*1.00784+Y936*15.999+Z936*14.0067</f>
        <v>90.119200000000006</v>
      </c>
      <c r="AD936" s="12">
        <v>207</v>
      </c>
      <c r="AE936" s="2" t="s">
        <v>220</v>
      </c>
      <c r="AF936" s="3" t="s">
        <v>243</v>
      </c>
      <c r="AG936" s="2" t="str">
        <f>IF(AD936&gt;37,"Proton symporter", "Diffusion")</f>
        <v>Proton symporter</v>
      </c>
      <c r="AH936" s="3" t="s">
        <v>239</v>
      </c>
    </row>
    <row r="937" spans="1:34" hidden="1" x14ac:dyDescent="0.2">
      <c r="A937" s="16" t="s">
        <v>63</v>
      </c>
      <c r="B937" s="17" t="s">
        <v>64</v>
      </c>
      <c r="C937" t="s">
        <v>72</v>
      </c>
      <c r="D937" s="18" t="s">
        <v>66</v>
      </c>
      <c r="E937" t="s">
        <v>249</v>
      </c>
      <c r="F937" t="s">
        <v>250</v>
      </c>
      <c r="G937">
        <v>-10</v>
      </c>
      <c r="H937">
        <v>0</v>
      </c>
      <c r="I937">
        <v>-10</v>
      </c>
      <c r="J937">
        <v>0.45</v>
      </c>
      <c r="K937">
        <v>-10</v>
      </c>
      <c r="L937">
        <v>0</v>
      </c>
      <c r="M937">
        <v>-10</v>
      </c>
      <c r="N937">
        <v>2.7272727272727302</v>
      </c>
      <c r="O937">
        <v>1.8181818181818199</v>
      </c>
      <c r="P937"/>
      <c r="Q937">
        <v>0.18181818181818199</v>
      </c>
      <c r="R937">
        <v>0.34100823088868798</v>
      </c>
      <c r="S937" s="20" t="s">
        <v>251</v>
      </c>
      <c r="T937" s="3" t="s">
        <v>252</v>
      </c>
      <c r="U937" s="3" t="s">
        <v>106</v>
      </c>
      <c r="V937" s="3" t="s">
        <v>238</v>
      </c>
      <c r="W937" s="3">
        <v>4</v>
      </c>
      <c r="X937" s="3">
        <v>10</v>
      </c>
      <c r="Y937" s="3">
        <v>2</v>
      </c>
      <c r="Z937" s="3">
        <v>0</v>
      </c>
      <c r="AA937" s="3">
        <v>0</v>
      </c>
      <c r="AB937" s="12">
        <f>(W937*4+X937*1+Y937*-2+Z937*-3)/W937</f>
        <v>5.5</v>
      </c>
      <c r="AC937" s="3">
        <f>W937*12.0107+X937*1.00784+Y937*15.999+Z937*14.0067</f>
        <v>90.119200000000006</v>
      </c>
      <c r="AD937" s="12">
        <v>177</v>
      </c>
      <c r="AE937" s="3" t="s">
        <v>220</v>
      </c>
      <c r="AF937" s="3" t="s">
        <v>135</v>
      </c>
      <c r="AG937" s="2" t="str">
        <f>IF(AD937&gt;37,"Proton symporter", "Diffusion")</f>
        <v>Proton symporter</v>
      </c>
      <c r="AH937" s="3" t="s">
        <v>253</v>
      </c>
    </row>
    <row r="938" spans="1:34" hidden="1" x14ac:dyDescent="0.2">
      <c r="A938" s="16" t="s">
        <v>63</v>
      </c>
      <c r="B938" s="17" t="s">
        <v>64</v>
      </c>
      <c r="C938" t="s">
        <v>72</v>
      </c>
      <c r="D938" s="18" t="s">
        <v>66</v>
      </c>
      <c r="E938" t="s">
        <v>234</v>
      </c>
      <c r="F938" t="s">
        <v>235</v>
      </c>
      <c r="G938">
        <v>-10</v>
      </c>
      <c r="H938">
        <v>0</v>
      </c>
      <c r="I938">
        <v>-10</v>
      </c>
      <c r="J938">
        <v>0.45</v>
      </c>
      <c r="K938">
        <v>-10</v>
      </c>
      <c r="L938">
        <v>0</v>
      </c>
      <c r="M938">
        <v>-10</v>
      </c>
      <c r="N938">
        <v>2.7272727272727302</v>
      </c>
      <c r="O938">
        <v>1.8181818181818199</v>
      </c>
      <c r="P938"/>
      <c r="Q938">
        <v>0.18181818181818199</v>
      </c>
      <c r="R938">
        <v>0.34100539211049102</v>
      </c>
      <c r="S938" s="20" t="s">
        <v>236</v>
      </c>
      <c r="T938" s="3" t="s">
        <v>237</v>
      </c>
      <c r="U938" s="3" t="s">
        <v>106</v>
      </c>
      <c r="V938" s="3" t="s">
        <v>238</v>
      </c>
      <c r="W938" s="3">
        <v>4</v>
      </c>
      <c r="X938" s="3">
        <v>10</v>
      </c>
      <c r="Y938" s="3">
        <v>2</v>
      </c>
      <c r="Z938" s="3">
        <v>0</v>
      </c>
      <c r="AA938" s="3">
        <v>0</v>
      </c>
      <c r="AB938" s="12">
        <f>(W938*4+X938*1+Y938*-2+Z938*-3)/W938</f>
        <v>5.5</v>
      </c>
      <c r="AC938" s="3">
        <f>W938*12.0107+X938*1.00784+Y938*15.999+Z938*14.0067</f>
        <v>90.119200000000006</v>
      </c>
      <c r="AD938" s="12">
        <v>207</v>
      </c>
      <c r="AE938" s="2" t="s">
        <v>220</v>
      </c>
      <c r="AF938" s="3" t="s">
        <v>79</v>
      </c>
      <c r="AG938" s="2" t="str">
        <f>IF(AD938&gt;37,"Proton symporter", "Diffusion")</f>
        <v>Proton symporter</v>
      </c>
      <c r="AH938" s="3" t="s">
        <v>239</v>
      </c>
    </row>
    <row r="939" spans="1:34" hidden="1" x14ac:dyDescent="0.2">
      <c r="A939" s="16" t="s">
        <v>74</v>
      </c>
      <c r="B939" s="9" t="s">
        <v>35</v>
      </c>
      <c r="C939" t="s">
        <v>48</v>
      </c>
      <c r="D939" s="10" t="s">
        <v>37</v>
      </c>
      <c r="E939" t="s">
        <v>268</v>
      </c>
      <c r="F939" t="s">
        <v>269</v>
      </c>
      <c r="G939">
        <v>-10</v>
      </c>
      <c r="H939">
        <v>-20</v>
      </c>
      <c r="I939" s="1" t="s">
        <v>40</v>
      </c>
      <c r="J939">
        <v>3.15</v>
      </c>
      <c r="K939">
        <v>-10</v>
      </c>
      <c r="L939">
        <v>-3.2970464135021098</v>
      </c>
      <c r="M939" s="1" t="s">
        <v>40</v>
      </c>
      <c r="N939">
        <v>4.4978902953586601</v>
      </c>
      <c r="O939">
        <v>1.55021097046414</v>
      </c>
      <c r="P939"/>
      <c r="Q939">
        <v>0.15502109704641401</v>
      </c>
      <c r="R939">
        <v>0.34026304573987998</v>
      </c>
      <c r="S939" s="3" t="s">
        <v>268</v>
      </c>
      <c r="T939" s="3" t="s">
        <v>268</v>
      </c>
      <c r="U939" s="3" t="s">
        <v>106</v>
      </c>
      <c r="V939" s="3" t="s">
        <v>270</v>
      </c>
      <c r="W939" s="3">
        <v>10</v>
      </c>
      <c r="X939" s="3">
        <v>16</v>
      </c>
      <c r="Y939" s="3">
        <v>0</v>
      </c>
      <c r="Z939" s="3">
        <v>0</v>
      </c>
      <c r="AA939" s="3">
        <v>0</v>
      </c>
      <c r="AB939" s="12">
        <f>(W939*4+X939*1+Y939*-2+Z939*-3)/W939</f>
        <v>5.6</v>
      </c>
      <c r="AC939" s="3">
        <f>W939*12.0107+X939*1.00784+Y939*15.999+Z939*14.0067</f>
        <v>136.23244</v>
      </c>
      <c r="AD939" s="12">
        <v>176</v>
      </c>
      <c r="AE939" s="3" t="s">
        <v>271</v>
      </c>
      <c r="AF939" s="3" t="s">
        <v>79</v>
      </c>
      <c r="AG939" s="2" t="str">
        <f>IF(AD939&gt;37,"Proton symporter", "Diffusion")</f>
        <v>Proton symporter</v>
      </c>
      <c r="AH939" s="3" t="s">
        <v>272</v>
      </c>
    </row>
    <row r="940" spans="1:34" hidden="1" x14ac:dyDescent="0.2">
      <c r="A940" s="16" t="s">
        <v>317</v>
      </c>
      <c r="B940" s="9" t="s">
        <v>35</v>
      </c>
      <c r="C940" t="s">
        <v>56</v>
      </c>
      <c r="D940" s="14" t="s">
        <v>55</v>
      </c>
      <c r="E940" t="s">
        <v>331</v>
      </c>
      <c r="F940" t="s">
        <v>332</v>
      </c>
      <c r="G940">
        <v>-10</v>
      </c>
      <c r="H940">
        <v>-20</v>
      </c>
      <c r="I940" s="1" t="s">
        <v>40</v>
      </c>
      <c r="J940">
        <v>3.15</v>
      </c>
      <c r="K940">
        <v>-10</v>
      </c>
      <c r="L940">
        <v>-0.49558011049724499</v>
      </c>
      <c r="M940" s="1" t="s">
        <v>40</v>
      </c>
      <c r="N940">
        <v>8.2077348066298192</v>
      </c>
      <c r="O940">
        <v>3.6320441988950201</v>
      </c>
      <c r="P940"/>
      <c r="Q940">
        <v>0.36320441988950197</v>
      </c>
      <c r="R940">
        <v>0.33985736666565902</v>
      </c>
      <c r="S940" s="11" t="s">
        <v>331</v>
      </c>
      <c r="T940" s="2" t="s">
        <v>331</v>
      </c>
      <c r="U940" s="3" t="s">
        <v>106</v>
      </c>
      <c r="V940" s="3" t="s">
        <v>333</v>
      </c>
      <c r="W940" s="2">
        <v>6</v>
      </c>
      <c r="X940" s="2">
        <v>14</v>
      </c>
      <c r="Y940" s="2">
        <v>0</v>
      </c>
      <c r="Z940" s="2">
        <v>0</v>
      </c>
      <c r="AA940" s="2">
        <v>0</v>
      </c>
      <c r="AB940" s="12">
        <f>(W940*4+X940*1+Y940*-2+Z940*-3)/W940</f>
        <v>6.333333333333333</v>
      </c>
      <c r="AC940" s="3">
        <f>W940*12.0107+X940*1.00784+Y940*15.999+Z940*14.0067</f>
        <v>86.173959999999994</v>
      </c>
      <c r="AD940" s="12">
        <v>69</v>
      </c>
      <c r="AE940" s="3" t="s">
        <v>321</v>
      </c>
      <c r="AF940" s="2" t="s">
        <v>313</v>
      </c>
      <c r="AG940" s="2" t="str">
        <f>IF(AD940&gt;37,"Proton symporter", "Diffusion")</f>
        <v>Proton symporter</v>
      </c>
      <c r="AH940" s="3" t="s">
        <v>334</v>
      </c>
    </row>
    <row r="941" spans="1:34" hidden="1" x14ac:dyDescent="0.2">
      <c r="A941" s="8" t="s">
        <v>34</v>
      </c>
      <c r="B941" s="9" t="s">
        <v>35</v>
      </c>
      <c r="C941" s="1" t="s">
        <v>48</v>
      </c>
      <c r="D941" s="10" t="s">
        <v>37</v>
      </c>
      <c r="E941" s="1" t="s">
        <v>254</v>
      </c>
      <c r="F941" s="1" t="s">
        <v>255</v>
      </c>
      <c r="G941" s="1">
        <v>-10</v>
      </c>
      <c r="H941" s="1">
        <v>-20</v>
      </c>
      <c r="I941" s="1" t="s">
        <v>40</v>
      </c>
      <c r="J941" s="1">
        <v>3.15</v>
      </c>
      <c r="K941" s="1">
        <v>-10</v>
      </c>
      <c r="L941" s="1">
        <v>-3.3275280898876298</v>
      </c>
      <c r="M941" s="1" t="s">
        <v>40</v>
      </c>
      <c r="N941" s="1">
        <v>4.5196629213482904</v>
      </c>
      <c r="O941" s="1">
        <v>1.0320224719101101</v>
      </c>
      <c r="Q941" s="1">
        <v>0.103202247191011</v>
      </c>
      <c r="R941" s="1">
        <v>0.33978514820372802</v>
      </c>
      <c r="S941" s="11" t="s">
        <v>254</v>
      </c>
      <c r="T941" s="2" t="s">
        <v>254</v>
      </c>
      <c r="U941" s="3" t="s">
        <v>41</v>
      </c>
      <c r="V941" s="2" t="s">
        <v>256</v>
      </c>
      <c r="W941" s="2">
        <v>15</v>
      </c>
      <c r="X941" s="2">
        <v>24</v>
      </c>
      <c r="Y941" s="2">
        <v>0</v>
      </c>
      <c r="Z941" s="2">
        <v>0</v>
      </c>
      <c r="AA941" s="2">
        <v>0</v>
      </c>
      <c r="AB941" s="12">
        <f>(W941*4+X941*1+Y941*-2+Z941*-3)/W941+0.01</f>
        <v>5.6099999999999994</v>
      </c>
      <c r="AC941" s="3">
        <f>W941*12.0107+X941*1.00784+Y941*15.999+Z941*14.0067</f>
        <v>204.34866000000002</v>
      </c>
      <c r="AD941" s="12" t="s">
        <v>257</v>
      </c>
      <c r="AE941" s="2" t="s">
        <v>231</v>
      </c>
      <c r="AF941" s="2" t="s">
        <v>79</v>
      </c>
      <c r="AG941" s="2" t="str">
        <f>IF(AD941&gt;37,"Proton symporter", "Diffusion")</f>
        <v>Proton symporter</v>
      </c>
      <c r="AH941" s="3" t="s">
        <v>258</v>
      </c>
    </row>
    <row r="942" spans="1:34" hidden="1" x14ac:dyDescent="0.2">
      <c r="A942" s="16" t="s">
        <v>317</v>
      </c>
      <c r="B942" s="9" t="s">
        <v>35</v>
      </c>
      <c r="C942" t="s">
        <v>48</v>
      </c>
      <c r="D942" s="10" t="s">
        <v>37</v>
      </c>
      <c r="E942" t="s">
        <v>331</v>
      </c>
      <c r="F942" t="s">
        <v>332</v>
      </c>
      <c r="G942">
        <v>-10</v>
      </c>
      <c r="H942">
        <v>-20</v>
      </c>
      <c r="I942" s="1" t="s">
        <v>40</v>
      </c>
      <c r="J942">
        <v>3.15</v>
      </c>
      <c r="K942">
        <v>-10</v>
      </c>
      <c r="L942">
        <v>-1.7584507042253601</v>
      </c>
      <c r="M942" s="1" t="s">
        <v>40</v>
      </c>
      <c r="N942">
        <v>5.3211267605633799</v>
      </c>
      <c r="O942">
        <v>2.4464788732394398</v>
      </c>
      <c r="P942"/>
      <c r="Q942">
        <v>0.24464788732394399</v>
      </c>
      <c r="R942">
        <v>0.33967295116742702</v>
      </c>
      <c r="S942" s="11" t="s">
        <v>331</v>
      </c>
      <c r="T942" s="2" t="s">
        <v>331</v>
      </c>
      <c r="U942" s="3" t="s">
        <v>106</v>
      </c>
      <c r="V942" s="3" t="s">
        <v>333</v>
      </c>
      <c r="W942" s="2">
        <v>6</v>
      </c>
      <c r="X942" s="2">
        <v>14</v>
      </c>
      <c r="Y942" s="2">
        <v>0</v>
      </c>
      <c r="Z942" s="2">
        <v>0</v>
      </c>
      <c r="AA942" s="2">
        <v>0</v>
      </c>
      <c r="AB942" s="12">
        <f>(W942*4+X942*1+Y942*-2+Z942*-3)/W942</f>
        <v>6.333333333333333</v>
      </c>
      <c r="AC942" s="3">
        <f>W942*12.0107+X942*1.00784+Y942*15.999+Z942*14.0067</f>
        <v>86.173959999999994</v>
      </c>
      <c r="AD942" s="12">
        <v>69</v>
      </c>
      <c r="AE942" s="3" t="s">
        <v>321</v>
      </c>
      <c r="AF942" s="2" t="s">
        <v>313</v>
      </c>
      <c r="AG942" s="2" t="str">
        <f>IF(AD942&gt;37,"Proton symporter", "Diffusion")</f>
        <v>Proton symporter</v>
      </c>
      <c r="AH942" s="3" t="s">
        <v>334</v>
      </c>
    </row>
    <row r="943" spans="1:34" x14ac:dyDescent="0.2">
      <c r="A943" s="16" t="s">
        <v>63</v>
      </c>
      <c r="B943" s="17" t="s">
        <v>64</v>
      </c>
      <c r="C943" t="s">
        <v>65</v>
      </c>
      <c r="D943" s="18" t="s">
        <v>66</v>
      </c>
      <c r="E943" t="s">
        <v>216</v>
      </c>
      <c r="F943" t="s">
        <v>217</v>
      </c>
      <c r="G943">
        <v>-10</v>
      </c>
      <c r="H943">
        <v>0</v>
      </c>
      <c r="I943">
        <v>0</v>
      </c>
      <c r="J943">
        <v>0.45</v>
      </c>
      <c r="K943">
        <v>-10</v>
      </c>
      <c r="L943">
        <v>0</v>
      </c>
      <c r="M943">
        <v>0</v>
      </c>
      <c r="N943">
        <v>6.2500000000000098</v>
      </c>
      <c r="O943">
        <v>1.25</v>
      </c>
      <c r="P943"/>
      <c r="Q943">
        <v>0.125</v>
      </c>
      <c r="R943">
        <v>0.339578811138879</v>
      </c>
      <c r="S943" s="11" t="s">
        <v>216</v>
      </c>
      <c r="T943" s="2" t="s">
        <v>218</v>
      </c>
      <c r="U943" s="3" t="s">
        <v>41</v>
      </c>
      <c r="V943" s="2" t="s">
        <v>219</v>
      </c>
      <c r="W943" s="2">
        <v>3</v>
      </c>
      <c r="X943" s="2">
        <v>8</v>
      </c>
      <c r="Y943" s="2">
        <v>2</v>
      </c>
      <c r="Z943" s="2">
        <v>0</v>
      </c>
      <c r="AA943" s="2">
        <v>0</v>
      </c>
      <c r="AB943" s="12">
        <f>(W943*4+X943*1+Y943*-2+Z943*-3)/W943</f>
        <v>5.333333333333333</v>
      </c>
      <c r="AC943" s="3">
        <f>W943*12.0107+X943*1.00784+Y943*15.999+Z943*14.0067</f>
        <v>76.092820000000003</v>
      </c>
      <c r="AD943" s="12">
        <v>213</v>
      </c>
      <c r="AE943" s="2" t="s">
        <v>220</v>
      </c>
      <c r="AF943" s="2" t="s">
        <v>98</v>
      </c>
      <c r="AG943" s="2" t="str">
        <f>IF(AD943&gt;37,"Proton symporter", "Diffusion")</f>
        <v>Proton symporter</v>
      </c>
      <c r="AH943" s="3" t="s">
        <v>221</v>
      </c>
    </row>
    <row r="944" spans="1:34" hidden="1" x14ac:dyDescent="0.2">
      <c r="A944" s="8" t="s">
        <v>34</v>
      </c>
      <c r="B944" s="9" t="s">
        <v>35</v>
      </c>
      <c r="C944" s="1" t="s">
        <v>61</v>
      </c>
      <c r="D944" s="13" t="s">
        <v>51</v>
      </c>
      <c r="E944" s="1" t="s">
        <v>286</v>
      </c>
      <c r="F944" s="1" t="s">
        <v>280</v>
      </c>
      <c r="G944" s="1">
        <v>-10</v>
      </c>
      <c r="H944" s="1">
        <v>-20</v>
      </c>
      <c r="I944" s="1" t="s">
        <v>40</v>
      </c>
      <c r="J944" s="1">
        <v>3.15</v>
      </c>
      <c r="K944" s="1">
        <v>-10</v>
      </c>
      <c r="L944" s="1">
        <v>-6.8540816326530596</v>
      </c>
      <c r="M944" s="1" t="s">
        <v>40</v>
      </c>
      <c r="N944" s="1">
        <v>4.5693877551020599</v>
      </c>
      <c r="O944" s="1">
        <v>1.8102040816326599</v>
      </c>
      <c r="Q944" s="1">
        <v>0.18102040816326601</v>
      </c>
      <c r="R944" s="1">
        <v>0.33950836284722902</v>
      </c>
      <c r="S944" s="20" t="s">
        <v>287</v>
      </c>
      <c r="T944" s="3" t="s">
        <v>288</v>
      </c>
      <c r="U944" s="3" t="s">
        <v>174</v>
      </c>
      <c r="V944" s="3" t="s">
        <v>283</v>
      </c>
      <c r="W944" s="3">
        <v>3</v>
      </c>
      <c r="X944" s="3">
        <v>8</v>
      </c>
      <c r="Y944" s="3">
        <v>1</v>
      </c>
      <c r="Z944" s="3">
        <v>0</v>
      </c>
      <c r="AA944" s="3">
        <v>0</v>
      </c>
      <c r="AB944" s="12">
        <f>(W944*4+X944*1+Y944*-2+Z944*-3)/W944</f>
        <v>6</v>
      </c>
      <c r="AC944" s="3">
        <f>W944*12.0107+X944*1.00784+Y944*15.999+Z944*14.0067</f>
        <v>60.093820000000001</v>
      </c>
      <c r="AD944" s="12">
        <v>97</v>
      </c>
      <c r="AE944" s="2" t="s">
        <v>262</v>
      </c>
      <c r="AF944" s="3" t="s">
        <v>44</v>
      </c>
      <c r="AG944" s="2" t="str">
        <f>IF(AD944&gt;37,"Proton symporter", "Diffusion")</f>
        <v>Proton symporter</v>
      </c>
      <c r="AH944" s="3" t="s">
        <v>285</v>
      </c>
    </row>
    <row r="945" spans="1:34" hidden="1" x14ac:dyDescent="0.2">
      <c r="A945" s="16" t="s">
        <v>317</v>
      </c>
      <c r="B945" s="9" t="s">
        <v>35</v>
      </c>
      <c r="C945" t="s">
        <v>56</v>
      </c>
      <c r="D945" s="14" t="s">
        <v>55</v>
      </c>
      <c r="E945" t="s">
        <v>327</v>
      </c>
      <c r="F945" t="s">
        <v>328</v>
      </c>
      <c r="G945">
        <v>-10</v>
      </c>
      <c r="H945">
        <v>-20</v>
      </c>
      <c r="I945" s="1" t="s">
        <v>40</v>
      </c>
      <c r="J945">
        <v>3.15</v>
      </c>
      <c r="K945">
        <v>-10</v>
      </c>
      <c r="L945">
        <v>-0.72796208530805795</v>
      </c>
      <c r="M945" s="1" t="s">
        <v>40</v>
      </c>
      <c r="N945">
        <v>8.1905213270142205</v>
      </c>
      <c r="O945">
        <v>3.1156398104265399</v>
      </c>
      <c r="P945"/>
      <c r="Q945">
        <v>0.31156398104265398</v>
      </c>
      <c r="R945">
        <v>0.33898927020539998</v>
      </c>
      <c r="S945" s="20" t="s">
        <v>327</v>
      </c>
      <c r="T945" s="3" t="s">
        <v>327</v>
      </c>
      <c r="U945" s="3" t="s">
        <v>106</v>
      </c>
      <c r="V945" s="3" t="s">
        <v>329</v>
      </c>
      <c r="W945" s="3">
        <v>7</v>
      </c>
      <c r="X945" s="3">
        <v>16</v>
      </c>
      <c r="Y945" s="3">
        <v>0</v>
      </c>
      <c r="Z945" s="3">
        <v>0</v>
      </c>
      <c r="AA945" s="3">
        <v>0</v>
      </c>
      <c r="AB945" s="12">
        <f>(W945*4+X945*1+Y945*-2+Z945*-3)/W945</f>
        <v>6.2857142857142856</v>
      </c>
      <c r="AC945" s="3">
        <f>W945*12.0107+X945*1.00784+Y945*15.999+Z945*14.0067</f>
        <v>100.20034</v>
      </c>
      <c r="AD945" s="3">
        <v>98</v>
      </c>
      <c r="AE945" s="3" t="s">
        <v>321</v>
      </c>
      <c r="AF945" s="2" t="s">
        <v>79</v>
      </c>
      <c r="AG945" s="2" t="str">
        <f>IF(AD945&gt;37,"Proton symporter", "Diffusion")</f>
        <v>Proton symporter</v>
      </c>
      <c r="AH945" s="3" t="s">
        <v>330</v>
      </c>
    </row>
    <row r="946" spans="1:34" hidden="1" x14ac:dyDescent="0.2">
      <c r="A946" s="8" t="s">
        <v>34</v>
      </c>
      <c r="B946" s="9" t="s">
        <v>35</v>
      </c>
      <c r="C946" s="1" t="s">
        <v>48</v>
      </c>
      <c r="D946" s="10" t="s">
        <v>37</v>
      </c>
      <c r="E946" s="1" t="s">
        <v>264</v>
      </c>
      <c r="F946" s="1" t="s">
        <v>265</v>
      </c>
      <c r="G946" s="1">
        <v>-10</v>
      </c>
      <c r="H946" s="1">
        <v>-20</v>
      </c>
      <c r="I946" s="1" t="s">
        <v>40</v>
      </c>
      <c r="J946" s="1">
        <v>3.15</v>
      </c>
      <c r="K946" s="1">
        <v>-10</v>
      </c>
      <c r="L946" s="1">
        <v>-3.3882352941176501</v>
      </c>
      <c r="M946" s="1" t="s">
        <v>40</v>
      </c>
      <c r="N946" s="1">
        <v>4.5630252100840201</v>
      </c>
      <c r="O946" s="1">
        <v>3.0873949579831899</v>
      </c>
      <c r="Q946" s="1">
        <v>0.308739495798319</v>
      </c>
      <c r="R946" s="1">
        <v>0.33883336907710698</v>
      </c>
      <c r="S946" s="20" t="s">
        <v>264</v>
      </c>
      <c r="T946" s="3" t="s">
        <v>264</v>
      </c>
      <c r="U946" s="3" t="s">
        <v>106</v>
      </c>
      <c r="V946" s="3" t="s">
        <v>266</v>
      </c>
      <c r="W946" s="3">
        <v>5</v>
      </c>
      <c r="X946" s="3">
        <v>8</v>
      </c>
      <c r="Y946" s="3">
        <v>0</v>
      </c>
      <c r="Z946" s="3">
        <v>0</v>
      </c>
      <c r="AA946" s="3">
        <v>0</v>
      </c>
      <c r="AB946" s="12">
        <f>(W946*4+X946*1+Y946*-2+Z946*-3)/W946</f>
        <v>5.6</v>
      </c>
      <c r="AC946" s="3">
        <f>W946*12.0107+X946*1.00784+Y946*15.999+Z946*14.0067</f>
        <v>68.116219999999998</v>
      </c>
      <c r="AD946" s="24">
        <v>34.07</v>
      </c>
      <c r="AE946" s="3" t="s">
        <v>231</v>
      </c>
      <c r="AF946" s="3" t="s">
        <v>79</v>
      </c>
      <c r="AG946" s="25" t="str">
        <f>IF(AD946&gt;37,"Proton symporter", "Diffusion")</f>
        <v>Diffusion</v>
      </c>
      <c r="AH946" s="3" t="s">
        <v>267</v>
      </c>
    </row>
    <row r="947" spans="1:34" hidden="1" x14ac:dyDescent="0.2">
      <c r="A947" s="8" t="s">
        <v>34</v>
      </c>
      <c r="B947" s="9" t="s">
        <v>35</v>
      </c>
      <c r="C947" s="1" t="s">
        <v>60</v>
      </c>
      <c r="D947" s="13" t="s">
        <v>51</v>
      </c>
      <c r="E947" s="1" t="s">
        <v>343</v>
      </c>
      <c r="F947" s="1" t="s">
        <v>344</v>
      </c>
      <c r="G947" s="1">
        <v>-10</v>
      </c>
      <c r="H947" s="1">
        <v>-20</v>
      </c>
      <c r="I947" s="1" t="s">
        <v>40</v>
      </c>
      <c r="J947" s="1">
        <v>3.15</v>
      </c>
      <c r="K947" s="1">
        <v>-10</v>
      </c>
      <c r="L947" s="1">
        <v>-2.6982758620689702</v>
      </c>
      <c r="M947" s="1" t="s">
        <v>40</v>
      </c>
      <c r="N947" s="1">
        <v>2.6189655172413899</v>
      </c>
      <c r="O947" s="1">
        <v>2.4603448275862099</v>
      </c>
      <c r="Q947" s="1">
        <v>0.246034482758621</v>
      </c>
      <c r="R947" s="1">
        <v>0.33859198887410402</v>
      </c>
      <c r="S947" s="20" t="s">
        <v>343</v>
      </c>
      <c r="T947" s="3" t="s">
        <v>345</v>
      </c>
      <c r="U947" s="3" t="s">
        <v>106</v>
      </c>
      <c r="V947" s="3" t="s">
        <v>346</v>
      </c>
      <c r="W947" s="3">
        <v>3</v>
      </c>
      <c r="X947" s="3">
        <v>8</v>
      </c>
      <c r="Y947" s="3">
        <v>0</v>
      </c>
      <c r="Z947" s="3">
        <v>0</v>
      </c>
      <c r="AA947" s="3">
        <v>0</v>
      </c>
      <c r="AB947" s="12">
        <f>(W947*4+X947*1+Y947*-2+Z947*-3)/W947</f>
        <v>6.666666666666667</v>
      </c>
      <c r="AC947" s="3">
        <f>W947*12.0107+X947*1.00784+Y947*15.999+Z947*14.0067</f>
        <v>44.094819999999999</v>
      </c>
      <c r="AD947" s="24">
        <v>-42</v>
      </c>
      <c r="AE947" s="3" t="s">
        <v>231</v>
      </c>
      <c r="AF947" s="2" t="s">
        <v>79</v>
      </c>
      <c r="AG947" s="25" t="str">
        <f>IF(AD947&gt;37,"Proton symporter", "Diffusion")</f>
        <v>Diffusion</v>
      </c>
      <c r="AH947" s="3" t="s">
        <v>347</v>
      </c>
    </row>
    <row r="948" spans="1:34" hidden="1" x14ac:dyDescent="0.2">
      <c r="A948" s="8" t="s">
        <v>34</v>
      </c>
      <c r="B948" s="9" t="s">
        <v>35</v>
      </c>
      <c r="C948" s="1" t="s">
        <v>59</v>
      </c>
      <c r="D948" s="13" t="s">
        <v>51</v>
      </c>
      <c r="E948" s="1" t="s">
        <v>343</v>
      </c>
      <c r="F948" s="1" t="s">
        <v>344</v>
      </c>
      <c r="G948" s="1">
        <v>-10</v>
      </c>
      <c r="H948" s="1">
        <v>-20</v>
      </c>
      <c r="I948" s="1" t="s">
        <v>40</v>
      </c>
      <c r="J948" s="1">
        <v>3.15</v>
      </c>
      <c r="K948" s="1">
        <v>-10</v>
      </c>
      <c r="L948" s="1">
        <v>-2.6982758620689702</v>
      </c>
      <c r="M948" s="1" t="s">
        <v>40</v>
      </c>
      <c r="N948" s="1">
        <v>2.6189655172413699</v>
      </c>
      <c r="O948" s="1">
        <v>2.4603448275862099</v>
      </c>
      <c r="Q948" s="1">
        <v>0.24603448275862</v>
      </c>
      <c r="R948" s="1">
        <v>0.33859198887410302</v>
      </c>
      <c r="S948" s="20" t="s">
        <v>343</v>
      </c>
      <c r="T948" s="3" t="s">
        <v>345</v>
      </c>
      <c r="U948" s="3" t="s">
        <v>106</v>
      </c>
      <c r="V948" s="3" t="s">
        <v>346</v>
      </c>
      <c r="W948" s="3">
        <v>3</v>
      </c>
      <c r="X948" s="3">
        <v>8</v>
      </c>
      <c r="Y948" s="3">
        <v>0</v>
      </c>
      <c r="Z948" s="3">
        <v>0</v>
      </c>
      <c r="AA948" s="3">
        <v>0</v>
      </c>
      <c r="AB948" s="12">
        <f>(W948*4+X948*1+Y948*-2+Z948*-3)/W948</f>
        <v>6.666666666666667</v>
      </c>
      <c r="AC948" s="3">
        <f>W948*12.0107+X948*1.00784+Y948*15.999+Z948*14.0067</f>
        <v>44.094819999999999</v>
      </c>
      <c r="AD948" s="24">
        <v>-42</v>
      </c>
      <c r="AE948" s="3" t="s">
        <v>231</v>
      </c>
      <c r="AF948" s="2" t="s">
        <v>79</v>
      </c>
      <c r="AG948" s="25" t="str">
        <f>IF(AD948&gt;37,"Proton symporter", "Diffusion")</f>
        <v>Diffusion</v>
      </c>
      <c r="AH948" s="3" t="s">
        <v>347</v>
      </c>
    </row>
    <row r="949" spans="1:34" hidden="1" x14ac:dyDescent="0.2">
      <c r="A949" s="8" t="s">
        <v>34</v>
      </c>
      <c r="B949" s="9" t="s">
        <v>35</v>
      </c>
      <c r="C949" s="1" t="s">
        <v>47</v>
      </c>
      <c r="D949" s="10" t="s">
        <v>37</v>
      </c>
      <c r="E949" s="1" t="s">
        <v>178</v>
      </c>
      <c r="F949" s="1" t="s">
        <v>179</v>
      </c>
      <c r="G949" s="1">
        <v>-10</v>
      </c>
      <c r="H949" s="1">
        <v>-20</v>
      </c>
      <c r="I949" s="1" t="s">
        <v>40</v>
      </c>
      <c r="J949" s="1">
        <v>3.15</v>
      </c>
      <c r="K949" s="1">
        <v>-10</v>
      </c>
      <c r="L949" s="1">
        <v>-8.3840909090909097</v>
      </c>
      <c r="M949" s="1" t="s">
        <v>40</v>
      </c>
      <c r="N949" s="1">
        <v>6.0076555023923497</v>
      </c>
      <c r="O949" s="1">
        <v>1.7490430622009601</v>
      </c>
      <c r="Q949" s="1">
        <v>0.17490430622009601</v>
      </c>
      <c r="R949" s="1">
        <v>0.33857745332102201</v>
      </c>
      <c r="S949" s="20" t="s">
        <v>178</v>
      </c>
      <c r="T949" s="3" t="s">
        <v>178</v>
      </c>
      <c r="U949" s="3" t="s">
        <v>106</v>
      </c>
      <c r="V949" s="3" t="s">
        <v>180</v>
      </c>
      <c r="W949" s="3">
        <v>8</v>
      </c>
      <c r="X949" s="3">
        <v>8</v>
      </c>
      <c r="Y949" s="3">
        <v>1</v>
      </c>
      <c r="Z949" s="3">
        <v>0</v>
      </c>
      <c r="AA949" s="3">
        <v>0</v>
      </c>
      <c r="AB949" s="12">
        <f>(W949*4+X949*1+Y949*-2+Z949*-3)/W949</f>
        <v>4.75</v>
      </c>
      <c r="AC949" s="3">
        <f>W949*12.0107+X949*1.00784+Y949*15.999+Z949*14.0067</f>
        <v>120.14731999999999</v>
      </c>
      <c r="AD949" s="12">
        <v>229</v>
      </c>
      <c r="AE949" s="3" t="s">
        <v>176</v>
      </c>
      <c r="AF949" s="2" t="s">
        <v>150</v>
      </c>
      <c r="AG949" s="2" t="str">
        <f>IF(AD949&gt;37,"Proton symporter", "Diffusion")</f>
        <v>Proton symporter</v>
      </c>
      <c r="AH949" s="3" t="s">
        <v>181</v>
      </c>
    </row>
    <row r="950" spans="1:34" hidden="1" x14ac:dyDescent="0.2">
      <c r="A950" s="8" t="s">
        <v>34</v>
      </c>
      <c r="B950" s="9" t="s">
        <v>35</v>
      </c>
      <c r="C950" s="1" t="s">
        <v>48</v>
      </c>
      <c r="D950" s="10" t="s">
        <v>37</v>
      </c>
      <c r="E950" s="1" t="s">
        <v>335</v>
      </c>
      <c r="F950" s="1" t="s">
        <v>336</v>
      </c>
      <c r="G950" s="1">
        <v>-10</v>
      </c>
      <c r="H950" s="1">
        <v>-20</v>
      </c>
      <c r="I950" s="1" t="s">
        <v>40</v>
      </c>
      <c r="J950" s="1">
        <v>3.15</v>
      </c>
      <c r="K950" s="1">
        <v>-10</v>
      </c>
      <c r="L950" s="1">
        <v>-1.7919732441471501</v>
      </c>
      <c r="M950" s="1" t="s">
        <v>40</v>
      </c>
      <c r="N950" s="1">
        <v>5.4949832775919702</v>
      </c>
      <c r="O950" s="1">
        <v>2.9010033444816101</v>
      </c>
      <c r="Q950" s="1">
        <v>0.29010033444816102</v>
      </c>
      <c r="R950" s="1">
        <v>0.33722009150885901</v>
      </c>
      <c r="S950" s="11" t="s">
        <v>335</v>
      </c>
      <c r="T950" s="2" t="s">
        <v>335</v>
      </c>
      <c r="U950" s="3" t="s">
        <v>106</v>
      </c>
      <c r="V950" s="2" t="s">
        <v>337</v>
      </c>
      <c r="W950" s="2">
        <v>5</v>
      </c>
      <c r="X950" s="2">
        <v>12</v>
      </c>
      <c r="Y950" s="2">
        <v>0</v>
      </c>
      <c r="Z950" s="2">
        <v>0</v>
      </c>
      <c r="AA950" s="2">
        <v>0</v>
      </c>
      <c r="AB950" s="12">
        <f>(W950*4+X950*1+Y950*-2+Z950*-3)/W950</f>
        <v>6.4</v>
      </c>
      <c r="AC950" s="3">
        <f>W950*12.0107+X950*1.00784+Y950*15.999+Z950*14.0067</f>
        <v>72.147580000000005</v>
      </c>
      <c r="AD950" s="24">
        <v>36.1</v>
      </c>
      <c r="AE950" s="3" t="s">
        <v>321</v>
      </c>
      <c r="AF950" s="2" t="s">
        <v>79</v>
      </c>
      <c r="AG950" s="25" t="str">
        <f>IF(AD950&gt;37,"Proton symporter", "Diffusion")</f>
        <v>Diffusion</v>
      </c>
      <c r="AH950" s="3" t="s">
        <v>338</v>
      </c>
    </row>
    <row r="951" spans="1:34" hidden="1" x14ac:dyDescent="0.2">
      <c r="A951" s="8" t="s">
        <v>350</v>
      </c>
      <c r="B951" s="17" t="s">
        <v>64</v>
      </c>
      <c r="C951" t="s">
        <v>354</v>
      </c>
      <c r="D951" s="13" t="s">
        <v>51</v>
      </c>
      <c r="E951" t="s">
        <v>244</v>
      </c>
      <c r="F951" t="s">
        <v>245</v>
      </c>
      <c r="G951">
        <v>-10</v>
      </c>
      <c r="H951">
        <v>0</v>
      </c>
      <c r="I951">
        <v>0</v>
      </c>
      <c r="J951">
        <v>0.45</v>
      </c>
      <c r="K951">
        <v>-10</v>
      </c>
      <c r="L951">
        <v>0</v>
      </c>
      <c r="M951" s="26">
        <v>1.18974358974358</v>
      </c>
      <c r="N951">
        <v>0</v>
      </c>
      <c r="O951" s="26">
        <v>1.18974358974359</v>
      </c>
      <c r="P951"/>
      <c r="Q951" s="26">
        <v>0.118974358974359</v>
      </c>
      <c r="R951" s="26">
        <v>0.337153046356649</v>
      </c>
      <c r="S951" s="3" t="str">
        <f>VLOOKUP($E951,'[1]Product Naming'!$A$1:$P$58,2)</f>
        <v>1-4-butanediol</v>
      </c>
      <c r="T951" s="3" t="str">
        <f>VLOOKUP($E951,'[1]Product Naming'!$A$1:$P$58,3)</f>
        <v>1,4-Butanediol</v>
      </c>
      <c r="U951" s="3" t="str">
        <f>VLOOKUP($E951,'[1]Product Naming'!$A$1:$P$58,4)</f>
        <v>E</v>
      </c>
      <c r="V951" s="3" t="str">
        <f>VLOOKUP($E951,'[1]Product Naming'!$A$1:$P$58,5)</f>
        <v>C4H10O2</v>
      </c>
      <c r="W951" s="3">
        <f>VLOOKUP($E951,'[1]Product Naming'!$A$1:$P$58,6)</f>
        <v>4</v>
      </c>
      <c r="X951" s="3">
        <f>VLOOKUP($E951,'[1]Product Naming'!$A$1:$P$58,7)</f>
        <v>10</v>
      </c>
      <c r="Y951" s="3">
        <f>VLOOKUP($E951,'[1]Product Naming'!$A$1:$P$58,8)</f>
        <v>2</v>
      </c>
      <c r="Z951" s="3">
        <f>VLOOKUP($E951,'[1]Product Naming'!$A$1:$P$58,9)</f>
        <v>0</v>
      </c>
      <c r="AA951" s="3">
        <f>VLOOKUP($E951,'[1]Product Naming'!$A$1:$P$58,10)</f>
        <v>0</v>
      </c>
      <c r="AB951" s="3">
        <f>VLOOKUP($E951,'[1]Product Naming'!$A$1:$P$58,11)</f>
        <v>5.5</v>
      </c>
      <c r="AC951" s="3">
        <f>VLOOKUP($E951,'[1]Product Naming'!$A$1:$P$58,12)</f>
        <v>90.119200000000006</v>
      </c>
      <c r="AD951" s="3">
        <f>VLOOKUP($E951,'[1]Product Naming'!$A$1:$P$58,13)</f>
        <v>230</v>
      </c>
      <c r="AE951" s="3" t="str">
        <f>VLOOKUP($E951,'[1]Product Naming'!$A$1:$P$58,14)</f>
        <v>Diol</v>
      </c>
      <c r="AF951" s="3" t="str">
        <f>VLOOKUP($E951,'[1]Product Naming'!$A$1:$P$58,15)</f>
        <v>aKG</v>
      </c>
      <c r="AG951" s="3" t="str">
        <f>VLOOKUP($E951,'[1]Product Naming'!$A$1:$P$58,16)</f>
        <v>Proton symporter</v>
      </c>
      <c r="AH951" s="3" t="str">
        <f>VLOOKUP($E951,'[1]Product Naming'!$A$1:$Q$58,17)</f>
        <v>14bdo_c</v>
      </c>
    </row>
    <row r="952" spans="1:34" hidden="1" x14ac:dyDescent="0.2">
      <c r="A952" s="16" t="s">
        <v>63</v>
      </c>
      <c r="B952" s="17" t="s">
        <v>64</v>
      </c>
      <c r="C952" t="s">
        <v>69</v>
      </c>
      <c r="D952" s="18" t="s">
        <v>66</v>
      </c>
      <c r="E952" t="s">
        <v>244</v>
      </c>
      <c r="F952" t="s">
        <v>245</v>
      </c>
      <c r="G952">
        <v>-10</v>
      </c>
      <c r="H952">
        <v>0</v>
      </c>
      <c r="I952">
        <v>-20</v>
      </c>
      <c r="J952">
        <v>0.45</v>
      </c>
      <c r="K952">
        <v>-10</v>
      </c>
      <c r="L952">
        <v>0</v>
      </c>
      <c r="M952">
        <v>-18.8102564102564</v>
      </c>
      <c r="N952">
        <v>0</v>
      </c>
      <c r="O952">
        <v>1.18974358974359</v>
      </c>
      <c r="P952"/>
      <c r="Q952">
        <v>0.118974358974359</v>
      </c>
      <c r="R952" s="19">
        <v>0.33706333471226102</v>
      </c>
      <c r="S952" s="20" t="s">
        <v>246</v>
      </c>
      <c r="T952" s="3" t="s">
        <v>247</v>
      </c>
      <c r="U952" s="3" t="s">
        <v>106</v>
      </c>
      <c r="V952" s="3" t="s">
        <v>238</v>
      </c>
      <c r="W952" s="3">
        <v>4</v>
      </c>
      <c r="X952" s="3">
        <v>10</v>
      </c>
      <c r="Y952" s="3">
        <v>2</v>
      </c>
      <c r="Z952" s="3">
        <v>0</v>
      </c>
      <c r="AA952" s="3">
        <v>0</v>
      </c>
      <c r="AB952" s="12">
        <f>(W952*4+X952*1+Y952*-2+Z952*-3)/W952</f>
        <v>5.5</v>
      </c>
      <c r="AC952" s="3">
        <f>W952*12.0107+X952*1.00784+Y952*15.999+Z952*14.0067</f>
        <v>90.119200000000006</v>
      </c>
      <c r="AD952" s="12">
        <v>230</v>
      </c>
      <c r="AE952" s="2" t="s">
        <v>220</v>
      </c>
      <c r="AF952" s="3" t="s">
        <v>120</v>
      </c>
      <c r="AG952" s="2" t="str">
        <f>IF(AD952&gt;37,"Proton symporter", "Diffusion")</f>
        <v>Proton symporter</v>
      </c>
      <c r="AH952" s="3" t="s">
        <v>248</v>
      </c>
    </row>
    <row r="953" spans="1:34" hidden="1" x14ac:dyDescent="0.2">
      <c r="A953" s="8" t="s">
        <v>34</v>
      </c>
      <c r="B953" s="9" t="s">
        <v>35</v>
      </c>
      <c r="C953" s="1" t="s">
        <v>58</v>
      </c>
      <c r="D953" s="10" t="s">
        <v>37</v>
      </c>
      <c r="E953" s="1" t="s">
        <v>305</v>
      </c>
      <c r="F953" s="1" t="s">
        <v>301</v>
      </c>
      <c r="G953" s="1">
        <v>-10</v>
      </c>
      <c r="H953" s="1">
        <v>-20</v>
      </c>
      <c r="I953" s="1" t="s">
        <v>40</v>
      </c>
      <c r="J953" s="1">
        <v>3.15</v>
      </c>
      <c r="K953" s="1">
        <v>-10</v>
      </c>
      <c r="L953" s="1">
        <v>-3.6293577981651399</v>
      </c>
      <c r="M953" s="1" t="s">
        <v>40</v>
      </c>
      <c r="N953" s="1">
        <v>9.0862385321100891</v>
      </c>
      <c r="O953" s="1">
        <v>2.7284403669724799</v>
      </c>
      <c r="Q953" s="1">
        <v>0.27284403669724799</v>
      </c>
      <c r="R953" s="1">
        <v>0.33676238208231801</v>
      </c>
      <c r="S953" s="20" t="s">
        <v>305</v>
      </c>
      <c r="T953" s="3" t="s">
        <v>306</v>
      </c>
      <c r="U953" s="3" t="s">
        <v>106</v>
      </c>
      <c r="V953" s="3" t="s">
        <v>303</v>
      </c>
      <c r="W953" s="3">
        <v>4</v>
      </c>
      <c r="X953" s="3">
        <v>10</v>
      </c>
      <c r="Y953" s="3">
        <v>1</v>
      </c>
      <c r="Z953" s="3">
        <v>0</v>
      </c>
      <c r="AA953" s="3">
        <v>0</v>
      </c>
      <c r="AB953" s="12">
        <f>(W953*4+X953*1+Y953*-2+Z953*-3)/W953</f>
        <v>6</v>
      </c>
      <c r="AC953" s="3">
        <f>W953*12.0107+X953*1.00784+Y953*15.999+Z953*14.0067</f>
        <v>74.120199999999997</v>
      </c>
      <c r="AD953" s="12">
        <v>117.7</v>
      </c>
      <c r="AE953" s="3" t="s">
        <v>262</v>
      </c>
      <c r="AF953" s="3" t="s">
        <v>44</v>
      </c>
      <c r="AG953" s="2" t="str">
        <f>IF(AD953&gt;37,"Proton symporter", "Diffusion")</f>
        <v>Proton symporter</v>
      </c>
      <c r="AH953" s="3" t="s">
        <v>304</v>
      </c>
    </row>
    <row r="954" spans="1:34" hidden="1" x14ac:dyDescent="0.2">
      <c r="A954" s="8" t="s">
        <v>34</v>
      </c>
      <c r="B954" s="9" t="s">
        <v>35</v>
      </c>
      <c r="C954" s="1" t="s">
        <v>61</v>
      </c>
      <c r="D954" s="13" t="s">
        <v>51</v>
      </c>
      <c r="E954" s="1" t="s">
        <v>310</v>
      </c>
      <c r="F954" s="1" t="s">
        <v>311</v>
      </c>
      <c r="G954" s="1">
        <v>-10</v>
      </c>
      <c r="H954" s="1">
        <v>-20</v>
      </c>
      <c r="I954" s="1" t="s">
        <v>40</v>
      </c>
      <c r="J954" s="1">
        <v>3.15</v>
      </c>
      <c r="K954" s="1">
        <v>-10</v>
      </c>
      <c r="L954" s="1">
        <v>-5.8241379310344801</v>
      </c>
      <c r="M954" s="1" t="s">
        <v>40</v>
      </c>
      <c r="N954" s="1">
        <v>3.8827586206896698</v>
      </c>
      <c r="O954" s="1">
        <v>1.2234482758620699</v>
      </c>
      <c r="Q954" s="1">
        <v>0.122344827586207</v>
      </c>
      <c r="R954" s="1">
        <v>0.33657682150384</v>
      </c>
      <c r="S954" s="20" t="s">
        <v>310</v>
      </c>
      <c r="T954" s="3" t="s">
        <v>312</v>
      </c>
      <c r="U954" s="3" t="s">
        <v>106</v>
      </c>
      <c r="V954" s="3" t="s">
        <v>292</v>
      </c>
      <c r="W954" s="3">
        <v>5</v>
      </c>
      <c r="X954" s="3">
        <v>12</v>
      </c>
      <c r="Y954" s="3">
        <v>1</v>
      </c>
      <c r="Z954" s="3">
        <v>0</v>
      </c>
      <c r="AA954" s="3">
        <v>0</v>
      </c>
      <c r="AB954" s="12">
        <f>(W954*4+X954*1+Y954*-2+Z954*-3)/W954</f>
        <v>6</v>
      </c>
      <c r="AC954" s="3">
        <f>W954*12.0107+X954*1.00784+Y954*15.999+Z954*14.0067</f>
        <v>88.14658</v>
      </c>
      <c r="AD954" s="12">
        <v>138</v>
      </c>
      <c r="AE954" s="3" t="s">
        <v>262</v>
      </c>
      <c r="AF954" s="2" t="s">
        <v>313</v>
      </c>
      <c r="AG954" s="2" t="str">
        <f>IF(AD954&gt;37,"Proton symporter", "Diffusion")</f>
        <v>Proton symporter</v>
      </c>
      <c r="AH954" s="3" t="s">
        <v>314</v>
      </c>
    </row>
    <row r="955" spans="1:34" hidden="1" x14ac:dyDescent="0.2">
      <c r="A955" s="8" t="s">
        <v>34</v>
      </c>
      <c r="B955" s="9" t="s">
        <v>35</v>
      </c>
      <c r="C955" s="1" t="s">
        <v>56</v>
      </c>
      <c r="D955" s="14" t="s">
        <v>55</v>
      </c>
      <c r="E955" s="1" t="s">
        <v>227</v>
      </c>
      <c r="F955" s="1" t="s">
        <v>228</v>
      </c>
      <c r="G955" s="1">
        <v>-10</v>
      </c>
      <c r="H955" s="1">
        <v>-20</v>
      </c>
      <c r="I955" s="1" t="s">
        <v>40</v>
      </c>
      <c r="J955" s="1">
        <v>3.15</v>
      </c>
      <c r="K955" s="1">
        <v>-10</v>
      </c>
      <c r="L955" s="1">
        <v>-3.90537190082645</v>
      </c>
      <c r="M955" s="1" t="s">
        <v>40</v>
      </c>
      <c r="N955" s="1">
        <v>6.9669421487603298</v>
      </c>
      <c r="O955" s="1">
        <v>0.575826446280992</v>
      </c>
      <c r="Q955" s="1">
        <v>5.75826446280992E-2</v>
      </c>
      <c r="R955" s="1">
        <v>0.33568185114766103</v>
      </c>
      <c r="S955" s="11" t="s">
        <v>227</v>
      </c>
      <c r="T955" s="2" t="s">
        <v>229</v>
      </c>
      <c r="U955" s="3" t="s">
        <v>41</v>
      </c>
      <c r="V955" s="2" t="s">
        <v>230</v>
      </c>
      <c r="W955" s="2">
        <v>40</v>
      </c>
      <c r="X955" s="2">
        <v>56</v>
      </c>
      <c r="Y955" s="2">
        <v>0</v>
      </c>
      <c r="Z955" s="2">
        <v>0</v>
      </c>
      <c r="AA955" s="2">
        <v>0</v>
      </c>
      <c r="AB955" s="12">
        <f>(W955*4+X955*1+Y955*-2+Z955*-3)/W955</f>
        <v>5.4</v>
      </c>
      <c r="AC955" s="3">
        <f>W955*12.0107+X955*1.00784+Y955*15.999+Z955*14.0067</f>
        <v>536.86703999999997</v>
      </c>
      <c r="AD955" s="12">
        <v>633</v>
      </c>
      <c r="AE955" s="2" t="s">
        <v>231</v>
      </c>
      <c r="AF955" s="2" t="s">
        <v>79</v>
      </c>
      <c r="AG955" s="2" t="s">
        <v>232</v>
      </c>
      <c r="AH955" s="3" t="s">
        <v>233</v>
      </c>
    </row>
    <row r="956" spans="1:34" hidden="1" x14ac:dyDescent="0.2">
      <c r="A956" s="8" t="s">
        <v>34</v>
      </c>
      <c r="B956" s="9" t="s">
        <v>35</v>
      </c>
      <c r="C956" s="1" t="s">
        <v>48</v>
      </c>
      <c r="D956" s="10" t="s">
        <v>37</v>
      </c>
      <c r="E956" s="1" t="s">
        <v>227</v>
      </c>
      <c r="F956" s="1" t="s">
        <v>228</v>
      </c>
      <c r="G956" s="1">
        <v>-10</v>
      </c>
      <c r="H956" s="1">
        <v>-20</v>
      </c>
      <c r="I956" s="1" t="s">
        <v>40</v>
      </c>
      <c r="J956" s="1">
        <v>3.15</v>
      </c>
      <c r="K956" s="1">
        <v>-10</v>
      </c>
      <c r="L956" s="1">
        <v>-4.0629464285714301</v>
      </c>
      <c r="M956" s="1" t="s">
        <v>40</v>
      </c>
      <c r="N956" s="1">
        <v>4.4910714285714199</v>
      </c>
      <c r="O956" s="1">
        <v>0.38772321428571399</v>
      </c>
      <c r="Q956" s="1">
        <v>3.8772321428571399E-2</v>
      </c>
      <c r="R956" s="1">
        <v>0.33537600761902903</v>
      </c>
      <c r="S956" s="11" t="s">
        <v>227</v>
      </c>
      <c r="T956" s="2" t="s">
        <v>229</v>
      </c>
      <c r="U956" s="3" t="s">
        <v>41</v>
      </c>
      <c r="V956" s="2" t="s">
        <v>230</v>
      </c>
      <c r="W956" s="2">
        <v>40</v>
      </c>
      <c r="X956" s="2">
        <v>56</v>
      </c>
      <c r="Y956" s="2">
        <v>0</v>
      </c>
      <c r="Z956" s="2">
        <v>0</v>
      </c>
      <c r="AA956" s="2">
        <v>0</v>
      </c>
      <c r="AB956" s="12">
        <f>(W956*4+X956*1+Y956*-2+Z956*-3)/W956</f>
        <v>5.4</v>
      </c>
      <c r="AC956" s="3">
        <f>W956*12.0107+X956*1.00784+Y956*15.999+Z956*14.0067</f>
        <v>536.86703999999997</v>
      </c>
      <c r="AD956" s="12">
        <v>633</v>
      </c>
      <c r="AE956" s="2" t="s">
        <v>231</v>
      </c>
      <c r="AF956" s="2" t="s">
        <v>79</v>
      </c>
      <c r="AG956" s="2" t="s">
        <v>232</v>
      </c>
      <c r="AH956" s="3" t="s">
        <v>233</v>
      </c>
    </row>
    <row r="957" spans="1:34" hidden="1" x14ac:dyDescent="0.2">
      <c r="A957" s="8" t="s">
        <v>34</v>
      </c>
      <c r="B957" s="9" t="s">
        <v>35</v>
      </c>
      <c r="C957" s="1" t="s">
        <v>57</v>
      </c>
      <c r="D957" s="10" t="s">
        <v>37</v>
      </c>
      <c r="E957" s="1" t="s">
        <v>279</v>
      </c>
      <c r="F957" s="1" t="s">
        <v>280</v>
      </c>
      <c r="G957" s="1">
        <v>-10</v>
      </c>
      <c r="H957" s="1">
        <v>-20</v>
      </c>
      <c r="I957" s="1" t="s">
        <v>40</v>
      </c>
      <c r="J957" s="1">
        <v>3.15</v>
      </c>
      <c r="K957" s="1">
        <v>-10</v>
      </c>
      <c r="L957" s="1">
        <v>-5</v>
      </c>
      <c r="M957" s="1" t="s">
        <v>40</v>
      </c>
      <c r="N957" s="1">
        <v>10</v>
      </c>
      <c r="O957" s="1">
        <v>3.3333333333333299</v>
      </c>
      <c r="Q957" s="1">
        <v>0.33333333333333298</v>
      </c>
      <c r="R957" s="1">
        <v>0.333565465485468</v>
      </c>
      <c r="S957" s="20" t="s">
        <v>281</v>
      </c>
      <c r="T957" s="3" t="s">
        <v>282</v>
      </c>
      <c r="U957" s="3" t="s">
        <v>174</v>
      </c>
      <c r="V957" s="3" t="s">
        <v>283</v>
      </c>
      <c r="W957" s="3">
        <v>3</v>
      </c>
      <c r="X957" s="3">
        <v>8</v>
      </c>
      <c r="Y957" s="3">
        <v>1</v>
      </c>
      <c r="Z957" s="3">
        <v>0</v>
      </c>
      <c r="AA957" s="3">
        <v>0</v>
      </c>
      <c r="AB957" s="12">
        <f>(W957*4+X957*1+Y957*-2+Z957*-3)/W957</f>
        <v>6</v>
      </c>
      <c r="AC957" s="3">
        <f>W957*12.0107+X957*1.00784+Y957*15.999+Z957*14.0067</f>
        <v>60.093820000000001</v>
      </c>
      <c r="AD957" s="12">
        <v>97</v>
      </c>
      <c r="AE957" s="2" t="s">
        <v>262</v>
      </c>
      <c r="AF957" s="2" t="s">
        <v>284</v>
      </c>
      <c r="AG957" s="2" t="str">
        <f>IF(AD957&gt;37,"Proton symporter", "Diffusion")</f>
        <v>Proton symporter</v>
      </c>
      <c r="AH957" s="3" t="s">
        <v>285</v>
      </c>
    </row>
    <row r="958" spans="1:34" hidden="1" x14ac:dyDescent="0.2">
      <c r="A958" s="8" t="s">
        <v>34</v>
      </c>
      <c r="B958" s="9" t="s">
        <v>35</v>
      </c>
      <c r="C958" s="1" t="s">
        <v>57</v>
      </c>
      <c r="D958" s="10" t="s">
        <v>37</v>
      </c>
      <c r="E958" s="1" t="s">
        <v>307</v>
      </c>
      <c r="F958" s="1" t="s">
        <v>308</v>
      </c>
      <c r="G958" s="1">
        <v>-10</v>
      </c>
      <c r="H958" s="1">
        <v>-20</v>
      </c>
      <c r="I958" s="1" t="s">
        <v>40</v>
      </c>
      <c r="J958" s="1">
        <v>3.15</v>
      </c>
      <c r="K958" s="1">
        <v>-10</v>
      </c>
      <c r="L958" s="1">
        <v>-5.1083333333333298</v>
      </c>
      <c r="M958" s="1" t="s">
        <v>40</v>
      </c>
      <c r="N958" s="1">
        <v>10.0722222222222</v>
      </c>
      <c r="O958" s="1">
        <v>3.3092592592592598</v>
      </c>
      <c r="Q958" s="1">
        <v>0.33092592592592601</v>
      </c>
      <c r="R958" s="1">
        <v>0.33115638156807298</v>
      </c>
      <c r="S958" s="11" t="s">
        <v>307</v>
      </c>
      <c r="T958" s="2" t="s">
        <v>307</v>
      </c>
      <c r="U958" s="3" t="s">
        <v>41</v>
      </c>
      <c r="V958" s="2" t="s">
        <v>283</v>
      </c>
      <c r="W958" s="2">
        <v>3</v>
      </c>
      <c r="X958" s="2">
        <v>8</v>
      </c>
      <c r="Y958" s="2">
        <v>1</v>
      </c>
      <c r="Z958" s="2">
        <v>0</v>
      </c>
      <c r="AA958" s="2">
        <v>0</v>
      </c>
      <c r="AB958" s="12">
        <f>(W958*4+X958*1+Y958*-2+Z958*-3)/W958</f>
        <v>6</v>
      </c>
      <c r="AC958" s="3">
        <f>W958*12.0107+X958*1.00784+Y958*15.999+Z958*14.0067</f>
        <v>60.093820000000001</v>
      </c>
      <c r="AD958" s="12">
        <v>82.5</v>
      </c>
      <c r="AE958" s="2" t="s">
        <v>262</v>
      </c>
      <c r="AF958" s="2" t="s">
        <v>79</v>
      </c>
      <c r="AG958" s="2" t="str">
        <f>IF(AD958&gt;37,"Proton symporter", "Diffusion")</f>
        <v>Proton symporter</v>
      </c>
      <c r="AH958" s="3" t="s">
        <v>309</v>
      </c>
    </row>
    <row r="959" spans="1:34" hidden="1" x14ac:dyDescent="0.2">
      <c r="A959" s="16" t="s">
        <v>63</v>
      </c>
      <c r="B959" s="17" t="s">
        <v>64</v>
      </c>
      <c r="C959" t="s">
        <v>73</v>
      </c>
      <c r="D959" s="18" t="s">
        <v>66</v>
      </c>
      <c r="E959" t="s">
        <v>194</v>
      </c>
      <c r="F959" t="s">
        <v>195</v>
      </c>
      <c r="G959">
        <v>-10</v>
      </c>
      <c r="H959">
        <v>0</v>
      </c>
      <c r="I959">
        <v>-20</v>
      </c>
      <c r="J959">
        <v>0.45</v>
      </c>
      <c r="K959">
        <v>-10</v>
      </c>
      <c r="L959">
        <v>0</v>
      </c>
      <c r="M959">
        <v>-15.5809523809524</v>
      </c>
      <c r="N959">
        <v>0</v>
      </c>
      <c r="O959">
        <v>1.1047619047618999</v>
      </c>
      <c r="P959"/>
      <c r="Q959">
        <v>0.11047619047619001</v>
      </c>
      <c r="R959" s="19">
        <v>0.33066733389856801</v>
      </c>
      <c r="S959" s="3" t="s">
        <v>194</v>
      </c>
      <c r="T959" s="2" t="s">
        <v>196</v>
      </c>
      <c r="U959" s="3" t="s">
        <v>35</v>
      </c>
      <c r="V959" s="3" t="s">
        <v>197</v>
      </c>
      <c r="W959" s="3">
        <v>6</v>
      </c>
      <c r="X959" s="3">
        <v>15</v>
      </c>
      <c r="Y959" s="3">
        <v>2</v>
      </c>
      <c r="Z959" s="3">
        <v>2</v>
      </c>
      <c r="AA959" s="3">
        <v>1</v>
      </c>
      <c r="AB959" s="12">
        <f>(W959*4+X959*1+Y959*-2+Z959*-3)/W959</f>
        <v>4.833333333333333</v>
      </c>
      <c r="AC959" s="3">
        <f>W959*12.0107+X959*1.00784+Y959*15.999+Z959*14.0067</f>
        <v>147.19319999999999</v>
      </c>
      <c r="AD959" s="12" t="s">
        <v>40</v>
      </c>
      <c r="AE959" s="3" t="s">
        <v>119</v>
      </c>
      <c r="AF959" s="3" t="s">
        <v>44</v>
      </c>
      <c r="AG959" s="2" t="s">
        <v>80</v>
      </c>
      <c r="AH959" s="2" t="s">
        <v>198</v>
      </c>
    </row>
    <row r="960" spans="1:34" hidden="1" x14ac:dyDescent="0.2">
      <c r="A960" s="8" t="s">
        <v>34</v>
      </c>
      <c r="B960" s="9" t="s">
        <v>35</v>
      </c>
      <c r="C960" s="1" t="s">
        <v>56</v>
      </c>
      <c r="D960" s="14" t="s">
        <v>55</v>
      </c>
      <c r="E960" s="1" t="s">
        <v>335</v>
      </c>
      <c r="F960" s="1" t="s">
        <v>336</v>
      </c>
      <c r="G960" s="1">
        <v>-10</v>
      </c>
      <c r="H960" s="1">
        <v>-20</v>
      </c>
      <c r="I960" s="1" t="s">
        <v>40</v>
      </c>
      <c r="J960" s="1">
        <v>3.15</v>
      </c>
      <c r="K960" s="1">
        <v>-10</v>
      </c>
      <c r="L960" s="1">
        <v>-1.33777777777778</v>
      </c>
      <c r="M960" s="1" t="s">
        <v>40</v>
      </c>
      <c r="N960" s="1">
        <v>8.9611111111111104</v>
      </c>
      <c r="O960" s="1">
        <v>4.2077777777777801</v>
      </c>
      <c r="Q960" s="1">
        <v>0.42077777777777797</v>
      </c>
      <c r="R960" s="1">
        <v>0.32964316589804199</v>
      </c>
      <c r="S960" s="11" t="s">
        <v>335</v>
      </c>
      <c r="T960" s="2" t="s">
        <v>335</v>
      </c>
      <c r="U960" s="3" t="s">
        <v>106</v>
      </c>
      <c r="V960" s="2" t="s">
        <v>337</v>
      </c>
      <c r="W960" s="2">
        <v>5</v>
      </c>
      <c r="X960" s="2">
        <v>12</v>
      </c>
      <c r="Y960" s="2">
        <v>0</v>
      </c>
      <c r="Z960" s="2">
        <v>0</v>
      </c>
      <c r="AA960" s="2">
        <v>0</v>
      </c>
      <c r="AB960" s="12">
        <f>(W960*4+X960*1+Y960*-2+Z960*-3)/W960</f>
        <v>6.4</v>
      </c>
      <c r="AC960" s="3">
        <f>W960*12.0107+X960*1.00784+Y960*15.999+Z960*14.0067</f>
        <v>72.147580000000005</v>
      </c>
      <c r="AD960" s="24">
        <v>36.1</v>
      </c>
      <c r="AE960" s="3" t="s">
        <v>321</v>
      </c>
      <c r="AF960" s="2" t="s">
        <v>79</v>
      </c>
      <c r="AG960" s="25" t="str">
        <f>IF(AD960&gt;37,"Proton symporter", "Diffusion")</f>
        <v>Diffusion</v>
      </c>
      <c r="AH960" s="3" t="s">
        <v>338</v>
      </c>
    </row>
    <row r="961" spans="1:34" hidden="1" x14ac:dyDescent="0.2">
      <c r="A961" s="8" t="s">
        <v>34</v>
      </c>
      <c r="B961" s="9" t="s">
        <v>35</v>
      </c>
      <c r="C961" s="1" t="s">
        <v>58</v>
      </c>
      <c r="D961" s="10" t="s">
        <v>37</v>
      </c>
      <c r="E961" s="1" t="s">
        <v>315</v>
      </c>
      <c r="F961" s="1" t="s">
        <v>311</v>
      </c>
      <c r="G961" s="1">
        <v>-10</v>
      </c>
      <c r="H961" s="1">
        <v>-20</v>
      </c>
      <c r="I961" s="1" t="s">
        <v>40</v>
      </c>
      <c r="J961" s="1">
        <v>3.15</v>
      </c>
      <c r="K961" s="1">
        <v>-10</v>
      </c>
      <c r="L961" s="1">
        <v>-3.22932330827068</v>
      </c>
      <c r="M961" s="1" t="s">
        <v>40</v>
      </c>
      <c r="N961" s="1">
        <v>8.8195488721804498</v>
      </c>
      <c r="O961" s="1">
        <v>2.2360902255639101</v>
      </c>
      <c r="Q961" s="1">
        <v>0.22360902255639101</v>
      </c>
      <c r="R961" s="1">
        <v>0.328221717769412</v>
      </c>
      <c r="S961" s="20" t="s">
        <v>315</v>
      </c>
      <c r="T961" s="3" t="s">
        <v>316</v>
      </c>
      <c r="U961" s="3" t="s">
        <v>106</v>
      </c>
      <c r="V961" s="3" t="s">
        <v>292</v>
      </c>
      <c r="W961" s="3">
        <v>5</v>
      </c>
      <c r="X961" s="3">
        <v>12</v>
      </c>
      <c r="Y961" s="3">
        <v>1</v>
      </c>
      <c r="Z961" s="3">
        <v>0</v>
      </c>
      <c r="AA961" s="3">
        <v>0</v>
      </c>
      <c r="AB961" s="12">
        <f>(W961*4+X961*1+Y961*-2+Z961*-3)/W961</f>
        <v>6</v>
      </c>
      <c r="AC961" s="3">
        <f>W961*12.0107+X961*1.00784+Y961*15.999+Z961*14.0067</f>
        <v>88.14658</v>
      </c>
      <c r="AD961" s="12">
        <v>138</v>
      </c>
      <c r="AE961" s="3" t="s">
        <v>262</v>
      </c>
      <c r="AF961" s="3" t="s">
        <v>44</v>
      </c>
      <c r="AG961" s="2" t="str">
        <f>IF(AD961&gt;37,"Proton symporter", "Diffusion")</f>
        <v>Proton symporter</v>
      </c>
      <c r="AH961" s="3" t="s">
        <v>314</v>
      </c>
    </row>
    <row r="962" spans="1:34" hidden="1" x14ac:dyDescent="0.2">
      <c r="A962" s="16" t="s">
        <v>63</v>
      </c>
      <c r="B962" s="17" t="s">
        <v>64</v>
      </c>
      <c r="C962" t="s">
        <v>73</v>
      </c>
      <c r="D962" s="18" t="s">
        <v>66</v>
      </c>
      <c r="E962" t="s">
        <v>289</v>
      </c>
      <c r="F962" t="s">
        <v>290</v>
      </c>
      <c r="G962">
        <v>-10</v>
      </c>
      <c r="H962">
        <v>0</v>
      </c>
      <c r="I962">
        <v>-20</v>
      </c>
      <c r="J962">
        <v>0.45</v>
      </c>
      <c r="K962">
        <v>-10</v>
      </c>
      <c r="L962">
        <v>0</v>
      </c>
      <c r="M962">
        <v>-20</v>
      </c>
      <c r="N962">
        <v>0</v>
      </c>
      <c r="O962">
        <v>1.8560000000000001</v>
      </c>
      <c r="P962"/>
      <c r="Q962">
        <v>0.18559999999999999</v>
      </c>
      <c r="R962" s="19">
        <v>0.32674266522868001</v>
      </c>
      <c r="S962" s="11" t="s">
        <v>289</v>
      </c>
      <c r="T962" s="2" t="s">
        <v>291</v>
      </c>
      <c r="U962" s="3" t="s">
        <v>41</v>
      </c>
      <c r="V962" s="2" t="s">
        <v>292</v>
      </c>
      <c r="W962" s="2">
        <v>5</v>
      </c>
      <c r="X962" s="2">
        <v>12</v>
      </c>
      <c r="Y962" s="2">
        <v>1</v>
      </c>
      <c r="Z962" s="2">
        <v>0</v>
      </c>
      <c r="AA962" s="2">
        <v>0</v>
      </c>
      <c r="AB962" s="12">
        <f>(W962*4+X962*1+Y962*-2+Z962*-3)/W962</f>
        <v>6</v>
      </c>
      <c r="AC962" s="3">
        <f>W962*12.0107+X962*1.00784+Y962*15.999+Z962*14.0067</f>
        <v>88.14658</v>
      </c>
      <c r="AD962" s="12">
        <v>129</v>
      </c>
      <c r="AE962" s="2" t="s">
        <v>262</v>
      </c>
      <c r="AF962" s="2" t="s">
        <v>293</v>
      </c>
      <c r="AG962" s="2" t="str">
        <f>IF(AD962&gt;37,"Proton symporter", "Diffusion")</f>
        <v>Proton symporter</v>
      </c>
      <c r="AH962" s="3" t="s">
        <v>294</v>
      </c>
    </row>
    <row r="963" spans="1:34" hidden="1" x14ac:dyDescent="0.2">
      <c r="A963" s="8" t="s">
        <v>34</v>
      </c>
      <c r="B963" s="9" t="s">
        <v>35</v>
      </c>
      <c r="C963" s="1" t="s">
        <v>46</v>
      </c>
      <c r="D963" s="10" t="s">
        <v>37</v>
      </c>
      <c r="E963" s="1" t="s">
        <v>279</v>
      </c>
      <c r="F963" s="1" t="s">
        <v>280</v>
      </c>
      <c r="G963" s="1">
        <v>-10</v>
      </c>
      <c r="H963" s="1">
        <v>-20</v>
      </c>
      <c r="I963" s="1" t="s">
        <v>40</v>
      </c>
      <c r="J963" s="1">
        <v>3.15</v>
      </c>
      <c r="K963" s="1">
        <v>-10</v>
      </c>
      <c r="L963" s="1">
        <v>-5.5635135135135103</v>
      </c>
      <c r="M963" s="1" t="s">
        <v>40</v>
      </c>
      <c r="N963" s="1">
        <v>10.3756756756757</v>
      </c>
      <c r="O963" s="1">
        <v>3.2081081081081102</v>
      </c>
      <c r="Q963" s="1">
        <v>0.32081081081081098</v>
      </c>
      <c r="R963" s="1">
        <v>0.32652089562844999</v>
      </c>
      <c r="S963" s="20" t="s">
        <v>281</v>
      </c>
      <c r="T963" s="3" t="s">
        <v>282</v>
      </c>
      <c r="U963" s="3" t="s">
        <v>174</v>
      </c>
      <c r="V963" s="3" t="s">
        <v>283</v>
      </c>
      <c r="W963" s="3">
        <v>3</v>
      </c>
      <c r="X963" s="3">
        <v>8</v>
      </c>
      <c r="Y963" s="3">
        <v>1</v>
      </c>
      <c r="Z963" s="3">
        <v>0</v>
      </c>
      <c r="AA963" s="3">
        <v>0</v>
      </c>
      <c r="AB963" s="12">
        <f>(W963*4+X963*1+Y963*-2+Z963*-3)/W963</f>
        <v>6</v>
      </c>
      <c r="AC963" s="3">
        <f>W963*12.0107+X963*1.00784+Y963*15.999+Z963*14.0067</f>
        <v>60.093820000000001</v>
      </c>
      <c r="AD963" s="12">
        <v>97</v>
      </c>
      <c r="AE963" s="2" t="s">
        <v>262</v>
      </c>
      <c r="AF963" s="2" t="s">
        <v>284</v>
      </c>
      <c r="AG963" s="2" t="str">
        <f>IF(AD963&gt;37,"Proton symporter", "Diffusion")</f>
        <v>Proton symporter</v>
      </c>
      <c r="AH963" s="3" t="s">
        <v>285</v>
      </c>
    </row>
    <row r="964" spans="1:34" hidden="1" x14ac:dyDescent="0.2">
      <c r="A964" s="8" t="s">
        <v>34</v>
      </c>
      <c r="B964" s="9" t="s">
        <v>35</v>
      </c>
      <c r="C964" s="1" t="s">
        <v>58</v>
      </c>
      <c r="D964" s="10" t="s">
        <v>37</v>
      </c>
      <c r="E964" s="1" t="s">
        <v>289</v>
      </c>
      <c r="F964" s="1" t="s">
        <v>290</v>
      </c>
      <c r="G964" s="1">
        <v>-10</v>
      </c>
      <c r="H964" s="1">
        <v>-20</v>
      </c>
      <c r="I964" s="1" t="s">
        <v>40</v>
      </c>
      <c r="J964" s="1">
        <v>3.15</v>
      </c>
      <c r="K964" s="1">
        <v>-10</v>
      </c>
      <c r="L964" s="1">
        <v>-3.3544776119402999</v>
      </c>
      <c r="M964" s="1" t="s">
        <v>40</v>
      </c>
      <c r="N964" s="1">
        <v>8.9029850746268604</v>
      </c>
      <c r="O964" s="1">
        <v>2.21940298507463</v>
      </c>
      <c r="Q964" s="1">
        <v>0.221940298507463</v>
      </c>
      <c r="R964" s="1">
        <v>0.32577230196516199</v>
      </c>
      <c r="S964" s="11" t="s">
        <v>289</v>
      </c>
      <c r="T964" s="2" t="s">
        <v>291</v>
      </c>
      <c r="U964" s="3" t="s">
        <v>41</v>
      </c>
      <c r="V964" s="2" t="s">
        <v>292</v>
      </c>
      <c r="W964" s="2">
        <v>5</v>
      </c>
      <c r="X964" s="2">
        <v>12</v>
      </c>
      <c r="Y964" s="2">
        <v>1</v>
      </c>
      <c r="Z964" s="2">
        <v>0</v>
      </c>
      <c r="AA964" s="2">
        <v>0</v>
      </c>
      <c r="AB964" s="12">
        <f>(W964*4+X964*1+Y964*-2+Z964*-3)/W964</f>
        <v>6</v>
      </c>
      <c r="AC964" s="3">
        <f>W964*12.0107+X964*1.00784+Y964*15.999+Z964*14.0067</f>
        <v>88.14658</v>
      </c>
      <c r="AD964" s="12">
        <v>129</v>
      </c>
      <c r="AE964" s="2" t="s">
        <v>262</v>
      </c>
      <c r="AF964" s="2" t="s">
        <v>293</v>
      </c>
      <c r="AG964" s="2" t="str">
        <f>IF(AD964&gt;37,"Proton symporter", "Diffusion")</f>
        <v>Proton symporter</v>
      </c>
      <c r="AH964" s="3" t="s">
        <v>294</v>
      </c>
    </row>
    <row r="965" spans="1:34" hidden="1" x14ac:dyDescent="0.2">
      <c r="A965" s="8" t="s">
        <v>34</v>
      </c>
      <c r="B965" s="9" t="s">
        <v>35</v>
      </c>
      <c r="C965" s="1" t="s">
        <v>46</v>
      </c>
      <c r="D965" s="10" t="s">
        <v>37</v>
      </c>
      <c r="E965" s="1" t="s">
        <v>152</v>
      </c>
      <c r="F965" s="1" t="s">
        <v>153</v>
      </c>
      <c r="G965" s="1">
        <v>-10</v>
      </c>
      <c r="H965" s="1">
        <v>-20</v>
      </c>
      <c r="I965" s="1" t="s">
        <v>40</v>
      </c>
      <c r="J965" s="1">
        <v>3.15</v>
      </c>
      <c r="K965" s="1">
        <v>-10</v>
      </c>
      <c r="L965" s="1">
        <v>-8.1321721311475397</v>
      </c>
      <c r="M965" s="1" t="s">
        <v>40</v>
      </c>
      <c r="N965" s="1">
        <v>8.9233606557377207</v>
      </c>
      <c r="O965" s="1">
        <v>1.5823770491803399</v>
      </c>
      <c r="Q965" s="1">
        <v>0.15823770491803399</v>
      </c>
      <c r="R965" s="1">
        <v>0.32458592396519997</v>
      </c>
      <c r="S965" s="11" t="s">
        <v>152</v>
      </c>
      <c r="T965" s="2" t="s">
        <v>154</v>
      </c>
      <c r="U965" s="3" t="s">
        <v>41</v>
      </c>
      <c r="V965" s="2" t="s">
        <v>155</v>
      </c>
      <c r="W965" s="2">
        <v>7</v>
      </c>
      <c r="X965" s="2">
        <v>5</v>
      </c>
      <c r="Y965" s="2">
        <v>2</v>
      </c>
      <c r="Z965" s="2">
        <v>0</v>
      </c>
      <c r="AA965" s="2">
        <v>0</v>
      </c>
      <c r="AB965" s="12">
        <f>(W965*4+X965*1+Y965*-2+Z965*-3)/W965</f>
        <v>4.1428571428571432</v>
      </c>
      <c r="AC965" s="3">
        <f>W965*12.0107+X965*1.00784+Y965*15.999+Z965*14.0067</f>
        <v>121.1121</v>
      </c>
      <c r="AD965" s="12">
        <v>249.2</v>
      </c>
      <c r="AE965" s="2" t="s">
        <v>156</v>
      </c>
      <c r="AF965" s="2" t="s">
        <v>157</v>
      </c>
      <c r="AG965" s="2" t="str">
        <f>IF(AD965&gt;37,"Proton symporter", "Diffusion")</f>
        <v>Proton symporter</v>
      </c>
      <c r="AH965" s="3" t="s">
        <v>158</v>
      </c>
    </row>
    <row r="966" spans="1:34" hidden="1" x14ac:dyDescent="0.2">
      <c r="A966" s="8" t="s">
        <v>34</v>
      </c>
      <c r="B966" s="9" t="s">
        <v>35</v>
      </c>
      <c r="C966" s="1" t="s">
        <v>46</v>
      </c>
      <c r="D966" s="10" t="s">
        <v>37</v>
      </c>
      <c r="E966" s="1" t="s">
        <v>159</v>
      </c>
      <c r="F966" s="1" t="s">
        <v>153</v>
      </c>
      <c r="G966" s="1">
        <v>-10</v>
      </c>
      <c r="H966" s="1">
        <v>-20</v>
      </c>
      <c r="I966" s="1" t="s">
        <v>40</v>
      </c>
      <c r="J966" s="1">
        <v>3.15</v>
      </c>
      <c r="K966" s="1">
        <v>-10</v>
      </c>
      <c r="L966" s="1">
        <v>-8.1321721311475503</v>
      </c>
      <c r="M966" s="1" t="s">
        <v>40</v>
      </c>
      <c r="N966" s="1">
        <v>8.9233606557377207</v>
      </c>
      <c r="O966" s="1">
        <v>1.58237704918033</v>
      </c>
      <c r="Q966" s="1">
        <v>0.15823770491803299</v>
      </c>
      <c r="R966" s="1">
        <v>0.32458592396519798</v>
      </c>
      <c r="S966" s="11" t="s">
        <v>159</v>
      </c>
      <c r="T966" s="2" t="s">
        <v>160</v>
      </c>
      <c r="U966" s="3" t="s">
        <v>41</v>
      </c>
      <c r="V966" s="2" t="s">
        <v>155</v>
      </c>
      <c r="W966" s="2">
        <v>7</v>
      </c>
      <c r="X966" s="2">
        <v>5</v>
      </c>
      <c r="Y966" s="2">
        <v>2</v>
      </c>
      <c r="Z966" s="2">
        <v>0</v>
      </c>
      <c r="AA966" s="2">
        <v>0</v>
      </c>
      <c r="AB966" s="12">
        <f>(W966*4+X966*1+Y966*-2+Z966*-3)/W966</f>
        <v>4.1428571428571432</v>
      </c>
      <c r="AC966" s="3">
        <f>W966*12.0107+X966*1.00784+Y966*15.999+Z966*14.0067</f>
        <v>121.1121</v>
      </c>
      <c r="AD966" s="12">
        <v>249.2</v>
      </c>
      <c r="AE966" s="2" t="s">
        <v>156</v>
      </c>
      <c r="AF966" s="2" t="s">
        <v>157</v>
      </c>
      <c r="AG966" s="2" t="str">
        <f>IF(AD966&gt;37,"Proton symporter", "Diffusion")</f>
        <v>Proton symporter</v>
      </c>
      <c r="AH966" s="3" t="s">
        <v>158</v>
      </c>
    </row>
    <row r="967" spans="1:34" hidden="1" x14ac:dyDescent="0.2">
      <c r="A967" s="8" t="s">
        <v>34</v>
      </c>
      <c r="B967" s="9" t="s">
        <v>35</v>
      </c>
      <c r="C967" s="1" t="s">
        <v>48</v>
      </c>
      <c r="D967" s="10" t="s">
        <v>37</v>
      </c>
      <c r="E967" s="1" t="s">
        <v>343</v>
      </c>
      <c r="F967" s="1" t="s">
        <v>344</v>
      </c>
      <c r="G967" s="1">
        <v>-10</v>
      </c>
      <c r="H967" s="1">
        <v>-20</v>
      </c>
      <c r="I967" s="1" t="s">
        <v>40</v>
      </c>
      <c r="J967" s="1">
        <v>3.15</v>
      </c>
      <c r="K967" s="1">
        <v>-10</v>
      </c>
      <c r="L967" s="1">
        <v>-2.2931937172774899</v>
      </c>
      <c r="M967" s="1" t="s">
        <v>40</v>
      </c>
      <c r="N967" s="1">
        <v>6.3759162303664896</v>
      </c>
      <c r="O967" s="1">
        <v>4.5413612565444996</v>
      </c>
      <c r="Q967" s="1">
        <v>0.45413612565445</v>
      </c>
      <c r="R967" s="1">
        <v>0.32263915284647299</v>
      </c>
      <c r="S967" s="20" t="s">
        <v>343</v>
      </c>
      <c r="T967" s="3" t="s">
        <v>345</v>
      </c>
      <c r="U967" s="3" t="s">
        <v>106</v>
      </c>
      <c r="V967" s="3" t="s">
        <v>346</v>
      </c>
      <c r="W967" s="3">
        <v>3</v>
      </c>
      <c r="X967" s="3">
        <v>8</v>
      </c>
      <c r="Y967" s="3">
        <v>0</v>
      </c>
      <c r="Z967" s="3">
        <v>0</v>
      </c>
      <c r="AA967" s="3">
        <v>0</v>
      </c>
      <c r="AB967" s="12">
        <f>(W967*4+X967*1+Y967*-2+Z967*-3)/W967</f>
        <v>6.666666666666667</v>
      </c>
      <c r="AC967" s="3">
        <f>W967*12.0107+X967*1.00784+Y967*15.999+Z967*14.0067</f>
        <v>44.094819999999999</v>
      </c>
      <c r="AD967" s="24">
        <v>-42</v>
      </c>
      <c r="AE967" s="3" t="s">
        <v>231</v>
      </c>
      <c r="AF967" s="2" t="s">
        <v>79</v>
      </c>
      <c r="AG967" s="25" t="str">
        <f>IF(AD967&gt;37,"Proton symporter", "Diffusion")</f>
        <v>Diffusion</v>
      </c>
      <c r="AH967" s="3" t="s">
        <v>347</v>
      </c>
    </row>
    <row r="968" spans="1:34" hidden="1" x14ac:dyDescent="0.2">
      <c r="A968" s="8" t="s">
        <v>350</v>
      </c>
      <c r="B968" s="17" t="s">
        <v>64</v>
      </c>
      <c r="C968" t="s">
        <v>353</v>
      </c>
      <c r="D968" s="13" t="s">
        <v>51</v>
      </c>
      <c r="E968" t="s">
        <v>279</v>
      </c>
      <c r="F968" t="s">
        <v>280</v>
      </c>
      <c r="G968">
        <v>-10</v>
      </c>
      <c r="H968">
        <v>0</v>
      </c>
      <c r="I968">
        <v>0</v>
      </c>
      <c r="J968">
        <v>0.45</v>
      </c>
      <c r="K968">
        <v>-10</v>
      </c>
      <c r="L968">
        <v>0</v>
      </c>
      <c r="M968">
        <v>0</v>
      </c>
      <c r="N968">
        <v>0</v>
      </c>
      <c r="O968" s="26">
        <v>1.7154150197628399</v>
      </c>
      <c r="P968"/>
      <c r="Q968" s="26">
        <v>0.17154150197628401</v>
      </c>
      <c r="R968" s="26">
        <v>0.32173043408340601</v>
      </c>
      <c r="S968" s="3" t="str">
        <f>VLOOKUP($E968,'[1]Product Naming'!$A$1:$P$58,2)</f>
        <v>1-propanol-PW1</v>
      </c>
      <c r="T968" s="3" t="str">
        <f>VLOOKUP($E968,'[1]Product Naming'!$A$1:$P$58,3)</f>
        <v>1-Propanol (PW1)</v>
      </c>
      <c r="U968" s="3" t="str">
        <f>VLOOKUP($E968,'[1]Product Naming'!$A$1:$P$58,4)</f>
        <v>E-S</v>
      </c>
      <c r="V968" s="3" t="str">
        <f>VLOOKUP($E968,'[1]Product Naming'!$A$1:$P$58,5)</f>
        <v>C3H8O</v>
      </c>
      <c r="W968" s="3">
        <f>VLOOKUP($E968,'[1]Product Naming'!$A$1:$P$58,6)</f>
        <v>3</v>
      </c>
      <c r="X968" s="3">
        <f>VLOOKUP($E968,'[1]Product Naming'!$A$1:$P$58,7)</f>
        <v>8</v>
      </c>
      <c r="Y968" s="3">
        <f>VLOOKUP($E968,'[1]Product Naming'!$A$1:$P$58,8)</f>
        <v>1</v>
      </c>
      <c r="Z968" s="3">
        <f>VLOOKUP($E968,'[1]Product Naming'!$A$1:$P$58,9)</f>
        <v>0</v>
      </c>
      <c r="AA968" s="3">
        <f>VLOOKUP($E968,'[1]Product Naming'!$A$1:$P$58,10)</f>
        <v>0</v>
      </c>
      <c r="AB968" s="3">
        <f>VLOOKUP($E968,'[1]Product Naming'!$A$1:$P$58,11)</f>
        <v>6</v>
      </c>
      <c r="AC968" s="3">
        <f>VLOOKUP($E968,'[1]Product Naming'!$A$1:$P$58,12)</f>
        <v>60.093820000000001</v>
      </c>
      <c r="AD968" s="3">
        <f>VLOOKUP($E968,'[1]Product Naming'!$A$1:$P$58,13)</f>
        <v>97</v>
      </c>
      <c r="AE968" s="3" t="str">
        <f>VLOOKUP($E968,'[1]Product Naming'!$A$1:$P$58,14)</f>
        <v>Alcohol</v>
      </c>
      <c r="AF968" s="3" t="str">
        <f>VLOOKUP($E968,'[1]Product Naming'!$A$1:$P$58,15)</f>
        <v>Glyceraldehyde 3-P (--&gt;DHAP)</v>
      </c>
      <c r="AG968" s="3" t="str">
        <f>VLOOKUP($E968,'[1]Product Naming'!$A$1:$P$58,16)</f>
        <v>Proton symporter</v>
      </c>
      <c r="AH968" s="3" t="str">
        <f>VLOOKUP($E968,'[1]Product Naming'!$A$1:$Q$58,17)</f>
        <v>ppoh_c</v>
      </c>
    </row>
    <row r="969" spans="1:34" hidden="1" x14ac:dyDescent="0.2">
      <c r="A969" s="8" t="s">
        <v>34</v>
      </c>
      <c r="B969" s="9" t="s">
        <v>35</v>
      </c>
      <c r="C969" s="1" t="s">
        <v>47</v>
      </c>
      <c r="D969" s="10" t="s">
        <v>37</v>
      </c>
      <c r="E969" s="1" t="s">
        <v>295</v>
      </c>
      <c r="F969" s="1" t="s">
        <v>296</v>
      </c>
      <c r="G969" s="1">
        <v>-10</v>
      </c>
      <c r="H969" s="1">
        <v>-20</v>
      </c>
      <c r="I969" s="1" t="s">
        <v>40</v>
      </c>
      <c r="J969" s="1">
        <v>3.15</v>
      </c>
      <c r="K969" s="1">
        <v>-10</v>
      </c>
      <c r="L969" s="1">
        <v>-7.4356164383561598</v>
      </c>
      <c r="M969" s="1" t="s">
        <v>40</v>
      </c>
      <c r="N969" s="1">
        <v>8.2904109589041095</v>
      </c>
      <c r="O969" s="1">
        <v>1.95159817351598</v>
      </c>
      <c r="Q969" s="1">
        <v>0.19515981735159799</v>
      </c>
      <c r="R969" s="1">
        <v>0.32126974034054101</v>
      </c>
      <c r="S969" s="11" t="s">
        <v>295</v>
      </c>
      <c r="T969" s="2" t="s">
        <v>297</v>
      </c>
      <c r="U969" s="3" t="s">
        <v>41</v>
      </c>
      <c r="V969" s="2" t="s">
        <v>298</v>
      </c>
      <c r="W969" s="2">
        <v>6</v>
      </c>
      <c r="X969" s="2">
        <v>14</v>
      </c>
      <c r="Y969" s="2">
        <v>1</v>
      </c>
      <c r="Z969" s="2">
        <v>0</v>
      </c>
      <c r="AA969" s="2">
        <v>0</v>
      </c>
      <c r="AB969" s="12">
        <f>(W969*4+X969*1+Y969*-2+Z969*-3)/W969</f>
        <v>6</v>
      </c>
      <c r="AC969" s="3">
        <f>W969*12.0107+X969*1.00784+Y969*15.999+Z969*14.0067</f>
        <v>102.17295999999999</v>
      </c>
      <c r="AD969" s="12">
        <v>153</v>
      </c>
      <c r="AE969" s="2" t="s">
        <v>262</v>
      </c>
      <c r="AF969" s="2" t="s">
        <v>44</v>
      </c>
      <c r="AG969" s="2" t="str">
        <f>IF(AD969&gt;37,"Proton symporter", "Diffusion")</f>
        <v>Proton symporter</v>
      </c>
      <c r="AH969" s="3" t="s">
        <v>299</v>
      </c>
    </row>
    <row r="970" spans="1:34" hidden="1" x14ac:dyDescent="0.2">
      <c r="A970" s="8" t="s">
        <v>34</v>
      </c>
      <c r="B970" s="9" t="s">
        <v>35</v>
      </c>
      <c r="C970" s="1" t="s">
        <v>54</v>
      </c>
      <c r="D970" s="14" t="s">
        <v>55</v>
      </c>
      <c r="E970" s="1" t="s">
        <v>211</v>
      </c>
      <c r="F970" s="1" t="s">
        <v>212</v>
      </c>
      <c r="G970" s="1">
        <v>-10</v>
      </c>
      <c r="H970" s="1">
        <v>-20</v>
      </c>
      <c r="I970" s="1" t="s">
        <v>40</v>
      </c>
      <c r="J970" s="1">
        <v>3.15</v>
      </c>
      <c r="K970" s="1">
        <v>-10</v>
      </c>
      <c r="L970" s="1">
        <v>-4.6387434554973801</v>
      </c>
      <c r="M970" s="1" t="s">
        <v>40</v>
      </c>
      <c r="N970" s="1">
        <v>15.710994764397901</v>
      </c>
      <c r="O970" s="1">
        <v>5.5361256544502604</v>
      </c>
      <c r="Q970" s="1">
        <v>0.55361256544502602</v>
      </c>
      <c r="R970" s="1">
        <v>0.32005045188431402</v>
      </c>
      <c r="S970" s="20" t="s">
        <v>211</v>
      </c>
      <c r="T970" s="3" t="s">
        <v>211</v>
      </c>
      <c r="U970" s="3" t="s">
        <v>174</v>
      </c>
      <c r="V970" s="3" t="s">
        <v>213</v>
      </c>
      <c r="W970" s="3">
        <v>8</v>
      </c>
      <c r="X970" s="3">
        <v>8</v>
      </c>
      <c r="Y970" s="3">
        <v>0</v>
      </c>
      <c r="Z970" s="3">
        <v>0</v>
      </c>
      <c r="AA970" s="3">
        <v>0</v>
      </c>
      <c r="AB970" s="12">
        <f>(W970*4+X970*1+Y970*-2+Z970*-3)/W970</f>
        <v>5</v>
      </c>
      <c r="AC970" s="3">
        <f>W970*12.0107+X970*1.00784+Y970*15.999+Z970*14.0067</f>
        <v>104.14832</v>
      </c>
      <c r="AD970" s="12">
        <v>145</v>
      </c>
      <c r="AE970" s="3" t="s">
        <v>214</v>
      </c>
      <c r="AF970" s="3" t="s">
        <v>203</v>
      </c>
      <c r="AG970" s="2" t="str">
        <f>IF(AD970&gt;37,"Proton symporter", "Diffusion")</f>
        <v>Proton symporter</v>
      </c>
      <c r="AH970" s="3" t="s">
        <v>215</v>
      </c>
    </row>
    <row r="971" spans="1:34" hidden="1" x14ac:dyDescent="0.2">
      <c r="A971" s="16" t="s">
        <v>63</v>
      </c>
      <c r="B971" s="17" t="s">
        <v>64</v>
      </c>
      <c r="C971" t="s">
        <v>67</v>
      </c>
      <c r="D971" s="18" t="s">
        <v>66</v>
      </c>
      <c r="E971" t="s">
        <v>305</v>
      </c>
      <c r="F971" t="s">
        <v>301</v>
      </c>
      <c r="G971">
        <v>-10</v>
      </c>
      <c r="H971">
        <v>0</v>
      </c>
      <c r="I971">
        <v>-5</v>
      </c>
      <c r="J971">
        <v>0.45</v>
      </c>
      <c r="K971">
        <v>-10</v>
      </c>
      <c r="L971">
        <v>0</v>
      </c>
      <c r="M971">
        <v>-5</v>
      </c>
      <c r="N971">
        <v>5</v>
      </c>
      <c r="O971">
        <v>1.25</v>
      </c>
      <c r="P971"/>
      <c r="Q971">
        <v>0.125</v>
      </c>
      <c r="R971">
        <v>0.31926343900758097</v>
      </c>
      <c r="S971" s="20" t="s">
        <v>305</v>
      </c>
      <c r="T971" s="3" t="s">
        <v>306</v>
      </c>
      <c r="U971" s="3" t="s">
        <v>106</v>
      </c>
      <c r="V971" s="3" t="s">
        <v>303</v>
      </c>
      <c r="W971" s="3">
        <v>4</v>
      </c>
      <c r="X971" s="3">
        <v>10</v>
      </c>
      <c r="Y971" s="3">
        <v>1</v>
      </c>
      <c r="Z971" s="3">
        <v>0</v>
      </c>
      <c r="AA971" s="3">
        <v>0</v>
      </c>
      <c r="AB971" s="12">
        <f>(W971*4+X971*1+Y971*-2+Z971*-3)/W971</f>
        <v>6</v>
      </c>
      <c r="AC971" s="3">
        <f>W971*12.0107+X971*1.00784+Y971*15.999+Z971*14.0067</f>
        <v>74.120199999999997</v>
      </c>
      <c r="AD971" s="12">
        <v>117.7</v>
      </c>
      <c r="AE971" s="3" t="s">
        <v>262</v>
      </c>
      <c r="AF971" s="3" t="s">
        <v>44</v>
      </c>
      <c r="AG971" s="2" t="str">
        <f>IF(AD971&gt;37,"Proton symporter", "Diffusion")</f>
        <v>Proton symporter</v>
      </c>
      <c r="AH971" s="3" t="s">
        <v>304</v>
      </c>
    </row>
    <row r="972" spans="1:34" hidden="1" x14ac:dyDescent="0.2">
      <c r="A972" s="16" t="s">
        <v>63</v>
      </c>
      <c r="B972" s="17" t="s">
        <v>64</v>
      </c>
      <c r="C972" t="s">
        <v>67</v>
      </c>
      <c r="D972" s="18" t="s">
        <v>66</v>
      </c>
      <c r="E972" t="s">
        <v>300</v>
      </c>
      <c r="F972" t="s">
        <v>301</v>
      </c>
      <c r="G972">
        <v>-10</v>
      </c>
      <c r="H972">
        <v>0</v>
      </c>
      <c r="I972">
        <v>-5</v>
      </c>
      <c r="J972">
        <v>0.45</v>
      </c>
      <c r="K972">
        <v>-10</v>
      </c>
      <c r="L972">
        <v>0</v>
      </c>
      <c r="M972">
        <v>-5</v>
      </c>
      <c r="N972">
        <v>5</v>
      </c>
      <c r="O972">
        <v>1.25</v>
      </c>
      <c r="P972"/>
      <c r="Q972">
        <v>0.125</v>
      </c>
      <c r="R972">
        <v>0.31926343900757997</v>
      </c>
      <c r="S972" s="20" t="s">
        <v>300</v>
      </c>
      <c r="T972" s="3" t="s">
        <v>302</v>
      </c>
      <c r="U972" s="3" t="s">
        <v>106</v>
      </c>
      <c r="V972" s="3" t="s">
        <v>303</v>
      </c>
      <c r="W972" s="3">
        <v>4</v>
      </c>
      <c r="X972" s="3">
        <v>10</v>
      </c>
      <c r="Y972" s="3">
        <v>1</v>
      </c>
      <c r="Z972" s="3">
        <v>0</v>
      </c>
      <c r="AA972" s="3">
        <v>0</v>
      </c>
      <c r="AB972" s="12">
        <f>(W972*4+X972*1+Y972*-2+Z972*-3)/W972</f>
        <v>6</v>
      </c>
      <c r="AC972" s="3">
        <f>W972*12.0107+X972*1.00784+Y972*15.999+Z972*14.0067</f>
        <v>74.120199999999997</v>
      </c>
      <c r="AD972" s="12">
        <v>117.7</v>
      </c>
      <c r="AE972" s="3" t="s">
        <v>262</v>
      </c>
      <c r="AF972" s="2" t="s">
        <v>79</v>
      </c>
      <c r="AG972" s="2" t="str">
        <f>IF(AD972&gt;37,"Proton symporter", "Diffusion")</f>
        <v>Proton symporter</v>
      </c>
      <c r="AH972" s="3" t="s">
        <v>304</v>
      </c>
    </row>
    <row r="973" spans="1:34" hidden="1" x14ac:dyDescent="0.2">
      <c r="A973" s="8" t="s">
        <v>34</v>
      </c>
      <c r="B973" s="9" t="s">
        <v>35</v>
      </c>
      <c r="C973" s="1" t="s">
        <v>56</v>
      </c>
      <c r="D973" s="14" t="s">
        <v>55</v>
      </c>
      <c r="E973" s="1" t="s">
        <v>339</v>
      </c>
      <c r="F973" s="1" t="s">
        <v>340</v>
      </c>
      <c r="G973" s="1">
        <v>-10</v>
      </c>
      <c r="H973" s="1">
        <v>-20</v>
      </c>
      <c r="I973" s="1" t="s">
        <v>40</v>
      </c>
      <c r="J973" s="1">
        <v>3.15</v>
      </c>
      <c r="K973" s="1">
        <v>-10</v>
      </c>
      <c r="L973" s="1">
        <v>-2.1300000000000101</v>
      </c>
      <c r="M973" s="1" t="s">
        <v>40</v>
      </c>
      <c r="N973" s="1">
        <v>9.7723076923076597</v>
      </c>
      <c r="O973" s="1">
        <v>5.05692307692307</v>
      </c>
      <c r="Q973" s="1">
        <v>0.505692307692307</v>
      </c>
      <c r="R973" s="1">
        <v>0.31914675440595403</v>
      </c>
      <c r="S973" s="11" t="s">
        <v>339</v>
      </c>
      <c r="T973" s="2" t="s">
        <v>339</v>
      </c>
      <c r="U973" s="3" t="s">
        <v>106</v>
      </c>
      <c r="V973" s="2" t="s">
        <v>341</v>
      </c>
      <c r="W973" s="2">
        <v>4</v>
      </c>
      <c r="X973" s="2">
        <v>10</v>
      </c>
      <c r="Y973" s="2">
        <v>0</v>
      </c>
      <c r="Z973" s="2">
        <v>0</v>
      </c>
      <c r="AA973" s="2">
        <v>0</v>
      </c>
      <c r="AB973" s="12">
        <f>(W973*4+X973*1+Y973*-2+Z973*-3)/W973</f>
        <v>6.5</v>
      </c>
      <c r="AC973" s="3">
        <f>W973*12.0107+X973*1.00784+Y973*15.999+Z973*14.0067</f>
        <v>58.121200000000002</v>
      </c>
      <c r="AD973" s="24">
        <v>-1</v>
      </c>
      <c r="AE973" s="3" t="s">
        <v>321</v>
      </c>
      <c r="AF973" s="2" t="s">
        <v>313</v>
      </c>
      <c r="AG973" s="25" t="str">
        <f>IF(AD973&gt;37,"Proton symporter", "Diffusion")</f>
        <v>Diffusion</v>
      </c>
      <c r="AH973" s="3" t="s">
        <v>342</v>
      </c>
    </row>
    <row r="974" spans="1:34" hidden="1" x14ac:dyDescent="0.2">
      <c r="A974" s="8" t="s">
        <v>34</v>
      </c>
      <c r="B974" s="9" t="s">
        <v>35</v>
      </c>
      <c r="C974" s="1" t="s">
        <v>62</v>
      </c>
      <c r="D974" s="15" t="s">
        <v>55</v>
      </c>
      <c r="E974" s="1" t="s">
        <v>211</v>
      </c>
      <c r="F974" s="1" t="s">
        <v>212</v>
      </c>
      <c r="G974" s="1">
        <v>-10</v>
      </c>
      <c r="H974" s="1">
        <v>-20</v>
      </c>
      <c r="I974" s="1" t="s">
        <v>40</v>
      </c>
      <c r="J974" s="1">
        <v>3.15</v>
      </c>
      <c r="K974" s="1">
        <v>-10</v>
      </c>
      <c r="L974" s="1">
        <v>-4.0628272251308903</v>
      </c>
      <c r="M974" s="1" t="s">
        <v>40</v>
      </c>
      <c r="N974" s="1">
        <v>13.250261780104699</v>
      </c>
      <c r="O974" s="1">
        <v>4.5937172774869097</v>
      </c>
      <c r="Q974" s="1">
        <v>0.45937172774869101</v>
      </c>
      <c r="R974" s="1">
        <v>0.31867577233413402</v>
      </c>
      <c r="S974" s="20" t="s">
        <v>211</v>
      </c>
      <c r="T974" s="3" t="s">
        <v>211</v>
      </c>
      <c r="U974" s="3" t="s">
        <v>174</v>
      </c>
      <c r="V974" s="3" t="s">
        <v>213</v>
      </c>
      <c r="W974" s="3">
        <v>8</v>
      </c>
      <c r="X974" s="3">
        <v>8</v>
      </c>
      <c r="Y974" s="3">
        <v>0</v>
      </c>
      <c r="Z974" s="3">
        <v>0</v>
      </c>
      <c r="AA974" s="3">
        <v>0</v>
      </c>
      <c r="AB974" s="12">
        <f>(W974*4+X974*1+Y974*-2+Z974*-3)/W974</f>
        <v>5</v>
      </c>
      <c r="AC974" s="3">
        <f>W974*12.0107+X974*1.00784+Y974*15.999+Z974*14.0067</f>
        <v>104.14832</v>
      </c>
      <c r="AD974" s="12">
        <v>145</v>
      </c>
      <c r="AE974" s="3" t="s">
        <v>214</v>
      </c>
      <c r="AF974" s="3" t="s">
        <v>203</v>
      </c>
      <c r="AG974" s="2" t="str">
        <f>IF(AD974&gt;37,"Proton symporter", "Diffusion")</f>
        <v>Proton symporter</v>
      </c>
      <c r="AH974" s="3" t="s">
        <v>215</v>
      </c>
    </row>
    <row r="975" spans="1:34" hidden="1" x14ac:dyDescent="0.2">
      <c r="A975" s="16" t="s">
        <v>63</v>
      </c>
      <c r="B975" s="17" t="s">
        <v>64</v>
      </c>
      <c r="C975" t="s">
        <v>68</v>
      </c>
      <c r="D975" s="18" t="s">
        <v>66</v>
      </c>
      <c r="E975" t="s">
        <v>295</v>
      </c>
      <c r="F975" t="s">
        <v>296</v>
      </c>
      <c r="G975">
        <v>-10</v>
      </c>
      <c r="H975">
        <v>0</v>
      </c>
      <c r="I975">
        <v>-10</v>
      </c>
      <c r="J975">
        <v>0.45</v>
      </c>
      <c r="K975">
        <v>-10</v>
      </c>
      <c r="L975">
        <v>0</v>
      </c>
      <c r="M975">
        <v>-10</v>
      </c>
      <c r="N975">
        <v>2.8</v>
      </c>
      <c r="O975">
        <v>0.93333333333333302</v>
      </c>
      <c r="P975"/>
      <c r="Q975">
        <v>9.3333333333333005E-2</v>
      </c>
      <c r="R975">
        <v>0.31755387723387701</v>
      </c>
      <c r="S975" s="11" t="s">
        <v>295</v>
      </c>
      <c r="T975" s="2" t="s">
        <v>297</v>
      </c>
      <c r="U975" s="3" t="s">
        <v>41</v>
      </c>
      <c r="V975" s="2" t="s">
        <v>298</v>
      </c>
      <c r="W975" s="2">
        <v>6</v>
      </c>
      <c r="X975" s="2">
        <v>14</v>
      </c>
      <c r="Y975" s="2">
        <v>1</v>
      </c>
      <c r="Z975" s="2">
        <v>0</v>
      </c>
      <c r="AA975" s="2">
        <v>0</v>
      </c>
      <c r="AB975" s="12">
        <f>(W975*4+X975*1+Y975*-2+Z975*-3)/W975</f>
        <v>6</v>
      </c>
      <c r="AC975" s="3">
        <f>W975*12.0107+X975*1.00784+Y975*15.999+Z975*14.0067</f>
        <v>102.17295999999999</v>
      </c>
      <c r="AD975" s="12">
        <v>153</v>
      </c>
      <c r="AE975" s="2" t="s">
        <v>262</v>
      </c>
      <c r="AF975" s="2" t="s">
        <v>44</v>
      </c>
      <c r="AG975" s="2" t="str">
        <f>IF(AD975&gt;37,"Proton symporter", "Diffusion")</f>
        <v>Proton symporter</v>
      </c>
      <c r="AH975" s="3" t="s">
        <v>299</v>
      </c>
    </row>
    <row r="976" spans="1:34" hidden="1" x14ac:dyDescent="0.2">
      <c r="A976" s="8" t="s">
        <v>34</v>
      </c>
      <c r="B976" s="9" t="s">
        <v>35</v>
      </c>
      <c r="C976" s="1" t="s">
        <v>58</v>
      </c>
      <c r="D976" s="10" t="s">
        <v>37</v>
      </c>
      <c r="E976" s="1" t="s">
        <v>295</v>
      </c>
      <c r="F976" s="1" t="s">
        <v>296</v>
      </c>
      <c r="G976" s="1">
        <v>-10</v>
      </c>
      <c r="H976" s="1">
        <v>-20</v>
      </c>
      <c r="I976" s="1" t="s">
        <v>40</v>
      </c>
      <c r="J976" s="1">
        <v>3.15</v>
      </c>
      <c r="K976" s="1">
        <v>-10</v>
      </c>
      <c r="L976" s="1">
        <v>-3.2712500000000002</v>
      </c>
      <c r="M976" s="1" t="s">
        <v>40</v>
      </c>
      <c r="N976" s="1">
        <v>8.8475000000000108</v>
      </c>
      <c r="O976" s="1">
        <v>1.8587499999999999</v>
      </c>
      <c r="Q976" s="1">
        <v>0.18587500000000001</v>
      </c>
      <c r="R976" s="1">
        <v>0.31624923299806901</v>
      </c>
      <c r="S976" s="11" t="s">
        <v>295</v>
      </c>
      <c r="T976" s="2" t="s">
        <v>297</v>
      </c>
      <c r="U976" s="3" t="s">
        <v>41</v>
      </c>
      <c r="V976" s="2" t="s">
        <v>298</v>
      </c>
      <c r="W976" s="2">
        <v>6</v>
      </c>
      <c r="X976" s="2">
        <v>14</v>
      </c>
      <c r="Y976" s="2">
        <v>1</v>
      </c>
      <c r="Z976" s="2">
        <v>0</v>
      </c>
      <c r="AA976" s="2">
        <v>0</v>
      </c>
      <c r="AB976" s="12">
        <f>(W976*4+X976*1+Y976*-2+Z976*-3)/W976</f>
        <v>6</v>
      </c>
      <c r="AC976" s="3">
        <f>W976*12.0107+X976*1.00784+Y976*15.999+Z976*14.0067</f>
        <v>102.17295999999999</v>
      </c>
      <c r="AD976" s="12">
        <v>153</v>
      </c>
      <c r="AE976" s="2" t="s">
        <v>262</v>
      </c>
      <c r="AF976" s="2" t="s">
        <v>44</v>
      </c>
      <c r="AG976" s="2" t="str">
        <f>IF(AD976&gt;37,"Proton symporter", "Diffusion")</f>
        <v>Proton symporter</v>
      </c>
      <c r="AH976" s="3" t="s">
        <v>299</v>
      </c>
    </row>
    <row r="977" spans="1:34" hidden="1" x14ac:dyDescent="0.2">
      <c r="A977" s="8" t="s">
        <v>34</v>
      </c>
      <c r="B977" s="9" t="s">
        <v>35</v>
      </c>
      <c r="C977" s="1" t="s">
        <v>58</v>
      </c>
      <c r="D977" s="10" t="s">
        <v>37</v>
      </c>
      <c r="E977" s="1" t="s">
        <v>178</v>
      </c>
      <c r="F977" s="1" t="s">
        <v>179</v>
      </c>
      <c r="G977" s="1">
        <v>-10</v>
      </c>
      <c r="H977" s="1">
        <v>-20</v>
      </c>
      <c r="I977" s="1" t="s">
        <v>40</v>
      </c>
      <c r="J977" s="1">
        <v>3.15</v>
      </c>
      <c r="K977" s="1">
        <v>-10</v>
      </c>
      <c r="L977" s="1">
        <v>-5.0249116607773798</v>
      </c>
      <c r="M977" s="1" t="s">
        <v>40</v>
      </c>
      <c r="N977" s="1">
        <v>7.3893992932862096</v>
      </c>
      <c r="O977" s="1">
        <v>1.5763250883392199</v>
      </c>
      <c r="Q977" s="1">
        <v>0.15763250883392199</v>
      </c>
      <c r="R977" s="1">
        <v>0.315378729788718</v>
      </c>
      <c r="S977" s="20" t="s">
        <v>178</v>
      </c>
      <c r="T977" s="3" t="s">
        <v>178</v>
      </c>
      <c r="U977" s="3" t="s">
        <v>106</v>
      </c>
      <c r="V977" s="3" t="s">
        <v>180</v>
      </c>
      <c r="W977" s="3">
        <v>8</v>
      </c>
      <c r="X977" s="3">
        <v>8</v>
      </c>
      <c r="Y977" s="3">
        <v>1</v>
      </c>
      <c r="Z977" s="3">
        <v>0</v>
      </c>
      <c r="AA977" s="3">
        <v>0</v>
      </c>
      <c r="AB977" s="12">
        <f>(W977*4+X977*1+Y977*-2+Z977*-3)/W977</f>
        <v>4.75</v>
      </c>
      <c r="AC977" s="3">
        <f>W977*12.0107+X977*1.00784+Y977*15.999+Z977*14.0067</f>
        <v>120.14731999999999</v>
      </c>
      <c r="AD977" s="12">
        <v>229</v>
      </c>
      <c r="AE977" s="3" t="s">
        <v>176</v>
      </c>
      <c r="AF977" s="2" t="s">
        <v>150</v>
      </c>
      <c r="AG977" s="2" t="str">
        <f>IF(AD977&gt;37,"Proton symporter", "Diffusion")</f>
        <v>Proton symporter</v>
      </c>
      <c r="AH977" s="3" t="s">
        <v>181</v>
      </c>
    </row>
    <row r="978" spans="1:34" hidden="1" x14ac:dyDescent="0.2">
      <c r="A978" s="8" t="s">
        <v>350</v>
      </c>
      <c r="B978" s="17" t="s">
        <v>64</v>
      </c>
      <c r="C978" t="s">
        <v>353</v>
      </c>
      <c r="D978" s="13" t="s">
        <v>51</v>
      </c>
      <c r="E978" t="s">
        <v>244</v>
      </c>
      <c r="F978" t="s">
        <v>245</v>
      </c>
      <c r="G978">
        <v>-10</v>
      </c>
      <c r="H978">
        <v>0</v>
      </c>
      <c r="I978">
        <v>0</v>
      </c>
      <c r="J978">
        <v>0.45</v>
      </c>
      <c r="K978">
        <v>-10</v>
      </c>
      <c r="L978">
        <v>0</v>
      </c>
      <c r="M978" s="26">
        <v>1.11282051282051</v>
      </c>
      <c r="N978">
        <v>0</v>
      </c>
      <c r="O978" s="26">
        <v>1.11282051282051</v>
      </c>
      <c r="P978"/>
      <c r="Q978" s="26">
        <v>0.111282051282051</v>
      </c>
      <c r="R978" s="26">
        <v>0.31520065206814701</v>
      </c>
      <c r="S978" s="3" t="str">
        <f>VLOOKUP($E978,'[1]Product Naming'!$A$1:$P$58,2)</f>
        <v>1-4-butanediol</v>
      </c>
      <c r="T978" s="3" t="str">
        <f>VLOOKUP($E978,'[1]Product Naming'!$A$1:$P$58,3)</f>
        <v>1,4-Butanediol</v>
      </c>
      <c r="U978" s="3" t="str">
        <f>VLOOKUP($E978,'[1]Product Naming'!$A$1:$P$58,4)</f>
        <v>E</v>
      </c>
      <c r="V978" s="3" t="str">
        <f>VLOOKUP($E978,'[1]Product Naming'!$A$1:$P$58,5)</f>
        <v>C4H10O2</v>
      </c>
      <c r="W978" s="3">
        <f>VLOOKUP($E978,'[1]Product Naming'!$A$1:$P$58,6)</f>
        <v>4</v>
      </c>
      <c r="X978" s="3">
        <f>VLOOKUP($E978,'[1]Product Naming'!$A$1:$P$58,7)</f>
        <v>10</v>
      </c>
      <c r="Y978" s="3">
        <f>VLOOKUP($E978,'[1]Product Naming'!$A$1:$P$58,8)</f>
        <v>2</v>
      </c>
      <c r="Z978" s="3">
        <f>VLOOKUP($E978,'[1]Product Naming'!$A$1:$P$58,9)</f>
        <v>0</v>
      </c>
      <c r="AA978" s="3">
        <f>VLOOKUP($E978,'[1]Product Naming'!$A$1:$P$58,10)</f>
        <v>0</v>
      </c>
      <c r="AB978" s="3">
        <f>VLOOKUP($E978,'[1]Product Naming'!$A$1:$P$58,11)</f>
        <v>5.5</v>
      </c>
      <c r="AC978" s="3">
        <f>VLOOKUP($E978,'[1]Product Naming'!$A$1:$P$58,12)</f>
        <v>90.119200000000006</v>
      </c>
      <c r="AD978" s="3">
        <f>VLOOKUP($E978,'[1]Product Naming'!$A$1:$P$58,13)</f>
        <v>230</v>
      </c>
      <c r="AE978" s="3" t="str">
        <f>VLOOKUP($E978,'[1]Product Naming'!$A$1:$P$58,14)</f>
        <v>Diol</v>
      </c>
      <c r="AF978" s="3" t="str">
        <f>VLOOKUP($E978,'[1]Product Naming'!$A$1:$P$58,15)</f>
        <v>aKG</v>
      </c>
      <c r="AG978" s="3" t="str">
        <f>VLOOKUP($E978,'[1]Product Naming'!$A$1:$P$58,16)</f>
        <v>Proton symporter</v>
      </c>
      <c r="AH978" s="3" t="str">
        <f>VLOOKUP($E978,'[1]Product Naming'!$A$1:$Q$58,17)</f>
        <v>14bdo_c</v>
      </c>
    </row>
    <row r="979" spans="1:34" hidden="1" x14ac:dyDescent="0.2">
      <c r="A979" s="8" t="s">
        <v>34</v>
      </c>
      <c r="B979" s="9" t="s">
        <v>35</v>
      </c>
      <c r="C979" s="1" t="s">
        <v>48</v>
      </c>
      <c r="D979" s="10" t="s">
        <v>37</v>
      </c>
      <c r="E979" s="1" t="s">
        <v>211</v>
      </c>
      <c r="F979" s="1" t="s">
        <v>212</v>
      </c>
      <c r="G979" s="1">
        <v>-10</v>
      </c>
      <c r="H979" s="1">
        <v>-20</v>
      </c>
      <c r="I979" s="1" t="s">
        <v>40</v>
      </c>
      <c r="J979" s="1">
        <v>3.15</v>
      </c>
      <c r="K979" s="1">
        <v>-10</v>
      </c>
      <c r="L979" s="1">
        <v>-6.2231686541737599</v>
      </c>
      <c r="M979" s="1" t="s">
        <v>40</v>
      </c>
      <c r="N979" s="1">
        <v>4.9785349233390104</v>
      </c>
      <c r="O979" s="1">
        <v>1.8776831345826199</v>
      </c>
      <c r="Q979" s="1">
        <v>0.187768313458262</v>
      </c>
      <c r="R979" s="1">
        <v>0.31507795515627501</v>
      </c>
      <c r="S979" s="20" t="s">
        <v>211</v>
      </c>
      <c r="T979" s="3" t="s">
        <v>211</v>
      </c>
      <c r="U979" s="3" t="s">
        <v>174</v>
      </c>
      <c r="V979" s="3" t="s">
        <v>213</v>
      </c>
      <c r="W979" s="3">
        <v>8</v>
      </c>
      <c r="X979" s="3">
        <v>8</v>
      </c>
      <c r="Y979" s="3">
        <v>0</v>
      </c>
      <c r="Z979" s="3">
        <v>0</v>
      </c>
      <c r="AA979" s="3">
        <v>0</v>
      </c>
      <c r="AB979" s="12">
        <f>(W979*4+X979*1+Y979*-2+Z979*-3)/W979</f>
        <v>5</v>
      </c>
      <c r="AC979" s="3">
        <f>W979*12.0107+X979*1.00784+Y979*15.999+Z979*14.0067</f>
        <v>104.14832</v>
      </c>
      <c r="AD979" s="12">
        <v>145</v>
      </c>
      <c r="AE979" s="3" t="s">
        <v>214</v>
      </c>
      <c r="AF979" s="3" t="s">
        <v>203</v>
      </c>
      <c r="AG979" s="2" t="str">
        <f>IF(AD979&gt;37,"Proton symporter", "Diffusion")</f>
        <v>Proton symporter</v>
      </c>
      <c r="AH979" s="3" t="s">
        <v>215</v>
      </c>
    </row>
    <row r="980" spans="1:34" hidden="1" x14ac:dyDescent="0.2">
      <c r="A980" s="16" t="s">
        <v>63</v>
      </c>
      <c r="B980" s="17" t="s">
        <v>64</v>
      </c>
      <c r="C980" t="s">
        <v>65</v>
      </c>
      <c r="D980" s="18" t="s">
        <v>66</v>
      </c>
      <c r="E980" t="s">
        <v>205</v>
      </c>
      <c r="F980" t="s">
        <v>206</v>
      </c>
      <c r="G980">
        <v>-10</v>
      </c>
      <c r="H980">
        <v>0</v>
      </c>
      <c r="I980">
        <v>0</v>
      </c>
      <c r="J980">
        <v>0.45</v>
      </c>
      <c r="K980">
        <v>-10</v>
      </c>
      <c r="L980">
        <v>0</v>
      </c>
      <c r="M980">
        <v>0</v>
      </c>
      <c r="N980">
        <v>6</v>
      </c>
      <c r="O980">
        <v>1</v>
      </c>
      <c r="P980"/>
      <c r="Q980">
        <v>0.1</v>
      </c>
      <c r="R980">
        <v>0.31454309175294598</v>
      </c>
      <c r="S980" s="20" t="s">
        <v>205</v>
      </c>
      <c r="T980" s="3" t="s">
        <v>207</v>
      </c>
      <c r="U980" s="3" t="s">
        <v>106</v>
      </c>
      <c r="V980" s="3" t="s">
        <v>208</v>
      </c>
      <c r="W980" s="3">
        <v>4</v>
      </c>
      <c r="X980" s="3">
        <v>8</v>
      </c>
      <c r="Y980" s="3">
        <v>2</v>
      </c>
      <c r="Z980" s="3">
        <v>0</v>
      </c>
      <c r="AA980" s="3">
        <v>0</v>
      </c>
      <c r="AB980" s="12">
        <f>(W980*4+X980*1+Y980*-2+Z980*-3)/W980</f>
        <v>5</v>
      </c>
      <c r="AC980" s="3">
        <f>W980*12.0107+X980*1.00784+Y980*15.999+Z980*14.0067</f>
        <v>88.103520000000003</v>
      </c>
      <c r="AD980" s="12">
        <v>77.099999999999994</v>
      </c>
      <c r="AE980" s="3" t="s">
        <v>209</v>
      </c>
      <c r="AF980" s="3" t="s">
        <v>79</v>
      </c>
      <c r="AG980" s="2" t="str">
        <f>IF(AD980&gt;37,"Proton symporter", "Diffusion")</f>
        <v>Proton symporter</v>
      </c>
      <c r="AH980" s="3" t="s">
        <v>210</v>
      </c>
    </row>
    <row r="981" spans="1:34" hidden="1" x14ac:dyDescent="0.2">
      <c r="A981" s="8" t="s">
        <v>34</v>
      </c>
      <c r="B981" s="9" t="s">
        <v>35</v>
      </c>
      <c r="C981" s="1" t="s">
        <v>57</v>
      </c>
      <c r="D981" s="10" t="s">
        <v>37</v>
      </c>
      <c r="E981" s="1" t="s">
        <v>286</v>
      </c>
      <c r="F981" s="1" t="s">
        <v>280</v>
      </c>
      <c r="G981" s="1">
        <v>-10</v>
      </c>
      <c r="H981" s="1">
        <v>-20</v>
      </c>
      <c r="I981" s="1" t="s">
        <v>40</v>
      </c>
      <c r="J981" s="1">
        <v>3.15</v>
      </c>
      <c r="K981" s="1">
        <v>-10</v>
      </c>
      <c r="L981" s="1">
        <v>-5.8743902439024396</v>
      </c>
      <c r="M981" s="1" t="s">
        <v>40</v>
      </c>
      <c r="N981" s="1">
        <v>10.582926829268301</v>
      </c>
      <c r="O981" s="1">
        <v>3.1390243902438999</v>
      </c>
      <c r="Q981" s="1">
        <v>0.31390243902439102</v>
      </c>
      <c r="R981" s="1">
        <v>0.31412103957058402</v>
      </c>
      <c r="S981" s="20" t="s">
        <v>287</v>
      </c>
      <c r="T981" s="3" t="s">
        <v>288</v>
      </c>
      <c r="U981" s="3" t="s">
        <v>174</v>
      </c>
      <c r="V981" s="3" t="s">
        <v>283</v>
      </c>
      <c r="W981" s="3">
        <v>3</v>
      </c>
      <c r="X981" s="3">
        <v>8</v>
      </c>
      <c r="Y981" s="3">
        <v>1</v>
      </c>
      <c r="Z981" s="3">
        <v>0</v>
      </c>
      <c r="AA981" s="3">
        <v>0</v>
      </c>
      <c r="AB981" s="12">
        <f>(W981*4+X981*1+Y981*-2+Z981*-3)/W981</f>
        <v>6</v>
      </c>
      <c r="AC981" s="3">
        <f>W981*12.0107+X981*1.00784+Y981*15.999+Z981*14.0067</f>
        <v>60.093820000000001</v>
      </c>
      <c r="AD981" s="12">
        <v>97</v>
      </c>
      <c r="AE981" s="2" t="s">
        <v>262</v>
      </c>
      <c r="AF981" s="3" t="s">
        <v>44</v>
      </c>
      <c r="AG981" s="2" t="str">
        <f>IF(AD981&gt;37,"Proton symporter", "Diffusion")</f>
        <v>Proton symporter</v>
      </c>
      <c r="AH981" s="3" t="s">
        <v>285</v>
      </c>
    </row>
    <row r="982" spans="1:34" hidden="1" x14ac:dyDescent="0.2">
      <c r="A982" s="8" t="s">
        <v>34</v>
      </c>
      <c r="B982" s="9" t="s">
        <v>35</v>
      </c>
      <c r="C982" s="1" t="s">
        <v>58</v>
      </c>
      <c r="D982" s="10" t="s">
        <v>37</v>
      </c>
      <c r="E982" s="1" t="s">
        <v>172</v>
      </c>
      <c r="F982" s="1" t="s">
        <v>173</v>
      </c>
      <c r="G982" s="1">
        <v>-10</v>
      </c>
      <c r="H982" s="1">
        <v>-20</v>
      </c>
      <c r="I982" s="1" t="s">
        <v>40</v>
      </c>
      <c r="J982" s="1">
        <v>3.15</v>
      </c>
      <c r="K982" s="1">
        <v>-10</v>
      </c>
      <c r="L982" s="1">
        <v>-5.9968609865470901</v>
      </c>
      <c r="M982" s="1" t="s">
        <v>40</v>
      </c>
      <c r="N982" s="1">
        <v>7.99730941704036</v>
      </c>
      <c r="O982" s="1">
        <v>2.0004484304932699</v>
      </c>
      <c r="Q982" s="1">
        <v>0.20004484304932699</v>
      </c>
      <c r="R982" s="1">
        <v>0.31349943699018401</v>
      </c>
      <c r="S982" s="20" t="s">
        <v>172</v>
      </c>
      <c r="T982" s="3" t="s">
        <v>172</v>
      </c>
      <c r="U982" s="3" t="s">
        <v>174</v>
      </c>
      <c r="V982" s="3" t="s">
        <v>175</v>
      </c>
      <c r="W982" s="3">
        <v>6</v>
      </c>
      <c r="X982" s="3">
        <v>6</v>
      </c>
      <c r="Y982" s="3">
        <v>1</v>
      </c>
      <c r="Z982" s="3">
        <v>0</v>
      </c>
      <c r="AA982" s="3">
        <v>0</v>
      </c>
      <c r="AB982" s="12">
        <f>(W982*4+X982*1+Y982*-2+Z982*-3)/W982</f>
        <v>4.666666666666667</v>
      </c>
      <c r="AC982" s="3">
        <f>W982*12.0107+X982*1.00784+Y982*15.999+Z982*14.0067</f>
        <v>94.11023999999999</v>
      </c>
      <c r="AD982" s="12">
        <v>181.7</v>
      </c>
      <c r="AE982" s="3" t="s">
        <v>176</v>
      </c>
      <c r="AF982" s="2" t="s">
        <v>150</v>
      </c>
      <c r="AG982" s="2" t="str">
        <f>IF(AD982&gt;37,"Proton symporter", "Diffusion")</f>
        <v>Proton symporter</v>
      </c>
      <c r="AH982" s="3" t="s">
        <v>177</v>
      </c>
    </row>
    <row r="983" spans="1:34" hidden="1" x14ac:dyDescent="0.2">
      <c r="A983" s="8" t="s">
        <v>34</v>
      </c>
      <c r="B983" s="9" t="s">
        <v>35</v>
      </c>
      <c r="C983" s="1" t="s">
        <v>61</v>
      </c>
      <c r="D983" s="13" t="s">
        <v>51</v>
      </c>
      <c r="E983" s="1" t="s">
        <v>305</v>
      </c>
      <c r="F983" s="1" t="s">
        <v>301</v>
      </c>
      <c r="G983" s="1">
        <v>-10</v>
      </c>
      <c r="H983" s="1">
        <v>-20</v>
      </c>
      <c r="I983" s="1" t="s">
        <v>40</v>
      </c>
      <c r="J983" s="1">
        <v>3.15</v>
      </c>
      <c r="K983" s="1">
        <v>-10</v>
      </c>
      <c r="L983" s="1">
        <v>-6.8748091603053396</v>
      </c>
      <c r="M983" s="1" t="s">
        <v>40</v>
      </c>
      <c r="N983" s="1">
        <v>4.5832061068702199</v>
      </c>
      <c r="O983" s="1">
        <v>1.3541984732824399</v>
      </c>
      <c r="Q983" s="1">
        <v>0.135419847328244</v>
      </c>
      <c r="R983" s="1">
        <v>0.31326510945452202</v>
      </c>
      <c r="S983" s="20" t="s">
        <v>305</v>
      </c>
      <c r="T983" s="3" t="s">
        <v>306</v>
      </c>
      <c r="U983" s="3" t="s">
        <v>106</v>
      </c>
      <c r="V983" s="3" t="s">
        <v>303</v>
      </c>
      <c r="W983" s="3">
        <v>4</v>
      </c>
      <c r="X983" s="3">
        <v>10</v>
      </c>
      <c r="Y983" s="3">
        <v>1</v>
      </c>
      <c r="Z983" s="3">
        <v>0</v>
      </c>
      <c r="AA983" s="3">
        <v>0</v>
      </c>
      <c r="AB983" s="12">
        <f>(W983*4+X983*1+Y983*-2+Z983*-3)/W983</f>
        <v>6</v>
      </c>
      <c r="AC983" s="3">
        <f>W983*12.0107+X983*1.00784+Y983*15.999+Z983*14.0067</f>
        <v>74.120199999999997</v>
      </c>
      <c r="AD983" s="12">
        <v>117.7</v>
      </c>
      <c r="AE983" s="3" t="s">
        <v>262</v>
      </c>
      <c r="AF983" s="3" t="s">
        <v>44</v>
      </c>
      <c r="AG983" s="2" t="str">
        <f>IF(AD983&gt;37,"Proton symporter", "Diffusion")</f>
        <v>Proton symporter</v>
      </c>
      <c r="AH983" s="3" t="s">
        <v>304</v>
      </c>
    </row>
    <row r="984" spans="1:34" hidden="1" x14ac:dyDescent="0.2">
      <c r="A984" s="8" t="s">
        <v>34</v>
      </c>
      <c r="B984" s="9" t="s">
        <v>35</v>
      </c>
      <c r="C984" s="1" t="s">
        <v>47</v>
      </c>
      <c r="D984" s="10" t="s">
        <v>37</v>
      </c>
      <c r="E984" s="1" t="s">
        <v>315</v>
      </c>
      <c r="F984" s="1" t="s">
        <v>311</v>
      </c>
      <c r="G984" s="1">
        <v>-10</v>
      </c>
      <c r="H984" s="1">
        <v>-20</v>
      </c>
      <c r="I984" s="1" t="s">
        <v>40</v>
      </c>
      <c r="J984" s="1">
        <v>3.15</v>
      </c>
      <c r="K984" s="1">
        <v>-10</v>
      </c>
      <c r="L984" s="1">
        <v>-8.4768041237113394</v>
      </c>
      <c r="M984" s="1" t="s">
        <v>40</v>
      </c>
      <c r="N984" s="1">
        <v>8.9845360824742198</v>
      </c>
      <c r="O984" s="1">
        <v>2.2030927835051499</v>
      </c>
      <c r="Q984" s="1">
        <v>0.220309278350515</v>
      </c>
      <c r="R984" s="1">
        <v>0.31288280662106999</v>
      </c>
      <c r="S984" s="20" t="s">
        <v>315</v>
      </c>
      <c r="T984" s="3" t="s">
        <v>316</v>
      </c>
      <c r="U984" s="3" t="s">
        <v>106</v>
      </c>
      <c r="V984" s="3" t="s">
        <v>292</v>
      </c>
      <c r="W984" s="3">
        <v>5</v>
      </c>
      <c r="X984" s="3">
        <v>12</v>
      </c>
      <c r="Y984" s="3">
        <v>1</v>
      </c>
      <c r="Z984" s="3">
        <v>0</v>
      </c>
      <c r="AA984" s="3">
        <v>0</v>
      </c>
      <c r="AB984" s="12">
        <f>(W984*4+X984*1+Y984*-2+Z984*-3)/W984</f>
        <v>6</v>
      </c>
      <c r="AC984" s="3">
        <f>W984*12.0107+X984*1.00784+Y984*15.999+Z984*14.0067</f>
        <v>88.14658</v>
      </c>
      <c r="AD984" s="12">
        <v>138</v>
      </c>
      <c r="AE984" s="3" t="s">
        <v>262</v>
      </c>
      <c r="AF984" s="3" t="s">
        <v>44</v>
      </c>
      <c r="AG984" s="2" t="str">
        <f>IF(AD984&gt;37,"Proton symporter", "Diffusion")</f>
        <v>Proton symporter</v>
      </c>
      <c r="AH984" s="3" t="s">
        <v>314</v>
      </c>
    </row>
    <row r="985" spans="1:34" hidden="1" x14ac:dyDescent="0.2">
      <c r="A985" s="16" t="s">
        <v>74</v>
      </c>
      <c r="B985" s="9" t="s">
        <v>35</v>
      </c>
      <c r="C985" t="s">
        <v>54</v>
      </c>
      <c r="D985" s="14" t="s">
        <v>55</v>
      </c>
      <c r="E985" t="s">
        <v>268</v>
      </c>
      <c r="F985" t="s">
        <v>269</v>
      </c>
      <c r="G985">
        <v>-10</v>
      </c>
      <c r="H985">
        <v>-20</v>
      </c>
      <c r="I985" s="1" t="s">
        <v>40</v>
      </c>
      <c r="J985">
        <v>3.15</v>
      </c>
      <c r="K985">
        <v>-10</v>
      </c>
      <c r="L985">
        <v>-2.0790697674418599</v>
      </c>
      <c r="M985" s="1" t="s">
        <v>40</v>
      </c>
      <c r="N985">
        <v>18.6279069767442</v>
      </c>
      <c r="O985">
        <v>4.13720930232558</v>
      </c>
      <c r="P985"/>
      <c r="Q985">
        <v>0.41372093023255802</v>
      </c>
      <c r="R985">
        <v>0.312858720437239</v>
      </c>
      <c r="S985" s="3" t="s">
        <v>268</v>
      </c>
      <c r="T985" s="3" t="s">
        <v>268</v>
      </c>
      <c r="U985" s="3" t="s">
        <v>106</v>
      </c>
      <c r="V985" s="3" t="s">
        <v>270</v>
      </c>
      <c r="W985" s="3">
        <v>10</v>
      </c>
      <c r="X985" s="3">
        <v>16</v>
      </c>
      <c r="Y985" s="3">
        <v>0</v>
      </c>
      <c r="Z985" s="3">
        <v>0</v>
      </c>
      <c r="AA985" s="3">
        <v>0</v>
      </c>
      <c r="AB985" s="12">
        <f>(W985*4+X985*1+Y985*-2+Z985*-3)/W985</f>
        <v>5.6</v>
      </c>
      <c r="AC985" s="3">
        <f>W985*12.0107+X985*1.00784+Y985*15.999+Z985*14.0067</f>
        <v>136.23244</v>
      </c>
      <c r="AD985" s="12">
        <v>176</v>
      </c>
      <c r="AE985" s="3" t="s">
        <v>271</v>
      </c>
      <c r="AF985" s="3" t="s">
        <v>79</v>
      </c>
      <c r="AG985" s="2" t="str">
        <f>IF(AD985&gt;37,"Proton symporter", "Diffusion")</f>
        <v>Proton symporter</v>
      </c>
      <c r="AH985" s="3" t="s">
        <v>272</v>
      </c>
    </row>
    <row r="986" spans="1:34" hidden="1" x14ac:dyDescent="0.2">
      <c r="A986" s="8" t="s">
        <v>34</v>
      </c>
      <c r="B986" s="9" t="s">
        <v>35</v>
      </c>
      <c r="C986" s="1" t="s">
        <v>61</v>
      </c>
      <c r="D986" s="13" t="s">
        <v>51</v>
      </c>
      <c r="E986" s="1" t="s">
        <v>289</v>
      </c>
      <c r="F986" s="1" t="s">
        <v>290</v>
      </c>
      <c r="G986" s="1">
        <v>-10</v>
      </c>
      <c r="H986" s="1">
        <v>-20</v>
      </c>
      <c r="I986" s="1" t="s">
        <v>40</v>
      </c>
      <c r="J986" s="1">
        <v>3.15</v>
      </c>
      <c r="K986" s="1">
        <v>-10</v>
      </c>
      <c r="L986" s="1">
        <v>-6.4711538461538503</v>
      </c>
      <c r="M986" s="1" t="s">
        <v>40</v>
      </c>
      <c r="N986" s="1">
        <v>4.3141025641025701</v>
      </c>
      <c r="O986" s="1">
        <v>1.13717948717949</v>
      </c>
      <c r="Q986" s="1">
        <v>0.11371794871794901</v>
      </c>
      <c r="R986" s="1">
        <v>0.31284384050036301</v>
      </c>
      <c r="S986" s="11" t="s">
        <v>289</v>
      </c>
      <c r="T986" s="2" t="s">
        <v>291</v>
      </c>
      <c r="U986" s="3" t="s">
        <v>41</v>
      </c>
      <c r="V986" s="2" t="s">
        <v>292</v>
      </c>
      <c r="W986" s="2">
        <v>5</v>
      </c>
      <c r="X986" s="2">
        <v>12</v>
      </c>
      <c r="Y986" s="2">
        <v>1</v>
      </c>
      <c r="Z986" s="2">
        <v>0</v>
      </c>
      <c r="AA986" s="2">
        <v>0</v>
      </c>
      <c r="AB986" s="12">
        <f>(W986*4+X986*1+Y986*-2+Z986*-3)/W986</f>
        <v>6</v>
      </c>
      <c r="AC986" s="3">
        <f>W986*12.0107+X986*1.00784+Y986*15.999+Z986*14.0067</f>
        <v>88.14658</v>
      </c>
      <c r="AD986" s="12">
        <v>129</v>
      </c>
      <c r="AE986" s="2" t="s">
        <v>262</v>
      </c>
      <c r="AF986" s="2" t="s">
        <v>293</v>
      </c>
      <c r="AG986" s="2" t="str">
        <f>IF(AD986&gt;37,"Proton symporter", "Diffusion")</f>
        <v>Proton symporter</v>
      </c>
      <c r="AH986" s="3" t="s">
        <v>294</v>
      </c>
    </row>
    <row r="987" spans="1:34" hidden="1" x14ac:dyDescent="0.2">
      <c r="A987" s="8" t="s">
        <v>34</v>
      </c>
      <c r="B987" s="9" t="s">
        <v>35</v>
      </c>
      <c r="C987" s="1" t="s">
        <v>56</v>
      </c>
      <c r="D987" s="14" t="s">
        <v>55</v>
      </c>
      <c r="E987" s="1" t="s">
        <v>343</v>
      </c>
      <c r="F987" s="1" t="s">
        <v>344</v>
      </c>
      <c r="G987" s="1">
        <v>-10</v>
      </c>
      <c r="H987" s="1">
        <v>-20</v>
      </c>
      <c r="I987" s="1" t="s">
        <v>40</v>
      </c>
      <c r="J987" s="1">
        <v>3.15</v>
      </c>
      <c r="K987" s="1">
        <v>-10</v>
      </c>
      <c r="L987" s="1">
        <v>-2.3534482758620601</v>
      </c>
      <c r="M987" s="1" t="s">
        <v>40</v>
      </c>
      <c r="N987" s="1">
        <v>10.4120689655172</v>
      </c>
      <c r="O987" s="1">
        <v>6.5293103448275902</v>
      </c>
      <c r="Q987" s="1">
        <v>0.65293103448275902</v>
      </c>
      <c r="R987" s="1">
        <v>0.31262549906096898</v>
      </c>
      <c r="S987" s="20" t="s">
        <v>343</v>
      </c>
      <c r="T987" s="3" t="s">
        <v>345</v>
      </c>
      <c r="U987" s="3" t="s">
        <v>106</v>
      </c>
      <c r="V987" s="3" t="s">
        <v>346</v>
      </c>
      <c r="W987" s="3">
        <v>3</v>
      </c>
      <c r="X987" s="3">
        <v>8</v>
      </c>
      <c r="Y987" s="3">
        <v>0</v>
      </c>
      <c r="Z987" s="3">
        <v>0</v>
      </c>
      <c r="AA987" s="3">
        <v>0</v>
      </c>
      <c r="AB987" s="12">
        <f>(W987*4+X987*1+Y987*-2+Z987*-3)/W987</f>
        <v>6.666666666666667</v>
      </c>
      <c r="AC987" s="3">
        <f>W987*12.0107+X987*1.00784+Y987*15.999+Z987*14.0067</f>
        <v>44.094819999999999</v>
      </c>
      <c r="AD987" s="24">
        <v>-42</v>
      </c>
      <c r="AE987" s="3" t="s">
        <v>231</v>
      </c>
      <c r="AF987" s="2" t="s">
        <v>79</v>
      </c>
      <c r="AG987" s="25" t="str">
        <f>IF(AD987&gt;37,"Proton symporter", "Diffusion")</f>
        <v>Diffusion</v>
      </c>
      <c r="AH987" s="3" t="s">
        <v>347</v>
      </c>
    </row>
    <row r="988" spans="1:34" hidden="1" x14ac:dyDescent="0.2">
      <c r="A988" s="8" t="s">
        <v>34</v>
      </c>
      <c r="B988" s="9" t="s">
        <v>35</v>
      </c>
      <c r="C988" s="1" t="s">
        <v>54</v>
      </c>
      <c r="D988" s="14" t="s">
        <v>55</v>
      </c>
      <c r="E988" s="1" t="s">
        <v>254</v>
      </c>
      <c r="F988" s="1" t="s">
        <v>255</v>
      </c>
      <c r="G988" s="1">
        <v>-10</v>
      </c>
      <c r="H988" s="1">
        <v>-20</v>
      </c>
      <c r="I988" s="1" t="s">
        <v>40</v>
      </c>
      <c r="J988" s="1">
        <v>3.15</v>
      </c>
      <c r="K988" s="1">
        <v>-10</v>
      </c>
      <c r="L988" s="1">
        <v>-2.1538064516129101</v>
      </c>
      <c r="M988" s="1" t="s">
        <v>40</v>
      </c>
      <c r="N988" s="1">
        <v>18.681290322580601</v>
      </c>
      <c r="O988" s="1">
        <v>2.75458064516129</v>
      </c>
      <c r="Q988" s="1">
        <v>0.27545806451612898</v>
      </c>
      <c r="R988" s="1">
        <v>0.31245503176570699</v>
      </c>
      <c r="S988" s="11" t="s">
        <v>254</v>
      </c>
      <c r="T988" s="2" t="s">
        <v>254</v>
      </c>
      <c r="U988" s="3" t="s">
        <v>41</v>
      </c>
      <c r="V988" s="2" t="s">
        <v>256</v>
      </c>
      <c r="W988" s="2">
        <v>15</v>
      </c>
      <c r="X988" s="2">
        <v>24</v>
      </c>
      <c r="Y988" s="2">
        <v>0</v>
      </c>
      <c r="Z988" s="2">
        <v>0</v>
      </c>
      <c r="AA988" s="2">
        <v>0</v>
      </c>
      <c r="AB988" s="12">
        <f>(W988*4+X988*1+Y988*-2+Z988*-3)/W988+0.01</f>
        <v>5.6099999999999994</v>
      </c>
      <c r="AC988" s="3">
        <f>W988*12.0107+X988*1.00784+Y988*15.999+Z988*14.0067</f>
        <v>204.34866000000002</v>
      </c>
      <c r="AD988" s="12" t="s">
        <v>257</v>
      </c>
      <c r="AE988" s="2" t="s">
        <v>231</v>
      </c>
      <c r="AF988" s="2" t="s">
        <v>79</v>
      </c>
      <c r="AG988" s="2" t="str">
        <f>IF(AD988&gt;37,"Proton symporter", "Diffusion")</f>
        <v>Proton symporter</v>
      </c>
      <c r="AH988" s="3" t="s">
        <v>258</v>
      </c>
    </row>
    <row r="989" spans="1:34" hidden="1" x14ac:dyDescent="0.2">
      <c r="A989" s="8" t="s">
        <v>34</v>
      </c>
      <c r="B989" s="9" t="s">
        <v>35</v>
      </c>
      <c r="C989" s="1" t="s">
        <v>54</v>
      </c>
      <c r="D989" s="14" t="s">
        <v>55</v>
      </c>
      <c r="E989" s="1" t="s">
        <v>264</v>
      </c>
      <c r="F989" s="1" t="s">
        <v>265</v>
      </c>
      <c r="G989" s="1">
        <v>-10</v>
      </c>
      <c r="H989" s="1">
        <v>-20</v>
      </c>
      <c r="I989" s="1" t="s">
        <v>40</v>
      </c>
      <c r="J989" s="1">
        <v>3.15</v>
      </c>
      <c r="K989" s="1">
        <v>-10</v>
      </c>
      <c r="L989" s="1">
        <v>-2.3027027027027098</v>
      </c>
      <c r="M989" s="1" t="s">
        <v>40</v>
      </c>
      <c r="N989" s="1">
        <v>18.787644787644801</v>
      </c>
      <c r="O989" s="1">
        <v>8.2424710424710401</v>
      </c>
      <c r="Q989" s="1">
        <v>0.82424710424710401</v>
      </c>
      <c r="R989" s="1">
        <v>0.31165077170968197</v>
      </c>
      <c r="S989" s="20" t="s">
        <v>264</v>
      </c>
      <c r="T989" s="3" t="s">
        <v>264</v>
      </c>
      <c r="U989" s="3" t="s">
        <v>106</v>
      </c>
      <c r="V989" s="3" t="s">
        <v>266</v>
      </c>
      <c r="W989" s="3">
        <v>5</v>
      </c>
      <c r="X989" s="3">
        <v>8</v>
      </c>
      <c r="Y989" s="3">
        <v>0</v>
      </c>
      <c r="Z989" s="3">
        <v>0</v>
      </c>
      <c r="AA989" s="3">
        <v>0</v>
      </c>
      <c r="AB989" s="12">
        <f>(W989*4+X989*1+Y989*-2+Z989*-3)/W989</f>
        <v>5.6</v>
      </c>
      <c r="AC989" s="3">
        <f>W989*12.0107+X989*1.00784+Y989*15.999+Z989*14.0067</f>
        <v>68.116219999999998</v>
      </c>
      <c r="AD989" s="24">
        <v>34.07</v>
      </c>
      <c r="AE989" s="3" t="s">
        <v>231</v>
      </c>
      <c r="AF989" s="3" t="s">
        <v>79</v>
      </c>
      <c r="AG989" s="25" t="str">
        <f>IF(AD989&gt;37,"Proton symporter", "Diffusion")</f>
        <v>Diffusion</v>
      </c>
      <c r="AH989" s="3" t="s">
        <v>267</v>
      </c>
    </row>
    <row r="990" spans="1:34" hidden="1" x14ac:dyDescent="0.2">
      <c r="A990" s="16" t="s">
        <v>63</v>
      </c>
      <c r="B990" s="17" t="s">
        <v>64</v>
      </c>
      <c r="C990" t="s">
        <v>65</v>
      </c>
      <c r="D990" s="18" t="s">
        <v>66</v>
      </c>
      <c r="E990" t="s">
        <v>182</v>
      </c>
      <c r="F990" t="s">
        <v>183</v>
      </c>
      <c r="G990">
        <v>-10</v>
      </c>
      <c r="H990">
        <v>0</v>
      </c>
      <c r="I990">
        <v>0</v>
      </c>
      <c r="J990">
        <v>0.45</v>
      </c>
      <c r="K990">
        <v>-10</v>
      </c>
      <c r="L990">
        <v>0</v>
      </c>
      <c r="M990">
        <v>0</v>
      </c>
      <c r="N990">
        <v>6</v>
      </c>
      <c r="O990">
        <v>1</v>
      </c>
      <c r="P990"/>
      <c r="Q990">
        <v>0.1</v>
      </c>
      <c r="R990">
        <v>0.31094494823277402</v>
      </c>
      <c r="S990" s="11" t="s">
        <v>182</v>
      </c>
      <c r="T990" s="2" t="s">
        <v>182</v>
      </c>
      <c r="U990" s="3" t="s">
        <v>41</v>
      </c>
      <c r="V990" s="2" t="s">
        <v>184</v>
      </c>
      <c r="W990" s="2">
        <v>4</v>
      </c>
      <c r="X990" s="2">
        <v>7</v>
      </c>
      <c r="Y990" s="2">
        <v>2</v>
      </c>
      <c r="Z990" s="2">
        <v>0</v>
      </c>
      <c r="AA990" s="2">
        <v>0</v>
      </c>
      <c r="AB990" s="12">
        <f>(W990*4+X990*1+Y990*-2+Z990*-3)/W990</f>
        <v>4.75</v>
      </c>
      <c r="AC990" s="3">
        <f>W990*12.0107+X990*1.00784+Y990*15.999+Z990*14.0067</f>
        <v>87.095680000000002</v>
      </c>
      <c r="AD990" s="12">
        <v>163.5</v>
      </c>
      <c r="AE990" s="2" t="s">
        <v>131</v>
      </c>
      <c r="AF990" s="2" t="s">
        <v>79</v>
      </c>
      <c r="AG990" s="2" t="str">
        <f>IF(AD990&gt;37,"Proton symporter", "Diffusion")</f>
        <v>Proton symporter</v>
      </c>
      <c r="AH990" s="3" t="s">
        <v>185</v>
      </c>
    </row>
    <row r="991" spans="1:34" hidden="1" x14ac:dyDescent="0.2">
      <c r="A991" s="16" t="s">
        <v>63</v>
      </c>
      <c r="B991" s="17" t="s">
        <v>64</v>
      </c>
      <c r="C991" t="s">
        <v>65</v>
      </c>
      <c r="D991" s="18" t="s">
        <v>66</v>
      </c>
      <c r="E991" t="s">
        <v>186</v>
      </c>
      <c r="F991" t="s">
        <v>187</v>
      </c>
      <c r="G991">
        <v>-10</v>
      </c>
      <c r="H991">
        <v>0</v>
      </c>
      <c r="I991">
        <v>0</v>
      </c>
      <c r="J991">
        <v>0.45</v>
      </c>
      <c r="K991">
        <v>-10</v>
      </c>
      <c r="L991">
        <v>0</v>
      </c>
      <c r="M991">
        <v>0</v>
      </c>
      <c r="N991">
        <v>6</v>
      </c>
      <c r="O991">
        <v>0.999999999999999</v>
      </c>
      <c r="P991"/>
      <c r="Q991">
        <v>0.1</v>
      </c>
      <c r="R991">
        <v>0.31094494823277402</v>
      </c>
      <c r="S991" s="11" t="s">
        <v>186</v>
      </c>
      <c r="T991" s="2" t="s">
        <v>186</v>
      </c>
      <c r="U991" s="3" t="s">
        <v>41</v>
      </c>
      <c r="V991" s="2" t="s">
        <v>184</v>
      </c>
      <c r="W991" s="2">
        <v>4</v>
      </c>
      <c r="X991" s="2">
        <v>7</v>
      </c>
      <c r="Y991" s="2">
        <v>2</v>
      </c>
      <c r="Z991" s="2">
        <v>0</v>
      </c>
      <c r="AA991" s="2">
        <v>0</v>
      </c>
      <c r="AB991" s="12">
        <f>(W991*4+X991*1+Y991*-2+Z991*-3)/W991</f>
        <v>4.75</v>
      </c>
      <c r="AC991" s="3">
        <f>W991*12.0107+X991*1.00784+Y991*15.999+Z991*14.0067</f>
        <v>87.095680000000002</v>
      </c>
      <c r="AD991" s="12">
        <v>155</v>
      </c>
      <c r="AE991" s="2" t="s">
        <v>131</v>
      </c>
      <c r="AF991" s="2" t="s">
        <v>135</v>
      </c>
      <c r="AG991" s="2" t="str">
        <f>IF(AD991&gt;37,"Proton symporter", "Diffusion")</f>
        <v>Proton symporter</v>
      </c>
      <c r="AH991" s="3" t="s">
        <v>188</v>
      </c>
    </row>
    <row r="992" spans="1:34" hidden="1" x14ac:dyDescent="0.2">
      <c r="A992" s="8" t="s">
        <v>34</v>
      </c>
      <c r="B992" s="9" t="s">
        <v>35</v>
      </c>
      <c r="C992" s="1" t="s">
        <v>57</v>
      </c>
      <c r="D992" s="10" t="s">
        <v>37</v>
      </c>
      <c r="E992" s="1" t="s">
        <v>310</v>
      </c>
      <c r="F992" s="1" t="s">
        <v>311</v>
      </c>
      <c r="G992" s="1">
        <v>-10</v>
      </c>
      <c r="H992" s="1">
        <v>-20</v>
      </c>
      <c r="I992" s="1" t="s">
        <v>40</v>
      </c>
      <c r="J992" s="1">
        <v>3.15</v>
      </c>
      <c r="K992" s="1">
        <v>-10</v>
      </c>
      <c r="L992" s="1">
        <v>-4.1183206106870198</v>
      </c>
      <c r="M992" s="1" t="s">
        <v>40</v>
      </c>
      <c r="N992" s="1">
        <v>9.4122137404580197</v>
      </c>
      <c r="O992" s="1">
        <v>2.1175572519084001</v>
      </c>
      <c r="Q992" s="1">
        <v>0.21175572519083999</v>
      </c>
      <c r="R992" s="1">
        <v>0.31082300291401399</v>
      </c>
      <c r="S992" s="20" t="s">
        <v>310</v>
      </c>
      <c r="T992" s="3" t="s">
        <v>312</v>
      </c>
      <c r="U992" s="3" t="s">
        <v>106</v>
      </c>
      <c r="V992" s="3" t="s">
        <v>292</v>
      </c>
      <c r="W992" s="3">
        <v>5</v>
      </c>
      <c r="X992" s="3">
        <v>12</v>
      </c>
      <c r="Y992" s="3">
        <v>1</v>
      </c>
      <c r="Z992" s="3">
        <v>0</v>
      </c>
      <c r="AA992" s="3">
        <v>0</v>
      </c>
      <c r="AB992" s="12">
        <f>(W992*4+X992*1+Y992*-2+Z992*-3)/W992</f>
        <v>6</v>
      </c>
      <c r="AC992" s="3">
        <f>W992*12.0107+X992*1.00784+Y992*15.999+Z992*14.0067</f>
        <v>88.14658</v>
      </c>
      <c r="AD992" s="12">
        <v>138</v>
      </c>
      <c r="AE992" s="3" t="s">
        <v>262</v>
      </c>
      <c r="AF992" s="2" t="s">
        <v>313</v>
      </c>
      <c r="AG992" s="2" t="str">
        <f>IF(AD992&gt;37,"Proton symporter", "Diffusion")</f>
        <v>Proton symporter</v>
      </c>
      <c r="AH992" s="3" t="s">
        <v>314</v>
      </c>
    </row>
    <row r="993" spans="1:34" hidden="1" x14ac:dyDescent="0.2">
      <c r="A993" s="16" t="s">
        <v>74</v>
      </c>
      <c r="B993" s="9" t="s">
        <v>35</v>
      </c>
      <c r="C993" t="s">
        <v>62</v>
      </c>
      <c r="D993" s="15" t="s">
        <v>55</v>
      </c>
      <c r="E993" t="s">
        <v>268</v>
      </c>
      <c r="F993" t="s">
        <v>269</v>
      </c>
      <c r="G993">
        <v>-10</v>
      </c>
      <c r="H993">
        <v>-20</v>
      </c>
      <c r="I993" s="1" t="s">
        <v>40</v>
      </c>
      <c r="J993">
        <v>3.15</v>
      </c>
      <c r="K993">
        <v>-10</v>
      </c>
      <c r="L993">
        <v>-2.3891472868217098</v>
      </c>
      <c r="M993" s="1" t="s">
        <v>40</v>
      </c>
      <c r="N993">
        <v>15.9922480620155</v>
      </c>
      <c r="O993">
        <v>3.4007751937984501</v>
      </c>
      <c r="P993"/>
      <c r="Q993">
        <v>0.34007751937984498</v>
      </c>
      <c r="R993">
        <v>0.30859648474164803</v>
      </c>
      <c r="S993" s="3" t="s">
        <v>268</v>
      </c>
      <c r="T993" s="3" t="s">
        <v>268</v>
      </c>
      <c r="U993" s="3" t="s">
        <v>106</v>
      </c>
      <c r="V993" s="3" t="s">
        <v>270</v>
      </c>
      <c r="W993" s="3">
        <v>10</v>
      </c>
      <c r="X993" s="3">
        <v>16</v>
      </c>
      <c r="Y993" s="3">
        <v>0</v>
      </c>
      <c r="Z993" s="3">
        <v>0</v>
      </c>
      <c r="AA993" s="3">
        <v>0</v>
      </c>
      <c r="AB993" s="12">
        <f>(W993*4+X993*1+Y993*-2+Z993*-3)/W993</f>
        <v>5.6</v>
      </c>
      <c r="AC993" s="3">
        <f>W993*12.0107+X993*1.00784+Y993*15.999+Z993*14.0067</f>
        <v>136.23244</v>
      </c>
      <c r="AD993" s="12">
        <v>176</v>
      </c>
      <c r="AE993" s="3" t="s">
        <v>271</v>
      </c>
      <c r="AF993" s="3" t="s">
        <v>79</v>
      </c>
      <c r="AG993" s="2" t="str">
        <f>IF(AD993&gt;37,"Proton symporter", "Diffusion")</f>
        <v>Proton symporter</v>
      </c>
      <c r="AH993" s="3" t="s">
        <v>272</v>
      </c>
    </row>
    <row r="994" spans="1:34" hidden="1" x14ac:dyDescent="0.2">
      <c r="A994" s="8" t="s">
        <v>34</v>
      </c>
      <c r="B994" s="9" t="s">
        <v>35</v>
      </c>
      <c r="C994" s="1" t="s">
        <v>57</v>
      </c>
      <c r="D994" s="10" t="s">
        <v>37</v>
      </c>
      <c r="E994" s="1" t="s">
        <v>300</v>
      </c>
      <c r="F994" s="1" t="s">
        <v>301</v>
      </c>
      <c r="G994" s="1">
        <v>-10</v>
      </c>
      <c r="H994" s="1">
        <v>-20</v>
      </c>
      <c r="I994" s="1" t="s">
        <v>40</v>
      </c>
      <c r="J994" s="1">
        <v>3.15</v>
      </c>
      <c r="K994" s="1">
        <v>-10</v>
      </c>
      <c r="L994" s="1">
        <v>-5</v>
      </c>
      <c r="M994" s="1" t="s">
        <v>40</v>
      </c>
      <c r="N994" s="1">
        <v>10</v>
      </c>
      <c r="O994" s="1">
        <v>2.5</v>
      </c>
      <c r="Q994" s="1">
        <v>0.25</v>
      </c>
      <c r="R994" s="1">
        <v>0.30856674215679702</v>
      </c>
      <c r="S994" s="20" t="s">
        <v>300</v>
      </c>
      <c r="T994" s="3" t="s">
        <v>302</v>
      </c>
      <c r="U994" s="3" t="s">
        <v>106</v>
      </c>
      <c r="V994" s="3" t="s">
        <v>303</v>
      </c>
      <c r="W994" s="3">
        <v>4</v>
      </c>
      <c r="X994" s="3">
        <v>10</v>
      </c>
      <c r="Y994" s="3">
        <v>1</v>
      </c>
      <c r="Z994" s="3">
        <v>0</v>
      </c>
      <c r="AA994" s="3">
        <v>0</v>
      </c>
      <c r="AB994" s="12">
        <f>(W994*4+X994*1+Y994*-2+Z994*-3)/W994</f>
        <v>6</v>
      </c>
      <c r="AC994" s="3">
        <f>W994*12.0107+X994*1.00784+Y994*15.999+Z994*14.0067</f>
        <v>74.120199999999997</v>
      </c>
      <c r="AD994" s="12">
        <v>117.7</v>
      </c>
      <c r="AE994" s="3" t="s">
        <v>262</v>
      </c>
      <c r="AF994" s="2" t="s">
        <v>79</v>
      </c>
      <c r="AG994" s="2" t="str">
        <f>IF(AD994&gt;37,"Proton symporter", "Diffusion")</f>
        <v>Proton symporter</v>
      </c>
      <c r="AH994" s="3" t="s">
        <v>304</v>
      </c>
    </row>
    <row r="995" spans="1:34" hidden="1" x14ac:dyDescent="0.2">
      <c r="A995" s="8" t="s">
        <v>34</v>
      </c>
      <c r="B995" s="9" t="s">
        <v>35</v>
      </c>
      <c r="C995" s="1" t="s">
        <v>46</v>
      </c>
      <c r="D995" s="10" t="s">
        <v>37</v>
      </c>
      <c r="E995" s="1" t="s">
        <v>286</v>
      </c>
      <c r="F995" s="1" t="s">
        <v>280</v>
      </c>
      <c r="G995" s="1">
        <v>-10</v>
      </c>
      <c r="H995" s="1">
        <v>-20</v>
      </c>
      <c r="I995" s="1" t="s">
        <v>40</v>
      </c>
      <c r="J995" s="1">
        <v>3.15</v>
      </c>
      <c r="K995" s="1">
        <v>-10</v>
      </c>
      <c r="L995" s="1">
        <v>-6.3729411764705901</v>
      </c>
      <c r="M995" s="1" t="s">
        <v>40</v>
      </c>
      <c r="N995" s="1">
        <v>10.9152941176471</v>
      </c>
      <c r="O995" s="1">
        <v>3.0282352941176498</v>
      </c>
      <c r="Q995" s="1">
        <v>0.30282352941176499</v>
      </c>
      <c r="R995" s="1">
        <v>0.308213460110633</v>
      </c>
      <c r="S995" s="20" t="s">
        <v>287</v>
      </c>
      <c r="T995" s="3" t="s">
        <v>288</v>
      </c>
      <c r="U995" s="3" t="s">
        <v>174</v>
      </c>
      <c r="V995" s="3" t="s">
        <v>283</v>
      </c>
      <c r="W995" s="3">
        <v>3</v>
      </c>
      <c r="X995" s="3">
        <v>8</v>
      </c>
      <c r="Y995" s="3">
        <v>1</v>
      </c>
      <c r="Z995" s="3">
        <v>0</v>
      </c>
      <c r="AA995" s="3">
        <v>0</v>
      </c>
      <c r="AB995" s="12">
        <f>(W995*4+X995*1+Y995*-2+Z995*-3)/W995</f>
        <v>6</v>
      </c>
      <c r="AC995" s="3">
        <f>W995*12.0107+X995*1.00784+Y995*15.999+Z995*14.0067</f>
        <v>60.093820000000001</v>
      </c>
      <c r="AD995" s="12">
        <v>97</v>
      </c>
      <c r="AE995" s="2" t="s">
        <v>262</v>
      </c>
      <c r="AF995" s="3" t="s">
        <v>44</v>
      </c>
      <c r="AG995" s="2" t="str">
        <f>IF(AD995&gt;37,"Proton symporter", "Diffusion")</f>
        <v>Proton symporter</v>
      </c>
      <c r="AH995" s="3" t="s">
        <v>285</v>
      </c>
    </row>
    <row r="996" spans="1:34" hidden="1" x14ac:dyDescent="0.2">
      <c r="A996" s="8" t="s">
        <v>34</v>
      </c>
      <c r="B996" s="9" t="s">
        <v>35</v>
      </c>
      <c r="C996" s="1" t="s">
        <v>62</v>
      </c>
      <c r="D996" s="15" t="s">
        <v>55</v>
      </c>
      <c r="E996" s="1" t="s">
        <v>254</v>
      </c>
      <c r="F996" s="1" t="s">
        <v>255</v>
      </c>
      <c r="G996" s="1">
        <v>-10</v>
      </c>
      <c r="H996" s="1">
        <v>-20</v>
      </c>
      <c r="I996" s="1" t="s">
        <v>40</v>
      </c>
      <c r="J996" s="1">
        <v>3.15</v>
      </c>
      <c r="K996" s="1">
        <v>-10</v>
      </c>
      <c r="L996" s="1">
        <v>-2.4505806451612901</v>
      </c>
      <c r="M996" s="1" t="s">
        <v>40</v>
      </c>
      <c r="N996" s="1">
        <v>16.036129032258099</v>
      </c>
      <c r="O996" s="1">
        <v>2.2642580645161301</v>
      </c>
      <c r="Q996" s="1">
        <v>0.226425806451613</v>
      </c>
      <c r="R996" s="1">
        <v>0.30819829572907798</v>
      </c>
      <c r="S996" s="11" t="s">
        <v>254</v>
      </c>
      <c r="T996" s="2" t="s">
        <v>254</v>
      </c>
      <c r="U996" s="3" t="s">
        <v>41</v>
      </c>
      <c r="V996" s="2" t="s">
        <v>256</v>
      </c>
      <c r="W996" s="2">
        <v>15</v>
      </c>
      <c r="X996" s="2">
        <v>24</v>
      </c>
      <c r="Y996" s="2">
        <v>0</v>
      </c>
      <c r="Z996" s="2">
        <v>0</v>
      </c>
      <c r="AA996" s="2">
        <v>0</v>
      </c>
      <c r="AB996" s="12">
        <f>(W996*4+X996*1+Y996*-2+Z996*-3)/W996+0.01</f>
        <v>5.6099999999999994</v>
      </c>
      <c r="AC996" s="3">
        <f>W996*12.0107+X996*1.00784+Y996*15.999+Z996*14.0067</f>
        <v>204.34866000000002</v>
      </c>
      <c r="AD996" s="12" t="s">
        <v>257</v>
      </c>
      <c r="AE996" s="2" t="s">
        <v>231</v>
      </c>
      <c r="AF996" s="2" t="s">
        <v>79</v>
      </c>
      <c r="AG996" s="2" t="str">
        <f>IF(AD996&gt;37,"Proton symporter", "Diffusion")</f>
        <v>Proton symporter</v>
      </c>
      <c r="AH996" s="3" t="s">
        <v>258</v>
      </c>
    </row>
    <row r="997" spans="1:34" hidden="1" x14ac:dyDescent="0.2">
      <c r="A997" s="8" t="s">
        <v>34</v>
      </c>
      <c r="B997" s="9" t="s">
        <v>35</v>
      </c>
      <c r="C997" s="1" t="s">
        <v>46</v>
      </c>
      <c r="D997" s="10" t="s">
        <v>37</v>
      </c>
      <c r="E997" s="1" t="s">
        <v>310</v>
      </c>
      <c r="F997" s="1" t="s">
        <v>311</v>
      </c>
      <c r="G997" s="1">
        <v>-10</v>
      </c>
      <c r="H997" s="1">
        <v>-20</v>
      </c>
      <c r="I997" s="1" t="s">
        <v>40</v>
      </c>
      <c r="J997" s="1">
        <v>3.15</v>
      </c>
      <c r="K997" s="1">
        <v>-10</v>
      </c>
      <c r="L997" s="1">
        <v>-4.5173913043478304</v>
      </c>
      <c r="M997" s="1" t="s">
        <v>40</v>
      </c>
      <c r="N997" s="1">
        <v>9.6782608695652197</v>
      </c>
      <c r="O997" s="1">
        <v>2.0643478260869599</v>
      </c>
      <c r="Q997" s="1">
        <v>0.20643478260869599</v>
      </c>
      <c r="R997" s="1">
        <v>0.308191398392898</v>
      </c>
      <c r="S997" s="20" t="s">
        <v>310</v>
      </c>
      <c r="T997" s="3" t="s">
        <v>312</v>
      </c>
      <c r="U997" s="3" t="s">
        <v>106</v>
      </c>
      <c r="V997" s="3" t="s">
        <v>292</v>
      </c>
      <c r="W997" s="3">
        <v>5</v>
      </c>
      <c r="X997" s="3">
        <v>12</v>
      </c>
      <c r="Y997" s="3">
        <v>1</v>
      </c>
      <c r="Z997" s="3">
        <v>0</v>
      </c>
      <c r="AA997" s="3">
        <v>0</v>
      </c>
      <c r="AB997" s="12">
        <f>(W997*4+X997*1+Y997*-2+Z997*-3)/W997</f>
        <v>6</v>
      </c>
      <c r="AC997" s="3">
        <f>W997*12.0107+X997*1.00784+Y997*15.999+Z997*14.0067</f>
        <v>88.14658</v>
      </c>
      <c r="AD997" s="12">
        <v>138</v>
      </c>
      <c r="AE997" s="3" t="s">
        <v>262</v>
      </c>
      <c r="AF997" s="2" t="s">
        <v>313</v>
      </c>
      <c r="AG997" s="2" t="str">
        <f>IF(AD997&gt;37,"Proton symporter", "Diffusion")</f>
        <v>Proton symporter</v>
      </c>
      <c r="AH997" s="3" t="s">
        <v>314</v>
      </c>
    </row>
    <row r="998" spans="1:34" hidden="1" x14ac:dyDescent="0.2">
      <c r="A998" s="8" t="s">
        <v>34</v>
      </c>
      <c r="B998" s="9" t="s">
        <v>35</v>
      </c>
      <c r="C998" s="1" t="s">
        <v>62</v>
      </c>
      <c r="D998" s="15" t="s">
        <v>55</v>
      </c>
      <c r="E998" s="1" t="s">
        <v>264</v>
      </c>
      <c r="F998" s="1" t="s">
        <v>265</v>
      </c>
      <c r="G998" s="1">
        <v>-10</v>
      </c>
      <c r="H998" s="1">
        <v>-20</v>
      </c>
      <c r="I998" s="1" t="s">
        <v>40</v>
      </c>
      <c r="J998" s="1">
        <v>3.15</v>
      </c>
      <c r="K998" s="1">
        <v>-10</v>
      </c>
      <c r="L998" s="1">
        <v>-2.5762836185819098</v>
      </c>
      <c r="M998" s="1" t="s">
        <v>40</v>
      </c>
      <c r="N998" s="1">
        <v>16.125916870415701</v>
      </c>
      <c r="O998" s="1">
        <v>6.7748166259168698</v>
      </c>
      <c r="Q998" s="1">
        <v>0.67748166259168696</v>
      </c>
      <c r="R998" s="1">
        <v>0.30738353410418401</v>
      </c>
      <c r="S998" s="20" t="s">
        <v>264</v>
      </c>
      <c r="T998" s="3" t="s">
        <v>264</v>
      </c>
      <c r="U998" s="3" t="s">
        <v>106</v>
      </c>
      <c r="V998" s="3" t="s">
        <v>266</v>
      </c>
      <c r="W998" s="3">
        <v>5</v>
      </c>
      <c r="X998" s="3">
        <v>8</v>
      </c>
      <c r="Y998" s="3">
        <v>0</v>
      </c>
      <c r="Z998" s="3">
        <v>0</v>
      </c>
      <c r="AA998" s="3">
        <v>0</v>
      </c>
      <c r="AB998" s="12">
        <f>(W998*4+X998*1+Y998*-2+Z998*-3)/W998</f>
        <v>5.6</v>
      </c>
      <c r="AC998" s="3">
        <f>W998*12.0107+X998*1.00784+Y998*15.999+Z998*14.0067</f>
        <v>68.116219999999998</v>
      </c>
      <c r="AD998" s="24">
        <v>34.07</v>
      </c>
      <c r="AE998" s="3" t="s">
        <v>231</v>
      </c>
      <c r="AF998" s="3" t="s">
        <v>79</v>
      </c>
      <c r="AG998" s="25" t="str">
        <f>IF(AD998&gt;37,"Proton symporter", "Diffusion")</f>
        <v>Diffusion</v>
      </c>
      <c r="AH998" s="3" t="s">
        <v>267</v>
      </c>
    </row>
    <row r="999" spans="1:34" hidden="1" x14ac:dyDescent="0.2">
      <c r="A999" s="8" t="s">
        <v>34</v>
      </c>
      <c r="B999" s="9" t="s">
        <v>35</v>
      </c>
      <c r="C999" s="1" t="s">
        <v>48</v>
      </c>
      <c r="D999" s="10" t="s">
        <v>37</v>
      </c>
      <c r="E999" s="1" t="s">
        <v>339</v>
      </c>
      <c r="F999" s="1" t="s">
        <v>340</v>
      </c>
      <c r="G999" s="1">
        <v>-10</v>
      </c>
      <c r="H999" s="1">
        <v>-20</v>
      </c>
      <c r="I999" s="1" t="s">
        <v>40</v>
      </c>
      <c r="J999" s="1">
        <v>3.15</v>
      </c>
      <c r="K999" s="1">
        <v>-10</v>
      </c>
      <c r="L999" s="1">
        <v>-3.67767857142857</v>
      </c>
      <c r="M999" s="1" t="s">
        <v>40</v>
      </c>
      <c r="N999" s="1">
        <v>6.8785714285714201</v>
      </c>
      <c r="O999" s="1">
        <v>3.2803571428571399</v>
      </c>
      <c r="Q999" s="1">
        <v>0.32803571428571399</v>
      </c>
      <c r="R999" s="1">
        <v>0.30718439215328802</v>
      </c>
      <c r="S999" s="11" t="s">
        <v>339</v>
      </c>
      <c r="T999" s="2" t="s">
        <v>339</v>
      </c>
      <c r="U999" s="3" t="s">
        <v>106</v>
      </c>
      <c r="V999" s="2" t="s">
        <v>341</v>
      </c>
      <c r="W999" s="2">
        <v>4</v>
      </c>
      <c r="X999" s="2">
        <v>10</v>
      </c>
      <c r="Y999" s="2">
        <v>0</v>
      </c>
      <c r="Z999" s="2">
        <v>0</v>
      </c>
      <c r="AA999" s="2">
        <v>0</v>
      </c>
      <c r="AB999" s="12">
        <f>(W999*4+X999*1+Y999*-2+Z999*-3)/W999</f>
        <v>6.5</v>
      </c>
      <c r="AC999" s="3">
        <f>W999*12.0107+X999*1.00784+Y999*15.999+Z999*14.0067</f>
        <v>58.121200000000002</v>
      </c>
      <c r="AD999" s="24">
        <v>-1</v>
      </c>
      <c r="AE999" s="3" t="s">
        <v>321</v>
      </c>
      <c r="AF999" s="2" t="s">
        <v>313</v>
      </c>
      <c r="AG999" s="25" t="str">
        <f>IF(AD999&gt;37,"Proton symporter", "Diffusion")</f>
        <v>Diffusion</v>
      </c>
      <c r="AH999" s="3" t="s">
        <v>342</v>
      </c>
    </row>
    <row r="1000" spans="1:34" hidden="1" x14ac:dyDescent="0.2">
      <c r="A1000" s="8" t="s">
        <v>34</v>
      </c>
      <c r="B1000" s="9" t="s">
        <v>35</v>
      </c>
      <c r="C1000" s="1" t="s">
        <v>61</v>
      </c>
      <c r="D1000" s="13" t="s">
        <v>51</v>
      </c>
      <c r="E1000" s="1" t="s">
        <v>172</v>
      </c>
      <c r="F1000" s="1" t="s">
        <v>173</v>
      </c>
      <c r="G1000" s="1">
        <v>-10</v>
      </c>
      <c r="H1000" s="1">
        <v>-20</v>
      </c>
      <c r="I1000" s="1" t="s">
        <v>40</v>
      </c>
      <c r="J1000" s="1">
        <v>3.15</v>
      </c>
      <c r="K1000" s="1">
        <v>-10</v>
      </c>
      <c r="L1000" s="1">
        <v>-7.6809430255402704</v>
      </c>
      <c r="M1000" s="1" t="s">
        <v>40</v>
      </c>
      <c r="N1000" s="1">
        <v>3.7265225933202202</v>
      </c>
      <c r="O1000" s="1">
        <v>1.04557956777996</v>
      </c>
      <c r="Q1000" s="1">
        <v>0.10455795677799599</v>
      </c>
      <c r="R1000" s="1">
        <v>0.30710514590612098</v>
      </c>
      <c r="S1000" s="20" t="s">
        <v>172</v>
      </c>
      <c r="T1000" s="3" t="s">
        <v>172</v>
      </c>
      <c r="U1000" s="3" t="s">
        <v>174</v>
      </c>
      <c r="V1000" s="3" t="s">
        <v>175</v>
      </c>
      <c r="W1000" s="3">
        <v>6</v>
      </c>
      <c r="X1000" s="3">
        <v>6</v>
      </c>
      <c r="Y1000" s="3">
        <v>1</v>
      </c>
      <c r="Z1000" s="3">
        <v>0</v>
      </c>
      <c r="AA1000" s="3">
        <v>0</v>
      </c>
      <c r="AB1000" s="12">
        <f>(W1000*4+X1000*1+Y1000*-2+Z1000*-3)/W1000</f>
        <v>4.666666666666667</v>
      </c>
      <c r="AC1000" s="3">
        <f>W1000*12.0107+X1000*1.00784+Y1000*15.999+Z1000*14.0067</f>
        <v>94.11023999999999</v>
      </c>
      <c r="AD1000" s="12">
        <v>181.7</v>
      </c>
      <c r="AE1000" s="3" t="s">
        <v>176</v>
      </c>
      <c r="AF1000" s="2" t="s">
        <v>150</v>
      </c>
      <c r="AG1000" s="2" t="str">
        <f>IF(AD1000&gt;37,"Proton symporter", "Diffusion")</f>
        <v>Proton symporter</v>
      </c>
      <c r="AH1000" s="3" t="s">
        <v>177</v>
      </c>
    </row>
    <row r="1001" spans="1:34" hidden="1" x14ac:dyDescent="0.2">
      <c r="A1001" s="8" t="s">
        <v>34</v>
      </c>
      <c r="B1001" s="9" t="s">
        <v>35</v>
      </c>
      <c r="C1001" s="1" t="s">
        <v>47</v>
      </c>
      <c r="D1001" s="10" t="s">
        <v>37</v>
      </c>
      <c r="E1001" s="1" t="s">
        <v>199</v>
      </c>
      <c r="F1001" s="1" t="s">
        <v>200</v>
      </c>
      <c r="G1001" s="1">
        <v>-10</v>
      </c>
      <c r="H1001" s="1">
        <v>-20</v>
      </c>
      <c r="I1001" s="1" t="s">
        <v>40</v>
      </c>
      <c r="J1001" s="1">
        <v>3.15</v>
      </c>
      <c r="K1001" s="1">
        <v>-10</v>
      </c>
      <c r="L1001" s="1">
        <v>-10.025662650602399</v>
      </c>
      <c r="M1001" s="1" t="s">
        <v>40</v>
      </c>
      <c r="N1001" s="1">
        <v>7.6681927710843301</v>
      </c>
      <c r="O1001" s="1">
        <v>1.76168674698795</v>
      </c>
      <c r="Q1001" s="1">
        <v>0.17616867469879499</v>
      </c>
      <c r="R1001" s="1">
        <v>0.30693394544886099</v>
      </c>
      <c r="S1001" s="20" t="s">
        <v>201</v>
      </c>
      <c r="T1001" s="3" t="s">
        <v>201</v>
      </c>
      <c r="U1001" s="3" t="s">
        <v>106</v>
      </c>
      <c r="V1001" s="3" t="s">
        <v>202</v>
      </c>
      <c r="W1001" s="3">
        <v>7</v>
      </c>
      <c r="X1001" s="3">
        <v>8</v>
      </c>
      <c r="Y1001" s="3">
        <v>1</v>
      </c>
      <c r="Z1001" s="3">
        <v>0</v>
      </c>
      <c r="AA1001" s="3">
        <v>0</v>
      </c>
      <c r="AB1001" s="12">
        <f>(W1001*4+X1001*1+Y1001*-2+Z1001*-3)/W1001</f>
        <v>4.8571428571428568</v>
      </c>
      <c r="AC1001" s="3">
        <f>W1001*12.0107+X1001*1.00784+Y1001*15.999+Z1001*14.0067</f>
        <v>108.13661999999999</v>
      </c>
      <c r="AD1001" s="12">
        <v>205</v>
      </c>
      <c r="AE1001" s="3" t="s">
        <v>176</v>
      </c>
      <c r="AF1001" s="3" t="s">
        <v>203</v>
      </c>
      <c r="AG1001" s="2" t="str">
        <f>IF(AD1001&gt;37,"Proton symporter", "Diffusion")</f>
        <v>Proton symporter</v>
      </c>
      <c r="AH1001" s="3" t="s">
        <v>204</v>
      </c>
    </row>
    <row r="1002" spans="1:34" hidden="1" x14ac:dyDescent="0.2">
      <c r="A1002" s="16" t="s">
        <v>63</v>
      </c>
      <c r="B1002" s="17" t="s">
        <v>64</v>
      </c>
      <c r="C1002" t="s">
        <v>68</v>
      </c>
      <c r="D1002" s="18" t="s">
        <v>66</v>
      </c>
      <c r="E1002" t="s">
        <v>318</v>
      </c>
      <c r="F1002" t="s">
        <v>319</v>
      </c>
      <c r="G1002">
        <v>-10</v>
      </c>
      <c r="H1002">
        <v>0</v>
      </c>
      <c r="I1002">
        <v>-10</v>
      </c>
      <c r="J1002">
        <v>0.45</v>
      </c>
      <c r="K1002">
        <v>-10</v>
      </c>
      <c r="L1002">
        <v>0</v>
      </c>
      <c r="M1002">
        <v>-10</v>
      </c>
      <c r="N1002">
        <v>3.5714285714285801</v>
      </c>
      <c r="O1002">
        <v>0.71428571428571297</v>
      </c>
      <c r="P1002"/>
      <c r="Q1002">
        <v>7.14285714285713E-2</v>
      </c>
      <c r="R1002">
        <v>0.305059464345178</v>
      </c>
      <c r="S1002" s="20" t="s">
        <v>318</v>
      </c>
      <c r="T1002" s="3" t="s">
        <v>318</v>
      </c>
      <c r="U1002" s="3" t="s">
        <v>106</v>
      </c>
      <c r="V1002" s="3" t="s">
        <v>320</v>
      </c>
      <c r="W1002" s="3">
        <v>9</v>
      </c>
      <c r="X1002" s="3">
        <v>20</v>
      </c>
      <c r="Y1002" s="3">
        <v>0</v>
      </c>
      <c r="Z1002" s="3">
        <v>0</v>
      </c>
      <c r="AA1002" s="3">
        <v>0</v>
      </c>
      <c r="AB1002" s="12">
        <f>(W1002*4+X1002*1+Y1002*-2+Z1002*-3)/W1002</f>
        <v>6.2222222222222223</v>
      </c>
      <c r="AC1002" s="3">
        <f>W1002*12.0107+X1002*1.00784+Y1002*15.999+Z1002*14.0067</f>
        <v>128.25309999999999</v>
      </c>
      <c r="AD1002" s="12">
        <v>151</v>
      </c>
      <c r="AE1002" s="3" t="s">
        <v>321</v>
      </c>
      <c r="AF1002" s="2" t="s">
        <v>79</v>
      </c>
      <c r="AG1002" s="2" t="str">
        <f>IF(AD1002&gt;37,"Proton symporter", "Diffusion")</f>
        <v>Proton symporter</v>
      </c>
      <c r="AH1002" s="3" t="s">
        <v>322</v>
      </c>
    </row>
    <row r="1003" spans="1:34" hidden="1" x14ac:dyDescent="0.2">
      <c r="A1003" s="16" t="s">
        <v>317</v>
      </c>
      <c r="B1003" s="9" t="s">
        <v>35</v>
      </c>
      <c r="C1003" t="s">
        <v>54</v>
      </c>
      <c r="D1003" s="14" t="s">
        <v>55</v>
      </c>
      <c r="E1003" t="s">
        <v>323</v>
      </c>
      <c r="F1003" t="s">
        <v>324</v>
      </c>
      <c r="G1003">
        <v>-10</v>
      </c>
      <c r="H1003">
        <v>-20</v>
      </c>
      <c r="I1003" s="1" t="s">
        <v>40</v>
      </c>
      <c r="J1003">
        <v>3.15</v>
      </c>
      <c r="K1003">
        <v>-10</v>
      </c>
      <c r="L1003">
        <v>-2.9716006607076801E-17</v>
      </c>
      <c r="M1003" s="1" t="s">
        <v>40</v>
      </c>
      <c r="N1003">
        <v>21.6</v>
      </c>
      <c r="O1003">
        <v>4.8</v>
      </c>
      <c r="P1003"/>
      <c r="Q1003">
        <v>0.48</v>
      </c>
      <c r="R1003">
        <v>0.304347109012442</v>
      </c>
      <c r="S1003" s="11" t="s">
        <v>323</v>
      </c>
      <c r="T1003" s="2" t="s">
        <v>323</v>
      </c>
      <c r="U1003" s="3" t="s">
        <v>106</v>
      </c>
      <c r="V1003" s="2" t="s">
        <v>325</v>
      </c>
      <c r="W1003" s="2">
        <v>8</v>
      </c>
      <c r="X1003" s="2">
        <v>18</v>
      </c>
      <c r="Y1003" s="2">
        <v>0</v>
      </c>
      <c r="Z1003" s="2">
        <v>0</v>
      </c>
      <c r="AA1003" s="2">
        <v>0</v>
      </c>
      <c r="AB1003" s="12">
        <f>(W1003*4+X1003*1+Y1003*-2+Z1003*-3)/W1003</f>
        <v>6.25</v>
      </c>
      <c r="AC1003" s="3">
        <f>W1003*12.0107+X1003*1.00784+Y1003*15.999+Z1003*14.0067</f>
        <v>114.22672</v>
      </c>
      <c r="AD1003" s="12">
        <v>126</v>
      </c>
      <c r="AE1003" s="3" t="s">
        <v>321</v>
      </c>
      <c r="AF1003" s="2" t="s">
        <v>313</v>
      </c>
      <c r="AG1003" s="2" t="str">
        <f>IF(AD1003&gt;37,"Proton symporter", "Diffusion")</f>
        <v>Proton symporter</v>
      </c>
      <c r="AH1003" s="3" t="s">
        <v>326</v>
      </c>
    </row>
    <row r="1004" spans="1:34" hidden="1" x14ac:dyDescent="0.2">
      <c r="A1004" s="16" t="s">
        <v>317</v>
      </c>
      <c r="B1004" s="9" t="s">
        <v>35</v>
      </c>
      <c r="C1004" t="s">
        <v>62</v>
      </c>
      <c r="D1004" s="15" t="s">
        <v>55</v>
      </c>
      <c r="E1004" t="s">
        <v>323</v>
      </c>
      <c r="F1004" t="s">
        <v>324</v>
      </c>
      <c r="G1004">
        <v>-10</v>
      </c>
      <c r="H1004">
        <v>-20</v>
      </c>
      <c r="I1004" s="1" t="s">
        <v>40</v>
      </c>
      <c r="J1004">
        <v>3.15</v>
      </c>
      <c r="K1004">
        <v>-10</v>
      </c>
      <c r="L1004">
        <v>4.1343079438533501E-30</v>
      </c>
      <c r="M1004" s="1" t="s">
        <v>40</v>
      </c>
      <c r="N1004">
        <v>18</v>
      </c>
      <c r="O1004">
        <v>4</v>
      </c>
      <c r="P1004"/>
      <c r="Q1004">
        <v>0.4</v>
      </c>
      <c r="R1004">
        <v>0.30434082461866402</v>
      </c>
      <c r="S1004" s="11" t="s">
        <v>323</v>
      </c>
      <c r="T1004" s="2" t="s">
        <v>323</v>
      </c>
      <c r="U1004" s="3" t="s">
        <v>106</v>
      </c>
      <c r="V1004" s="2" t="s">
        <v>325</v>
      </c>
      <c r="W1004" s="2">
        <v>8</v>
      </c>
      <c r="X1004" s="2">
        <v>18</v>
      </c>
      <c r="Y1004" s="2">
        <v>0</v>
      </c>
      <c r="Z1004" s="2">
        <v>0</v>
      </c>
      <c r="AA1004" s="2">
        <v>0</v>
      </c>
      <c r="AB1004" s="12">
        <f>(W1004*4+X1004*1+Y1004*-2+Z1004*-3)/W1004</f>
        <v>6.25</v>
      </c>
      <c r="AC1004" s="3">
        <f>W1004*12.0107+X1004*1.00784+Y1004*15.999+Z1004*14.0067</f>
        <v>114.22672</v>
      </c>
      <c r="AD1004" s="12">
        <v>126</v>
      </c>
      <c r="AE1004" s="3" t="s">
        <v>321</v>
      </c>
      <c r="AF1004" s="2" t="s">
        <v>313</v>
      </c>
      <c r="AG1004" s="2" t="str">
        <f>IF(AD1004&gt;37,"Proton symporter", "Diffusion")</f>
        <v>Proton symporter</v>
      </c>
      <c r="AH1004" s="3" t="s">
        <v>326</v>
      </c>
    </row>
    <row r="1005" spans="1:34" hidden="1" x14ac:dyDescent="0.2">
      <c r="A1005" s="16" t="s">
        <v>63</v>
      </c>
      <c r="B1005" s="17" t="s">
        <v>64</v>
      </c>
      <c r="C1005" t="s">
        <v>68</v>
      </c>
      <c r="D1005" s="18" t="s">
        <v>66</v>
      </c>
      <c r="E1005" t="s">
        <v>323</v>
      </c>
      <c r="F1005" t="s">
        <v>324</v>
      </c>
      <c r="G1005">
        <v>-10</v>
      </c>
      <c r="H1005">
        <v>0</v>
      </c>
      <c r="I1005">
        <v>-10</v>
      </c>
      <c r="J1005">
        <v>0.45</v>
      </c>
      <c r="K1005">
        <v>-10</v>
      </c>
      <c r="L1005">
        <v>0</v>
      </c>
      <c r="M1005">
        <v>-10</v>
      </c>
      <c r="N1005">
        <v>3.6</v>
      </c>
      <c r="O1005">
        <v>0.8</v>
      </c>
      <c r="P1005"/>
      <c r="Q1005">
        <v>0.08</v>
      </c>
      <c r="R1005">
        <v>0.304300286380286</v>
      </c>
      <c r="S1005" s="11" t="s">
        <v>323</v>
      </c>
      <c r="T1005" s="2" t="s">
        <v>323</v>
      </c>
      <c r="U1005" s="3" t="s">
        <v>106</v>
      </c>
      <c r="V1005" s="2" t="s">
        <v>325</v>
      </c>
      <c r="W1005" s="2">
        <v>8</v>
      </c>
      <c r="X1005" s="2">
        <v>18</v>
      </c>
      <c r="Y1005" s="2">
        <v>0</v>
      </c>
      <c r="Z1005" s="2">
        <v>0</v>
      </c>
      <c r="AA1005" s="2">
        <v>0</v>
      </c>
      <c r="AB1005" s="12">
        <f>(W1005*4+X1005*1+Y1005*-2+Z1005*-3)/W1005</f>
        <v>6.25</v>
      </c>
      <c r="AC1005" s="3">
        <f>W1005*12.0107+X1005*1.00784+Y1005*15.999+Z1005*14.0067</f>
        <v>114.22672</v>
      </c>
      <c r="AD1005" s="12">
        <v>126</v>
      </c>
      <c r="AE1005" s="3" t="s">
        <v>321</v>
      </c>
      <c r="AF1005" s="2" t="s">
        <v>313</v>
      </c>
      <c r="AG1005" s="2" t="str">
        <f>IF(AD1005&gt;37,"Proton symporter", "Diffusion")</f>
        <v>Proton symporter</v>
      </c>
      <c r="AH1005" s="3" t="s">
        <v>326</v>
      </c>
    </row>
    <row r="1006" spans="1:34" hidden="1" x14ac:dyDescent="0.2">
      <c r="A1006" s="8" t="s">
        <v>34</v>
      </c>
      <c r="B1006" s="9" t="s">
        <v>35</v>
      </c>
      <c r="C1006" s="1" t="s">
        <v>61</v>
      </c>
      <c r="D1006" s="13" t="s">
        <v>51</v>
      </c>
      <c r="E1006" s="1" t="s">
        <v>178</v>
      </c>
      <c r="F1006" s="1" t="s">
        <v>179</v>
      </c>
      <c r="G1006" s="1">
        <v>-10</v>
      </c>
      <c r="H1006" s="1">
        <v>-20</v>
      </c>
      <c r="I1006" s="1" t="s">
        <v>40</v>
      </c>
      <c r="J1006" s="1">
        <v>3.15</v>
      </c>
      <c r="K1006" s="1">
        <v>-10</v>
      </c>
      <c r="L1006" s="1">
        <v>-7.2928353658536302</v>
      </c>
      <c r="M1006" s="1" t="s">
        <v>40</v>
      </c>
      <c r="N1006" s="1">
        <v>3.5097560975609499</v>
      </c>
      <c r="O1006" s="1">
        <v>0.81128048780487705</v>
      </c>
      <c r="Q1006" s="1">
        <v>8.1128048780487697E-2</v>
      </c>
      <c r="R1006" s="1">
        <v>0.30421333244920301</v>
      </c>
      <c r="S1006" s="20" t="s">
        <v>178</v>
      </c>
      <c r="T1006" s="3" t="s">
        <v>178</v>
      </c>
      <c r="U1006" s="3" t="s">
        <v>106</v>
      </c>
      <c r="V1006" s="3" t="s">
        <v>180</v>
      </c>
      <c r="W1006" s="3">
        <v>8</v>
      </c>
      <c r="X1006" s="3">
        <v>8</v>
      </c>
      <c r="Y1006" s="3">
        <v>1</v>
      </c>
      <c r="Z1006" s="3">
        <v>0</v>
      </c>
      <c r="AA1006" s="3">
        <v>0</v>
      </c>
      <c r="AB1006" s="12">
        <f>(W1006*4+X1006*1+Y1006*-2+Z1006*-3)/W1006</f>
        <v>4.75</v>
      </c>
      <c r="AC1006" s="3">
        <f>W1006*12.0107+X1006*1.00784+Y1006*15.999+Z1006*14.0067</f>
        <v>120.14731999999999</v>
      </c>
      <c r="AD1006" s="12">
        <v>229</v>
      </c>
      <c r="AE1006" s="3" t="s">
        <v>176</v>
      </c>
      <c r="AF1006" s="2" t="s">
        <v>150</v>
      </c>
      <c r="AG1006" s="2" t="str">
        <f>IF(AD1006&gt;37,"Proton symporter", "Diffusion")</f>
        <v>Proton symporter</v>
      </c>
      <c r="AH1006" s="3" t="s">
        <v>181</v>
      </c>
    </row>
    <row r="1007" spans="1:34" hidden="1" x14ac:dyDescent="0.2">
      <c r="A1007" s="16" t="s">
        <v>317</v>
      </c>
      <c r="B1007" s="9" t="s">
        <v>35</v>
      </c>
      <c r="C1007" t="s">
        <v>54</v>
      </c>
      <c r="D1007" s="14" t="s">
        <v>55</v>
      </c>
      <c r="E1007" t="s">
        <v>318</v>
      </c>
      <c r="F1007" t="s">
        <v>319</v>
      </c>
      <c r="G1007">
        <v>-10</v>
      </c>
      <c r="H1007">
        <v>-20</v>
      </c>
      <c r="I1007" s="1" t="s">
        <v>40</v>
      </c>
      <c r="J1007">
        <v>3.15</v>
      </c>
      <c r="K1007">
        <v>-10</v>
      </c>
      <c r="L1007">
        <v>-0.181026438569209</v>
      </c>
      <c r="M1007" s="1" t="s">
        <v>40</v>
      </c>
      <c r="N1007">
        <v>21.544945567651599</v>
      </c>
      <c r="O1007">
        <v>4.2727838258164903</v>
      </c>
      <c r="P1007"/>
      <c r="Q1007">
        <v>0.42727838258164802</v>
      </c>
      <c r="R1007">
        <v>0.30418586503086398</v>
      </c>
      <c r="S1007" s="20" t="s">
        <v>318</v>
      </c>
      <c r="T1007" s="3" t="s">
        <v>318</v>
      </c>
      <c r="U1007" s="3" t="s">
        <v>106</v>
      </c>
      <c r="V1007" s="3" t="s">
        <v>320</v>
      </c>
      <c r="W1007" s="3">
        <v>9</v>
      </c>
      <c r="X1007" s="3">
        <v>20</v>
      </c>
      <c r="Y1007" s="3">
        <v>0</v>
      </c>
      <c r="Z1007" s="3">
        <v>0</v>
      </c>
      <c r="AA1007" s="3">
        <v>0</v>
      </c>
      <c r="AB1007" s="12">
        <f>(W1007*4+X1007*1+Y1007*-2+Z1007*-3)/W1007</f>
        <v>6.2222222222222223</v>
      </c>
      <c r="AC1007" s="3">
        <f>W1007*12.0107+X1007*1.00784+Y1007*15.999+Z1007*14.0067</f>
        <v>128.25309999999999</v>
      </c>
      <c r="AD1007" s="12">
        <v>151</v>
      </c>
      <c r="AE1007" s="3" t="s">
        <v>321</v>
      </c>
      <c r="AF1007" s="2" t="s">
        <v>79</v>
      </c>
      <c r="AG1007" s="2" t="str">
        <f>IF(AD1007&gt;37,"Proton symporter", "Diffusion")</f>
        <v>Proton symporter</v>
      </c>
      <c r="AH1007" s="3" t="s">
        <v>322</v>
      </c>
    </row>
    <row r="1008" spans="1:34" hidden="1" x14ac:dyDescent="0.2">
      <c r="A1008" s="16" t="s">
        <v>63</v>
      </c>
      <c r="B1008" s="17" t="s">
        <v>64</v>
      </c>
      <c r="C1008" t="s">
        <v>67</v>
      </c>
      <c r="D1008" s="18" t="s">
        <v>66</v>
      </c>
      <c r="E1008" t="s">
        <v>289</v>
      </c>
      <c r="F1008" t="s">
        <v>290</v>
      </c>
      <c r="G1008">
        <v>-10</v>
      </c>
      <c r="H1008">
        <v>0</v>
      </c>
      <c r="I1008">
        <v>-5</v>
      </c>
      <c r="J1008">
        <v>0.45</v>
      </c>
      <c r="K1008">
        <v>-10</v>
      </c>
      <c r="L1008">
        <v>0</v>
      </c>
      <c r="M1008">
        <v>-5</v>
      </c>
      <c r="N1008">
        <v>5</v>
      </c>
      <c r="O1008">
        <v>1</v>
      </c>
      <c r="P1008"/>
      <c r="Q1008">
        <v>0.1</v>
      </c>
      <c r="R1008">
        <v>0.30374424534803601</v>
      </c>
      <c r="S1008" s="11" t="s">
        <v>289</v>
      </c>
      <c r="T1008" s="2" t="s">
        <v>291</v>
      </c>
      <c r="U1008" s="3" t="s">
        <v>41</v>
      </c>
      <c r="V1008" s="2" t="s">
        <v>292</v>
      </c>
      <c r="W1008" s="2">
        <v>5</v>
      </c>
      <c r="X1008" s="2">
        <v>12</v>
      </c>
      <c r="Y1008" s="2">
        <v>1</v>
      </c>
      <c r="Z1008" s="2">
        <v>0</v>
      </c>
      <c r="AA1008" s="2">
        <v>0</v>
      </c>
      <c r="AB1008" s="12">
        <f>(W1008*4+X1008*1+Y1008*-2+Z1008*-3)/W1008</f>
        <v>6</v>
      </c>
      <c r="AC1008" s="3">
        <f>W1008*12.0107+X1008*1.00784+Y1008*15.999+Z1008*14.0067</f>
        <v>88.14658</v>
      </c>
      <c r="AD1008" s="12">
        <v>129</v>
      </c>
      <c r="AE1008" s="2" t="s">
        <v>262</v>
      </c>
      <c r="AF1008" s="2" t="s">
        <v>293</v>
      </c>
      <c r="AG1008" s="2" t="str">
        <f>IF(AD1008&gt;37,"Proton symporter", "Diffusion")</f>
        <v>Proton symporter</v>
      </c>
      <c r="AH1008" s="3" t="s">
        <v>294</v>
      </c>
    </row>
    <row r="1009" spans="1:34" hidden="1" x14ac:dyDescent="0.2">
      <c r="A1009" s="16" t="s">
        <v>63</v>
      </c>
      <c r="B1009" s="17" t="s">
        <v>64</v>
      </c>
      <c r="C1009" t="s">
        <v>68</v>
      </c>
      <c r="D1009" s="18" t="s">
        <v>66</v>
      </c>
      <c r="E1009" t="s">
        <v>327</v>
      </c>
      <c r="F1009" t="s">
        <v>328</v>
      </c>
      <c r="G1009">
        <v>-10</v>
      </c>
      <c r="H1009">
        <v>0</v>
      </c>
      <c r="I1009">
        <v>-10</v>
      </c>
      <c r="J1009">
        <v>0.45</v>
      </c>
      <c r="K1009">
        <v>-10</v>
      </c>
      <c r="L1009">
        <v>0</v>
      </c>
      <c r="M1009">
        <v>-10</v>
      </c>
      <c r="N1009">
        <v>3.6363636363636398</v>
      </c>
      <c r="O1009">
        <v>0.90909090909090695</v>
      </c>
      <c r="P1009"/>
      <c r="Q1009">
        <v>9.0909090909090801E-2</v>
      </c>
      <c r="R1009">
        <v>0.30333405987951401</v>
      </c>
      <c r="S1009" s="20" t="s">
        <v>327</v>
      </c>
      <c r="T1009" s="3" t="s">
        <v>327</v>
      </c>
      <c r="U1009" s="3" t="s">
        <v>106</v>
      </c>
      <c r="V1009" s="3" t="s">
        <v>329</v>
      </c>
      <c r="W1009" s="3">
        <v>7</v>
      </c>
      <c r="X1009" s="3">
        <v>16</v>
      </c>
      <c r="Y1009" s="3">
        <v>0</v>
      </c>
      <c r="Z1009" s="3">
        <v>0</v>
      </c>
      <c r="AA1009" s="3">
        <v>0</v>
      </c>
      <c r="AB1009" s="12">
        <f>(W1009*4+X1009*1+Y1009*-2+Z1009*-3)/W1009</f>
        <v>6.2857142857142856</v>
      </c>
      <c r="AC1009" s="3">
        <f>W1009*12.0107+X1009*1.00784+Y1009*15.999+Z1009*14.0067</f>
        <v>100.20034</v>
      </c>
      <c r="AD1009" s="3">
        <v>98</v>
      </c>
      <c r="AE1009" s="3" t="s">
        <v>321</v>
      </c>
      <c r="AF1009" s="2" t="s">
        <v>79</v>
      </c>
      <c r="AG1009" s="2" t="str">
        <f>IF(AD1009&gt;37,"Proton symporter", "Diffusion")</f>
        <v>Proton symporter</v>
      </c>
      <c r="AH1009" s="3" t="s">
        <v>330</v>
      </c>
    </row>
    <row r="1010" spans="1:34" x14ac:dyDescent="0.2">
      <c r="A1010" s="16" t="s">
        <v>63</v>
      </c>
      <c r="B1010" s="17" t="s">
        <v>64</v>
      </c>
      <c r="C1010" t="s">
        <v>71</v>
      </c>
      <c r="D1010" s="18" t="s">
        <v>66</v>
      </c>
      <c r="E1010" t="s">
        <v>216</v>
      </c>
      <c r="F1010" t="s">
        <v>217</v>
      </c>
      <c r="G1010">
        <v>-10</v>
      </c>
      <c r="H1010">
        <v>0</v>
      </c>
      <c r="I1010">
        <v>-5</v>
      </c>
      <c r="J1010">
        <v>0.45</v>
      </c>
      <c r="K1010">
        <v>-10</v>
      </c>
      <c r="L1010">
        <v>0</v>
      </c>
      <c r="M1010">
        <v>-5</v>
      </c>
      <c r="N1010">
        <v>4.3750000000000098</v>
      </c>
      <c r="O1010">
        <v>1.875</v>
      </c>
      <c r="P1010"/>
      <c r="Q1010">
        <v>0.1875</v>
      </c>
      <c r="R1010">
        <v>0.30330623028257098</v>
      </c>
      <c r="S1010" s="11" t="s">
        <v>216</v>
      </c>
      <c r="T1010" s="2" t="s">
        <v>218</v>
      </c>
      <c r="U1010" s="3" t="s">
        <v>41</v>
      </c>
      <c r="V1010" s="2" t="s">
        <v>219</v>
      </c>
      <c r="W1010" s="2">
        <v>3</v>
      </c>
      <c r="X1010" s="2">
        <v>8</v>
      </c>
      <c r="Y1010" s="2">
        <v>2</v>
      </c>
      <c r="Z1010" s="2">
        <v>0</v>
      </c>
      <c r="AA1010" s="2">
        <v>0</v>
      </c>
      <c r="AB1010" s="12">
        <f>(W1010*4+X1010*1+Y1010*-2+Z1010*-3)/W1010</f>
        <v>5.333333333333333</v>
      </c>
      <c r="AC1010" s="3">
        <f>W1010*12.0107+X1010*1.00784+Y1010*15.999+Z1010*14.0067</f>
        <v>76.092820000000003</v>
      </c>
      <c r="AD1010" s="12">
        <v>213</v>
      </c>
      <c r="AE1010" s="2" t="s">
        <v>220</v>
      </c>
      <c r="AF1010" s="2" t="s">
        <v>98</v>
      </c>
      <c r="AG1010" s="2" t="str">
        <f>IF(AD1010&gt;37,"Proton symporter", "Diffusion")</f>
        <v>Proton symporter</v>
      </c>
      <c r="AH1010" s="3" t="s">
        <v>221</v>
      </c>
    </row>
    <row r="1011" spans="1:34" hidden="1" x14ac:dyDescent="0.2">
      <c r="A1011" s="8" t="s">
        <v>350</v>
      </c>
      <c r="B1011" s="17" t="s">
        <v>64</v>
      </c>
      <c r="C1011" t="s">
        <v>352</v>
      </c>
      <c r="D1011" s="13" t="s">
        <v>51</v>
      </c>
      <c r="E1011" t="s">
        <v>315</v>
      </c>
      <c r="F1011" t="s">
        <v>311</v>
      </c>
      <c r="G1011">
        <v>-10</v>
      </c>
      <c r="H1011">
        <v>0</v>
      </c>
      <c r="I1011">
        <v>0</v>
      </c>
      <c r="J1011">
        <v>0.45</v>
      </c>
      <c r="K1011">
        <v>-10</v>
      </c>
      <c r="L1011">
        <v>0</v>
      </c>
      <c r="M1011">
        <v>0</v>
      </c>
      <c r="N1011">
        <v>0</v>
      </c>
      <c r="O1011" s="26">
        <v>1.1017543859648999</v>
      </c>
      <c r="P1011"/>
      <c r="Q1011" s="26">
        <v>0.11017543859649</v>
      </c>
      <c r="R1011" s="26">
        <v>0.30309821561086397</v>
      </c>
      <c r="S1011" s="3" t="str">
        <f>VLOOKUP($E1011,'[1]Product Naming'!$A$1:$P$58,2)</f>
        <v>Pentanol-PW2</v>
      </c>
      <c r="T1011" s="3" t="str">
        <f>VLOOKUP($E1011,'[1]Product Naming'!$A$1:$P$58,3)</f>
        <v>Pentanol (PW2)</v>
      </c>
      <c r="U1011" s="3" t="str">
        <f>VLOOKUP($E1011,'[1]Product Naming'!$A$1:$P$58,4)</f>
        <v>E</v>
      </c>
      <c r="V1011" s="3" t="str">
        <f>VLOOKUP($E1011,'[1]Product Naming'!$A$1:$P$58,5)</f>
        <v>C5H12O</v>
      </c>
      <c r="W1011" s="3">
        <f>VLOOKUP($E1011,'[1]Product Naming'!$A$1:$P$58,6)</f>
        <v>5</v>
      </c>
      <c r="X1011" s="3">
        <f>VLOOKUP($E1011,'[1]Product Naming'!$A$1:$P$58,7)</f>
        <v>12</v>
      </c>
      <c r="Y1011" s="3">
        <f>VLOOKUP($E1011,'[1]Product Naming'!$A$1:$P$58,8)</f>
        <v>1</v>
      </c>
      <c r="Z1011" s="3">
        <f>VLOOKUP($E1011,'[1]Product Naming'!$A$1:$P$58,9)</f>
        <v>0</v>
      </c>
      <c r="AA1011" s="3">
        <f>VLOOKUP($E1011,'[1]Product Naming'!$A$1:$P$58,10)</f>
        <v>0</v>
      </c>
      <c r="AB1011" s="3">
        <f>VLOOKUP($E1011,'[1]Product Naming'!$A$1:$P$58,11)</f>
        <v>6</v>
      </c>
      <c r="AC1011" s="3">
        <f>VLOOKUP($E1011,'[1]Product Naming'!$A$1:$P$58,12)</f>
        <v>88.14658</v>
      </c>
      <c r="AD1011" s="3">
        <f>VLOOKUP($E1011,'[1]Product Naming'!$A$1:$P$58,13)</f>
        <v>138</v>
      </c>
      <c r="AE1011" s="3" t="str">
        <f>VLOOKUP($E1011,'[1]Product Naming'!$A$1:$P$58,14)</f>
        <v>Alcohol</v>
      </c>
      <c r="AF1011" s="3" t="str">
        <f>VLOOKUP($E1011,'[1]Product Naming'!$A$1:$P$58,15)</f>
        <v>Oxaloacetate</v>
      </c>
      <c r="AG1011" s="3" t="str">
        <f>VLOOKUP($E1011,'[1]Product Naming'!$A$1:$P$58,16)</f>
        <v>Proton symporter</v>
      </c>
      <c r="AH1011" s="3" t="str">
        <f>VLOOKUP($E1011,'[1]Product Naming'!$A$1:$Q$58,17)</f>
        <v>pentoh_c</v>
      </c>
    </row>
    <row r="1012" spans="1:34" hidden="1" x14ac:dyDescent="0.2">
      <c r="A1012" s="16" t="s">
        <v>317</v>
      </c>
      <c r="B1012" s="9" t="s">
        <v>35</v>
      </c>
      <c r="C1012" t="s">
        <v>62</v>
      </c>
      <c r="D1012" s="15" t="s">
        <v>55</v>
      </c>
      <c r="E1012" t="s">
        <v>318</v>
      </c>
      <c r="F1012" t="s">
        <v>319</v>
      </c>
      <c r="G1012">
        <v>-10</v>
      </c>
      <c r="H1012">
        <v>-20</v>
      </c>
      <c r="I1012" s="1" t="s">
        <v>40</v>
      </c>
      <c r="J1012">
        <v>3.15</v>
      </c>
      <c r="K1012">
        <v>-10</v>
      </c>
      <c r="L1012">
        <v>-0.41430793157076201</v>
      </c>
      <c r="M1012" s="1" t="s">
        <v>40</v>
      </c>
      <c r="N1012">
        <v>18.123483670295499</v>
      </c>
      <c r="O1012">
        <v>3.5418351477449499</v>
      </c>
      <c r="P1012"/>
      <c r="Q1012">
        <v>0.354183514774495</v>
      </c>
      <c r="R1012">
        <v>0.30257199586175099</v>
      </c>
      <c r="S1012" s="20" t="s">
        <v>318</v>
      </c>
      <c r="T1012" s="3" t="s">
        <v>318</v>
      </c>
      <c r="U1012" s="3" t="s">
        <v>106</v>
      </c>
      <c r="V1012" s="3" t="s">
        <v>320</v>
      </c>
      <c r="W1012" s="3">
        <v>9</v>
      </c>
      <c r="X1012" s="3">
        <v>20</v>
      </c>
      <c r="Y1012" s="3">
        <v>0</v>
      </c>
      <c r="Z1012" s="3">
        <v>0</v>
      </c>
      <c r="AA1012" s="3">
        <v>0</v>
      </c>
      <c r="AB1012" s="12">
        <f>(W1012*4+X1012*1+Y1012*-2+Z1012*-3)/W1012</f>
        <v>6.2222222222222223</v>
      </c>
      <c r="AC1012" s="3">
        <f>W1012*12.0107+X1012*1.00784+Y1012*15.999+Z1012*14.0067</f>
        <v>128.25309999999999</v>
      </c>
      <c r="AD1012" s="12">
        <v>151</v>
      </c>
      <c r="AE1012" s="3" t="s">
        <v>321</v>
      </c>
      <c r="AF1012" s="2" t="s">
        <v>79</v>
      </c>
      <c r="AG1012" s="2" t="str">
        <f>IF(AD1012&gt;37,"Proton symporter", "Diffusion")</f>
        <v>Proton symporter</v>
      </c>
      <c r="AH1012" s="3" t="s">
        <v>322</v>
      </c>
    </row>
    <row r="1013" spans="1:34" hidden="1" x14ac:dyDescent="0.2">
      <c r="A1013" s="16" t="s">
        <v>63</v>
      </c>
      <c r="B1013" s="17" t="s">
        <v>64</v>
      </c>
      <c r="C1013" t="s">
        <v>72</v>
      </c>
      <c r="D1013" s="18" t="s">
        <v>66</v>
      </c>
      <c r="E1013" t="s">
        <v>222</v>
      </c>
      <c r="F1013" t="s">
        <v>223</v>
      </c>
      <c r="G1013">
        <v>-10</v>
      </c>
      <c r="H1013">
        <v>0</v>
      </c>
      <c r="I1013">
        <v>-10</v>
      </c>
      <c r="J1013">
        <v>0.45</v>
      </c>
      <c r="K1013">
        <v>-10</v>
      </c>
      <c r="L1013">
        <v>0</v>
      </c>
      <c r="M1013">
        <v>-10</v>
      </c>
      <c r="N1013">
        <v>2.5</v>
      </c>
      <c r="O1013">
        <v>2.5</v>
      </c>
      <c r="P1013"/>
      <c r="Q1013">
        <v>0.25</v>
      </c>
      <c r="R1013">
        <v>0.30217806183610302</v>
      </c>
      <c r="S1013" s="11" t="s">
        <v>222</v>
      </c>
      <c r="T1013" s="2" t="s">
        <v>222</v>
      </c>
      <c r="U1013" s="3" t="s">
        <v>41</v>
      </c>
      <c r="V1013" s="2" t="s">
        <v>224</v>
      </c>
      <c r="W1013" s="2">
        <v>3</v>
      </c>
      <c r="X1013" s="2">
        <v>6</v>
      </c>
      <c r="Y1013" s="2">
        <v>1</v>
      </c>
      <c r="Z1013" s="2">
        <v>0</v>
      </c>
      <c r="AA1013" s="2">
        <v>0</v>
      </c>
      <c r="AB1013" s="12">
        <f>(W1013*4+X1013*1+Y1013*-2+Z1013*-3)/W1013</f>
        <v>5.333333333333333</v>
      </c>
      <c r="AC1013" s="3">
        <f>W1013*12.0107+X1013*1.00784+Y1013*15.999+Z1013*14.0067</f>
        <v>58.078140000000005</v>
      </c>
      <c r="AD1013" s="12">
        <v>56</v>
      </c>
      <c r="AE1013" s="2" t="s">
        <v>225</v>
      </c>
      <c r="AF1013" s="2" t="s">
        <v>79</v>
      </c>
      <c r="AG1013" s="2" t="str">
        <f>IF(AD1013&gt;37,"Proton symporter", "Diffusion")</f>
        <v>Proton symporter</v>
      </c>
      <c r="AH1013" s="3" t="s">
        <v>226</v>
      </c>
    </row>
    <row r="1014" spans="1:34" hidden="1" x14ac:dyDescent="0.2">
      <c r="A1014" s="16" t="s">
        <v>317</v>
      </c>
      <c r="B1014" s="9" t="s">
        <v>35</v>
      </c>
      <c r="C1014" t="s">
        <v>54</v>
      </c>
      <c r="D1014" s="14" t="s">
        <v>55</v>
      </c>
      <c r="E1014" t="s">
        <v>331</v>
      </c>
      <c r="F1014" t="s">
        <v>332</v>
      </c>
      <c r="G1014">
        <v>-10</v>
      </c>
      <c r="H1014">
        <v>-20</v>
      </c>
      <c r="I1014" s="1" t="s">
        <v>40</v>
      </c>
      <c r="J1014">
        <v>3.15</v>
      </c>
      <c r="K1014">
        <v>-10</v>
      </c>
      <c r="L1014">
        <v>0</v>
      </c>
      <c r="M1014" s="1" t="s">
        <v>40</v>
      </c>
      <c r="N1014">
        <v>22.105263157894701</v>
      </c>
      <c r="O1014">
        <v>6.3157894736842097</v>
      </c>
      <c r="P1014"/>
      <c r="Q1014">
        <v>0.63157894736842102</v>
      </c>
      <c r="R1014">
        <v>0.30210918755715099</v>
      </c>
      <c r="S1014" s="11" t="s">
        <v>331</v>
      </c>
      <c r="T1014" s="2" t="s">
        <v>331</v>
      </c>
      <c r="U1014" s="3" t="s">
        <v>106</v>
      </c>
      <c r="V1014" s="3" t="s">
        <v>333</v>
      </c>
      <c r="W1014" s="2">
        <v>6</v>
      </c>
      <c r="X1014" s="2">
        <v>14</v>
      </c>
      <c r="Y1014" s="2">
        <v>0</v>
      </c>
      <c r="Z1014" s="2">
        <v>0</v>
      </c>
      <c r="AA1014" s="2">
        <v>0</v>
      </c>
      <c r="AB1014" s="12">
        <f>(W1014*4+X1014*1+Y1014*-2+Z1014*-3)/W1014</f>
        <v>6.333333333333333</v>
      </c>
      <c r="AC1014" s="3">
        <f>W1014*12.0107+X1014*1.00784+Y1014*15.999+Z1014*14.0067</f>
        <v>86.173959999999994</v>
      </c>
      <c r="AD1014" s="12">
        <v>69</v>
      </c>
      <c r="AE1014" s="3" t="s">
        <v>321</v>
      </c>
      <c r="AF1014" s="2" t="s">
        <v>313</v>
      </c>
      <c r="AG1014" s="2" t="str">
        <f>IF(AD1014&gt;37,"Proton symporter", "Diffusion")</f>
        <v>Proton symporter</v>
      </c>
      <c r="AH1014" s="3" t="s">
        <v>334</v>
      </c>
    </row>
    <row r="1015" spans="1:34" hidden="1" x14ac:dyDescent="0.2">
      <c r="A1015" s="16" t="s">
        <v>317</v>
      </c>
      <c r="B1015" s="9" t="s">
        <v>35</v>
      </c>
      <c r="C1015" t="s">
        <v>62</v>
      </c>
      <c r="D1015" s="15" t="s">
        <v>55</v>
      </c>
      <c r="E1015" t="s">
        <v>331</v>
      </c>
      <c r="F1015" t="s">
        <v>332</v>
      </c>
      <c r="G1015">
        <v>-10</v>
      </c>
      <c r="H1015">
        <v>-20</v>
      </c>
      <c r="I1015" s="1" t="s">
        <v>40</v>
      </c>
      <c r="J1015">
        <v>3.15</v>
      </c>
      <c r="K1015">
        <v>-10</v>
      </c>
      <c r="L1015">
        <v>1.42213726175426E-15</v>
      </c>
      <c r="M1015" s="1" t="s">
        <v>40</v>
      </c>
      <c r="N1015">
        <v>18.421052631578899</v>
      </c>
      <c r="O1015">
        <v>5.2631578947368398</v>
      </c>
      <c r="P1015"/>
      <c r="Q1015">
        <v>0.52631578947368396</v>
      </c>
      <c r="R1015">
        <v>0.30210294937370002</v>
      </c>
      <c r="S1015" s="11" t="s">
        <v>331</v>
      </c>
      <c r="T1015" s="2" t="s">
        <v>331</v>
      </c>
      <c r="U1015" s="3" t="s">
        <v>106</v>
      </c>
      <c r="V1015" s="3" t="s">
        <v>333</v>
      </c>
      <c r="W1015" s="2">
        <v>6</v>
      </c>
      <c r="X1015" s="2">
        <v>14</v>
      </c>
      <c r="Y1015" s="2">
        <v>0</v>
      </c>
      <c r="Z1015" s="2">
        <v>0</v>
      </c>
      <c r="AA1015" s="2">
        <v>0</v>
      </c>
      <c r="AB1015" s="12">
        <f>(W1015*4+X1015*1+Y1015*-2+Z1015*-3)/W1015</f>
        <v>6.333333333333333</v>
      </c>
      <c r="AC1015" s="3">
        <f>W1015*12.0107+X1015*1.00784+Y1015*15.999+Z1015*14.0067</f>
        <v>86.173959999999994</v>
      </c>
      <c r="AD1015" s="12">
        <v>69</v>
      </c>
      <c r="AE1015" s="3" t="s">
        <v>321</v>
      </c>
      <c r="AF1015" s="2" t="s">
        <v>313</v>
      </c>
      <c r="AG1015" s="2" t="str">
        <f>IF(AD1015&gt;37,"Proton symporter", "Diffusion")</f>
        <v>Proton symporter</v>
      </c>
      <c r="AH1015" s="3" t="s">
        <v>334</v>
      </c>
    </row>
    <row r="1016" spans="1:34" hidden="1" x14ac:dyDescent="0.2">
      <c r="A1016" s="16" t="s">
        <v>63</v>
      </c>
      <c r="B1016" s="17" t="s">
        <v>64</v>
      </c>
      <c r="C1016" t="s">
        <v>68</v>
      </c>
      <c r="D1016" s="18" t="s">
        <v>66</v>
      </c>
      <c r="E1016" t="s">
        <v>331</v>
      </c>
      <c r="F1016" t="s">
        <v>332</v>
      </c>
      <c r="G1016">
        <v>-10</v>
      </c>
      <c r="H1016">
        <v>0</v>
      </c>
      <c r="I1016">
        <v>-10</v>
      </c>
      <c r="J1016">
        <v>0.45</v>
      </c>
      <c r="K1016">
        <v>-10</v>
      </c>
      <c r="L1016">
        <v>0</v>
      </c>
      <c r="M1016">
        <v>-10</v>
      </c>
      <c r="N1016">
        <v>3.6842105263157898</v>
      </c>
      <c r="O1016">
        <v>1.0526315789473699</v>
      </c>
      <c r="P1016"/>
      <c r="Q1016">
        <v>0.105263157894737</v>
      </c>
      <c r="R1016">
        <v>0.30206270922060402</v>
      </c>
      <c r="S1016" s="11" t="s">
        <v>331</v>
      </c>
      <c r="T1016" s="2" t="s">
        <v>331</v>
      </c>
      <c r="U1016" s="3" t="s">
        <v>106</v>
      </c>
      <c r="V1016" s="3" t="s">
        <v>333</v>
      </c>
      <c r="W1016" s="2">
        <v>6</v>
      </c>
      <c r="X1016" s="2">
        <v>14</v>
      </c>
      <c r="Y1016" s="2">
        <v>0</v>
      </c>
      <c r="Z1016" s="2">
        <v>0</v>
      </c>
      <c r="AA1016" s="2">
        <v>0</v>
      </c>
      <c r="AB1016" s="12">
        <f>(W1016*4+X1016*1+Y1016*-2+Z1016*-3)/W1016</f>
        <v>6.333333333333333</v>
      </c>
      <c r="AC1016" s="3">
        <f>W1016*12.0107+X1016*1.00784+Y1016*15.999+Z1016*14.0067</f>
        <v>86.173959999999994</v>
      </c>
      <c r="AD1016" s="12">
        <v>69</v>
      </c>
      <c r="AE1016" s="3" t="s">
        <v>321</v>
      </c>
      <c r="AF1016" s="2" t="s">
        <v>313</v>
      </c>
      <c r="AG1016" s="2" t="str">
        <f>IF(AD1016&gt;37,"Proton symporter", "Diffusion")</f>
        <v>Proton symporter</v>
      </c>
      <c r="AH1016" s="3" t="s">
        <v>334</v>
      </c>
    </row>
    <row r="1017" spans="1:34" hidden="1" x14ac:dyDescent="0.2">
      <c r="A1017" s="8" t="s">
        <v>34</v>
      </c>
      <c r="B1017" s="9" t="s">
        <v>35</v>
      </c>
      <c r="C1017" s="1" t="s">
        <v>54</v>
      </c>
      <c r="D1017" s="14" t="s">
        <v>55</v>
      </c>
      <c r="E1017" s="1" t="s">
        <v>227</v>
      </c>
      <c r="F1017" s="1" t="s">
        <v>228</v>
      </c>
      <c r="G1017" s="1">
        <v>-10</v>
      </c>
      <c r="H1017" s="1">
        <v>-20</v>
      </c>
      <c r="I1017" s="1" t="s">
        <v>40</v>
      </c>
      <c r="J1017" s="1">
        <v>3.15</v>
      </c>
      <c r="K1017" s="1">
        <v>-10</v>
      </c>
      <c r="L1017" s="1">
        <v>-5.3024642289348298</v>
      </c>
      <c r="M1017" s="1" t="s">
        <v>40</v>
      </c>
      <c r="N1017" s="1">
        <v>19.483306836248001</v>
      </c>
      <c r="O1017" s="1">
        <v>1.0129173290938001</v>
      </c>
      <c r="Q1017" s="1">
        <v>0.10129173290938</v>
      </c>
      <c r="R1017" s="1">
        <v>0.30185681149041999</v>
      </c>
      <c r="S1017" s="11" t="s">
        <v>227</v>
      </c>
      <c r="T1017" s="2" t="s">
        <v>229</v>
      </c>
      <c r="U1017" s="3" t="s">
        <v>41</v>
      </c>
      <c r="V1017" s="2" t="s">
        <v>230</v>
      </c>
      <c r="W1017" s="2">
        <v>40</v>
      </c>
      <c r="X1017" s="2">
        <v>56</v>
      </c>
      <c r="Y1017" s="2">
        <v>0</v>
      </c>
      <c r="Z1017" s="2">
        <v>0</v>
      </c>
      <c r="AA1017" s="2">
        <v>0</v>
      </c>
      <c r="AB1017" s="12">
        <f>(W1017*4+X1017*1+Y1017*-2+Z1017*-3)/W1017</f>
        <v>5.4</v>
      </c>
      <c r="AC1017" s="3">
        <f>W1017*12.0107+X1017*1.00784+Y1017*15.999+Z1017*14.0067</f>
        <v>536.86703999999997</v>
      </c>
      <c r="AD1017" s="12">
        <v>633</v>
      </c>
      <c r="AE1017" s="2" t="s">
        <v>231</v>
      </c>
      <c r="AF1017" s="2" t="s">
        <v>79</v>
      </c>
      <c r="AG1017" s="2" t="s">
        <v>232</v>
      </c>
      <c r="AH1017" s="3" t="s">
        <v>233</v>
      </c>
    </row>
    <row r="1018" spans="1:34" hidden="1" x14ac:dyDescent="0.2">
      <c r="A1018" s="16" t="s">
        <v>63</v>
      </c>
      <c r="B1018" s="17" t="s">
        <v>64</v>
      </c>
      <c r="C1018" t="s">
        <v>68</v>
      </c>
      <c r="D1018" s="18" t="s">
        <v>66</v>
      </c>
      <c r="E1018" t="s">
        <v>310</v>
      </c>
      <c r="F1018" t="s">
        <v>311</v>
      </c>
      <c r="G1018">
        <v>-10</v>
      </c>
      <c r="H1018">
        <v>0</v>
      </c>
      <c r="I1018">
        <v>-10</v>
      </c>
      <c r="J1018">
        <v>0.45</v>
      </c>
      <c r="K1018">
        <v>-10</v>
      </c>
      <c r="L1018">
        <v>0</v>
      </c>
      <c r="M1018">
        <v>-10</v>
      </c>
      <c r="N1018">
        <v>2.5633802816901401</v>
      </c>
      <c r="O1018">
        <v>1.0253521126760601</v>
      </c>
      <c r="P1018"/>
      <c r="Q1018">
        <v>0.10253521126760599</v>
      </c>
      <c r="R1018">
        <v>0.30096997012377302</v>
      </c>
      <c r="S1018" s="20" t="s">
        <v>310</v>
      </c>
      <c r="T1018" s="3" t="s">
        <v>312</v>
      </c>
      <c r="U1018" s="3" t="s">
        <v>106</v>
      </c>
      <c r="V1018" s="3" t="s">
        <v>292</v>
      </c>
      <c r="W1018" s="3">
        <v>5</v>
      </c>
      <c r="X1018" s="3">
        <v>12</v>
      </c>
      <c r="Y1018" s="3">
        <v>1</v>
      </c>
      <c r="Z1018" s="3">
        <v>0</v>
      </c>
      <c r="AA1018" s="3">
        <v>0</v>
      </c>
      <c r="AB1018" s="12">
        <f>(W1018*4+X1018*1+Y1018*-2+Z1018*-3)/W1018</f>
        <v>6</v>
      </c>
      <c r="AC1018" s="3">
        <f>W1018*12.0107+X1018*1.00784+Y1018*15.999+Z1018*14.0067</f>
        <v>88.14658</v>
      </c>
      <c r="AD1018" s="12">
        <v>138</v>
      </c>
      <c r="AE1018" s="3" t="s">
        <v>262</v>
      </c>
      <c r="AF1018" s="2" t="s">
        <v>313</v>
      </c>
      <c r="AG1018" s="2" t="str">
        <f>IF(AD1018&gt;37,"Proton symporter", "Diffusion")</f>
        <v>Proton symporter</v>
      </c>
      <c r="AH1018" s="3" t="s">
        <v>314</v>
      </c>
    </row>
    <row r="1019" spans="1:34" hidden="1" x14ac:dyDescent="0.2">
      <c r="A1019" s="16" t="s">
        <v>63</v>
      </c>
      <c r="B1019" s="17" t="s">
        <v>64</v>
      </c>
      <c r="C1019" t="s">
        <v>68</v>
      </c>
      <c r="D1019" s="18" t="s">
        <v>66</v>
      </c>
      <c r="E1019" t="s">
        <v>315</v>
      </c>
      <c r="F1019" t="s">
        <v>311</v>
      </c>
      <c r="G1019">
        <v>-10</v>
      </c>
      <c r="H1019">
        <v>0</v>
      </c>
      <c r="I1019">
        <v>-10</v>
      </c>
      <c r="J1019">
        <v>0.45</v>
      </c>
      <c r="K1019">
        <v>-10</v>
      </c>
      <c r="L1019">
        <v>0</v>
      </c>
      <c r="M1019">
        <v>-10</v>
      </c>
      <c r="N1019">
        <v>2.5633802816901401</v>
      </c>
      <c r="O1019">
        <v>1.0253521126760601</v>
      </c>
      <c r="P1019"/>
      <c r="Q1019">
        <v>0.10253521126760599</v>
      </c>
      <c r="R1019">
        <v>0.30096997012377302</v>
      </c>
      <c r="S1019" s="20" t="s">
        <v>315</v>
      </c>
      <c r="T1019" s="3" t="s">
        <v>316</v>
      </c>
      <c r="U1019" s="3" t="s">
        <v>106</v>
      </c>
      <c r="V1019" s="3" t="s">
        <v>292</v>
      </c>
      <c r="W1019" s="3">
        <v>5</v>
      </c>
      <c r="X1019" s="3">
        <v>12</v>
      </c>
      <c r="Y1019" s="3">
        <v>1</v>
      </c>
      <c r="Z1019" s="3">
        <v>0</v>
      </c>
      <c r="AA1019" s="3">
        <v>0</v>
      </c>
      <c r="AB1019" s="12">
        <f>(W1019*4+X1019*1+Y1019*-2+Z1019*-3)/W1019</f>
        <v>6</v>
      </c>
      <c r="AC1019" s="3">
        <f>W1019*12.0107+X1019*1.00784+Y1019*15.999+Z1019*14.0067</f>
        <v>88.14658</v>
      </c>
      <c r="AD1019" s="12">
        <v>138</v>
      </c>
      <c r="AE1019" s="3" t="s">
        <v>262</v>
      </c>
      <c r="AF1019" s="3" t="s">
        <v>44</v>
      </c>
      <c r="AG1019" s="2" t="str">
        <f>IF(AD1019&gt;37,"Proton symporter", "Diffusion")</f>
        <v>Proton symporter</v>
      </c>
      <c r="AH1019" s="3" t="s">
        <v>314</v>
      </c>
    </row>
    <row r="1020" spans="1:34" hidden="1" x14ac:dyDescent="0.2">
      <c r="A1020" s="16" t="s">
        <v>63</v>
      </c>
      <c r="B1020" s="17" t="s">
        <v>64</v>
      </c>
      <c r="C1020" t="s">
        <v>68</v>
      </c>
      <c r="D1020" s="18" t="s">
        <v>66</v>
      </c>
      <c r="E1020" t="s">
        <v>335</v>
      </c>
      <c r="F1020" t="s">
        <v>336</v>
      </c>
      <c r="G1020">
        <v>-10</v>
      </c>
      <c r="H1020">
        <v>0</v>
      </c>
      <c r="I1020">
        <v>-10</v>
      </c>
      <c r="J1020">
        <v>0.45</v>
      </c>
      <c r="K1020">
        <v>-10</v>
      </c>
      <c r="L1020">
        <v>0</v>
      </c>
      <c r="M1020">
        <v>-10</v>
      </c>
      <c r="N1020">
        <v>3.75</v>
      </c>
      <c r="O1020">
        <v>1.25</v>
      </c>
      <c r="P1020"/>
      <c r="Q1020">
        <v>0.125</v>
      </c>
      <c r="R1020">
        <v>0.30031460206460198</v>
      </c>
      <c r="S1020" s="11" t="s">
        <v>335</v>
      </c>
      <c r="T1020" s="2" t="s">
        <v>335</v>
      </c>
      <c r="U1020" s="3" t="s">
        <v>106</v>
      </c>
      <c r="V1020" s="2" t="s">
        <v>337</v>
      </c>
      <c r="W1020" s="2">
        <v>5</v>
      </c>
      <c r="X1020" s="2">
        <v>12</v>
      </c>
      <c r="Y1020" s="2">
        <v>0</v>
      </c>
      <c r="Z1020" s="2">
        <v>0</v>
      </c>
      <c r="AA1020" s="2">
        <v>0</v>
      </c>
      <c r="AB1020" s="12">
        <f>(W1020*4+X1020*1+Y1020*-2+Z1020*-3)/W1020</f>
        <v>6.4</v>
      </c>
      <c r="AC1020" s="3">
        <f>W1020*12.0107+X1020*1.00784+Y1020*15.999+Z1020*14.0067</f>
        <v>72.147580000000005</v>
      </c>
      <c r="AD1020" s="24">
        <v>36.1</v>
      </c>
      <c r="AE1020" s="3" t="s">
        <v>321</v>
      </c>
      <c r="AF1020" s="2" t="s">
        <v>79</v>
      </c>
      <c r="AG1020" s="25" t="str">
        <f>IF(AD1020&gt;37,"Proton symporter", "Diffusion")</f>
        <v>Diffusion</v>
      </c>
      <c r="AH1020" s="3" t="s">
        <v>338</v>
      </c>
    </row>
    <row r="1021" spans="1:34" hidden="1" x14ac:dyDescent="0.2">
      <c r="A1021" s="16" t="s">
        <v>317</v>
      </c>
      <c r="B1021" s="9" t="s">
        <v>35</v>
      </c>
      <c r="C1021" t="s">
        <v>54</v>
      </c>
      <c r="D1021" s="14" t="s">
        <v>55</v>
      </c>
      <c r="E1021" t="s">
        <v>327</v>
      </c>
      <c r="F1021" t="s">
        <v>328</v>
      </c>
      <c r="G1021">
        <v>-10</v>
      </c>
      <c r="H1021">
        <v>-20</v>
      </c>
      <c r="I1021" s="1" t="s">
        <v>40</v>
      </c>
      <c r="J1021">
        <v>3.15</v>
      </c>
      <c r="K1021">
        <v>-10</v>
      </c>
      <c r="L1021">
        <v>-0.625933202357563</v>
      </c>
      <c r="M1021" s="1" t="s">
        <v>40</v>
      </c>
      <c r="N1021">
        <v>22.216502946954801</v>
      </c>
      <c r="O1021">
        <v>5.3976424361493196</v>
      </c>
      <c r="P1021"/>
      <c r="Q1021">
        <v>0.53976424361493103</v>
      </c>
      <c r="R1021">
        <v>0.30021579926748099</v>
      </c>
      <c r="S1021" s="20" t="s">
        <v>327</v>
      </c>
      <c r="T1021" s="3" t="s">
        <v>327</v>
      </c>
      <c r="U1021" s="3" t="s">
        <v>106</v>
      </c>
      <c r="V1021" s="3" t="s">
        <v>329</v>
      </c>
      <c r="W1021" s="3">
        <v>7</v>
      </c>
      <c r="X1021" s="3">
        <v>16</v>
      </c>
      <c r="Y1021" s="3">
        <v>0</v>
      </c>
      <c r="Z1021" s="3">
        <v>0</v>
      </c>
      <c r="AA1021" s="3">
        <v>0</v>
      </c>
      <c r="AB1021" s="12">
        <f>(W1021*4+X1021*1+Y1021*-2+Z1021*-3)/W1021</f>
        <v>6.2857142857142856</v>
      </c>
      <c r="AC1021" s="3">
        <f>W1021*12.0107+X1021*1.00784+Y1021*15.999+Z1021*14.0067</f>
        <v>100.20034</v>
      </c>
      <c r="AD1021" s="3">
        <v>98</v>
      </c>
      <c r="AE1021" s="3" t="s">
        <v>321</v>
      </c>
      <c r="AF1021" s="2" t="s">
        <v>79</v>
      </c>
      <c r="AG1021" s="2" t="str">
        <f>IF(AD1021&gt;37,"Proton symporter", "Diffusion")</f>
        <v>Proton symporter</v>
      </c>
      <c r="AH1021" s="3" t="s">
        <v>330</v>
      </c>
    </row>
    <row r="1022" spans="1:34" hidden="1" x14ac:dyDescent="0.2">
      <c r="A1022" s="8" t="s">
        <v>34</v>
      </c>
      <c r="B1022" s="9" t="s">
        <v>35</v>
      </c>
      <c r="C1022" s="1" t="s">
        <v>57</v>
      </c>
      <c r="D1022" s="10" t="s">
        <v>37</v>
      </c>
      <c r="E1022" s="1" t="s">
        <v>178</v>
      </c>
      <c r="F1022" s="1" t="s">
        <v>179</v>
      </c>
      <c r="G1022" s="1">
        <v>-10</v>
      </c>
      <c r="H1022" s="1">
        <v>-20</v>
      </c>
      <c r="I1022" s="1" t="s">
        <v>40</v>
      </c>
      <c r="J1022" s="1">
        <v>3.15</v>
      </c>
      <c r="K1022" s="1">
        <v>-10</v>
      </c>
      <c r="L1022" s="1">
        <v>-5.7831395348837198</v>
      </c>
      <c r="M1022" s="1" t="s">
        <v>40</v>
      </c>
      <c r="N1022" s="1">
        <v>8.0279069767441804</v>
      </c>
      <c r="O1022" s="1">
        <v>1.4965116279069799</v>
      </c>
      <c r="Q1022" s="1">
        <v>0.14965116279069701</v>
      </c>
      <c r="R1022" s="1">
        <v>0.29941028016029497</v>
      </c>
      <c r="S1022" s="20" t="s">
        <v>178</v>
      </c>
      <c r="T1022" s="3" t="s">
        <v>178</v>
      </c>
      <c r="U1022" s="3" t="s">
        <v>106</v>
      </c>
      <c r="V1022" s="3" t="s">
        <v>180</v>
      </c>
      <c r="W1022" s="3">
        <v>8</v>
      </c>
      <c r="X1022" s="3">
        <v>8</v>
      </c>
      <c r="Y1022" s="3">
        <v>1</v>
      </c>
      <c r="Z1022" s="3">
        <v>0</v>
      </c>
      <c r="AA1022" s="3">
        <v>0</v>
      </c>
      <c r="AB1022" s="12">
        <f>(W1022*4+X1022*1+Y1022*-2+Z1022*-3)/W1022</f>
        <v>4.75</v>
      </c>
      <c r="AC1022" s="3">
        <f>W1022*12.0107+X1022*1.00784+Y1022*15.999+Z1022*14.0067</f>
        <v>120.14731999999999</v>
      </c>
      <c r="AD1022" s="12">
        <v>229</v>
      </c>
      <c r="AE1022" s="3" t="s">
        <v>176</v>
      </c>
      <c r="AF1022" s="2" t="s">
        <v>150</v>
      </c>
      <c r="AG1022" s="2" t="str">
        <f>IF(AD1022&gt;37,"Proton symporter", "Diffusion")</f>
        <v>Proton symporter</v>
      </c>
      <c r="AH1022" s="3" t="s">
        <v>181</v>
      </c>
    </row>
    <row r="1023" spans="1:34" hidden="1" x14ac:dyDescent="0.2">
      <c r="A1023" s="16" t="s">
        <v>63</v>
      </c>
      <c r="B1023" s="17" t="s">
        <v>64</v>
      </c>
      <c r="C1023" t="s">
        <v>72</v>
      </c>
      <c r="D1023" s="18" t="s">
        <v>66</v>
      </c>
      <c r="E1023" t="s">
        <v>259</v>
      </c>
      <c r="F1023" t="s">
        <v>260</v>
      </c>
      <c r="G1023">
        <v>-10</v>
      </c>
      <c r="H1023">
        <v>0</v>
      </c>
      <c r="I1023">
        <v>-10</v>
      </c>
      <c r="J1023">
        <v>0.45</v>
      </c>
      <c r="K1023">
        <v>-10</v>
      </c>
      <c r="L1023">
        <v>0</v>
      </c>
      <c r="M1023">
        <v>-10</v>
      </c>
      <c r="N1023">
        <v>3.3333333333333299</v>
      </c>
      <c r="O1023">
        <v>1.6666666666666701</v>
      </c>
      <c r="P1023"/>
      <c r="Q1023">
        <v>0.16666666666666699</v>
      </c>
      <c r="R1023">
        <v>0.29875690952682199</v>
      </c>
      <c r="S1023" s="20" t="s">
        <v>259</v>
      </c>
      <c r="T1023" s="3" t="s">
        <v>259</v>
      </c>
      <c r="U1023" s="3" t="s">
        <v>106</v>
      </c>
      <c r="V1023" s="3" t="s">
        <v>261</v>
      </c>
      <c r="W1023" s="3">
        <v>5</v>
      </c>
      <c r="X1023" s="3">
        <v>10</v>
      </c>
      <c r="Y1023" s="3">
        <v>1</v>
      </c>
      <c r="Z1023" s="3">
        <v>0</v>
      </c>
      <c r="AA1023" s="3">
        <v>0</v>
      </c>
      <c r="AB1023" s="12">
        <f>(W1023*4+X1023*1+Y1023*-2+Z1023*-3)/W1023+0.02</f>
        <v>5.6199999999999992</v>
      </c>
      <c r="AC1023" s="3">
        <f>W1023*12.0107+X1023*1.00784+Y1023*15.999+Z1023*14.0067</f>
        <v>86.130899999999997</v>
      </c>
      <c r="AD1023" s="12">
        <v>108</v>
      </c>
      <c r="AE1023" s="3" t="s">
        <v>262</v>
      </c>
      <c r="AF1023" s="3" t="s">
        <v>135</v>
      </c>
      <c r="AG1023" s="2" t="str">
        <f>IF(AD1023&gt;37,"Proton symporter", "Diffusion")</f>
        <v>Proton symporter</v>
      </c>
      <c r="AH1023" s="3" t="s">
        <v>263</v>
      </c>
    </row>
    <row r="1024" spans="1:34" hidden="1" x14ac:dyDescent="0.2">
      <c r="A1024" s="16" t="s">
        <v>317</v>
      </c>
      <c r="B1024" s="9" t="s">
        <v>35</v>
      </c>
      <c r="C1024" t="s">
        <v>62</v>
      </c>
      <c r="D1024" s="15" t="s">
        <v>55</v>
      </c>
      <c r="E1024" t="s">
        <v>327</v>
      </c>
      <c r="F1024" t="s">
        <v>328</v>
      </c>
      <c r="G1024">
        <v>-10</v>
      </c>
      <c r="H1024">
        <v>-20</v>
      </c>
      <c r="I1024" s="1" t="s">
        <v>40</v>
      </c>
      <c r="J1024">
        <v>3.15</v>
      </c>
      <c r="K1024">
        <v>-10</v>
      </c>
      <c r="L1024">
        <v>-0.78310412573673904</v>
      </c>
      <c r="M1024" s="1" t="s">
        <v>40</v>
      </c>
      <c r="N1024">
        <v>18.680157170923401</v>
      </c>
      <c r="O1024">
        <v>4.4742632612966604</v>
      </c>
      <c r="P1024"/>
      <c r="Q1024">
        <v>0.44742632612966599</v>
      </c>
      <c r="R1024">
        <v>0.29862299342665299</v>
      </c>
      <c r="S1024" s="20" t="s">
        <v>327</v>
      </c>
      <c r="T1024" s="3" t="s">
        <v>327</v>
      </c>
      <c r="U1024" s="3" t="s">
        <v>106</v>
      </c>
      <c r="V1024" s="3" t="s">
        <v>329</v>
      </c>
      <c r="W1024" s="3">
        <v>7</v>
      </c>
      <c r="X1024" s="3">
        <v>16</v>
      </c>
      <c r="Y1024" s="3">
        <v>0</v>
      </c>
      <c r="Z1024" s="3">
        <v>0</v>
      </c>
      <c r="AA1024" s="3">
        <v>0</v>
      </c>
      <c r="AB1024" s="12">
        <f>(W1024*4+X1024*1+Y1024*-2+Z1024*-3)/W1024</f>
        <v>6.2857142857142856</v>
      </c>
      <c r="AC1024" s="3">
        <f>W1024*12.0107+X1024*1.00784+Y1024*15.999+Z1024*14.0067</f>
        <v>100.20034</v>
      </c>
      <c r="AD1024" s="3">
        <v>98</v>
      </c>
      <c r="AE1024" s="3" t="s">
        <v>321</v>
      </c>
      <c r="AF1024" s="2" t="s">
        <v>79</v>
      </c>
      <c r="AG1024" s="2" t="str">
        <f>IF(AD1024&gt;37,"Proton symporter", "Diffusion")</f>
        <v>Proton symporter</v>
      </c>
      <c r="AH1024" s="3" t="s">
        <v>330</v>
      </c>
    </row>
    <row r="1025" spans="1:34" hidden="1" x14ac:dyDescent="0.2">
      <c r="A1025" s="8" t="s">
        <v>34</v>
      </c>
      <c r="B1025" s="9" t="s">
        <v>35</v>
      </c>
      <c r="C1025" s="1" t="s">
        <v>61</v>
      </c>
      <c r="D1025" s="13" t="s">
        <v>51</v>
      </c>
      <c r="E1025" s="1" t="s">
        <v>315</v>
      </c>
      <c r="F1025" s="1" t="s">
        <v>311</v>
      </c>
      <c r="G1025" s="1">
        <v>-10</v>
      </c>
      <c r="H1025" s="1">
        <v>-20</v>
      </c>
      <c r="I1025" s="1" t="s">
        <v>40</v>
      </c>
      <c r="J1025" s="1">
        <v>3.15</v>
      </c>
      <c r="K1025" s="1">
        <v>-10</v>
      </c>
      <c r="L1025" s="1">
        <v>-6.88719512195122</v>
      </c>
      <c r="M1025" s="1" t="s">
        <v>40</v>
      </c>
      <c r="N1025" s="1">
        <v>4.5914634146341404</v>
      </c>
      <c r="O1025" s="1">
        <v>1.0817073170731699</v>
      </c>
      <c r="Q1025" s="1">
        <v>0.108170731707317</v>
      </c>
      <c r="R1025" s="1">
        <v>0.29758316535400398</v>
      </c>
      <c r="S1025" s="20" t="s">
        <v>315</v>
      </c>
      <c r="T1025" s="3" t="s">
        <v>316</v>
      </c>
      <c r="U1025" s="3" t="s">
        <v>106</v>
      </c>
      <c r="V1025" s="3" t="s">
        <v>292</v>
      </c>
      <c r="W1025" s="3">
        <v>5</v>
      </c>
      <c r="X1025" s="3">
        <v>12</v>
      </c>
      <c r="Y1025" s="3">
        <v>1</v>
      </c>
      <c r="Z1025" s="3">
        <v>0</v>
      </c>
      <c r="AA1025" s="3">
        <v>0</v>
      </c>
      <c r="AB1025" s="12">
        <f>(W1025*4+X1025*1+Y1025*-2+Z1025*-3)/W1025</f>
        <v>6</v>
      </c>
      <c r="AC1025" s="3">
        <f>W1025*12.0107+X1025*1.00784+Y1025*15.999+Z1025*14.0067</f>
        <v>88.14658</v>
      </c>
      <c r="AD1025" s="12">
        <v>138</v>
      </c>
      <c r="AE1025" s="3" t="s">
        <v>262</v>
      </c>
      <c r="AF1025" s="3" t="s">
        <v>44</v>
      </c>
      <c r="AG1025" s="2" t="str">
        <f>IF(AD1025&gt;37,"Proton symporter", "Diffusion")</f>
        <v>Proton symporter</v>
      </c>
      <c r="AH1025" s="3" t="s">
        <v>314</v>
      </c>
    </row>
    <row r="1026" spans="1:34" hidden="1" x14ac:dyDescent="0.2">
      <c r="A1026" s="8" t="s">
        <v>34</v>
      </c>
      <c r="B1026" s="9" t="s">
        <v>35</v>
      </c>
      <c r="C1026" s="1" t="s">
        <v>62</v>
      </c>
      <c r="D1026" s="15" t="s">
        <v>55</v>
      </c>
      <c r="E1026" s="1" t="s">
        <v>227</v>
      </c>
      <c r="F1026" s="1" t="s">
        <v>228</v>
      </c>
      <c r="G1026" s="1">
        <v>-10</v>
      </c>
      <c r="H1026" s="1">
        <v>-20</v>
      </c>
      <c r="I1026" s="1" t="s">
        <v>40</v>
      </c>
      <c r="J1026" s="1">
        <v>3.15</v>
      </c>
      <c r="K1026" s="1">
        <v>-10</v>
      </c>
      <c r="L1026" s="1">
        <v>-5.0679650238473704</v>
      </c>
      <c r="M1026" s="1" t="s">
        <v>40</v>
      </c>
      <c r="N1026" s="1">
        <v>16.717011128775798</v>
      </c>
      <c r="O1026" s="1">
        <v>0.83207472178060404</v>
      </c>
      <c r="Q1026" s="1">
        <v>8.3207472178060404E-2</v>
      </c>
      <c r="R1026" s="1">
        <v>0.29755111765881298</v>
      </c>
      <c r="S1026" s="11" t="s">
        <v>227</v>
      </c>
      <c r="T1026" s="2" t="s">
        <v>229</v>
      </c>
      <c r="U1026" s="3" t="s">
        <v>41</v>
      </c>
      <c r="V1026" s="2" t="s">
        <v>230</v>
      </c>
      <c r="W1026" s="2">
        <v>40</v>
      </c>
      <c r="X1026" s="2">
        <v>56</v>
      </c>
      <c r="Y1026" s="2">
        <v>0</v>
      </c>
      <c r="Z1026" s="2">
        <v>0</v>
      </c>
      <c r="AA1026" s="2">
        <v>0</v>
      </c>
      <c r="AB1026" s="12">
        <f>(W1026*4+X1026*1+Y1026*-2+Z1026*-3)/W1026</f>
        <v>5.4</v>
      </c>
      <c r="AC1026" s="3">
        <f>W1026*12.0107+X1026*1.00784+Y1026*15.999+Z1026*14.0067</f>
        <v>536.86703999999997</v>
      </c>
      <c r="AD1026" s="12">
        <v>633</v>
      </c>
      <c r="AE1026" s="2" t="s">
        <v>231</v>
      </c>
      <c r="AF1026" s="2" t="s">
        <v>79</v>
      </c>
      <c r="AG1026" s="2" t="s">
        <v>232</v>
      </c>
      <c r="AH1026" s="3" t="s">
        <v>233</v>
      </c>
    </row>
    <row r="1027" spans="1:34" hidden="1" x14ac:dyDescent="0.2">
      <c r="A1027" s="8" t="s">
        <v>34</v>
      </c>
      <c r="B1027" s="9" t="s">
        <v>35</v>
      </c>
      <c r="C1027" s="1" t="s">
        <v>57</v>
      </c>
      <c r="D1027" s="10" t="s">
        <v>37</v>
      </c>
      <c r="E1027" s="1" t="s">
        <v>172</v>
      </c>
      <c r="F1027" s="1" t="s">
        <v>173</v>
      </c>
      <c r="G1027" s="1">
        <v>-10</v>
      </c>
      <c r="H1027" s="1">
        <v>-20</v>
      </c>
      <c r="I1027" s="1" t="s">
        <v>40</v>
      </c>
      <c r="J1027" s="1">
        <v>3.15</v>
      </c>
      <c r="K1027" s="1">
        <v>-10</v>
      </c>
      <c r="L1027" s="1">
        <v>-6.7302961275626396</v>
      </c>
      <c r="M1027" s="1" t="s">
        <v>40</v>
      </c>
      <c r="N1027" s="1">
        <v>8.6259681093394107</v>
      </c>
      <c r="O1027" s="1">
        <v>1.89567198177677</v>
      </c>
      <c r="Q1027" s="1">
        <v>0.189567198177677</v>
      </c>
      <c r="R1027" s="1">
        <v>0.29707943976268403</v>
      </c>
      <c r="S1027" s="20" t="s">
        <v>172</v>
      </c>
      <c r="T1027" s="3" t="s">
        <v>172</v>
      </c>
      <c r="U1027" s="3" t="s">
        <v>174</v>
      </c>
      <c r="V1027" s="3" t="s">
        <v>175</v>
      </c>
      <c r="W1027" s="3">
        <v>6</v>
      </c>
      <c r="X1027" s="3">
        <v>6</v>
      </c>
      <c r="Y1027" s="3">
        <v>1</v>
      </c>
      <c r="Z1027" s="3">
        <v>0</v>
      </c>
      <c r="AA1027" s="3">
        <v>0</v>
      </c>
      <c r="AB1027" s="12">
        <f>(W1027*4+X1027*1+Y1027*-2+Z1027*-3)/W1027</f>
        <v>4.666666666666667</v>
      </c>
      <c r="AC1027" s="3">
        <f>W1027*12.0107+X1027*1.00784+Y1027*15.999+Z1027*14.0067</f>
        <v>94.11023999999999</v>
      </c>
      <c r="AD1027" s="12">
        <v>181.7</v>
      </c>
      <c r="AE1027" s="3" t="s">
        <v>176</v>
      </c>
      <c r="AF1027" s="2" t="s">
        <v>150</v>
      </c>
      <c r="AG1027" s="2" t="str">
        <f>IF(AD1027&gt;37,"Proton symporter", "Diffusion")</f>
        <v>Proton symporter</v>
      </c>
      <c r="AH1027" s="3" t="s">
        <v>177</v>
      </c>
    </row>
    <row r="1028" spans="1:34" hidden="1" x14ac:dyDescent="0.2">
      <c r="A1028" s="8" t="s">
        <v>34</v>
      </c>
      <c r="B1028" s="9" t="s">
        <v>35</v>
      </c>
      <c r="C1028" s="1" t="s">
        <v>46</v>
      </c>
      <c r="D1028" s="10" t="s">
        <v>37</v>
      </c>
      <c r="E1028" s="1" t="s">
        <v>305</v>
      </c>
      <c r="F1028" s="1" t="s">
        <v>301</v>
      </c>
      <c r="G1028" s="1">
        <v>-10</v>
      </c>
      <c r="H1028" s="1">
        <v>-20</v>
      </c>
      <c r="I1028" s="1" t="s">
        <v>40</v>
      </c>
      <c r="J1028" s="1">
        <v>3.15</v>
      </c>
      <c r="K1028" s="1">
        <v>-10</v>
      </c>
      <c r="L1028" s="1">
        <v>-5.8311926605504603</v>
      </c>
      <c r="M1028" s="1" t="s">
        <v>40</v>
      </c>
      <c r="N1028" s="1">
        <v>10.554128440367</v>
      </c>
      <c r="O1028" s="1">
        <v>2.3614678899082602</v>
      </c>
      <c r="Q1028" s="1">
        <v>0.236146788990826</v>
      </c>
      <c r="R1028" s="1">
        <v>0.29644955278901802</v>
      </c>
      <c r="S1028" s="20" t="s">
        <v>305</v>
      </c>
      <c r="T1028" s="3" t="s">
        <v>306</v>
      </c>
      <c r="U1028" s="3" t="s">
        <v>106</v>
      </c>
      <c r="V1028" s="3" t="s">
        <v>303</v>
      </c>
      <c r="W1028" s="3">
        <v>4</v>
      </c>
      <c r="X1028" s="3">
        <v>10</v>
      </c>
      <c r="Y1028" s="3">
        <v>1</v>
      </c>
      <c r="Z1028" s="3">
        <v>0</v>
      </c>
      <c r="AA1028" s="3">
        <v>0</v>
      </c>
      <c r="AB1028" s="12">
        <f>(W1028*4+X1028*1+Y1028*-2+Z1028*-3)/W1028</f>
        <v>6</v>
      </c>
      <c r="AC1028" s="3">
        <f>W1028*12.0107+X1028*1.00784+Y1028*15.999+Z1028*14.0067</f>
        <v>74.120199999999997</v>
      </c>
      <c r="AD1028" s="12">
        <v>117.7</v>
      </c>
      <c r="AE1028" s="3" t="s">
        <v>262</v>
      </c>
      <c r="AF1028" s="3" t="s">
        <v>44</v>
      </c>
      <c r="AG1028" s="2" t="str">
        <f>IF(AD1028&gt;37,"Proton symporter", "Diffusion")</f>
        <v>Proton symporter</v>
      </c>
      <c r="AH1028" s="3" t="s">
        <v>304</v>
      </c>
    </row>
    <row r="1029" spans="1:34" hidden="1" x14ac:dyDescent="0.2">
      <c r="A1029" s="8" t="s">
        <v>34</v>
      </c>
      <c r="B1029" s="9" t="s">
        <v>35</v>
      </c>
      <c r="C1029" s="1" t="s">
        <v>61</v>
      </c>
      <c r="D1029" s="13" t="s">
        <v>51</v>
      </c>
      <c r="E1029" s="1" t="s">
        <v>295</v>
      </c>
      <c r="F1029" s="1" t="s">
        <v>296</v>
      </c>
      <c r="G1029" s="1">
        <v>-10</v>
      </c>
      <c r="H1029" s="1">
        <v>-20</v>
      </c>
      <c r="I1029" s="1" t="s">
        <v>40</v>
      </c>
      <c r="J1029" s="1">
        <v>3.15</v>
      </c>
      <c r="K1029" s="1">
        <v>-10</v>
      </c>
      <c r="L1029" s="1">
        <v>-6.6408376963350797</v>
      </c>
      <c r="M1029" s="1" t="s">
        <v>40</v>
      </c>
      <c r="N1029" s="1">
        <v>4.4272251308900499</v>
      </c>
      <c r="O1029" s="1">
        <v>0.92879581151832402</v>
      </c>
      <c r="Q1029" s="1">
        <v>9.2879581151832397E-2</v>
      </c>
      <c r="R1029" s="1">
        <v>0.29617564867838098</v>
      </c>
      <c r="S1029" s="11" t="s">
        <v>295</v>
      </c>
      <c r="T1029" s="2" t="s">
        <v>297</v>
      </c>
      <c r="U1029" s="3" t="s">
        <v>41</v>
      </c>
      <c r="V1029" s="2" t="s">
        <v>298</v>
      </c>
      <c r="W1029" s="2">
        <v>6</v>
      </c>
      <c r="X1029" s="2">
        <v>14</v>
      </c>
      <c r="Y1029" s="2">
        <v>1</v>
      </c>
      <c r="Z1029" s="2">
        <v>0</v>
      </c>
      <c r="AA1029" s="2">
        <v>0</v>
      </c>
      <c r="AB1029" s="12">
        <f>(W1029*4+X1029*1+Y1029*-2+Z1029*-3)/W1029</f>
        <v>6</v>
      </c>
      <c r="AC1029" s="3">
        <f>W1029*12.0107+X1029*1.00784+Y1029*15.999+Z1029*14.0067</f>
        <v>102.17295999999999</v>
      </c>
      <c r="AD1029" s="12">
        <v>153</v>
      </c>
      <c r="AE1029" s="2" t="s">
        <v>262</v>
      </c>
      <c r="AF1029" s="2" t="s">
        <v>44</v>
      </c>
      <c r="AG1029" s="2" t="str">
        <f>IF(AD1029&gt;37,"Proton symporter", "Diffusion")</f>
        <v>Proton symporter</v>
      </c>
      <c r="AH1029" s="3" t="s">
        <v>299</v>
      </c>
    </row>
    <row r="1030" spans="1:34" hidden="1" x14ac:dyDescent="0.2">
      <c r="A1030" s="16" t="s">
        <v>63</v>
      </c>
      <c r="B1030" s="17" t="s">
        <v>64</v>
      </c>
      <c r="C1030" t="s">
        <v>68</v>
      </c>
      <c r="D1030" s="18" t="s">
        <v>66</v>
      </c>
      <c r="E1030" t="s">
        <v>343</v>
      </c>
      <c r="F1030" t="s">
        <v>344</v>
      </c>
      <c r="G1030">
        <v>-10</v>
      </c>
      <c r="H1030">
        <v>0</v>
      </c>
      <c r="I1030">
        <v>-10</v>
      </c>
      <c r="J1030">
        <v>0.45</v>
      </c>
      <c r="K1030">
        <v>-10</v>
      </c>
      <c r="L1030">
        <v>0</v>
      </c>
      <c r="M1030">
        <v>-10</v>
      </c>
      <c r="N1030">
        <v>4</v>
      </c>
      <c r="O1030">
        <v>2</v>
      </c>
      <c r="P1030"/>
      <c r="Q1030">
        <v>0.2</v>
      </c>
      <c r="R1030">
        <v>0.29367179487179501</v>
      </c>
      <c r="S1030" s="20" t="s">
        <v>343</v>
      </c>
      <c r="T1030" s="3" t="s">
        <v>345</v>
      </c>
      <c r="U1030" s="3" t="s">
        <v>106</v>
      </c>
      <c r="V1030" s="3" t="s">
        <v>346</v>
      </c>
      <c r="W1030" s="3">
        <v>3</v>
      </c>
      <c r="X1030" s="3">
        <v>8</v>
      </c>
      <c r="Y1030" s="3">
        <v>0</v>
      </c>
      <c r="Z1030" s="3">
        <v>0</v>
      </c>
      <c r="AA1030" s="3">
        <v>0</v>
      </c>
      <c r="AB1030" s="12">
        <f>(W1030*4+X1030*1+Y1030*-2+Z1030*-3)/W1030</f>
        <v>6.666666666666667</v>
      </c>
      <c r="AC1030" s="3">
        <f>W1030*12.0107+X1030*1.00784+Y1030*15.999+Z1030*14.0067</f>
        <v>44.094819999999999</v>
      </c>
      <c r="AD1030" s="24">
        <v>-42</v>
      </c>
      <c r="AE1030" s="3" t="s">
        <v>231</v>
      </c>
      <c r="AF1030" s="2" t="s">
        <v>79</v>
      </c>
      <c r="AG1030" s="25" t="str">
        <f>IF(AD1030&gt;37,"Proton symporter", "Diffusion")</f>
        <v>Diffusion</v>
      </c>
      <c r="AH1030" s="3" t="s">
        <v>347</v>
      </c>
    </row>
    <row r="1031" spans="1:34" hidden="1" x14ac:dyDescent="0.2">
      <c r="A1031" s="8" t="s">
        <v>34</v>
      </c>
      <c r="B1031" s="9" t="s">
        <v>35</v>
      </c>
      <c r="C1031" s="1" t="s">
        <v>57</v>
      </c>
      <c r="D1031" s="10" t="s">
        <v>37</v>
      </c>
      <c r="E1031" s="1" t="s">
        <v>305</v>
      </c>
      <c r="F1031" s="1" t="s">
        <v>301</v>
      </c>
      <c r="G1031" s="1">
        <v>-10</v>
      </c>
      <c r="H1031" s="1">
        <v>-20</v>
      </c>
      <c r="I1031" s="1" t="s">
        <v>40</v>
      </c>
      <c r="J1031" s="1">
        <v>3.15</v>
      </c>
      <c r="K1031" s="1">
        <v>-10</v>
      </c>
      <c r="L1031" s="1">
        <v>-5.7743589743589698</v>
      </c>
      <c r="M1031" s="1" t="s">
        <v>40</v>
      </c>
      <c r="N1031" s="1">
        <v>10.5162393162393</v>
      </c>
      <c r="O1031" s="1">
        <v>2.3709401709401701</v>
      </c>
      <c r="Q1031" s="1">
        <v>0.23709401709401701</v>
      </c>
      <c r="R1031" s="1">
        <v>0.29263731375827601</v>
      </c>
      <c r="S1031" s="20" t="s">
        <v>305</v>
      </c>
      <c r="T1031" s="3" t="s">
        <v>306</v>
      </c>
      <c r="U1031" s="3" t="s">
        <v>106</v>
      </c>
      <c r="V1031" s="3" t="s">
        <v>303</v>
      </c>
      <c r="W1031" s="3">
        <v>4</v>
      </c>
      <c r="X1031" s="3">
        <v>10</v>
      </c>
      <c r="Y1031" s="3">
        <v>1</v>
      </c>
      <c r="Z1031" s="3">
        <v>0</v>
      </c>
      <c r="AA1031" s="3">
        <v>0</v>
      </c>
      <c r="AB1031" s="12">
        <f>(W1031*4+X1031*1+Y1031*-2+Z1031*-3)/W1031</f>
        <v>6</v>
      </c>
      <c r="AC1031" s="3">
        <f>W1031*12.0107+X1031*1.00784+Y1031*15.999+Z1031*14.0067</f>
        <v>74.120199999999997</v>
      </c>
      <c r="AD1031" s="12">
        <v>117.7</v>
      </c>
      <c r="AE1031" s="3" t="s">
        <v>262</v>
      </c>
      <c r="AF1031" s="3" t="s">
        <v>44</v>
      </c>
      <c r="AG1031" s="2" t="str">
        <f>IF(AD1031&gt;37,"Proton symporter", "Diffusion")</f>
        <v>Proton symporter</v>
      </c>
      <c r="AH1031" s="3" t="s">
        <v>304</v>
      </c>
    </row>
    <row r="1032" spans="1:34" hidden="1" x14ac:dyDescent="0.2">
      <c r="A1032" s="8" t="s">
        <v>34</v>
      </c>
      <c r="B1032" s="9" t="s">
        <v>35</v>
      </c>
      <c r="C1032" s="1" t="s">
        <v>54</v>
      </c>
      <c r="D1032" s="14" t="s">
        <v>55</v>
      </c>
      <c r="E1032" s="1" t="s">
        <v>335</v>
      </c>
      <c r="F1032" s="1" t="s">
        <v>336</v>
      </c>
      <c r="G1032" s="1">
        <v>-10</v>
      </c>
      <c r="H1032" s="1">
        <v>-20</v>
      </c>
      <c r="I1032" s="1" t="s">
        <v>40</v>
      </c>
      <c r="J1032" s="1">
        <v>3.15</v>
      </c>
      <c r="K1032" s="1">
        <v>-10</v>
      </c>
      <c r="L1032" s="1">
        <v>-1.5446808510638299</v>
      </c>
      <c r="M1032" s="1" t="s">
        <v>40</v>
      </c>
      <c r="N1032" s="1">
        <v>23.465425531914899</v>
      </c>
      <c r="O1032" s="1">
        <v>7.3069148936170301</v>
      </c>
      <c r="Q1032" s="1">
        <v>0.73069148936170303</v>
      </c>
      <c r="R1032" s="1">
        <v>0.29262811819002599</v>
      </c>
      <c r="S1032" s="11" t="s">
        <v>335</v>
      </c>
      <c r="T1032" s="2" t="s">
        <v>335</v>
      </c>
      <c r="U1032" s="3" t="s">
        <v>106</v>
      </c>
      <c r="V1032" s="2" t="s">
        <v>337</v>
      </c>
      <c r="W1032" s="2">
        <v>5</v>
      </c>
      <c r="X1032" s="2">
        <v>12</v>
      </c>
      <c r="Y1032" s="2">
        <v>0</v>
      </c>
      <c r="Z1032" s="2">
        <v>0</v>
      </c>
      <c r="AA1032" s="2">
        <v>0</v>
      </c>
      <c r="AB1032" s="12">
        <f>(W1032*4+X1032*1+Y1032*-2+Z1032*-3)/W1032</f>
        <v>6.4</v>
      </c>
      <c r="AC1032" s="3">
        <f>W1032*12.0107+X1032*1.00784+Y1032*15.999+Z1032*14.0067</f>
        <v>72.147580000000005</v>
      </c>
      <c r="AD1032" s="24">
        <v>36.1</v>
      </c>
      <c r="AE1032" s="3" t="s">
        <v>321</v>
      </c>
      <c r="AF1032" s="2" t="s">
        <v>79</v>
      </c>
      <c r="AG1032" s="25" t="str">
        <f>IF(AD1032&gt;37,"Proton symporter", "Diffusion")</f>
        <v>Diffusion</v>
      </c>
      <c r="AH1032" s="3" t="s">
        <v>338</v>
      </c>
    </row>
    <row r="1033" spans="1:34" hidden="1" x14ac:dyDescent="0.2">
      <c r="A1033" s="16" t="s">
        <v>63</v>
      </c>
      <c r="B1033" s="17" t="s">
        <v>64</v>
      </c>
      <c r="C1033" t="s">
        <v>65</v>
      </c>
      <c r="D1033" s="18" t="s">
        <v>66</v>
      </c>
      <c r="E1033" t="s">
        <v>234</v>
      </c>
      <c r="F1033" t="s">
        <v>235</v>
      </c>
      <c r="G1033">
        <v>-10</v>
      </c>
      <c r="H1033">
        <v>0</v>
      </c>
      <c r="I1033">
        <v>0</v>
      </c>
      <c r="J1033">
        <v>0.45</v>
      </c>
      <c r="K1033">
        <v>-10</v>
      </c>
      <c r="L1033">
        <v>0</v>
      </c>
      <c r="M1033">
        <v>0</v>
      </c>
      <c r="N1033">
        <v>6.3636363636363704</v>
      </c>
      <c r="O1033">
        <v>0.90909090909090695</v>
      </c>
      <c r="P1033"/>
      <c r="Q1033">
        <v>9.0909090909090995E-2</v>
      </c>
      <c r="R1033">
        <v>0.29249034435753402</v>
      </c>
      <c r="S1033" s="20" t="s">
        <v>236</v>
      </c>
      <c r="T1033" s="3" t="s">
        <v>237</v>
      </c>
      <c r="U1033" s="3" t="s">
        <v>106</v>
      </c>
      <c r="V1033" s="3" t="s">
        <v>238</v>
      </c>
      <c r="W1033" s="3">
        <v>4</v>
      </c>
      <c r="X1033" s="3">
        <v>10</v>
      </c>
      <c r="Y1033" s="3">
        <v>2</v>
      </c>
      <c r="Z1033" s="3">
        <v>0</v>
      </c>
      <c r="AA1033" s="3">
        <v>0</v>
      </c>
      <c r="AB1033" s="12">
        <f>(W1033*4+X1033*1+Y1033*-2+Z1033*-3)/W1033</f>
        <v>5.5</v>
      </c>
      <c r="AC1033" s="3">
        <f>W1033*12.0107+X1033*1.00784+Y1033*15.999+Z1033*14.0067</f>
        <v>90.119200000000006</v>
      </c>
      <c r="AD1033" s="12">
        <v>207</v>
      </c>
      <c r="AE1033" s="2" t="s">
        <v>220</v>
      </c>
      <c r="AF1033" s="3" t="s">
        <v>79</v>
      </c>
      <c r="AG1033" s="2" t="str">
        <f>IF(AD1033&gt;37,"Proton symporter", "Diffusion")</f>
        <v>Proton symporter</v>
      </c>
      <c r="AH1033" s="3" t="s">
        <v>239</v>
      </c>
    </row>
    <row r="1034" spans="1:34" hidden="1" x14ac:dyDescent="0.2">
      <c r="A1034" s="16" t="s">
        <v>63</v>
      </c>
      <c r="B1034" s="17" t="s">
        <v>64</v>
      </c>
      <c r="C1034" t="s">
        <v>65</v>
      </c>
      <c r="D1034" s="18" t="s">
        <v>66</v>
      </c>
      <c r="E1034" t="s">
        <v>240</v>
      </c>
      <c r="F1034" t="s">
        <v>235</v>
      </c>
      <c r="G1034">
        <v>-10</v>
      </c>
      <c r="H1034">
        <v>0</v>
      </c>
      <c r="I1034">
        <v>0</v>
      </c>
      <c r="J1034">
        <v>0.45</v>
      </c>
      <c r="K1034">
        <v>-10</v>
      </c>
      <c r="L1034">
        <v>0</v>
      </c>
      <c r="M1034">
        <v>0</v>
      </c>
      <c r="N1034">
        <v>6.3636363636363704</v>
      </c>
      <c r="O1034">
        <v>0.90909090909090795</v>
      </c>
      <c r="P1034"/>
      <c r="Q1034">
        <v>9.0909090909090995E-2</v>
      </c>
      <c r="R1034">
        <v>0.29249034435753402</v>
      </c>
      <c r="S1034" s="20" t="s">
        <v>241</v>
      </c>
      <c r="T1034" s="3" t="s">
        <v>242</v>
      </c>
      <c r="U1034" s="3" t="s">
        <v>106</v>
      </c>
      <c r="V1034" s="3" t="s">
        <v>238</v>
      </c>
      <c r="W1034" s="3">
        <v>4</v>
      </c>
      <c r="X1034" s="3">
        <v>10</v>
      </c>
      <c r="Y1034" s="3">
        <v>2</v>
      </c>
      <c r="Z1034" s="3">
        <v>0</v>
      </c>
      <c r="AA1034" s="3">
        <v>0</v>
      </c>
      <c r="AB1034" s="12">
        <f>(W1034*4+X1034*1+Y1034*-2+Z1034*-3)/W1034</f>
        <v>5.5</v>
      </c>
      <c r="AC1034" s="3">
        <f>W1034*12.0107+X1034*1.00784+Y1034*15.999+Z1034*14.0067</f>
        <v>90.119200000000006</v>
      </c>
      <c r="AD1034" s="12">
        <v>207</v>
      </c>
      <c r="AE1034" s="2" t="s">
        <v>220</v>
      </c>
      <c r="AF1034" s="3" t="s">
        <v>243</v>
      </c>
      <c r="AG1034" s="2" t="str">
        <f>IF(AD1034&gt;37,"Proton symporter", "Diffusion")</f>
        <v>Proton symporter</v>
      </c>
      <c r="AH1034" s="3" t="s">
        <v>239</v>
      </c>
    </row>
    <row r="1035" spans="1:34" hidden="1" x14ac:dyDescent="0.2">
      <c r="A1035" s="16" t="s">
        <v>63</v>
      </c>
      <c r="B1035" s="17" t="s">
        <v>64</v>
      </c>
      <c r="C1035" t="s">
        <v>65</v>
      </c>
      <c r="D1035" s="18" t="s">
        <v>66</v>
      </c>
      <c r="E1035" t="s">
        <v>249</v>
      </c>
      <c r="F1035" t="s">
        <v>250</v>
      </c>
      <c r="G1035">
        <v>-10</v>
      </c>
      <c r="H1035">
        <v>0</v>
      </c>
      <c r="I1035">
        <v>0</v>
      </c>
      <c r="J1035">
        <v>0.45</v>
      </c>
      <c r="K1035">
        <v>-10</v>
      </c>
      <c r="L1035">
        <v>0</v>
      </c>
      <c r="M1035">
        <v>0</v>
      </c>
      <c r="N1035">
        <v>6.3636363636363598</v>
      </c>
      <c r="O1035">
        <v>0.90909090909090895</v>
      </c>
      <c r="P1035"/>
      <c r="Q1035">
        <v>9.0909090909090995E-2</v>
      </c>
      <c r="R1035">
        <v>0.29249034435753402</v>
      </c>
      <c r="S1035" s="20" t="s">
        <v>251</v>
      </c>
      <c r="T1035" s="3" t="s">
        <v>252</v>
      </c>
      <c r="U1035" s="3" t="s">
        <v>106</v>
      </c>
      <c r="V1035" s="3" t="s">
        <v>238</v>
      </c>
      <c r="W1035" s="3">
        <v>4</v>
      </c>
      <c r="X1035" s="3">
        <v>10</v>
      </c>
      <c r="Y1035" s="3">
        <v>2</v>
      </c>
      <c r="Z1035" s="3">
        <v>0</v>
      </c>
      <c r="AA1035" s="3">
        <v>0</v>
      </c>
      <c r="AB1035" s="12">
        <f>(W1035*4+X1035*1+Y1035*-2+Z1035*-3)/W1035</f>
        <v>5.5</v>
      </c>
      <c r="AC1035" s="3">
        <f>W1035*12.0107+X1035*1.00784+Y1035*15.999+Z1035*14.0067</f>
        <v>90.119200000000006</v>
      </c>
      <c r="AD1035" s="12">
        <v>177</v>
      </c>
      <c r="AE1035" s="3" t="s">
        <v>220</v>
      </c>
      <c r="AF1035" s="3" t="s">
        <v>135</v>
      </c>
      <c r="AG1035" s="2" t="str">
        <f>IF(AD1035&gt;37,"Proton symporter", "Diffusion")</f>
        <v>Proton symporter</v>
      </c>
      <c r="AH1035" s="3" t="s">
        <v>253</v>
      </c>
    </row>
    <row r="1036" spans="1:34" hidden="1" x14ac:dyDescent="0.2">
      <c r="A1036" s="16" t="s">
        <v>63</v>
      </c>
      <c r="B1036" s="17" t="s">
        <v>64</v>
      </c>
      <c r="C1036" t="s">
        <v>67</v>
      </c>
      <c r="D1036" s="18" t="s">
        <v>66</v>
      </c>
      <c r="E1036" t="s">
        <v>273</v>
      </c>
      <c r="F1036" t="s">
        <v>274</v>
      </c>
      <c r="G1036">
        <v>-10</v>
      </c>
      <c r="H1036">
        <v>0</v>
      </c>
      <c r="I1036">
        <v>-5</v>
      </c>
      <c r="J1036">
        <v>0.45</v>
      </c>
      <c r="K1036">
        <v>-10</v>
      </c>
      <c r="L1036">
        <v>0</v>
      </c>
      <c r="M1036">
        <v>-5</v>
      </c>
      <c r="N1036">
        <v>3.6115384615384598</v>
      </c>
      <c r="O1036">
        <v>1.11153846153846</v>
      </c>
      <c r="P1036"/>
      <c r="Q1036">
        <v>0.11115384615384601</v>
      </c>
      <c r="R1036">
        <v>0.29163360308540498</v>
      </c>
      <c r="S1036" s="22" t="s">
        <v>273</v>
      </c>
      <c r="T1036" s="3" t="s">
        <v>275</v>
      </c>
      <c r="U1036" s="3" t="s">
        <v>41</v>
      </c>
      <c r="V1036" s="2" t="s">
        <v>276</v>
      </c>
      <c r="W1036" s="2">
        <v>3</v>
      </c>
      <c r="X1036" s="2">
        <v>12</v>
      </c>
      <c r="Y1036" s="2">
        <v>0</v>
      </c>
      <c r="Z1036" s="2">
        <v>2</v>
      </c>
      <c r="AA1036" s="2">
        <v>0</v>
      </c>
      <c r="AB1036" s="12">
        <f>(W1036*4+X1036*1+Y1036*-2+Z1036*-3)/W1036</f>
        <v>6</v>
      </c>
      <c r="AC1036" s="3">
        <f>W1036*12.0107+X1036*1.00784+Y1036*15.999+Z1036*14.0067</f>
        <v>76.139580000000009</v>
      </c>
      <c r="AD1036" s="12">
        <v>139.30000000000001</v>
      </c>
      <c r="AE1036" s="2" t="s">
        <v>277</v>
      </c>
      <c r="AF1036" s="2" t="s">
        <v>125</v>
      </c>
      <c r="AG1036" s="2" t="str">
        <f>IF(AD1036&gt;37,"Proton symporter", "Diffusion")</f>
        <v>Proton symporter</v>
      </c>
      <c r="AH1036" s="3" t="s">
        <v>278</v>
      </c>
    </row>
    <row r="1037" spans="1:34" hidden="1" x14ac:dyDescent="0.2">
      <c r="A1037" s="8" t="s">
        <v>34</v>
      </c>
      <c r="B1037" s="9" t="s">
        <v>35</v>
      </c>
      <c r="C1037" s="1" t="s">
        <v>62</v>
      </c>
      <c r="D1037" s="15" t="s">
        <v>55</v>
      </c>
      <c r="E1037" s="1" t="s">
        <v>335</v>
      </c>
      <c r="F1037" s="1" t="s">
        <v>336</v>
      </c>
      <c r="G1037" s="1">
        <v>-10</v>
      </c>
      <c r="H1037" s="1">
        <v>-20</v>
      </c>
      <c r="I1037" s="1" t="s">
        <v>40</v>
      </c>
      <c r="J1037" s="1">
        <v>3.15</v>
      </c>
      <c r="K1037" s="1">
        <v>-10</v>
      </c>
      <c r="L1037" s="1">
        <v>-1.5446808510638299</v>
      </c>
      <c r="M1037" s="1" t="s">
        <v>40</v>
      </c>
      <c r="N1037" s="1">
        <v>19.715425531914899</v>
      </c>
      <c r="O1037" s="1">
        <v>6.0569148936170203</v>
      </c>
      <c r="Q1037" s="1">
        <v>0.60569148936170203</v>
      </c>
      <c r="R1037" s="1">
        <v>0.29107556906709198</v>
      </c>
      <c r="S1037" s="11" t="s">
        <v>335</v>
      </c>
      <c r="T1037" s="2" t="s">
        <v>335</v>
      </c>
      <c r="U1037" s="3" t="s">
        <v>106</v>
      </c>
      <c r="V1037" s="2" t="s">
        <v>337</v>
      </c>
      <c r="W1037" s="2">
        <v>5</v>
      </c>
      <c r="X1037" s="2">
        <v>12</v>
      </c>
      <c r="Y1037" s="2">
        <v>0</v>
      </c>
      <c r="Z1037" s="2">
        <v>0</v>
      </c>
      <c r="AA1037" s="2">
        <v>0</v>
      </c>
      <c r="AB1037" s="12">
        <f>(W1037*4+X1037*1+Y1037*-2+Z1037*-3)/W1037</f>
        <v>6.4</v>
      </c>
      <c r="AC1037" s="3">
        <f>W1037*12.0107+X1037*1.00784+Y1037*15.999+Z1037*14.0067</f>
        <v>72.147580000000005</v>
      </c>
      <c r="AD1037" s="24">
        <v>36.1</v>
      </c>
      <c r="AE1037" s="3" t="s">
        <v>321</v>
      </c>
      <c r="AF1037" s="2" t="s">
        <v>79</v>
      </c>
      <c r="AG1037" s="25" t="str">
        <f>IF(AD1037&gt;37,"Proton symporter", "Diffusion")</f>
        <v>Diffusion</v>
      </c>
      <c r="AH1037" s="3" t="s">
        <v>338</v>
      </c>
    </row>
    <row r="1038" spans="1:34" hidden="1" x14ac:dyDescent="0.2">
      <c r="A1038" s="8" t="s">
        <v>34</v>
      </c>
      <c r="B1038" s="9" t="s">
        <v>35</v>
      </c>
      <c r="C1038" s="1" t="s">
        <v>57</v>
      </c>
      <c r="D1038" s="10" t="s">
        <v>37</v>
      </c>
      <c r="E1038" s="1" t="s">
        <v>289</v>
      </c>
      <c r="F1038" s="1" t="s">
        <v>290</v>
      </c>
      <c r="G1038" s="1">
        <v>-10</v>
      </c>
      <c r="H1038" s="1">
        <v>-20</v>
      </c>
      <c r="I1038" s="1" t="s">
        <v>40</v>
      </c>
      <c r="J1038" s="1">
        <v>3.15</v>
      </c>
      <c r="K1038" s="1">
        <v>-10</v>
      </c>
      <c r="L1038" s="1">
        <v>-5.15</v>
      </c>
      <c r="M1038" s="1" t="s">
        <v>40</v>
      </c>
      <c r="N1038" s="1">
        <v>10.1</v>
      </c>
      <c r="O1038" s="1">
        <v>1.98</v>
      </c>
      <c r="Q1038" s="1">
        <v>0.19800000000000001</v>
      </c>
      <c r="R1038" s="1">
        <v>0.290631833077999</v>
      </c>
      <c r="S1038" s="11" t="s">
        <v>289</v>
      </c>
      <c r="T1038" s="2" t="s">
        <v>291</v>
      </c>
      <c r="U1038" s="3" t="s">
        <v>41</v>
      </c>
      <c r="V1038" s="2" t="s">
        <v>292</v>
      </c>
      <c r="W1038" s="2">
        <v>5</v>
      </c>
      <c r="X1038" s="2">
        <v>12</v>
      </c>
      <c r="Y1038" s="2">
        <v>1</v>
      </c>
      <c r="Z1038" s="2">
        <v>0</v>
      </c>
      <c r="AA1038" s="2">
        <v>0</v>
      </c>
      <c r="AB1038" s="12">
        <f>(W1038*4+X1038*1+Y1038*-2+Z1038*-3)/W1038</f>
        <v>6</v>
      </c>
      <c r="AC1038" s="3">
        <f>W1038*12.0107+X1038*1.00784+Y1038*15.999+Z1038*14.0067</f>
        <v>88.14658</v>
      </c>
      <c r="AD1038" s="12">
        <v>129</v>
      </c>
      <c r="AE1038" s="2" t="s">
        <v>262</v>
      </c>
      <c r="AF1038" s="2" t="s">
        <v>293</v>
      </c>
      <c r="AG1038" s="2" t="str">
        <f>IF(AD1038&gt;37,"Proton symporter", "Diffusion")</f>
        <v>Proton symporter</v>
      </c>
      <c r="AH1038" s="3" t="s">
        <v>294</v>
      </c>
    </row>
    <row r="1039" spans="1:34" hidden="1" x14ac:dyDescent="0.2">
      <c r="A1039" s="8" t="s">
        <v>368</v>
      </c>
      <c r="B1039" s="17" t="s">
        <v>64</v>
      </c>
      <c r="C1039" t="s">
        <v>369</v>
      </c>
      <c r="D1039" s="18" t="s">
        <v>66</v>
      </c>
      <c r="E1039" t="s">
        <v>343</v>
      </c>
      <c r="F1039" t="s">
        <v>344</v>
      </c>
      <c r="G1039">
        <v>-10</v>
      </c>
      <c r="H1039">
        <v>0</v>
      </c>
      <c r="I1039">
        <v>-20</v>
      </c>
      <c r="J1039">
        <v>0.45</v>
      </c>
      <c r="K1039">
        <v>-6</v>
      </c>
      <c r="L1039">
        <v>0</v>
      </c>
      <c r="M1039">
        <v>-20</v>
      </c>
      <c r="N1039">
        <v>-6</v>
      </c>
      <c r="O1039">
        <v>1.99999999999999</v>
      </c>
      <c r="P1039"/>
      <c r="Q1039">
        <v>0.33333333333333098</v>
      </c>
      <c r="R1039">
        <v>0.28973533083645298</v>
      </c>
      <c r="S1039" s="1" t="str">
        <f>VLOOKUP($E1039,'[1]Product Naming'!$A$1:$P$58,2)</f>
        <v>Propane-PW1</v>
      </c>
      <c r="T1039" s="1" t="str">
        <f>VLOOKUP($E1039,'[1]Product Naming'!$A$1:$P$58,3)</f>
        <v>Propane (PW1)</v>
      </c>
      <c r="U1039" s="1" t="str">
        <f>VLOOKUP($E1039,'[1]Product Naming'!$A$1:$P$58,4)</f>
        <v>E</v>
      </c>
      <c r="V1039" s="1" t="str">
        <f>VLOOKUP($E1039,'[1]Product Naming'!$A$1:$P$58,5)</f>
        <v>C3H8</v>
      </c>
      <c r="W1039" s="1">
        <f>VLOOKUP($E1039,'[1]Product Naming'!$A$1:$P$58,6)</f>
        <v>3</v>
      </c>
      <c r="X1039" s="1">
        <f>VLOOKUP($E1039,'[1]Product Naming'!$A$1:$P$58,7)</f>
        <v>8</v>
      </c>
      <c r="Y1039" s="1">
        <f>VLOOKUP($E1039,'[1]Product Naming'!$A$1:$P$58,8)</f>
        <v>0</v>
      </c>
      <c r="Z1039" s="1">
        <f>VLOOKUP($E1039,'[1]Product Naming'!$A$1:$P$58,9)</f>
        <v>0</v>
      </c>
      <c r="AA1039" s="1">
        <f>VLOOKUP($E1039,'[1]Product Naming'!$A$1:$P$58,10)</f>
        <v>0</v>
      </c>
      <c r="AB1039" s="27">
        <f>VLOOKUP($E1039,'[1]Product Naming'!$A$1:$P$58,11)</f>
        <v>6.666666666666667</v>
      </c>
      <c r="AC1039" s="3">
        <f>VLOOKUP($E1039,'[1]Product Naming'!$A$1:$P$58,12)</f>
        <v>44.094819999999999</v>
      </c>
      <c r="AD1039" s="1">
        <f>VLOOKUP($E1039,'[1]Product Naming'!$A$1:$P$58,13)</f>
        <v>-42</v>
      </c>
      <c r="AE1039" s="1" t="str">
        <f>VLOOKUP($E1039,'[1]Product Naming'!$A$1:$P$58,14)</f>
        <v>Hydrocarbon</v>
      </c>
      <c r="AF1039" s="1" t="str">
        <f>VLOOKUP($E1039,'[1]Product Naming'!$A$1:$P$58,15)</f>
        <v>Acetyl-CoA</v>
      </c>
      <c r="AG1039" s="28" t="str">
        <f>VLOOKUP($E1039,'[1]Product Naming'!$A$1:$P$58,16)</f>
        <v>Diffusion</v>
      </c>
      <c r="AH1039" s="3" t="str">
        <f>VLOOKUP($E1039,'[1]Product Naming'!$A$1:$Q$58,17)</f>
        <v>prop_c</v>
      </c>
    </row>
    <row r="1040" spans="1:34" hidden="1" x14ac:dyDescent="0.2">
      <c r="A1040" s="16" t="s">
        <v>74</v>
      </c>
      <c r="B1040" s="9" t="s">
        <v>35</v>
      </c>
      <c r="C1040" t="s">
        <v>47</v>
      </c>
      <c r="D1040" s="10" t="s">
        <v>37</v>
      </c>
      <c r="E1040" t="s">
        <v>268</v>
      </c>
      <c r="F1040" t="s">
        <v>269</v>
      </c>
      <c r="G1040">
        <v>-10</v>
      </c>
      <c r="H1040">
        <v>-20</v>
      </c>
      <c r="I1040" s="1" t="s">
        <v>40</v>
      </c>
      <c r="J1040">
        <v>3.15</v>
      </c>
      <c r="K1040">
        <v>-10</v>
      </c>
      <c r="L1040">
        <v>-6.5233038348082601</v>
      </c>
      <c r="M1040" s="1" t="s">
        <v>40</v>
      </c>
      <c r="N1040">
        <v>6.8023598820058897</v>
      </c>
      <c r="O1040">
        <v>1.3197640117994101</v>
      </c>
      <c r="P1040"/>
      <c r="Q1040">
        <v>0.131976401179941</v>
      </c>
      <c r="R1040">
        <v>0.28968116654360898</v>
      </c>
      <c r="S1040" s="3" t="s">
        <v>268</v>
      </c>
      <c r="T1040" s="3" t="s">
        <v>268</v>
      </c>
      <c r="U1040" s="3" t="s">
        <v>106</v>
      </c>
      <c r="V1040" s="3" t="s">
        <v>270</v>
      </c>
      <c r="W1040" s="3">
        <v>10</v>
      </c>
      <c r="X1040" s="3">
        <v>16</v>
      </c>
      <c r="Y1040" s="3">
        <v>0</v>
      </c>
      <c r="Z1040" s="3">
        <v>0</v>
      </c>
      <c r="AA1040" s="3">
        <v>0</v>
      </c>
      <c r="AB1040" s="12">
        <f>(W1040*4+X1040*1+Y1040*-2+Z1040*-3)/W1040</f>
        <v>5.6</v>
      </c>
      <c r="AC1040" s="3">
        <f>W1040*12.0107+X1040*1.00784+Y1040*15.999+Z1040*14.0067</f>
        <v>136.23244</v>
      </c>
      <c r="AD1040" s="12">
        <v>176</v>
      </c>
      <c r="AE1040" s="3" t="s">
        <v>271</v>
      </c>
      <c r="AF1040" s="3" t="s">
        <v>79</v>
      </c>
      <c r="AG1040" s="2" t="str">
        <f>IF(AD1040&gt;37,"Proton symporter", "Diffusion")</f>
        <v>Proton symporter</v>
      </c>
      <c r="AH1040" s="3" t="s">
        <v>272</v>
      </c>
    </row>
    <row r="1041" spans="1:34" hidden="1" x14ac:dyDescent="0.2">
      <c r="A1041" s="8" t="s">
        <v>34</v>
      </c>
      <c r="B1041" s="9" t="s">
        <v>35</v>
      </c>
      <c r="C1041" s="1" t="s">
        <v>47</v>
      </c>
      <c r="D1041" s="10" t="s">
        <v>37</v>
      </c>
      <c r="E1041" s="1" t="s">
        <v>254</v>
      </c>
      <c r="F1041" s="1" t="s">
        <v>255</v>
      </c>
      <c r="G1041" s="1">
        <v>-10</v>
      </c>
      <c r="H1041" s="1">
        <v>-20</v>
      </c>
      <c r="I1041" s="1" t="s">
        <v>40</v>
      </c>
      <c r="J1041" s="1">
        <v>3.15</v>
      </c>
      <c r="K1041" s="1">
        <v>-10</v>
      </c>
      <c r="L1041" s="1">
        <v>-6.5414538310412604</v>
      </c>
      <c r="M1041" s="1" t="s">
        <v>40</v>
      </c>
      <c r="N1041" s="1">
        <v>6.81532416502945</v>
      </c>
      <c r="O1041" s="1">
        <v>0.87897838899803504</v>
      </c>
      <c r="Q1041" s="1">
        <v>8.7897838899803502E-2</v>
      </c>
      <c r="R1041" s="1">
        <v>0.289396607440913</v>
      </c>
      <c r="S1041" s="11" t="s">
        <v>254</v>
      </c>
      <c r="T1041" s="2" t="s">
        <v>254</v>
      </c>
      <c r="U1041" s="3" t="s">
        <v>41</v>
      </c>
      <c r="V1041" s="2" t="s">
        <v>256</v>
      </c>
      <c r="W1041" s="2">
        <v>15</v>
      </c>
      <c r="X1041" s="2">
        <v>24</v>
      </c>
      <c r="Y1041" s="2">
        <v>0</v>
      </c>
      <c r="Z1041" s="2">
        <v>0</v>
      </c>
      <c r="AA1041" s="2">
        <v>0</v>
      </c>
      <c r="AB1041" s="12">
        <f>(W1041*4+X1041*1+Y1041*-2+Z1041*-3)/W1041+0.01</f>
        <v>5.6099999999999994</v>
      </c>
      <c r="AC1041" s="3">
        <f>W1041*12.0107+X1041*1.00784+Y1041*15.999+Z1041*14.0067</f>
        <v>204.34866000000002</v>
      </c>
      <c r="AD1041" s="12" t="s">
        <v>257</v>
      </c>
      <c r="AE1041" s="2" t="s">
        <v>231</v>
      </c>
      <c r="AF1041" s="2" t="s">
        <v>79</v>
      </c>
      <c r="AG1041" s="2" t="str">
        <f>IF(AD1041&gt;37,"Proton symporter", "Diffusion")</f>
        <v>Proton symporter</v>
      </c>
      <c r="AH1041" s="3" t="s">
        <v>258</v>
      </c>
    </row>
    <row r="1042" spans="1:34" hidden="1" x14ac:dyDescent="0.2">
      <c r="A1042" s="8" t="s">
        <v>34</v>
      </c>
      <c r="B1042" s="9" t="s">
        <v>35</v>
      </c>
      <c r="C1042" s="1" t="s">
        <v>46</v>
      </c>
      <c r="D1042" s="10" t="s">
        <v>37</v>
      </c>
      <c r="E1042" s="1" t="s">
        <v>315</v>
      </c>
      <c r="F1042" s="1" t="s">
        <v>311</v>
      </c>
      <c r="G1042" s="1">
        <v>-10</v>
      </c>
      <c r="H1042" s="1">
        <v>-20</v>
      </c>
      <c r="I1042" s="1" t="s">
        <v>40</v>
      </c>
      <c r="J1042" s="1">
        <v>3.15</v>
      </c>
      <c r="K1042" s="1">
        <v>-10</v>
      </c>
      <c r="L1042" s="1">
        <v>-5.4849624060150504</v>
      </c>
      <c r="M1042" s="1" t="s">
        <v>40</v>
      </c>
      <c r="N1042" s="1">
        <v>10.3233082706767</v>
      </c>
      <c r="O1042" s="1">
        <v>1.93533834586467</v>
      </c>
      <c r="Q1042" s="1">
        <v>0.193533834586467</v>
      </c>
      <c r="R1042" s="1">
        <v>0.288931266154905</v>
      </c>
      <c r="S1042" s="20" t="s">
        <v>315</v>
      </c>
      <c r="T1042" s="3" t="s">
        <v>316</v>
      </c>
      <c r="U1042" s="3" t="s">
        <v>106</v>
      </c>
      <c r="V1042" s="3" t="s">
        <v>292</v>
      </c>
      <c r="W1042" s="3">
        <v>5</v>
      </c>
      <c r="X1042" s="3">
        <v>12</v>
      </c>
      <c r="Y1042" s="3">
        <v>1</v>
      </c>
      <c r="Z1042" s="3">
        <v>0</v>
      </c>
      <c r="AA1042" s="3">
        <v>0</v>
      </c>
      <c r="AB1042" s="12">
        <f>(W1042*4+X1042*1+Y1042*-2+Z1042*-3)/W1042</f>
        <v>6</v>
      </c>
      <c r="AC1042" s="3">
        <f>W1042*12.0107+X1042*1.00784+Y1042*15.999+Z1042*14.0067</f>
        <v>88.14658</v>
      </c>
      <c r="AD1042" s="12">
        <v>138</v>
      </c>
      <c r="AE1042" s="3" t="s">
        <v>262</v>
      </c>
      <c r="AF1042" s="3" t="s">
        <v>44</v>
      </c>
      <c r="AG1042" s="2" t="str">
        <f>IF(AD1042&gt;37,"Proton symporter", "Diffusion")</f>
        <v>Proton symporter</v>
      </c>
      <c r="AH1042" s="3" t="s">
        <v>314</v>
      </c>
    </row>
    <row r="1043" spans="1:34" hidden="1" x14ac:dyDescent="0.2">
      <c r="A1043" s="8" t="s">
        <v>34</v>
      </c>
      <c r="B1043" s="9" t="s">
        <v>35</v>
      </c>
      <c r="C1043" s="1" t="s">
        <v>47</v>
      </c>
      <c r="D1043" s="10" t="s">
        <v>37</v>
      </c>
      <c r="E1043" s="1" t="s">
        <v>264</v>
      </c>
      <c r="F1043" s="1" t="s">
        <v>265</v>
      </c>
      <c r="G1043" s="1">
        <v>-10</v>
      </c>
      <c r="H1043" s="1">
        <v>-20</v>
      </c>
      <c r="I1043" s="1" t="s">
        <v>40</v>
      </c>
      <c r="J1043" s="1">
        <v>3.15</v>
      </c>
      <c r="K1043" s="1">
        <v>-10</v>
      </c>
      <c r="L1043" s="1">
        <v>-6.5776470588235396</v>
      </c>
      <c r="M1043" s="1" t="s">
        <v>40</v>
      </c>
      <c r="N1043" s="1">
        <v>6.8411764705882003</v>
      </c>
      <c r="O1043" s="1">
        <v>2.6317647058823401</v>
      </c>
      <c r="Q1043" s="1">
        <v>0.26317647058823401</v>
      </c>
      <c r="R1043" s="1">
        <v>0.28882916311259699</v>
      </c>
      <c r="S1043" s="20" t="s">
        <v>264</v>
      </c>
      <c r="T1043" s="3" t="s">
        <v>264</v>
      </c>
      <c r="U1043" s="3" t="s">
        <v>106</v>
      </c>
      <c r="V1043" s="3" t="s">
        <v>266</v>
      </c>
      <c r="W1043" s="3">
        <v>5</v>
      </c>
      <c r="X1043" s="3">
        <v>8</v>
      </c>
      <c r="Y1043" s="3">
        <v>0</v>
      </c>
      <c r="Z1043" s="3">
        <v>0</v>
      </c>
      <c r="AA1043" s="3">
        <v>0</v>
      </c>
      <c r="AB1043" s="12">
        <f>(W1043*4+X1043*1+Y1043*-2+Z1043*-3)/W1043</f>
        <v>5.6</v>
      </c>
      <c r="AC1043" s="3">
        <f>W1043*12.0107+X1043*1.00784+Y1043*15.999+Z1043*14.0067</f>
        <v>68.116219999999998</v>
      </c>
      <c r="AD1043" s="24">
        <v>34.07</v>
      </c>
      <c r="AE1043" s="3" t="s">
        <v>231</v>
      </c>
      <c r="AF1043" s="3" t="s">
        <v>79</v>
      </c>
      <c r="AG1043" s="25" t="str">
        <f>IF(AD1043&gt;37,"Proton symporter", "Diffusion")</f>
        <v>Diffusion</v>
      </c>
      <c r="AH1043" s="3" t="s">
        <v>267</v>
      </c>
    </row>
    <row r="1044" spans="1:34" hidden="1" x14ac:dyDescent="0.2">
      <c r="A1044" s="16" t="s">
        <v>63</v>
      </c>
      <c r="B1044" s="17" t="s">
        <v>64</v>
      </c>
      <c r="C1044" t="s">
        <v>65</v>
      </c>
      <c r="D1044" s="18" t="s">
        <v>66</v>
      </c>
      <c r="E1044" t="s">
        <v>194</v>
      </c>
      <c r="F1044" t="s">
        <v>195</v>
      </c>
      <c r="G1044">
        <v>-10</v>
      </c>
      <c r="H1044">
        <v>0</v>
      </c>
      <c r="I1044">
        <v>0</v>
      </c>
      <c r="J1044">
        <v>0.45</v>
      </c>
      <c r="K1044">
        <v>-10</v>
      </c>
      <c r="L1044">
        <v>0</v>
      </c>
      <c r="M1044">
        <v>0</v>
      </c>
      <c r="N1044">
        <v>5.5487179487179503</v>
      </c>
      <c r="O1044">
        <v>0.54871794871794899</v>
      </c>
      <c r="P1044"/>
      <c r="Q1044">
        <v>5.4871794871794902E-2</v>
      </c>
      <c r="R1044">
        <v>0.28835255540603599</v>
      </c>
      <c r="S1044" s="3" t="s">
        <v>194</v>
      </c>
      <c r="T1044" s="2" t="s">
        <v>196</v>
      </c>
      <c r="U1044" s="3" t="s">
        <v>35</v>
      </c>
      <c r="V1044" s="3" t="s">
        <v>197</v>
      </c>
      <c r="W1044" s="3">
        <v>6</v>
      </c>
      <c r="X1044" s="3">
        <v>15</v>
      </c>
      <c r="Y1044" s="3">
        <v>2</v>
      </c>
      <c r="Z1044" s="3">
        <v>2</v>
      </c>
      <c r="AA1044" s="3">
        <v>1</v>
      </c>
      <c r="AB1044" s="12">
        <f>(W1044*4+X1044*1+Y1044*-2+Z1044*-3)/W1044</f>
        <v>4.833333333333333</v>
      </c>
      <c r="AC1044" s="3">
        <f>W1044*12.0107+X1044*1.00784+Y1044*15.999+Z1044*14.0067</f>
        <v>147.19319999999999</v>
      </c>
      <c r="AD1044" s="12" t="s">
        <v>40</v>
      </c>
      <c r="AE1044" s="3" t="s">
        <v>119</v>
      </c>
      <c r="AF1044" s="3" t="s">
        <v>44</v>
      </c>
      <c r="AG1044" s="2" t="s">
        <v>80</v>
      </c>
      <c r="AH1044" s="2" t="s">
        <v>198</v>
      </c>
    </row>
    <row r="1045" spans="1:34" hidden="1" x14ac:dyDescent="0.2">
      <c r="A1045" s="8" t="s">
        <v>34</v>
      </c>
      <c r="B1045" s="9" t="s">
        <v>35</v>
      </c>
      <c r="C1045" s="1" t="s">
        <v>58</v>
      </c>
      <c r="D1045" s="10" t="s">
        <v>37</v>
      </c>
      <c r="E1045" s="1" t="s">
        <v>199</v>
      </c>
      <c r="F1045" s="1" t="s">
        <v>200</v>
      </c>
      <c r="G1045" s="1">
        <v>-10</v>
      </c>
      <c r="H1045" s="1">
        <v>-20</v>
      </c>
      <c r="I1045" s="1" t="s">
        <v>40</v>
      </c>
      <c r="J1045" s="1">
        <v>3.15</v>
      </c>
      <c r="K1045" s="1">
        <v>-10</v>
      </c>
      <c r="L1045" s="1">
        <v>-6.4576785714285503</v>
      </c>
      <c r="M1045" s="1" t="s">
        <v>40</v>
      </c>
      <c r="N1045" s="1">
        <v>8.8474999999999806</v>
      </c>
      <c r="O1045" s="1">
        <v>1.5932142857142899</v>
      </c>
      <c r="Q1045" s="1">
        <v>0.159321428571429</v>
      </c>
      <c r="R1045" s="1">
        <v>0.286892705976249</v>
      </c>
      <c r="S1045" s="20" t="s">
        <v>201</v>
      </c>
      <c r="T1045" s="3" t="s">
        <v>201</v>
      </c>
      <c r="U1045" s="3" t="s">
        <v>106</v>
      </c>
      <c r="V1045" s="3" t="s">
        <v>202</v>
      </c>
      <c r="W1045" s="3">
        <v>7</v>
      </c>
      <c r="X1045" s="3">
        <v>8</v>
      </c>
      <c r="Y1045" s="3">
        <v>1</v>
      </c>
      <c r="Z1045" s="3">
        <v>0</v>
      </c>
      <c r="AA1045" s="3">
        <v>0</v>
      </c>
      <c r="AB1045" s="12">
        <f>(W1045*4+X1045*1+Y1045*-2+Z1045*-3)/W1045</f>
        <v>4.8571428571428568</v>
      </c>
      <c r="AC1045" s="3">
        <f>W1045*12.0107+X1045*1.00784+Y1045*15.999+Z1045*14.0067</f>
        <v>108.13661999999999</v>
      </c>
      <c r="AD1045" s="12">
        <v>205</v>
      </c>
      <c r="AE1045" s="3" t="s">
        <v>176</v>
      </c>
      <c r="AF1045" s="3" t="s">
        <v>203</v>
      </c>
      <c r="AG1045" s="2" t="str">
        <f>IF(AD1045&gt;37,"Proton symporter", "Diffusion")</f>
        <v>Proton symporter</v>
      </c>
      <c r="AH1045" s="3" t="s">
        <v>204</v>
      </c>
    </row>
    <row r="1046" spans="1:34" hidden="1" x14ac:dyDescent="0.2">
      <c r="A1046" s="8" t="s">
        <v>34</v>
      </c>
      <c r="B1046" s="9" t="s">
        <v>35</v>
      </c>
      <c r="C1046" s="1" t="s">
        <v>46</v>
      </c>
      <c r="D1046" s="10" t="s">
        <v>37</v>
      </c>
      <c r="E1046" s="1" t="s">
        <v>289</v>
      </c>
      <c r="F1046" s="1" t="s">
        <v>290</v>
      </c>
      <c r="G1046" s="1">
        <v>-10</v>
      </c>
      <c r="H1046" s="1">
        <v>-20</v>
      </c>
      <c r="I1046" s="1" t="s">
        <v>40</v>
      </c>
      <c r="J1046" s="1">
        <v>3.15</v>
      </c>
      <c r="K1046" s="1">
        <v>-10</v>
      </c>
      <c r="L1046" s="1">
        <v>-5.5932835820895503</v>
      </c>
      <c r="M1046" s="1" t="s">
        <v>40</v>
      </c>
      <c r="N1046" s="1">
        <v>10.3955223880597</v>
      </c>
      <c r="O1046" s="1">
        <v>1.9208955223880599</v>
      </c>
      <c r="Q1046" s="1">
        <v>0.192089552238806</v>
      </c>
      <c r="R1046" s="1">
        <v>0.28677506267613501</v>
      </c>
      <c r="S1046" s="11" t="s">
        <v>289</v>
      </c>
      <c r="T1046" s="2" t="s">
        <v>291</v>
      </c>
      <c r="U1046" s="3" t="s">
        <v>41</v>
      </c>
      <c r="V1046" s="2" t="s">
        <v>292</v>
      </c>
      <c r="W1046" s="2">
        <v>5</v>
      </c>
      <c r="X1046" s="2">
        <v>12</v>
      </c>
      <c r="Y1046" s="2">
        <v>1</v>
      </c>
      <c r="Z1046" s="2">
        <v>0</v>
      </c>
      <c r="AA1046" s="2">
        <v>0</v>
      </c>
      <c r="AB1046" s="12">
        <f>(W1046*4+X1046*1+Y1046*-2+Z1046*-3)/W1046</f>
        <v>6</v>
      </c>
      <c r="AC1046" s="3">
        <f>W1046*12.0107+X1046*1.00784+Y1046*15.999+Z1046*14.0067</f>
        <v>88.14658</v>
      </c>
      <c r="AD1046" s="12">
        <v>129</v>
      </c>
      <c r="AE1046" s="2" t="s">
        <v>262</v>
      </c>
      <c r="AF1046" s="2" t="s">
        <v>293</v>
      </c>
      <c r="AG1046" s="2" t="str">
        <f>IF(AD1046&gt;37,"Proton symporter", "Diffusion")</f>
        <v>Proton symporter</v>
      </c>
      <c r="AH1046" s="3" t="s">
        <v>294</v>
      </c>
    </row>
    <row r="1047" spans="1:34" hidden="1" x14ac:dyDescent="0.2">
      <c r="A1047" s="8" t="s">
        <v>34</v>
      </c>
      <c r="B1047" s="9" t="s">
        <v>35</v>
      </c>
      <c r="C1047" s="1" t="s">
        <v>47</v>
      </c>
      <c r="D1047" s="10" t="s">
        <v>37</v>
      </c>
      <c r="E1047" s="1" t="s">
        <v>211</v>
      </c>
      <c r="F1047" s="1" t="s">
        <v>212</v>
      </c>
      <c r="G1047" s="1">
        <v>-10</v>
      </c>
      <c r="H1047" s="1">
        <v>-20</v>
      </c>
      <c r="I1047" s="1" t="s">
        <v>40</v>
      </c>
      <c r="J1047" s="1">
        <v>3.15</v>
      </c>
      <c r="K1047" s="1">
        <v>-10</v>
      </c>
      <c r="L1047" s="1">
        <v>-7.9381563593932301</v>
      </c>
      <c r="M1047" s="1" t="s">
        <v>40</v>
      </c>
      <c r="N1047" s="1">
        <v>6.35052508751457</v>
      </c>
      <c r="O1047" s="1">
        <v>1.70618436406067</v>
      </c>
      <c r="Q1047" s="1">
        <v>0.170618436406067</v>
      </c>
      <c r="R1047" s="1">
        <v>0.28630021255814397</v>
      </c>
      <c r="S1047" s="20" t="s">
        <v>211</v>
      </c>
      <c r="T1047" s="3" t="s">
        <v>211</v>
      </c>
      <c r="U1047" s="3" t="s">
        <v>174</v>
      </c>
      <c r="V1047" s="3" t="s">
        <v>213</v>
      </c>
      <c r="W1047" s="3">
        <v>8</v>
      </c>
      <c r="X1047" s="3">
        <v>8</v>
      </c>
      <c r="Y1047" s="3">
        <v>0</v>
      </c>
      <c r="Z1047" s="3">
        <v>0</v>
      </c>
      <c r="AA1047" s="3">
        <v>0</v>
      </c>
      <c r="AB1047" s="12">
        <f>(W1047*4+X1047*1+Y1047*-2+Z1047*-3)/W1047</f>
        <v>5</v>
      </c>
      <c r="AC1047" s="3">
        <f>W1047*12.0107+X1047*1.00784+Y1047*15.999+Z1047*14.0067</f>
        <v>104.14832</v>
      </c>
      <c r="AD1047" s="12">
        <v>145</v>
      </c>
      <c r="AE1047" s="3" t="s">
        <v>214</v>
      </c>
      <c r="AF1047" s="3" t="s">
        <v>203</v>
      </c>
      <c r="AG1047" s="2" t="str">
        <f>IF(AD1047&gt;37,"Proton symporter", "Diffusion")</f>
        <v>Proton symporter</v>
      </c>
      <c r="AH1047" s="3" t="s">
        <v>215</v>
      </c>
    </row>
    <row r="1048" spans="1:34" hidden="1" x14ac:dyDescent="0.2">
      <c r="A1048" s="8" t="s">
        <v>368</v>
      </c>
      <c r="B1048" s="17" t="s">
        <v>64</v>
      </c>
      <c r="C1048" t="s">
        <v>369</v>
      </c>
      <c r="D1048" s="18" t="s">
        <v>66</v>
      </c>
      <c r="E1048" t="s">
        <v>335</v>
      </c>
      <c r="F1048" t="s">
        <v>336</v>
      </c>
      <c r="G1048">
        <v>-10</v>
      </c>
      <c r="H1048">
        <v>0</v>
      </c>
      <c r="I1048">
        <v>-20</v>
      </c>
      <c r="J1048">
        <v>0.45</v>
      </c>
      <c r="K1048">
        <v>-6.2499999999999902</v>
      </c>
      <c r="L1048">
        <v>0</v>
      </c>
      <c r="M1048">
        <v>-20</v>
      </c>
      <c r="N1048">
        <v>-6.2499999999999902</v>
      </c>
      <c r="O1048">
        <v>1.25</v>
      </c>
      <c r="P1048"/>
      <c r="Q1048">
        <v>0.2</v>
      </c>
      <c r="R1048">
        <v>0.28595269236561899</v>
      </c>
      <c r="S1048" s="1" t="str">
        <f>VLOOKUP($E1048,'[1]Product Naming'!$A$1:$P$58,2)</f>
        <v>Pentane</v>
      </c>
      <c r="T1048" s="1" t="str">
        <f>VLOOKUP($E1048,'[1]Product Naming'!$A$1:$P$58,3)</f>
        <v>Pentane</v>
      </c>
      <c r="U1048" s="1" t="str">
        <f>VLOOKUP($E1048,'[1]Product Naming'!$A$1:$P$58,4)</f>
        <v>E</v>
      </c>
      <c r="V1048" s="1" t="str">
        <f>VLOOKUP($E1048,'[1]Product Naming'!$A$1:$P$58,5)</f>
        <v>C5H12</v>
      </c>
      <c r="W1048" s="1">
        <f>VLOOKUP($E1048,'[1]Product Naming'!$A$1:$P$58,6)</f>
        <v>5</v>
      </c>
      <c r="X1048" s="1">
        <f>VLOOKUP($E1048,'[1]Product Naming'!$A$1:$P$58,7)</f>
        <v>12</v>
      </c>
      <c r="Y1048" s="1">
        <f>VLOOKUP($E1048,'[1]Product Naming'!$A$1:$P$58,8)</f>
        <v>0</v>
      </c>
      <c r="Z1048" s="1">
        <f>VLOOKUP($E1048,'[1]Product Naming'!$A$1:$P$58,9)</f>
        <v>0</v>
      </c>
      <c r="AA1048" s="1">
        <f>VLOOKUP($E1048,'[1]Product Naming'!$A$1:$P$58,10)</f>
        <v>0</v>
      </c>
      <c r="AB1048" s="27">
        <f>VLOOKUP($E1048,'[1]Product Naming'!$A$1:$P$58,11)</f>
        <v>6.4</v>
      </c>
      <c r="AC1048" s="3">
        <f>VLOOKUP($E1048,'[1]Product Naming'!$A$1:$P$58,12)</f>
        <v>72.147580000000005</v>
      </c>
      <c r="AD1048" s="1">
        <f>VLOOKUP($E1048,'[1]Product Naming'!$A$1:$P$58,13)</f>
        <v>36.1</v>
      </c>
      <c r="AE1048" s="1" t="str">
        <f>VLOOKUP($E1048,'[1]Product Naming'!$A$1:$P$58,14)</f>
        <v>Hydrocarbon (alkane)</v>
      </c>
      <c r="AF1048" s="1" t="str">
        <f>VLOOKUP($E1048,'[1]Product Naming'!$A$1:$P$58,15)</f>
        <v>Acetyl-CoA</v>
      </c>
      <c r="AG1048" s="28" t="str">
        <f>VLOOKUP($E1048,'[1]Product Naming'!$A$1:$P$58,16)</f>
        <v>Diffusion</v>
      </c>
      <c r="AH1048" s="3" t="str">
        <f>VLOOKUP($E1048,'[1]Product Naming'!$A$1:$Q$58,17)</f>
        <v>pent_c</v>
      </c>
    </row>
    <row r="1049" spans="1:34" hidden="1" x14ac:dyDescent="0.2">
      <c r="A1049" s="16" t="s">
        <v>63</v>
      </c>
      <c r="B1049" s="17" t="s">
        <v>64</v>
      </c>
      <c r="C1049" t="s">
        <v>72</v>
      </c>
      <c r="D1049" s="18" t="s">
        <v>66</v>
      </c>
      <c r="E1049" t="s">
        <v>194</v>
      </c>
      <c r="F1049" t="s">
        <v>195</v>
      </c>
      <c r="G1049">
        <v>-10</v>
      </c>
      <c r="H1049">
        <v>0</v>
      </c>
      <c r="I1049">
        <v>-10</v>
      </c>
      <c r="J1049">
        <v>0.45</v>
      </c>
      <c r="K1049">
        <v>-10</v>
      </c>
      <c r="L1049">
        <v>0</v>
      </c>
      <c r="M1049">
        <v>-10</v>
      </c>
      <c r="N1049">
        <v>0.93333333333333302</v>
      </c>
      <c r="O1049">
        <v>0.93333333333333401</v>
      </c>
      <c r="P1049"/>
      <c r="Q1049">
        <v>9.3333333333333393E-2</v>
      </c>
      <c r="R1049">
        <v>0.28591355599214202</v>
      </c>
      <c r="S1049" s="3" t="s">
        <v>194</v>
      </c>
      <c r="T1049" s="2" t="s">
        <v>196</v>
      </c>
      <c r="U1049" s="3" t="s">
        <v>35</v>
      </c>
      <c r="V1049" s="3" t="s">
        <v>197</v>
      </c>
      <c r="W1049" s="3">
        <v>6</v>
      </c>
      <c r="X1049" s="3">
        <v>15</v>
      </c>
      <c r="Y1049" s="3">
        <v>2</v>
      </c>
      <c r="Z1049" s="3">
        <v>2</v>
      </c>
      <c r="AA1049" s="3">
        <v>1</v>
      </c>
      <c r="AB1049" s="12">
        <f>(W1049*4+X1049*1+Y1049*-2+Z1049*-3)/W1049</f>
        <v>4.833333333333333</v>
      </c>
      <c r="AC1049" s="3">
        <f>W1049*12.0107+X1049*1.00784+Y1049*15.999+Z1049*14.0067</f>
        <v>147.19319999999999</v>
      </c>
      <c r="AD1049" s="12" t="s">
        <v>40</v>
      </c>
      <c r="AE1049" s="3" t="s">
        <v>119</v>
      </c>
      <c r="AF1049" s="3" t="s">
        <v>44</v>
      </c>
      <c r="AG1049" s="2" t="s">
        <v>80</v>
      </c>
      <c r="AH1049" s="2" t="s">
        <v>198</v>
      </c>
    </row>
    <row r="1050" spans="1:34" hidden="1" x14ac:dyDescent="0.2">
      <c r="A1050" s="8" t="s">
        <v>34</v>
      </c>
      <c r="B1050" s="9" t="s">
        <v>35</v>
      </c>
      <c r="C1050" s="1" t="s">
        <v>59</v>
      </c>
      <c r="D1050" s="13" t="s">
        <v>51</v>
      </c>
      <c r="E1050" s="1" t="s">
        <v>348</v>
      </c>
      <c r="F1050" s="1" t="s">
        <v>344</v>
      </c>
      <c r="G1050" s="1">
        <v>-10</v>
      </c>
      <c r="H1050" s="1">
        <v>-20</v>
      </c>
      <c r="I1050" s="1" t="s">
        <v>40</v>
      </c>
      <c r="J1050" s="1">
        <v>3.15</v>
      </c>
      <c r="K1050" s="1">
        <v>-10</v>
      </c>
      <c r="L1050" s="1">
        <v>-4.6166666666666698</v>
      </c>
      <c r="M1050" s="1" t="s">
        <v>40</v>
      </c>
      <c r="N1050" s="1">
        <v>3.77</v>
      </c>
      <c r="O1050" s="1">
        <v>2.0766666666666702</v>
      </c>
      <c r="Q1050" s="1">
        <v>0.207666666666667</v>
      </c>
      <c r="R1050" s="1">
        <v>0.28579030427416202</v>
      </c>
      <c r="S1050" s="20" t="s">
        <v>348</v>
      </c>
      <c r="T1050" s="3" t="s">
        <v>349</v>
      </c>
      <c r="U1050" s="3" t="s">
        <v>106</v>
      </c>
      <c r="V1050" s="3" t="s">
        <v>346</v>
      </c>
      <c r="W1050" s="3">
        <v>3</v>
      </c>
      <c r="X1050" s="3">
        <v>8</v>
      </c>
      <c r="Y1050" s="3">
        <v>0</v>
      </c>
      <c r="Z1050" s="3">
        <v>0</v>
      </c>
      <c r="AA1050" s="3">
        <v>0</v>
      </c>
      <c r="AB1050" s="12">
        <f>(W1050*4+X1050*1+Y1050*-2+Z1050*-3)/W1050</f>
        <v>6.666666666666667</v>
      </c>
      <c r="AC1050" s="3">
        <f>W1050*12.0107+X1050*1.00784+Y1050*15.999+Z1050*14.0067</f>
        <v>44.094819999999999</v>
      </c>
      <c r="AD1050" s="24">
        <v>-42</v>
      </c>
      <c r="AE1050" s="3" t="s">
        <v>231</v>
      </c>
      <c r="AF1050" s="3" t="s">
        <v>44</v>
      </c>
      <c r="AG1050" s="25" t="str">
        <f>IF(AD1050&gt;37,"Proton symporter", "Diffusion")</f>
        <v>Diffusion</v>
      </c>
      <c r="AH1050" s="3" t="s">
        <v>347</v>
      </c>
    </row>
    <row r="1051" spans="1:34" hidden="1" x14ac:dyDescent="0.2">
      <c r="A1051" s="8" t="s">
        <v>34</v>
      </c>
      <c r="B1051" s="9" t="s">
        <v>35</v>
      </c>
      <c r="C1051" s="1" t="s">
        <v>60</v>
      </c>
      <c r="D1051" s="13" t="s">
        <v>51</v>
      </c>
      <c r="E1051" s="1" t="s">
        <v>348</v>
      </c>
      <c r="F1051" s="1" t="s">
        <v>344</v>
      </c>
      <c r="G1051" s="1">
        <v>-10</v>
      </c>
      <c r="H1051" s="1">
        <v>-20</v>
      </c>
      <c r="I1051" s="1" t="s">
        <v>40</v>
      </c>
      <c r="J1051" s="1">
        <v>3.15</v>
      </c>
      <c r="K1051" s="1">
        <v>-10</v>
      </c>
      <c r="L1051" s="1">
        <v>-4.6166666666666698</v>
      </c>
      <c r="M1051" s="1" t="s">
        <v>40</v>
      </c>
      <c r="N1051" s="1">
        <v>3.7700000000000098</v>
      </c>
      <c r="O1051" s="1">
        <v>2.0766666666666702</v>
      </c>
      <c r="Q1051" s="1">
        <v>0.207666666666667</v>
      </c>
      <c r="R1051" s="1">
        <v>0.28579030427416202</v>
      </c>
      <c r="S1051" s="20" t="s">
        <v>348</v>
      </c>
      <c r="T1051" s="3" t="s">
        <v>349</v>
      </c>
      <c r="U1051" s="3" t="s">
        <v>106</v>
      </c>
      <c r="V1051" s="3" t="s">
        <v>346</v>
      </c>
      <c r="W1051" s="3">
        <v>3</v>
      </c>
      <c r="X1051" s="3">
        <v>8</v>
      </c>
      <c r="Y1051" s="3">
        <v>0</v>
      </c>
      <c r="Z1051" s="3">
        <v>0</v>
      </c>
      <c r="AA1051" s="3">
        <v>0</v>
      </c>
      <c r="AB1051" s="12">
        <f>(W1051*4+X1051*1+Y1051*-2+Z1051*-3)/W1051</f>
        <v>6.666666666666667</v>
      </c>
      <c r="AC1051" s="3">
        <f>W1051*12.0107+X1051*1.00784+Y1051*15.999+Z1051*14.0067</f>
        <v>44.094819999999999</v>
      </c>
      <c r="AD1051" s="24">
        <v>-42</v>
      </c>
      <c r="AE1051" s="3" t="s">
        <v>231</v>
      </c>
      <c r="AF1051" s="3" t="s">
        <v>44</v>
      </c>
      <c r="AG1051" s="25" t="str">
        <f>IF(AD1051&gt;37,"Proton symporter", "Diffusion")</f>
        <v>Diffusion</v>
      </c>
      <c r="AH1051" s="3" t="s">
        <v>347</v>
      </c>
    </row>
    <row r="1052" spans="1:34" hidden="1" x14ac:dyDescent="0.2">
      <c r="A1052" s="8" t="s">
        <v>34</v>
      </c>
      <c r="B1052" s="9" t="s">
        <v>35</v>
      </c>
      <c r="C1052" s="1" t="s">
        <v>54</v>
      </c>
      <c r="D1052" s="14" t="s">
        <v>55</v>
      </c>
      <c r="E1052" s="1" t="s">
        <v>339</v>
      </c>
      <c r="F1052" s="1" t="s">
        <v>340</v>
      </c>
      <c r="G1052" s="1">
        <v>-10</v>
      </c>
      <c r="H1052" s="1">
        <v>-20</v>
      </c>
      <c r="I1052" s="1" t="s">
        <v>40</v>
      </c>
      <c r="J1052" s="1">
        <v>3.15</v>
      </c>
      <c r="K1052" s="1">
        <v>-10</v>
      </c>
      <c r="L1052" s="1">
        <v>-2.45764272559853</v>
      </c>
      <c r="M1052" s="1" t="s">
        <v>40</v>
      </c>
      <c r="N1052" s="1">
        <v>24.589318600368401</v>
      </c>
      <c r="O1052" s="1">
        <v>8.85267034990793</v>
      </c>
      <c r="Q1052" s="1">
        <v>0.88526703499079296</v>
      </c>
      <c r="R1052" s="1">
        <v>0.28560716741473902</v>
      </c>
      <c r="S1052" s="11" t="s">
        <v>339</v>
      </c>
      <c r="T1052" s="2" t="s">
        <v>339</v>
      </c>
      <c r="U1052" s="3" t="s">
        <v>106</v>
      </c>
      <c r="V1052" s="2" t="s">
        <v>341</v>
      </c>
      <c r="W1052" s="2">
        <v>4</v>
      </c>
      <c r="X1052" s="2">
        <v>10</v>
      </c>
      <c r="Y1052" s="2">
        <v>0</v>
      </c>
      <c r="Z1052" s="2">
        <v>0</v>
      </c>
      <c r="AA1052" s="2">
        <v>0</v>
      </c>
      <c r="AB1052" s="12">
        <f>(W1052*4+X1052*1+Y1052*-2+Z1052*-3)/W1052</f>
        <v>6.5</v>
      </c>
      <c r="AC1052" s="3">
        <f>W1052*12.0107+X1052*1.00784+Y1052*15.999+Z1052*14.0067</f>
        <v>58.121200000000002</v>
      </c>
      <c r="AD1052" s="24">
        <v>-1</v>
      </c>
      <c r="AE1052" s="3" t="s">
        <v>321</v>
      </c>
      <c r="AF1052" s="2" t="s">
        <v>313</v>
      </c>
      <c r="AG1052" s="25" t="str">
        <f>IF(AD1052&gt;37,"Proton symporter", "Diffusion")</f>
        <v>Diffusion</v>
      </c>
      <c r="AH1052" s="3" t="s">
        <v>342</v>
      </c>
    </row>
    <row r="1053" spans="1:34" hidden="1" x14ac:dyDescent="0.2">
      <c r="A1053" s="16" t="s">
        <v>317</v>
      </c>
      <c r="B1053" s="9" t="s">
        <v>35</v>
      </c>
      <c r="C1053" t="s">
        <v>47</v>
      </c>
      <c r="D1053" s="10" t="s">
        <v>37</v>
      </c>
      <c r="E1053" t="s">
        <v>323</v>
      </c>
      <c r="F1053" t="s">
        <v>324</v>
      </c>
      <c r="G1053">
        <v>-10</v>
      </c>
      <c r="H1053">
        <v>-20</v>
      </c>
      <c r="I1053" s="1" t="s">
        <v>40</v>
      </c>
      <c r="J1053">
        <v>3.15</v>
      </c>
      <c r="K1053">
        <v>-10</v>
      </c>
      <c r="L1053">
        <v>-5.60408921933087</v>
      </c>
      <c r="M1053" s="1" t="s">
        <v>40</v>
      </c>
      <c r="N1053">
        <v>7.5866171003717602</v>
      </c>
      <c r="O1053">
        <v>1.5516728624535401</v>
      </c>
      <c r="P1053"/>
      <c r="Q1053">
        <v>0.155167286245354</v>
      </c>
      <c r="R1053">
        <v>0.28556916720009301</v>
      </c>
      <c r="S1053" s="11" t="s">
        <v>323</v>
      </c>
      <c r="T1053" s="2" t="s">
        <v>323</v>
      </c>
      <c r="U1053" s="3" t="s">
        <v>106</v>
      </c>
      <c r="V1053" s="2" t="s">
        <v>325</v>
      </c>
      <c r="W1053" s="2">
        <v>8</v>
      </c>
      <c r="X1053" s="2">
        <v>18</v>
      </c>
      <c r="Y1053" s="2">
        <v>0</v>
      </c>
      <c r="Z1053" s="2">
        <v>0</v>
      </c>
      <c r="AA1053" s="2">
        <v>0</v>
      </c>
      <c r="AB1053" s="12">
        <f>(W1053*4+X1053*1+Y1053*-2+Z1053*-3)/W1053</f>
        <v>6.25</v>
      </c>
      <c r="AC1053" s="3">
        <f>W1053*12.0107+X1053*1.00784+Y1053*15.999+Z1053*14.0067</f>
        <v>114.22672</v>
      </c>
      <c r="AD1053" s="12">
        <v>126</v>
      </c>
      <c r="AE1053" s="3" t="s">
        <v>321</v>
      </c>
      <c r="AF1053" s="2" t="s">
        <v>313</v>
      </c>
      <c r="AG1053" s="2" t="str">
        <f>IF(AD1053&gt;37,"Proton symporter", "Diffusion")</f>
        <v>Proton symporter</v>
      </c>
      <c r="AH1053" s="3" t="s">
        <v>326</v>
      </c>
    </row>
    <row r="1054" spans="1:34" hidden="1" x14ac:dyDescent="0.2">
      <c r="A1054" s="8" t="s">
        <v>368</v>
      </c>
      <c r="B1054" s="17" t="s">
        <v>64</v>
      </c>
      <c r="C1054" t="s">
        <v>369</v>
      </c>
      <c r="D1054" s="18" t="s">
        <v>66</v>
      </c>
      <c r="E1054" t="s">
        <v>331</v>
      </c>
      <c r="F1054" t="s">
        <v>332</v>
      </c>
      <c r="G1054">
        <v>-10</v>
      </c>
      <c r="H1054">
        <v>0</v>
      </c>
      <c r="I1054">
        <v>-20</v>
      </c>
      <c r="J1054">
        <v>0.45</v>
      </c>
      <c r="K1054">
        <v>-6.3157894736842097</v>
      </c>
      <c r="L1054">
        <v>0</v>
      </c>
      <c r="M1054">
        <v>-20</v>
      </c>
      <c r="N1054">
        <v>-6.3157894736842097</v>
      </c>
      <c r="O1054">
        <v>1.0526315789473599</v>
      </c>
      <c r="P1054"/>
      <c r="Q1054">
        <v>0.16666666666666599</v>
      </c>
      <c r="R1054">
        <v>0.28500072759984602</v>
      </c>
      <c r="S1054" s="1" t="str">
        <f>VLOOKUP($E1054,'[1]Product Naming'!$A$1:$P$58,2)</f>
        <v>Hexane</v>
      </c>
      <c r="T1054" s="1" t="str">
        <f>VLOOKUP($E1054,'[1]Product Naming'!$A$1:$P$58,3)</f>
        <v>Hexane</v>
      </c>
      <c r="U1054" s="1" t="str">
        <f>VLOOKUP($E1054,'[1]Product Naming'!$A$1:$P$58,4)</f>
        <v>E</v>
      </c>
      <c r="V1054" s="1" t="str">
        <f>VLOOKUP($E1054,'[1]Product Naming'!$A$1:$P$58,5)</f>
        <v>C6H14</v>
      </c>
      <c r="W1054" s="1">
        <f>VLOOKUP($E1054,'[1]Product Naming'!$A$1:$P$58,6)</f>
        <v>6</v>
      </c>
      <c r="X1054" s="1">
        <f>VLOOKUP($E1054,'[1]Product Naming'!$A$1:$P$58,7)</f>
        <v>14</v>
      </c>
      <c r="Y1054" s="1">
        <f>VLOOKUP($E1054,'[1]Product Naming'!$A$1:$P$58,8)</f>
        <v>0</v>
      </c>
      <c r="Z1054" s="1">
        <f>VLOOKUP($E1054,'[1]Product Naming'!$A$1:$P$58,9)</f>
        <v>0</v>
      </c>
      <c r="AA1054" s="1">
        <f>VLOOKUP($E1054,'[1]Product Naming'!$A$1:$P$58,10)</f>
        <v>0</v>
      </c>
      <c r="AB1054" s="27">
        <f>VLOOKUP($E1054,'[1]Product Naming'!$A$1:$P$58,11)</f>
        <v>6.333333333333333</v>
      </c>
      <c r="AC1054" s="3">
        <f>VLOOKUP($E1054,'[1]Product Naming'!$A$1:$P$58,12)</f>
        <v>86.173959999999994</v>
      </c>
      <c r="AD1054" s="1">
        <f>VLOOKUP($E1054,'[1]Product Naming'!$A$1:$P$58,13)</f>
        <v>69</v>
      </c>
      <c r="AE1054" s="1" t="str">
        <f>VLOOKUP($E1054,'[1]Product Naming'!$A$1:$P$58,14)</f>
        <v>Hydrocarbon (alkane)</v>
      </c>
      <c r="AF1054" s="1" t="str">
        <f>VLOOKUP($E1054,'[1]Product Naming'!$A$1:$P$58,15)</f>
        <v>Acetyl-CoA + Succinyl-CoA</v>
      </c>
      <c r="AG1054" s="28" t="str">
        <f>VLOOKUP($E1054,'[1]Product Naming'!$A$1:$P$58,16)</f>
        <v>Proton symporter</v>
      </c>
      <c r="AH1054" s="3" t="str">
        <f>VLOOKUP($E1054,'[1]Product Naming'!$A$1:$Q$58,17)</f>
        <v>hex_c</v>
      </c>
    </row>
    <row r="1055" spans="1:34" hidden="1" x14ac:dyDescent="0.2">
      <c r="A1055" s="16" t="s">
        <v>74</v>
      </c>
      <c r="B1055" s="9" t="s">
        <v>35</v>
      </c>
      <c r="C1055" t="s">
        <v>58</v>
      </c>
      <c r="D1055" s="10" t="s">
        <v>37</v>
      </c>
      <c r="E1055" t="s">
        <v>268</v>
      </c>
      <c r="F1055" t="s">
        <v>269</v>
      </c>
      <c r="G1055">
        <v>-10</v>
      </c>
      <c r="H1055">
        <v>-20</v>
      </c>
      <c r="I1055" s="1" t="s">
        <v>40</v>
      </c>
      <c r="J1055">
        <v>3.15</v>
      </c>
      <c r="K1055">
        <v>-10</v>
      </c>
      <c r="L1055">
        <v>-2.4320675105485199</v>
      </c>
      <c r="M1055" s="1" t="s">
        <v>40</v>
      </c>
      <c r="N1055">
        <v>7.4514767932489496</v>
      </c>
      <c r="O1055">
        <v>1.2548523206751101</v>
      </c>
      <c r="P1055"/>
      <c r="Q1055">
        <v>0.125485232067511</v>
      </c>
      <c r="R1055">
        <v>0.28467260621666601</v>
      </c>
      <c r="S1055" s="3" t="s">
        <v>268</v>
      </c>
      <c r="T1055" s="3" t="s">
        <v>268</v>
      </c>
      <c r="U1055" s="3" t="s">
        <v>106</v>
      </c>
      <c r="V1055" s="3" t="s">
        <v>270</v>
      </c>
      <c r="W1055" s="3">
        <v>10</v>
      </c>
      <c r="X1055" s="3">
        <v>16</v>
      </c>
      <c r="Y1055" s="3">
        <v>0</v>
      </c>
      <c r="Z1055" s="3">
        <v>0</v>
      </c>
      <c r="AA1055" s="3">
        <v>0</v>
      </c>
      <c r="AB1055" s="12">
        <f>(W1055*4+X1055*1+Y1055*-2+Z1055*-3)/W1055</f>
        <v>5.6</v>
      </c>
      <c r="AC1055" s="3">
        <f>W1055*12.0107+X1055*1.00784+Y1055*15.999+Z1055*14.0067</f>
        <v>136.23244</v>
      </c>
      <c r="AD1055" s="12">
        <v>176</v>
      </c>
      <c r="AE1055" s="3" t="s">
        <v>271</v>
      </c>
      <c r="AF1055" s="3" t="s">
        <v>79</v>
      </c>
      <c r="AG1055" s="2" t="str">
        <f>IF(AD1055&gt;37,"Proton symporter", "Diffusion")</f>
        <v>Proton symporter</v>
      </c>
      <c r="AH1055" s="3" t="s">
        <v>272</v>
      </c>
    </row>
    <row r="1056" spans="1:34" hidden="1" x14ac:dyDescent="0.2">
      <c r="A1056" s="8" t="s">
        <v>368</v>
      </c>
      <c r="B1056" s="17" t="s">
        <v>64</v>
      </c>
      <c r="C1056" t="s">
        <v>369</v>
      </c>
      <c r="D1056" s="18" t="s">
        <v>66</v>
      </c>
      <c r="E1056" t="s">
        <v>327</v>
      </c>
      <c r="F1056" t="s">
        <v>328</v>
      </c>
      <c r="G1056">
        <v>-10</v>
      </c>
      <c r="H1056">
        <v>0</v>
      </c>
      <c r="I1056">
        <v>-20</v>
      </c>
      <c r="J1056">
        <v>0.45</v>
      </c>
      <c r="K1056">
        <v>-6.3636363636363598</v>
      </c>
      <c r="L1056">
        <v>0</v>
      </c>
      <c r="M1056">
        <v>-20</v>
      </c>
      <c r="N1056">
        <v>-6.3636363636363598</v>
      </c>
      <c r="O1056">
        <v>0.90909090909090895</v>
      </c>
      <c r="P1056"/>
      <c r="Q1056">
        <v>0.14285714285714199</v>
      </c>
      <c r="R1056">
        <v>0.28431919687193102</v>
      </c>
      <c r="S1056" s="1" t="str">
        <f>VLOOKUP($E1056,'[1]Product Naming'!$A$1:$P$58,2)</f>
        <v>Heptane</v>
      </c>
      <c r="T1056" s="1" t="str">
        <f>VLOOKUP($E1056,'[1]Product Naming'!$A$1:$P$58,3)</f>
        <v>Heptane</v>
      </c>
      <c r="U1056" s="1" t="str">
        <f>VLOOKUP($E1056,'[1]Product Naming'!$A$1:$P$58,4)</f>
        <v>E</v>
      </c>
      <c r="V1056" s="1" t="str">
        <f>VLOOKUP($E1056,'[1]Product Naming'!$A$1:$P$58,5)</f>
        <v>C7H16</v>
      </c>
      <c r="W1056" s="1">
        <f>VLOOKUP($E1056,'[1]Product Naming'!$A$1:$P$58,6)</f>
        <v>7</v>
      </c>
      <c r="X1056" s="1">
        <f>VLOOKUP($E1056,'[1]Product Naming'!$A$1:$P$58,7)</f>
        <v>16</v>
      </c>
      <c r="Y1056" s="1">
        <f>VLOOKUP($E1056,'[1]Product Naming'!$A$1:$P$58,8)</f>
        <v>0</v>
      </c>
      <c r="Z1056" s="1">
        <f>VLOOKUP($E1056,'[1]Product Naming'!$A$1:$P$58,9)</f>
        <v>0</v>
      </c>
      <c r="AA1056" s="1">
        <f>VLOOKUP($E1056,'[1]Product Naming'!$A$1:$P$58,10)</f>
        <v>0</v>
      </c>
      <c r="AB1056" s="27">
        <f>VLOOKUP($E1056,'[1]Product Naming'!$A$1:$P$58,11)</f>
        <v>6.2857142857142856</v>
      </c>
      <c r="AC1056" s="3">
        <f>VLOOKUP($E1056,'[1]Product Naming'!$A$1:$P$58,12)</f>
        <v>100.20034</v>
      </c>
      <c r="AD1056" s="1">
        <f>VLOOKUP($E1056,'[1]Product Naming'!$A$1:$P$58,13)</f>
        <v>98</v>
      </c>
      <c r="AE1056" s="1" t="str">
        <f>VLOOKUP($E1056,'[1]Product Naming'!$A$1:$P$58,14)</f>
        <v>Hydrocarbon (alkane)</v>
      </c>
      <c r="AF1056" s="1" t="str">
        <f>VLOOKUP($E1056,'[1]Product Naming'!$A$1:$P$58,15)</f>
        <v>Acetyl-CoA</v>
      </c>
      <c r="AG1056" s="28" t="str">
        <f>VLOOKUP($E1056,'[1]Product Naming'!$A$1:$P$58,16)</f>
        <v>Proton symporter</v>
      </c>
      <c r="AH1056" s="3" t="str">
        <f>VLOOKUP($E1056,'[1]Product Naming'!$A$1:$Q$58,17)</f>
        <v>hept_c</v>
      </c>
    </row>
    <row r="1057" spans="1:34" hidden="1" x14ac:dyDescent="0.2">
      <c r="A1057" s="8" t="s">
        <v>34</v>
      </c>
      <c r="B1057" s="9" t="s">
        <v>35</v>
      </c>
      <c r="C1057" s="1" t="s">
        <v>58</v>
      </c>
      <c r="D1057" s="10" t="s">
        <v>37</v>
      </c>
      <c r="E1057" s="1" t="s">
        <v>254</v>
      </c>
      <c r="F1057" s="1" t="s">
        <v>255</v>
      </c>
      <c r="G1057" s="1">
        <v>-10</v>
      </c>
      <c r="H1057" s="1">
        <v>-20</v>
      </c>
      <c r="I1057" s="1" t="s">
        <v>40</v>
      </c>
      <c r="J1057" s="1">
        <v>3.15</v>
      </c>
      <c r="K1057" s="1">
        <v>-10</v>
      </c>
      <c r="L1057" s="1">
        <v>-2.4567415730337099</v>
      </c>
      <c r="M1057" s="1" t="s">
        <v>40</v>
      </c>
      <c r="N1057" s="1">
        <v>7.4691011235955198</v>
      </c>
      <c r="O1057" s="1">
        <v>0.83539325842696799</v>
      </c>
      <c r="Q1057" s="1">
        <v>8.3539325842696799E-2</v>
      </c>
      <c r="R1057" s="1">
        <v>0.28427278514051901</v>
      </c>
      <c r="S1057" s="11" t="s">
        <v>254</v>
      </c>
      <c r="T1057" s="2" t="s">
        <v>254</v>
      </c>
      <c r="U1057" s="3" t="s">
        <v>41</v>
      </c>
      <c r="V1057" s="2" t="s">
        <v>256</v>
      </c>
      <c r="W1057" s="2">
        <v>15</v>
      </c>
      <c r="X1057" s="2">
        <v>24</v>
      </c>
      <c r="Y1057" s="2">
        <v>0</v>
      </c>
      <c r="Z1057" s="2">
        <v>0</v>
      </c>
      <c r="AA1057" s="2">
        <v>0</v>
      </c>
      <c r="AB1057" s="12">
        <f>(W1057*4+X1057*1+Y1057*-2+Z1057*-3)/W1057+0.01</f>
        <v>5.6099999999999994</v>
      </c>
      <c r="AC1057" s="3">
        <f>W1057*12.0107+X1057*1.00784+Y1057*15.999+Z1057*14.0067</f>
        <v>204.34866000000002</v>
      </c>
      <c r="AD1057" s="12" t="s">
        <v>257</v>
      </c>
      <c r="AE1057" s="2" t="s">
        <v>231</v>
      </c>
      <c r="AF1057" s="2" t="s">
        <v>79</v>
      </c>
      <c r="AG1057" s="2" t="str">
        <f>IF(AD1057&gt;37,"Proton symporter", "Diffusion")</f>
        <v>Proton symporter</v>
      </c>
      <c r="AH1057" s="3" t="s">
        <v>258</v>
      </c>
    </row>
    <row r="1058" spans="1:34" hidden="1" x14ac:dyDescent="0.2">
      <c r="A1058" s="8" t="s">
        <v>368</v>
      </c>
      <c r="B1058" s="17" t="s">
        <v>64</v>
      </c>
      <c r="C1058" t="s">
        <v>369</v>
      </c>
      <c r="D1058" s="18" t="s">
        <v>66</v>
      </c>
      <c r="E1058" t="s">
        <v>323</v>
      </c>
      <c r="F1058" t="s">
        <v>324</v>
      </c>
      <c r="G1058">
        <v>-10</v>
      </c>
      <c r="H1058">
        <v>0</v>
      </c>
      <c r="I1058">
        <v>-20</v>
      </c>
      <c r="J1058">
        <v>0.45</v>
      </c>
      <c r="K1058">
        <v>-6.3999999999999897</v>
      </c>
      <c r="L1058">
        <v>0</v>
      </c>
      <c r="M1058">
        <v>-20</v>
      </c>
      <c r="N1058">
        <v>-6.3999999999999897</v>
      </c>
      <c r="O1058">
        <v>0.79999999999999905</v>
      </c>
      <c r="P1058"/>
      <c r="Q1058">
        <v>0.125</v>
      </c>
      <c r="R1058">
        <v>0.28380719538859001</v>
      </c>
      <c r="S1058" s="1" t="str">
        <f>VLOOKUP($E1058,'[1]Product Naming'!$A$1:$P$58,2)</f>
        <v>Octane</v>
      </c>
      <c r="T1058" s="1" t="str">
        <f>VLOOKUP($E1058,'[1]Product Naming'!$A$1:$P$58,3)</f>
        <v>Octane</v>
      </c>
      <c r="U1058" s="1" t="str">
        <f>VLOOKUP($E1058,'[1]Product Naming'!$A$1:$P$58,4)</f>
        <v>E</v>
      </c>
      <c r="V1058" s="1" t="str">
        <f>VLOOKUP($E1058,'[1]Product Naming'!$A$1:$P$58,5)</f>
        <v>C8H18</v>
      </c>
      <c r="W1058" s="1">
        <f>VLOOKUP($E1058,'[1]Product Naming'!$A$1:$P$58,6)</f>
        <v>8</v>
      </c>
      <c r="X1058" s="1">
        <f>VLOOKUP($E1058,'[1]Product Naming'!$A$1:$P$58,7)</f>
        <v>18</v>
      </c>
      <c r="Y1058" s="1">
        <f>VLOOKUP($E1058,'[1]Product Naming'!$A$1:$P$58,8)</f>
        <v>0</v>
      </c>
      <c r="Z1058" s="1">
        <f>VLOOKUP($E1058,'[1]Product Naming'!$A$1:$P$58,9)</f>
        <v>0</v>
      </c>
      <c r="AA1058" s="1">
        <f>VLOOKUP($E1058,'[1]Product Naming'!$A$1:$P$58,10)</f>
        <v>0</v>
      </c>
      <c r="AB1058" s="27">
        <f>VLOOKUP($E1058,'[1]Product Naming'!$A$1:$P$58,11)</f>
        <v>6.25</v>
      </c>
      <c r="AC1058" s="3">
        <f>VLOOKUP($E1058,'[1]Product Naming'!$A$1:$P$58,12)</f>
        <v>114.22672</v>
      </c>
      <c r="AD1058" s="1">
        <f>VLOOKUP($E1058,'[1]Product Naming'!$A$1:$P$58,13)</f>
        <v>126</v>
      </c>
      <c r="AE1058" s="1" t="str">
        <f>VLOOKUP($E1058,'[1]Product Naming'!$A$1:$P$58,14)</f>
        <v>Hydrocarbon (alkane)</v>
      </c>
      <c r="AF1058" s="1" t="str">
        <f>VLOOKUP($E1058,'[1]Product Naming'!$A$1:$P$58,15)</f>
        <v>Acetyl-CoA + Succinyl-CoA</v>
      </c>
      <c r="AG1058" s="28" t="str">
        <f>VLOOKUP($E1058,'[1]Product Naming'!$A$1:$P$58,16)</f>
        <v>Proton symporter</v>
      </c>
      <c r="AH1058" s="3" t="str">
        <f>VLOOKUP($E1058,'[1]Product Naming'!$A$1:$Q$58,17)</f>
        <v>octn_c</v>
      </c>
    </row>
    <row r="1059" spans="1:34" hidden="1" x14ac:dyDescent="0.2">
      <c r="A1059" s="8" t="s">
        <v>34</v>
      </c>
      <c r="B1059" s="9" t="s">
        <v>35</v>
      </c>
      <c r="C1059" s="1" t="s">
        <v>58</v>
      </c>
      <c r="D1059" s="10" t="s">
        <v>37</v>
      </c>
      <c r="E1059" s="1" t="s">
        <v>264</v>
      </c>
      <c r="F1059" s="1" t="s">
        <v>265</v>
      </c>
      <c r="G1059" s="1">
        <v>-10</v>
      </c>
      <c r="H1059" s="1">
        <v>-20</v>
      </c>
      <c r="I1059" s="1" t="s">
        <v>40</v>
      </c>
      <c r="J1059" s="1">
        <v>3.15</v>
      </c>
      <c r="K1059" s="1">
        <v>-10</v>
      </c>
      <c r="L1059" s="1">
        <v>-2.50588235294118</v>
      </c>
      <c r="M1059" s="1" t="s">
        <v>40</v>
      </c>
      <c r="N1059" s="1">
        <v>7.5042016806722698</v>
      </c>
      <c r="O1059" s="1">
        <v>2.4991596638655502</v>
      </c>
      <c r="Q1059" s="1">
        <v>0.249915966386555</v>
      </c>
      <c r="R1059" s="1">
        <v>0.283476502829201</v>
      </c>
      <c r="S1059" s="20" t="s">
        <v>264</v>
      </c>
      <c r="T1059" s="3" t="s">
        <v>264</v>
      </c>
      <c r="U1059" s="3" t="s">
        <v>106</v>
      </c>
      <c r="V1059" s="3" t="s">
        <v>266</v>
      </c>
      <c r="W1059" s="3">
        <v>5</v>
      </c>
      <c r="X1059" s="3">
        <v>8</v>
      </c>
      <c r="Y1059" s="3">
        <v>0</v>
      </c>
      <c r="Z1059" s="3">
        <v>0</v>
      </c>
      <c r="AA1059" s="3">
        <v>0</v>
      </c>
      <c r="AB1059" s="12">
        <f>(W1059*4+X1059*1+Y1059*-2+Z1059*-3)/W1059</f>
        <v>5.6</v>
      </c>
      <c r="AC1059" s="3">
        <f>W1059*12.0107+X1059*1.00784+Y1059*15.999+Z1059*14.0067</f>
        <v>68.116219999999998</v>
      </c>
      <c r="AD1059" s="24">
        <v>34.07</v>
      </c>
      <c r="AE1059" s="3" t="s">
        <v>231</v>
      </c>
      <c r="AF1059" s="3" t="s">
        <v>79</v>
      </c>
      <c r="AG1059" s="25" t="str">
        <f>IF(AD1059&gt;37,"Proton symporter", "Diffusion")</f>
        <v>Diffusion</v>
      </c>
      <c r="AH1059" s="3" t="s">
        <v>267</v>
      </c>
    </row>
    <row r="1060" spans="1:34" hidden="1" x14ac:dyDescent="0.2">
      <c r="A1060" s="8" t="s">
        <v>368</v>
      </c>
      <c r="B1060" s="17" t="s">
        <v>64</v>
      </c>
      <c r="C1060" t="s">
        <v>369</v>
      </c>
      <c r="D1060" s="18" t="s">
        <v>66</v>
      </c>
      <c r="E1060" t="s">
        <v>318</v>
      </c>
      <c r="F1060" t="s">
        <v>319</v>
      </c>
      <c r="G1060">
        <v>-10</v>
      </c>
      <c r="H1060">
        <v>0</v>
      </c>
      <c r="I1060">
        <v>-20</v>
      </c>
      <c r="J1060">
        <v>0.45</v>
      </c>
      <c r="K1060">
        <v>-6.4285714285714199</v>
      </c>
      <c r="L1060">
        <v>0</v>
      </c>
      <c r="M1060">
        <v>-20</v>
      </c>
      <c r="N1060">
        <v>-6.4285714285714199</v>
      </c>
      <c r="O1060">
        <v>0.71428571428571397</v>
      </c>
      <c r="P1060"/>
      <c r="Q1060">
        <v>0.11111111111111099</v>
      </c>
      <c r="R1060">
        <v>0.28340846514546802</v>
      </c>
      <c r="S1060" s="1" t="str">
        <f>VLOOKUP($E1060,'[1]Product Naming'!$A$1:$P$58,2)</f>
        <v>Nonane</v>
      </c>
      <c r="T1060" s="1" t="str">
        <f>VLOOKUP($E1060,'[1]Product Naming'!$A$1:$P$58,3)</f>
        <v>Nonane</v>
      </c>
      <c r="U1060" s="1" t="str">
        <f>VLOOKUP($E1060,'[1]Product Naming'!$A$1:$P$58,4)</f>
        <v>E</v>
      </c>
      <c r="V1060" s="1" t="str">
        <f>VLOOKUP($E1060,'[1]Product Naming'!$A$1:$P$58,5)</f>
        <v>C9H20</v>
      </c>
      <c r="W1060" s="1">
        <f>VLOOKUP($E1060,'[1]Product Naming'!$A$1:$P$58,6)</f>
        <v>9</v>
      </c>
      <c r="X1060" s="1">
        <f>VLOOKUP($E1060,'[1]Product Naming'!$A$1:$P$58,7)</f>
        <v>20</v>
      </c>
      <c r="Y1060" s="1">
        <f>VLOOKUP($E1060,'[1]Product Naming'!$A$1:$P$58,8)</f>
        <v>0</v>
      </c>
      <c r="Z1060" s="1">
        <f>VLOOKUP($E1060,'[1]Product Naming'!$A$1:$P$58,9)</f>
        <v>0</v>
      </c>
      <c r="AA1060" s="1">
        <f>VLOOKUP($E1060,'[1]Product Naming'!$A$1:$P$58,10)</f>
        <v>0</v>
      </c>
      <c r="AB1060" s="27">
        <f>VLOOKUP($E1060,'[1]Product Naming'!$A$1:$P$58,11)</f>
        <v>6.2222222222222223</v>
      </c>
      <c r="AC1060" s="3">
        <f>VLOOKUP($E1060,'[1]Product Naming'!$A$1:$P$58,12)</f>
        <v>128.25309999999999</v>
      </c>
      <c r="AD1060" s="1">
        <f>VLOOKUP($E1060,'[1]Product Naming'!$A$1:$P$58,13)</f>
        <v>151</v>
      </c>
      <c r="AE1060" s="1" t="str">
        <f>VLOOKUP($E1060,'[1]Product Naming'!$A$1:$P$58,14)</f>
        <v>Hydrocarbon (alkane)</v>
      </c>
      <c r="AF1060" s="1" t="str">
        <f>VLOOKUP($E1060,'[1]Product Naming'!$A$1:$P$58,15)</f>
        <v>Acetyl-CoA</v>
      </c>
      <c r="AG1060" s="28" t="str">
        <f>VLOOKUP($E1060,'[1]Product Naming'!$A$1:$P$58,16)</f>
        <v>Proton symporter</v>
      </c>
      <c r="AH1060" s="3" t="str">
        <f>VLOOKUP($E1060,'[1]Product Naming'!$A$1:$Q$58,17)</f>
        <v>nonan_c</v>
      </c>
    </row>
    <row r="1061" spans="1:34" hidden="1" x14ac:dyDescent="0.2">
      <c r="A1061" s="16" t="s">
        <v>317</v>
      </c>
      <c r="B1061" s="9" t="s">
        <v>35</v>
      </c>
      <c r="C1061" t="s">
        <v>47</v>
      </c>
      <c r="D1061" s="10" t="s">
        <v>37</v>
      </c>
      <c r="E1061" t="s">
        <v>331</v>
      </c>
      <c r="F1061" t="s">
        <v>332</v>
      </c>
      <c r="G1061">
        <v>-10</v>
      </c>
      <c r="H1061">
        <v>-20</v>
      </c>
      <c r="I1061" s="1" t="s">
        <v>40</v>
      </c>
      <c r="J1061">
        <v>3.15</v>
      </c>
      <c r="K1061">
        <v>-10</v>
      </c>
      <c r="L1061">
        <v>-5.6570731707317101</v>
      </c>
      <c r="M1061" s="1" t="s">
        <v>40</v>
      </c>
      <c r="N1061">
        <v>7.7834146341463502</v>
      </c>
      <c r="O1061">
        <v>2.0360975609756098</v>
      </c>
      <c r="P1061"/>
      <c r="Q1061">
        <v>0.20360975609756099</v>
      </c>
      <c r="R1061">
        <v>0.282694968252726</v>
      </c>
      <c r="S1061" s="11" t="s">
        <v>331</v>
      </c>
      <c r="T1061" s="2" t="s">
        <v>331</v>
      </c>
      <c r="U1061" s="3" t="s">
        <v>106</v>
      </c>
      <c r="V1061" s="3" t="s">
        <v>333</v>
      </c>
      <c r="W1061" s="2">
        <v>6</v>
      </c>
      <c r="X1061" s="2">
        <v>14</v>
      </c>
      <c r="Y1061" s="2">
        <v>0</v>
      </c>
      <c r="Z1061" s="2">
        <v>0</v>
      </c>
      <c r="AA1061" s="2">
        <v>0</v>
      </c>
      <c r="AB1061" s="12">
        <f>(W1061*4+X1061*1+Y1061*-2+Z1061*-3)/W1061</f>
        <v>6.333333333333333</v>
      </c>
      <c r="AC1061" s="3">
        <f>W1061*12.0107+X1061*1.00784+Y1061*15.999+Z1061*14.0067</f>
        <v>86.173959999999994</v>
      </c>
      <c r="AD1061" s="12">
        <v>69</v>
      </c>
      <c r="AE1061" s="3" t="s">
        <v>321</v>
      </c>
      <c r="AF1061" s="2" t="s">
        <v>313</v>
      </c>
      <c r="AG1061" s="2" t="str">
        <f>IF(AD1061&gt;37,"Proton symporter", "Diffusion")</f>
        <v>Proton symporter</v>
      </c>
      <c r="AH1061" s="3" t="s">
        <v>334</v>
      </c>
    </row>
    <row r="1062" spans="1:34" hidden="1" x14ac:dyDescent="0.2">
      <c r="A1062" s="8" t="s">
        <v>350</v>
      </c>
      <c r="B1062" s="17" t="s">
        <v>64</v>
      </c>
      <c r="C1062" t="s">
        <v>354</v>
      </c>
      <c r="D1062" s="13" t="s">
        <v>51</v>
      </c>
      <c r="E1062" t="s">
        <v>166</v>
      </c>
      <c r="F1062" t="s">
        <v>167</v>
      </c>
      <c r="G1062">
        <v>-10</v>
      </c>
      <c r="H1062">
        <v>0</v>
      </c>
      <c r="I1062">
        <v>0</v>
      </c>
      <c r="J1062">
        <v>0.45</v>
      </c>
      <c r="K1062">
        <v>-10</v>
      </c>
      <c r="L1062">
        <v>0</v>
      </c>
      <c r="M1062" s="26">
        <v>3.0933333333333199</v>
      </c>
      <c r="N1062">
        <v>0</v>
      </c>
      <c r="O1062" s="26">
        <v>1.0311111111111</v>
      </c>
      <c r="P1062"/>
      <c r="Q1062" s="26">
        <v>0.10311111111111</v>
      </c>
      <c r="R1062" s="26">
        <v>0.28253771489353202</v>
      </c>
      <c r="S1062" s="3" t="str">
        <f>VLOOKUP($E1062,'[1]Product Naming'!$A$1:$P$58,2)</f>
        <v>GammaButyrolactone</v>
      </c>
      <c r="T1062" s="3" t="str">
        <f>VLOOKUP($E1062,'[1]Product Naming'!$A$1:$P$58,3)</f>
        <v>Gamma butyrolactone</v>
      </c>
      <c r="U1062" s="3" t="str">
        <f>VLOOKUP($E1062,'[1]Product Naming'!$A$1:$P$58,4)</f>
        <v>A</v>
      </c>
      <c r="V1062" s="3" t="str">
        <f>VLOOKUP($E1062,'[1]Product Naming'!$A$1:$P$58,5)</f>
        <v>C4H6O2</v>
      </c>
      <c r="W1062" s="3">
        <f>VLOOKUP($E1062,'[1]Product Naming'!$A$1:$P$58,6)</f>
        <v>4</v>
      </c>
      <c r="X1062" s="3">
        <f>VLOOKUP($E1062,'[1]Product Naming'!$A$1:$P$58,7)</f>
        <v>6</v>
      </c>
      <c r="Y1062" s="3">
        <f>VLOOKUP($E1062,'[1]Product Naming'!$A$1:$P$58,8)</f>
        <v>2</v>
      </c>
      <c r="Z1062" s="3">
        <f>VLOOKUP($E1062,'[1]Product Naming'!$A$1:$P$58,9)</f>
        <v>0</v>
      </c>
      <c r="AA1062" s="3">
        <f>VLOOKUP($E1062,'[1]Product Naming'!$A$1:$P$58,10)</f>
        <v>0</v>
      </c>
      <c r="AB1062" s="3">
        <f>VLOOKUP($E1062,'[1]Product Naming'!$A$1:$P$58,11)</f>
        <v>4.5</v>
      </c>
      <c r="AC1062" s="3">
        <f>VLOOKUP($E1062,'[1]Product Naming'!$A$1:$P$58,12)</f>
        <v>86.08784</v>
      </c>
      <c r="AD1062" s="3">
        <f>VLOOKUP($E1062,'[1]Product Naming'!$A$1:$P$58,13)</f>
        <v>204</v>
      </c>
      <c r="AE1062" s="3" t="str">
        <f>VLOOKUP($E1062,'[1]Product Naming'!$A$1:$P$58,14)</f>
        <v>Lactone (cyclic ester)</v>
      </c>
      <c r="AF1062" s="3" t="str">
        <f>VLOOKUP($E1062,'[1]Product Naming'!$A$1:$P$58,15)</f>
        <v>aKG</v>
      </c>
      <c r="AG1062" s="3" t="str">
        <f>VLOOKUP($E1062,'[1]Product Naming'!$A$1:$P$58,16)</f>
        <v>Proton symporter</v>
      </c>
      <c r="AH1062" s="3" t="str">
        <f>VLOOKUP($E1062,'[1]Product Naming'!$A$1:$Q$58,17)</f>
        <v>gblt_c</v>
      </c>
    </row>
    <row r="1063" spans="1:34" hidden="1" x14ac:dyDescent="0.2">
      <c r="A1063" s="16" t="s">
        <v>63</v>
      </c>
      <c r="B1063" s="17" t="s">
        <v>64</v>
      </c>
      <c r="C1063" t="s">
        <v>69</v>
      </c>
      <c r="D1063" s="18" t="s">
        <v>66</v>
      </c>
      <c r="E1063" t="s">
        <v>166</v>
      </c>
      <c r="F1063" t="s">
        <v>167</v>
      </c>
      <c r="G1063">
        <v>-10</v>
      </c>
      <c r="H1063">
        <v>0</v>
      </c>
      <c r="I1063">
        <v>-20</v>
      </c>
      <c r="J1063">
        <v>0.45</v>
      </c>
      <c r="K1063">
        <v>-10</v>
      </c>
      <c r="L1063">
        <v>0</v>
      </c>
      <c r="M1063">
        <v>-16.906666666666698</v>
      </c>
      <c r="N1063">
        <v>0</v>
      </c>
      <c r="O1063">
        <v>1.03111111111111</v>
      </c>
      <c r="P1063"/>
      <c r="Q1063">
        <v>0.103111111111111</v>
      </c>
      <c r="R1063" s="19">
        <v>0.28246846163398098</v>
      </c>
      <c r="S1063" s="11" t="s">
        <v>166</v>
      </c>
      <c r="T1063" s="2" t="s">
        <v>168</v>
      </c>
      <c r="U1063" s="3" t="s">
        <v>41</v>
      </c>
      <c r="V1063" s="2" t="s">
        <v>169</v>
      </c>
      <c r="W1063" s="2">
        <v>4</v>
      </c>
      <c r="X1063" s="2">
        <v>6</v>
      </c>
      <c r="Y1063" s="2">
        <v>2</v>
      </c>
      <c r="Z1063" s="2">
        <v>0</v>
      </c>
      <c r="AA1063" s="2">
        <v>0</v>
      </c>
      <c r="AB1063" s="12">
        <f>(W1063*4+X1063*1+Y1063*-2+Z1063*-3)/W1063</f>
        <v>4.5</v>
      </c>
      <c r="AC1063" s="3">
        <f>W1063*12.0107+X1063*1.00784+Y1063*15.999+Z1063*14.0067</f>
        <v>86.08784</v>
      </c>
      <c r="AD1063" s="12">
        <v>204</v>
      </c>
      <c r="AE1063" s="2" t="s">
        <v>170</v>
      </c>
      <c r="AF1063" s="2" t="s">
        <v>120</v>
      </c>
      <c r="AG1063" s="2" t="str">
        <f>IF(AD1063&gt;37,"Proton symporter", "Diffusion")</f>
        <v>Proton symporter</v>
      </c>
      <c r="AH1063" s="3" t="s">
        <v>171</v>
      </c>
    </row>
    <row r="1064" spans="1:34" hidden="1" x14ac:dyDescent="0.2">
      <c r="A1064" s="8" t="s">
        <v>34</v>
      </c>
      <c r="B1064" s="9" t="s">
        <v>35</v>
      </c>
      <c r="C1064" s="1" t="s">
        <v>47</v>
      </c>
      <c r="D1064" s="10" t="s">
        <v>37</v>
      </c>
      <c r="E1064" s="1" t="s">
        <v>227</v>
      </c>
      <c r="F1064" s="1" t="s">
        <v>228</v>
      </c>
      <c r="G1064" s="1">
        <v>-10</v>
      </c>
      <c r="H1064" s="1">
        <v>-20</v>
      </c>
      <c r="I1064" s="1" t="s">
        <v>40</v>
      </c>
      <c r="J1064" s="1">
        <v>3.15</v>
      </c>
      <c r="K1064" s="1">
        <v>-10</v>
      </c>
      <c r="L1064" s="1">
        <v>-7.4313793103448296</v>
      </c>
      <c r="M1064" s="1" t="s">
        <v>40</v>
      </c>
      <c r="N1064" s="1">
        <v>6.9862068965517201</v>
      </c>
      <c r="O1064" s="1">
        <v>0.32534482758620697</v>
      </c>
      <c r="Q1064" s="1">
        <v>3.2534482758620697E-2</v>
      </c>
      <c r="R1064" s="1">
        <v>0.28141943880346998</v>
      </c>
      <c r="S1064" s="11" t="s">
        <v>227</v>
      </c>
      <c r="T1064" s="2" t="s">
        <v>229</v>
      </c>
      <c r="U1064" s="3" t="s">
        <v>41</v>
      </c>
      <c r="V1064" s="2" t="s">
        <v>230</v>
      </c>
      <c r="W1064" s="2">
        <v>40</v>
      </c>
      <c r="X1064" s="2">
        <v>56</v>
      </c>
      <c r="Y1064" s="2">
        <v>0</v>
      </c>
      <c r="Z1064" s="2">
        <v>0</v>
      </c>
      <c r="AA1064" s="2">
        <v>0</v>
      </c>
      <c r="AB1064" s="12">
        <f>(W1064*4+X1064*1+Y1064*-2+Z1064*-3)/W1064</f>
        <v>5.4</v>
      </c>
      <c r="AC1064" s="3">
        <f>W1064*12.0107+X1064*1.00784+Y1064*15.999+Z1064*14.0067</f>
        <v>536.86703999999997</v>
      </c>
      <c r="AD1064" s="12">
        <v>633</v>
      </c>
      <c r="AE1064" s="2" t="s">
        <v>231</v>
      </c>
      <c r="AF1064" s="2" t="s">
        <v>79</v>
      </c>
      <c r="AG1064" s="2" t="s">
        <v>232</v>
      </c>
      <c r="AH1064" s="3" t="s">
        <v>233</v>
      </c>
    </row>
    <row r="1065" spans="1:34" hidden="1" x14ac:dyDescent="0.2">
      <c r="A1065" s="16" t="s">
        <v>63</v>
      </c>
      <c r="B1065" s="17" t="s">
        <v>64</v>
      </c>
      <c r="C1065" t="s">
        <v>68</v>
      </c>
      <c r="D1065" s="18" t="s">
        <v>66</v>
      </c>
      <c r="E1065" t="s">
        <v>348</v>
      </c>
      <c r="F1065" t="s">
        <v>344</v>
      </c>
      <c r="G1065">
        <v>-10</v>
      </c>
      <c r="H1065">
        <v>0</v>
      </c>
      <c r="I1065">
        <v>-10</v>
      </c>
      <c r="J1065">
        <v>0.45</v>
      </c>
      <c r="K1065">
        <v>-10</v>
      </c>
      <c r="L1065">
        <v>0</v>
      </c>
      <c r="M1065">
        <v>-10</v>
      </c>
      <c r="N1065">
        <v>3.8315789473684201</v>
      </c>
      <c r="O1065">
        <v>1.91578947368421</v>
      </c>
      <c r="P1065"/>
      <c r="Q1065">
        <v>0.19157894736842099</v>
      </c>
      <c r="R1065">
        <v>0.28130666666666598</v>
      </c>
      <c r="S1065" s="20" t="s">
        <v>348</v>
      </c>
      <c r="T1065" s="3" t="s">
        <v>349</v>
      </c>
      <c r="U1065" s="3" t="s">
        <v>106</v>
      </c>
      <c r="V1065" s="3" t="s">
        <v>346</v>
      </c>
      <c r="W1065" s="3">
        <v>3</v>
      </c>
      <c r="X1065" s="3">
        <v>8</v>
      </c>
      <c r="Y1065" s="3">
        <v>0</v>
      </c>
      <c r="Z1065" s="3">
        <v>0</v>
      </c>
      <c r="AA1065" s="3">
        <v>0</v>
      </c>
      <c r="AB1065" s="12">
        <f>(W1065*4+X1065*1+Y1065*-2+Z1065*-3)/W1065</f>
        <v>6.666666666666667</v>
      </c>
      <c r="AC1065" s="3">
        <f>W1065*12.0107+X1065*1.00784+Y1065*15.999+Z1065*14.0067</f>
        <v>44.094819999999999</v>
      </c>
      <c r="AD1065" s="24">
        <v>-42</v>
      </c>
      <c r="AE1065" s="3" t="s">
        <v>231</v>
      </c>
      <c r="AF1065" s="3" t="s">
        <v>44</v>
      </c>
      <c r="AG1065" s="25" t="str">
        <f>IF(AD1065&gt;37,"Proton symporter", "Diffusion")</f>
        <v>Diffusion</v>
      </c>
      <c r="AH1065" s="3" t="s">
        <v>347</v>
      </c>
    </row>
    <row r="1066" spans="1:34" hidden="1" x14ac:dyDescent="0.2">
      <c r="A1066" s="8" t="s">
        <v>34</v>
      </c>
      <c r="B1066" s="9" t="s">
        <v>35</v>
      </c>
      <c r="C1066" s="1" t="s">
        <v>62</v>
      </c>
      <c r="D1066" s="15" t="s">
        <v>55</v>
      </c>
      <c r="E1066" s="1" t="s">
        <v>339</v>
      </c>
      <c r="F1066" s="1" t="s">
        <v>340</v>
      </c>
      <c r="G1066" s="1">
        <v>-10</v>
      </c>
      <c r="H1066" s="1">
        <v>-20</v>
      </c>
      <c r="I1066" s="1" t="s">
        <v>40</v>
      </c>
      <c r="J1066" s="1">
        <v>3.15</v>
      </c>
      <c r="K1066" s="1">
        <v>-10</v>
      </c>
      <c r="L1066" s="1">
        <v>-2.7747663551401902</v>
      </c>
      <c r="M1066" s="1" t="s">
        <v>40</v>
      </c>
      <c r="N1066" s="1">
        <v>20.938317757009401</v>
      </c>
      <c r="O1066" s="1">
        <v>7.2654205607476703</v>
      </c>
      <c r="Q1066" s="1">
        <v>0.72654205607476696</v>
      </c>
      <c r="R1066" s="1">
        <v>0.2812728711752</v>
      </c>
      <c r="S1066" s="11" t="s">
        <v>339</v>
      </c>
      <c r="T1066" s="2" t="s">
        <v>339</v>
      </c>
      <c r="U1066" s="3" t="s">
        <v>106</v>
      </c>
      <c r="V1066" s="2" t="s">
        <v>341</v>
      </c>
      <c r="W1066" s="2">
        <v>4</v>
      </c>
      <c r="X1066" s="2">
        <v>10</v>
      </c>
      <c r="Y1066" s="2">
        <v>0</v>
      </c>
      <c r="Z1066" s="2">
        <v>0</v>
      </c>
      <c r="AA1066" s="2">
        <v>0</v>
      </c>
      <c r="AB1066" s="12">
        <f>(W1066*4+X1066*1+Y1066*-2+Z1066*-3)/W1066</f>
        <v>6.5</v>
      </c>
      <c r="AC1066" s="3">
        <f>W1066*12.0107+X1066*1.00784+Y1066*15.999+Z1066*14.0067</f>
        <v>58.121200000000002</v>
      </c>
      <c r="AD1066" s="24">
        <v>-1</v>
      </c>
      <c r="AE1066" s="3" t="s">
        <v>321</v>
      </c>
      <c r="AF1066" s="2" t="s">
        <v>313</v>
      </c>
      <c r="AG1066" s="25" t="str">
        <f>IF(AD1066&gt;37,"Proton symporter", "Diffusion")</f>
        <v>Diffusion</v>
      </c>
      <c r="AH1066" s="3" t="s">
        <v>342</v>
      </c>
    </row>
    <row r="1067" spans="1:34" hidden="1" x14ac:dyDescent="0.2">
      <c r="A1067" s="16" t="s">
        <v>63</v>
      </c>
      <c r="B1067" s="17" t="s">
        <v>64</v>
      </c>
      <c r="C1067" t="s">
        <v>71</v>
      </c>
      <c r="D1067" s="18" t="s">
        <v>66</v>
      </c>
      <c r="E1067" t="s">
        <v>205</v>
      </c>
      <c r="F1067" t="s">
        <v>206</v>
      </c>
      <c r="G1067">
        <v>-10</v>
      </c>
      <c r="H1067">
        <v>0</v>
      </c>
      <c r="I1067">
        <v>-5</v>
      </c>
      <c r="J1067">
        <v>0.45</v>
      </c>
      <c r="K1067">
        <v>-10</v>
      </c>
      <c r="L1067">
        <v>0</v>
      </c>
      <c r="M1067">
        <v>-5</v>
      </c>
      <c r="N1067">
        <v>4</v>
      </c>
      <c r="O1067">
        <v>1.5</v>
      </c>
      <c r="P1067"/>
      <c r="Q1067">
        <v>0.15</v>
      </c>
      <c r="R1067">
        <v>0.28094473592462499</v>
      </c>
      <c r="S1067" s="20" t="s">
        <v>205</v>
      </c>
      <c r="T1067" s="3" t="s">
        <v>207</v>
      </c>
      <c r="U1067" s="3" t="s">
        <v>106</v>
      </c>
      <c r="V1067" s="3" t="s">
        <v>208</v>
      </c>
      <c r="W1067" s="3">
        <v>4</v>
      </c>
      <c r="X1067" s="3">
        <v>8</v>
      </c>
      <c r="Y1067" s="3">
        <v>2</v>
      </c>
      <c r="Z1067" s="3">
        <v>0</v>
      </c>
      <c r="AA1067" s="3">
        <v>0</v>
      </c>
      <c r="AB1067" s="12">
        <f>(W1067*4+X1067*1+Y1067*-2+Z1067*-3)/W1067</f>
        <v>5</v>
      </c>
      <c r="AC1067" s="3">
        <f>W1067*12.0107+X1067*1.00784+Y1067*15.999+Z1067*14.0067</f>
        <v>88.103520000000003</v>
      </c>
      <c r="AD1067" s="12">
        <v>77.099999999999994</v>
      </c>
      <c r="AE1067" s="3" t="s">
        <v>209</v>
      </c>
      <c r="AF1067" s="3" t="s">
        <v>79</v>
      </c>
      <c r="AG1067" s="2" t="str">
        <f>IF(AD1067&gt;37,"Proton symporter", "Diffusion")</f>
        <v>Proton symporter</v>
      </c>
      <c r="AH1067" s="3" t="s">
        <v>210</v>
      </c>
    </row>
    <row r="1068" spans="1:34" hidden="1" x14ac:dyDescent="0.2">
      <c r="A1068" s="16" t="s">
        <v>317</v>
      </c>
      <c r="B1068" s="9" t="s">
        <v>35</v>
      </c>
      <c r="C1068" t="s">
        <v>47</v>
      </c>
      <c r="D1068" s="10" t="s">
        <v>37</v>
      </c>
      <c r="E1068" t="s">
        <v>318</v>
      </c>
      <c r="F1068" t="s">
        <v>319</v>
      </c>
      <c r="G1068">
        <v>-10</v>
      </c>
      <c r="H1068">
        <v>-20</v>
      </c>
      <c r="I1068" s="1" t="s">
        <v>40</v>
      </c>
      <c r="J1068">
        <v>3.15</v>
      </c>
      <c r="K1068">
        <v>-10</v>
      </c>
      <c r="L1068">
        <v>-6.0044444444444496</v>
      </c>
      <c r="M1068" s="1" t="s">
        <v>40</v>
      </c>
      <c r="N1068">
        <v>7.78857142857143</v>
      </c>
      <c r="O1068">
        <v>1.3568253968253901</v>
      </c>
      <c r="P1068"/>
      <c r="Q1068">
        <v>0.13568253968253899</v>
      </c>
      <c r="R1068">
        <v>0.28037241293451298</v>
      </c>
      <c r="S1068" s="20" t="s">
        <v>318</v>
      </c>
      <c r="T1068" s="3" t="s">
        <v>318</v>
      </c>
      <c r="U1068" s="3" t="s">
        <v>106</v>
      </c>
      <c r="V1068" s="3" t="s">
        <v>320</v>
      </c>
      <c r="W1068" s="3">
        <v>9</v>
      </c>
      <c r="X1068" s="3">
        <v>20</v>
      </c>
      <c r="Y1068" s="3">
        <v>0</v>
      </c>
      <c r="Z1068" s="3">
        <v>0</v>
      </c>
      <c r="AA1068" s="3">
        <v>0</v>
      </c>
      <c r="AB1068" s="12">
        <f>(W1068*4+X1068*1+Y1068*-2+Z1068*-3)/W1068</f>
        <v>6.2222222222222223</v>
      </c>
      <c r="AC1068" s="3">
        <f>W1068*12.0107+X1068*1.00784+Y1068*15.999+Z1068*14.0067</f>
        <v>128.25309999999999</v>
      </c>
      <c r="AD1068" s="12">
        <v>151</v>
      </c>
      <c r="AE1068" s="3" t="s">
        <v>321</v>
      </c>
      <c r="AF1068" s="2" t="s">
        <v>79</v>
      </c>
      <c r="AG1068" s="2" t="str">
        <f>IF(AD1068&gt;37,"Proton symporter", "Diffusion")</f>
        <v>Proton symporter</v>
      </c>
      <c r="AH1068" s="3" t="s">
        <v>322</v>
      </c>
    </row>
    <row r="1069" spans="1:34" hidden="1" x14ac:dyDescent="0.2">
      <c r="A1069" s="8" t="s">
        <v>350</v>
      </c>
      <c r="B1069" s="17" t="s">
        <v>64</v>
      </c>
      <c r="C1069" t="s">
        <v>352</v>
      </c>
      <c r="D1069" s="13" t="s">
        <v>51</v>
      </c>
      <c r="E1069" t="s">
        <v>348</v>
      </c>
      <c r="F1069" t="s">
        <v>344</v>
      </c>
      <c r="G1069">
        <v>-10</v>
      </c>
      <c r="H1069">
        <v>0</v>
      </c>
      <c r="I1069">
        <v>0</v>
      </c>
      <c r="J1069">
        <v>0.45</v>
      </c>
      <c r="K1069">
        <v>-10</v>
      </c>
      <c r="L1069">
        <v>0</v>
      </c>
      <c r="M1069">
        <v>0</v>
      </c>
      <c r="N1069">
        <v>0</v>
      </c>
      <c r="O1069" s="26">
        <v>2.0258064516129002</v>
      </c>
      <c r="P1069"/>
      <c r="Q1069" s="26">
        <v>0.20258064516129001</v>
      </c>
      <c r="R1069" s="26">
        <v>0.27879093525217202</v>
      </c>
      <c r="S1069" s="3" t="s">
        <v>348</v>
      </c>
      <c r="T1069" s="3" t="str">
        <f>VLOOKUP($E1069,'[1]Product Naming'!$A$1:$P$58,3)</f>
        <v>Propane (PW2)</v>
      </c>
      <c r="U1069" s="3" t="str">
        <f>VLOOKUP($E1069,'[1]Product Naming'!$A$1:$P$58,4)</f>
        <v>E</v>
      </c>
      <c r="V1069" s="3" t="str">
        <f>VLOOKUP($E1069,'[1]Product Naming'!$A$1:$P$58,5)</f>
        <v>C3H8</v>
      </c>
      <c r="W1069" s="3">
        <f>VLOOKUP($E1069,'[1]Product Naming'!$A$1:$P$58,6)</f>
        <v>3</v>
      </c>
      <c r="X1069" s="3">
        <f>VLOOKUP($E1069,'[1]Product Naming'!$A$1:$P$58,7)</f>
        <v>8</v>
      </c>
      <c r="Y1069" s="3">
        <f>VLOOKUP($E1069,'[1]Product Naming'!$A$1:$P$58,8)</f>
        <v>0</v>
      </c>
      <c r="Z1069" s="3">
        <f>VLOOKUP($E1069,'[1]Product Naming'!$A$1:$P$58,9)</f>
        <v>0</v>
      </c>
      <c r="AA1069" s="3">
        <f>VLOOKUP($E1069,'[1]Product Naming'!$A$1:$P$58,10)</f>
        <v>0</v>
      </c>
      <c r="AB1069" s="3">
        <f>VLOOKUP($E1069,'[1]Product Naming'!$A$1:$P$58,11)</f>
        <v>6.666666666666667</v>
      </c>
      <c r="AC1069" s="3">
        <f>VLOOKUP($E1069,'[1]Product Naming'!$A$1:$P$58,12)</f>
        <v>44.094819999999999</v>
      </c>
      <c r="AD1069" s="3">
        <f>VLOOKUP($E1069,'[1]Product Naming'!$A$1:$P$58,13)</f>
        <v>-42</v>
      </c>
      <c r="AE1069" s="3" t="str">
        <f>VLOOKUP($E1069,'[1]Product Naming'!$A$1:$P$58,14)</f>
        <v>Hydrocarbon</v>
      </c>
      <c r="AF1069" s="3" t="str">
        <f>VLOOKUP($E1069,'[1]Product Naming'!$A$1:$P$58,15)</f>
        <v>Oxaloacetate</v>
      </c>
      <c r="AG1069" s="3" t="str">
        <f>VLOOKUP($E1069,'[1]Product Naming'!$A$1:$P$58,16)</f>
        <v>Diffusion</v>
      </c>
      <c r="AH1069" s="3" t="str">
        <f>VLOOKUP($E1069,'[1]Product Naming'!$A$1:$Q$58,17)</f>
        <v>prop_c</v>
      </c>
    </row>
    <row r="1070" spans="1:34" hidden="1" x14ac:dyDescent="0.2">
      <c r="A1070" s="8" t="s">
        <v>34</v>
      </c>
      <c r="B1070" s="9" t="s">
        <v>35</v>
      </c>
      <c r="C1070" s="1" t="s">
        <v>46</v>
      </c>
      <c r="D1070" s="10" t="s">
        <v>37</v>
      </c>
      <c r="E1070" s="1" t="s">
        <v>295</v>
      </c>
      <c r="F1070" s="1" t="s">
        <v>296</v>
      </c>
      <c r="G1070" s="1">
        <v>-10</v>
      </c>
      <c r="H1070" s="1">
        <v>-20</v>
      </c>
      <c r="I1070" s="1" t="s">
        <v>40</v>
      </c>
      <c r="J1070" s="1">
        <v>3.15</v>
      </c>
      <c r="K1070" s="1">
        <v>-10</v>
      </c>
      <c r="L1070" s="1">
        <v>-5.5212500000000002</v>
      </c>
      <c r="M1070" s="1" t="s">
        <v>40</v>
      </c>
      <c r="N1070" s="1">
        <v>10.3475</v>
      </c>
      <c r="O1070" s="1">
        <v>1.6087499999999999</v>
      </c>
      <c r="Q1070" s="1">
        <v>0.16087499999999999</v>
      </c>
      <c r="R1070" s="1">
        <v>0.27839197214500999</v>
      </c>
      <c r="S1070" s="11" t="s">
        <v>295</v>
      </c>
      <c r="T1070" s="2" t="s">
        <v>297</v>
      </c>
      <c r="U1070" s="3" t="s">
        <v>41</v>
      </c>
      <c r="V1070" s="2" t="s">
        <v>298</v>
      </c>
      <c r="W1070" s="2">
        <v>6</v>
      </c>
      <c r="X1070" s="2">
        <v>14</v>
      </c>
      <c r="Y1070" s="2">
        <v>1</v>
      </c>
      <c r="Z1070" s="2">
        <v>0</v>
      </c>
      <c r="AA1070" s="2">
        <v>0</v>
      </c>
      <c r="AB1070" s="12">
        <f>(W1070*4+X1070*1+Y1070*-2+Z1070*-3)/W1070</f>
        <v>6</v>
      </c>
      <c r="AC1070" s="3">
        <f>W1070*12.0107+X1070*1.00784+Y1070*15.999+Z1070*14.0067</f>
        <v>102.17295999999999</v>
      </c>
      <c r="AD1070" s="12">
        <v>153</v>
      </c>
      <c r="AE1070" s="2" t="s">
        <v>262</v>
      </c>
      <c r="AF1070" s="2" t="s">
        <v>44</v>
      </c>
      <c r="AG1070" s="2" t="str">
        <f>IF(AD1070&gt;37,"Proton symporter", "Diffusion")</f>
        <v>Proton symporter</v>
      </c>
      <c r="AH1070" s="3" t="s">
        <v>299</v>
      </c>
    </row>
    <row r="1071" spans="1:34" hidden="1" x14ac:dyDescent="0.2">
      <c r="A1071" s="16" t="s">
        <v>63</v>
      </c>
      <c r="B1071" s="17" t="s">
        <v>64</v>
      </c>
      <c r="C1071" t="s">
        <v>72</v>
      </c>
      <c r="D1071" s="18" t="s">
        <v>66</v>
      </c>
      <c r="E1071" t="s">
        <v>307</v>
      </c>
      <c r="F1071" t="s">
        <v>308</v>
      </c>
      <c r="G1071">
        <v>-10</v>
      </c>
      <c r="H1071">
        <v>0</v>
      </c>
      <c r="I1071">
        <v>-10</v>
      </c>
      <c r="J1071">
        <v>0.45</v>
      </c>
      <c r="K1071">
        <v>-10</v>
      </c>
      <c r="L1071">
        <v>0</v>
      </c>
      <c r="M1071">
        <v>-10</v>
      </c>
      <c r="N1071">
        <v>3.3333333333333299</v>
      </c>
      <c r="O1071">
        <v>2.2222222222222201</v>
      </c>
      <c r="P1071"/>
      <c r="Q1071">
        <v>0.22222222222222199</v>
      </c>
      <c r="R1071">
        <v>0.27792494052442102</v>
      </c>
      <c r="S1071" s="11" t="s">
        <v>307</v>
      </c>
      <c r="T1071" s="2" t="s">
        <v>307</v>
      </c>
      <c r="U1071" s="3" t="s">
        <v>41</v>
      </c>
      <c r="V1071" s="2" t="s">
        <v>283</v>
      </c>
      <c r="W1071" s="2">
        <v>3</v>
      </c>
      <c r="X1071" s="2">
        <v>8</v>
      </c>
      <c r="Y1071" s="2">
        <v>1</v>
      </c>
      <c r="Z1071" s="2">
        <v>0</v>
      </c>
      <c r="AA1071" s="2">
        <v>0</v>
      </c>
      <c r="AB1071" s="12">
        <f>(W1071*4+X1071*1+Y1071*-2+Z1071*-3)/W1071</f>
        <v>6</v>
      </c>
      <c r="AC1071" s="3">
        <f>W1071*12.0107+X1071*1.00784+Y1071*15.999+Z1071*14.0067</f>
        <v>60.093820000000001</v>
      </c>
      <c r="AD1071" s="12">
        <v>82.5</v>
      </c>
      <c r="AE1071" s="2" t="s">
        <v>262</v>
      </c>
      <c r="AF1071" s="2" t="s">
        <v>79</v>
      </c>
      <c r="AG1071" s="2" t="str">
        <f>IF(AD1071&gt;37,"Proton symporter", "Diffusion")</f>
        <v>Proton symporter</v>
      </c>
      <c r="AH1071" s="3" t="s">
        <v>309</v>
      </c>
    </row>
    <row r="1072" spans="1:34" hidden="1" x14ac:dyDescent="0.2">
      <c r="A1072" s="8" t="s">
        <v>34</v>
      </c>
      <c r="B1072" s="9" t="s">
        <v>35</v>
      </c>
      <c r="C1072" s="1" t="s">
        <v>54</v>
      </c>
      <c r="D1072" s="14" t="s">
        <v>55</v>
      </c>
      <c r="E1072" s="1" t="s">
        <v>343</v>
      </c>
      <c r="F1072" s="1" t="s">
        <v>344</v>
      </c>
      <c r="G1072" s="1">
        <v>-10</v>
      </c>
      <c r="H1072" s="1">
        <v>-20</v>
      </c>
      <c r="I1072" s="1" t="s">
        <v>40</v>
      </c>
      <c r="J1072" s="1">
        <v>3.15</v>
      </c>
      <c r="K1072" s="1">
        <v>-10</v>
      </c>
      <c r="L1072" s="1">
        <v>-3.2355371900826499</v>
      </c>
      <c r="M1072" s="1" t="s">
        <v>40</v>
      </c>
      <c r="N1072" s="1">
        <v>25.9413223140496</v>
      </c>
      <c r="O1072" s="1">
        <v>11.3528925619835</v>
      </c>
      <c r="Q1072" s="1">
        <v>1.1352892561983501</v>
      </c>
      <c r="R1072" s="1">
        <v>0.27787811178409699</v>
      </c>
      <c r="S1072" s="20" t="s">
        <v>343</v>
      </c>
      <c r="T1072" s="3" t="s">
        <v>345</v>
      </c>
      <c r="U1072" s="3" t="s">
        <v>106</v>
      </c>
      <c r="V1072" s="3" t="s">
        <v>346</v>
      </c>
      <c r="W1072" s="3">
        <v>3</v>
      </c>
      <c r="X1072" s="3">
        <v>8</v>
      </c>
      <c r="Y1072" s="3">
        <v>0</v>
      </c>
      <c r="Z1072" s="3">
        <v>0</v>
      </c>
      <c r="AA1072" s="3">
        <v>0</v>
      </c>
      <c r="AB1072" s="12">
        <f>(W1072*4+X1072*1+Y1072*-2+Z1072*-3)/W1072</f>
        <v>6.666666666666667</v>
      </c>
      <c r="AC1072" s="3">
        <f>W1072*12.0107+X1072*1.00784+Y1072*15.999+Z1072*14.0067</f>
        <v>44.094819999999999</v>
      </c>
      <c r="AD1072" s="24">
        <v>-42</v>
      </c>
      <c r="AE1072" s="3" t="s">
        <v>231</v>
      </c>
      <c r="AF1072" s="2" t="s">
        <v>79</v>
      </c>
      <c r="AG1072" s="25" t="str">
        <f>IF(AD1072&gt;37,"Proton symporter", "Diffusion")</f>
        <v>Diffusion</v>
      </c>
      <c r="AH1072" s="3" t="s">
        <v>347</v>
      </c>
    </row>
    <row r="1073" spans="1:34" hidden="1" x14ac:dyDescent="0.2">
      <c r="A1073" s="16" t="s">
        <v>63</v>
      </c>
      <c r="B1073" s="17" t="s">
        <v>64</v>
      </c>
      <c r="C1073" t="s">
        <v>71</v>
      </c>
      <c r="D1073" s="18" t="s">
        <v>66</v>
      </c>
      <c r="E1073" t="s">
        <v>182</v>
      </c>
      <c r="F1073" t="s">
        <v>183</v>
      </c>
      <c r="G1073">
        <v>-10</v>
      </c>
      <c r="H1073">
        <v>0</v>
      </c>
      <c r="I1073">
        <v>-5</v>
      </c>
      <c r="J1073">
        <v>0.45</v>
      </c>
      <c r="K1073">
        <v>-10</v>
      </c>
      <c r="L1073">
        <v>0</v>
      </c>
      <c r="M1073">
        <v>-5</v>
      </c>
      <c r="N1073">
        <v>4</v>
      </c>
      <c r="O1073">
        <v>1.5</v>
      </c>
      <c r="P1073"/>
      <c r="Q1073">
        <v>0.15</v>
      </c>
      <c r="R1073">
        <v>0.27773093308616598</v>
      </c>
      <c r="S1073" s="11" t="s">
        <v>182</v>
      </c>
      <c r="T1073" s="2" t="s">
        <v>182</v>
      </c>
      <c r="U1073" s="3" t="s">
        <v>41</v>
      </c>
      <c r="V1073" s="2" t="s">
        <v>184</v>
      </c>
      <c r="W1073" s="2">
        <v>4</v>
      </c>
      <c r="X1073" s="2">
        <v>7</v>
      </c>
      <c r="Y1073" s="2">
        <v>2</v>
      </c>
      <c r="Z1073" s="2">
        <v>0</v>
      </c>
      <c r="AA1073" s="2">
        <v>0</v>
      </c>
      <c r="AB1073" s="12">
        <f>(W1073*4+X1073*1+Y1073*-2+Z1073*-3)/W1073</f>
        <v>4.75</v>
      </c>
      <c r="AC1073" s="3">
        <f>W1073*12.0107+X1073*1.00784+Y1073*15.999+Z1073*14.0067</f>
        <v>87.095680000000002</v>
      </c>
      <c r="AD1073" s="12">
        <v>163.5</v>
      </c>
      <c r="AE1073" s="2" t="s">
        <v>131</v>
      </c>
      <c r="AF1073" s="2" t="s">
        <v>79</v>
      </c>
      <c r="AG1073" s="2" t="str">
        <f>IF(AD1073&gt;37,"Proton symporter", "Diffusion")</f>
        <v>Proton symporter</v>
      </c>
      <c r="AH1073" s="3" t="s">
        <v>185</v>
      </c>
    </row>
    <row r="1074" spans="1:34" hidden="1" x14ac:dyDescent="0.2">
      <c r="A1074" s="16" t="s">
        <v>63</v>
      </c>
      <c r="B1074" s="17" t="s">
        <v>64</v>
      </c>
      <c r="C1074" t="s">
        <v>71</v>
      </c>
      <c r="D1074" s="18" t="s">
        <v>66</v>
      </c>
      <c r="E1074" t="s">
        <v>186</v>
      </c>
      <c r="F1074" t="s">
        <v>187</v>
      </c>
      <c r="G1074">
        <v>-10</v>
      </c>
      <c r="H1074">
        <v>0</v>
      </c>
      <c r="I1074">
        <v>-5</v>
      </c>
      <c r="J1074">
        <v>0.45</v>
      </c>
      <c r="K1074">
        <v>-10</v>
      </c>
      <c r="L1074">
        <v>0</v>
      </c>
      <c r="M1074">
        <v>-5</v>
      </c>
      <c r="N1074">
        <v>4</v>
      </c>
      <c r="O1074">
        <v>1.5</v>
      </c>
      <c r="P1074"/>
      <c r="Q1074">
        <v>0.15</v>
      </c>
      <c r="R1074">
        <v>0.27773093308616598</v>
      </c>
      <c r="S1074" s="11" t="s">
        <v>186</v>
      </c>
      <c r="T1074" s="2" t="s">
        <v>186</v>
      </c>
      <c r="U1074" s="3" t="s">
        <v>41</v>
      </c>
      <c r="V1074" s="2" t="s">
        <v>184</v>
      </c>
      <c r="W1074" s="2">
        <v>4</v>
      </c>
      <c r="X1074" s="2">
        <v>7</v>
      </c>
      <c r="Y1074" s="2">
        <v>2</v>
      </c>
      <c r="Z1074" s="2">
        <v>0</v>
      </c>
      <c r="AA1074" s="2">
        <v>0</v>
      </c>
      <c r="AB1074" s="12">
        <f>(W1074*4+X1074*1+Y1074*-2+Z1074*-3)/W1074</f>
        <v>4.75</v>
      </c>
      <c r="AC1074" s="3">
        <f>W1074*12.0107+X1074*1.00784+Y1074*15.999+Z1074*14.0067</f>
        <v>87.095680000000002</v>
      </c>
      <c r="AD1074" s="12">
        <v>155</v>
      </c>
      <c r="AE1074" s="2" t="s">
        <v>131</v>
      </c>
      <c r="AF1074" s="2" t="s">
        <v>135</v>
      </c>
      <c r="AG1074" s="2" t="str">
        <f>IF(AD1074&gt;37,"Proton symporter", "Diffusion")</f>
        <v>Proton symporter</v>
      </c>
      <c r="AH1074" s="3" t="s">
        <v>188</v>
      </c>
    </row>
    <row r="1075" spans="1:34" hidden="1" x14ac:dyDescent="0.2">
      <c r="A1075" s="8" t="s">
        <v>34</v>
      </c>
      <c r="B1075" s="9" t="s">
        <v>35</v>
      </c>
      <c r="C1075" s="1" t="s">
        <v>46</v>
      </c>
      <c r="D1075" s="10" t="s">
        <v>37</v>
      </c>
      <c r="E1075" s="1" t="s">
        <v>178</v>
      </c>
      <c r="F1075" s="1" t="s">
        <v>179</v>
      </c>
      <c r="G1075" s="1">
        <v>-10</v>
      </c>
      <c r="H1075" s="1">
        <v>-20</v>
      </c>
      <c r="I1075" s="1" t="s">
        <v>40</v>
      </c>
      <c r="J1075" s="1">
        <v>3.15</v>
      </c>
      <c r="K1075" s="1">
        <v>-10</v>
      </c>
      <c r="L1075" s="1">
        <v>-7.0390459363957598</v>
      </c>
      <c r="M1075" s="1" t="s">
        <v>40</v>
      </c>
      <c r="N1075" s="1">
        <v>9.0855123674911695</v>
      </c>
      <c r="O1075" s="1">
        <v>1.3643109540636</v>
      </c>
      <c r="Q1075" s="1">
        <v>0.13643109540636</v>
      </c>
      <c r="R1075" s="1">
        <v>0.27762567430165203</v>
      </c>
      <c r="S1075" s="20" t="s">
        <v>178</v>
      </c>
      <c r="T1075" s="3" t="s">
        <v>178</v>
      </c>
      <c r="U1075" s="3" t="s">
        <v>106</v>
      </c>
      <c r="V1075" s="3" t="s">
        <v>180</v>
      </c>
      <c r="W1075" s="3">
        <v>8</v>
      </c>
      <c r="X1075" s="3">
        <v>8</v>
      </c>
      <c r="Y1075" s="3">
        <v>1</v>
      </c>
      <c r="Z1075" s="3">
        <v>0</v>
      </c>
      <c r="AA1075" s="3">
        <v>0</v>
      </c>
      <c r="AB1075" s="12">
        <f>(W1075*4+X1075*1+Y1075*-2+Z1075*-3)/W1075</f>
        <v>4.75</v>
      </c>
      <c r="AC1075" s="3">
        <f>W1075*12.0107+X1075*1.00784+Y1075*15.999+Z1075*14.0067</f>
        <v>120.14731999999999</v>
      </c>
      <c r="AD1075" s="12">
        <v>229</v>
      </c>
      <c r="AE1075" s="3" t="s">
        <v>176</v>
      </c>
      <c r="AF1075" s="2" t="s">
        <v>150</v>
      </c>
      <c r="AG1075" s="2" t="str">
        <f>IF(AD1075&gt;37,"Proton symporter", "Diffusion")</f>
        <v>Proton symporter</v>
      </c>
      <c r="AH1075" s="3" t="s">
        <v>181</v>
      </c>
    </row>
    <row r="1076" spans="1:34" hidden="1" x14ac:dyDescent="0.2">
      <c r="A1076" s="16" t="s">
        <v>317</v>
      </c>
      <c r="B1076" s="9" t="s">
        <v>35</v>
      </c>
      <c r="C1076" t="s">
        <v>58</v>
      </c>
      <c r="D1076" s="10" t="s">
        <v>37</v>
      </c>
      <c r="E1076" t="s">
        <v>318</v>
      </c>
      <c r="F1076" t="s">
        <v>319</v>
      </c>
      <c r="G1076">
        <v>-10</v>
      </c>
      <c r="H1076">
        <v>-20</v>
      </c>
      <c r="I1076" s="1" t="s">
        <v>40</v>
      </c>
      <c r="J1076">
        <v>3.15</v>
      </c>
      <c r="K1076">
        <v>-10</v>
      </c>
      <c r="L1076">
        <v>-1.82178988326849</v>
      </c>
      <c r="M1076" s="1" t="s">
        <v>40</v>
      </c>
      <c r="N1076">
        <v>8.3140077821011609</v>
      </c>
      <c r="O1076">
        <v>1.2984435797665399</v>
      </c>
      <c r="P1076"/>
      <c r="Q1076">
        <v>0.129844357976654</v>
      </c>
      <c r="R1076">
        <v>0.27730868960260302</v>
      </c>
      <c r="S1076" s="20" t="s">
        <v>318</v>
      </c>
      <c r="T1076" s="3" t="s">
        <v>318</v>
      </c>
      <c r="U1076" s="3" t="s">
        <v>106</v>
      </c>
      <c r="V1076" s="3" t="s">
        <v>320</v>
      </c>
      <c r="W1076" s="3">
        <v>9</v>
      </c>
      <c r="X1076" s="3">
        <v>20</v>
      </c>
      <c r="Y1076" s="3">
        <v>0</v>
      </c>
      <c r="Z1076" s="3">
        <v>0</v>
      </c>
      <c r="AA1076" s="3">
        <v>0</v>
      </c>
      <c r="AB1076" s="12">
        <f>(W1076*4+X1076*1+Y1076*-2+Z1076*-3)/W1076</f>
        <v>6.2222222222222223</v>
      </c>
      <c r="AC1076" s="3">
        <f>W1076*12.0107+X1076*1.00784+Y1076*15.999+Z1076*14.0067</f>
        <v>128.25309999999999</v>
      </c>
      <c r="AD1076" s="12">
        <v>151</v>
      </c>
      <c r="AE1076" s="3" t="s">
        <v>321</v>
      </c>
      <c r="AF1076" s="2" t="s">
        <v>79</v>
      </c>
      <c r="AG1076" s="2" t="str">
        <f>IF(AD1076&gt;37,"Proton symporter", "Diffusion")</f>
        <v>Proton symporter</v>
      </c>
      <c r="AH1076" s="3" t="s">
        <v>322</v>
      </c>
    </row>
    <row r="1077" spans="1:34" hidden="1" x14ac:dyDescent="0.2">
      <c r="A1077" s="16" t="s">
        <v>317</v>
      </c>
      <c r="B1077" s="9" t="s">
        <v>35</v>
      </c>
      <c r="C1077" t="s">
        <v>58</v>
      </c>
      <c r="D1077" s="10" t="s">
        <v>37</v>
      </c>
      <c r="E1077" t="s">
        <v>323</v>
      </c>
      <c r="F1077" t="s">
        <v>324</v>
      </c>
      <c r="G1077">
        <v>-10</v>
      </c>
      <c r="H1077">
        <v>-20</v>
      </c>
      <c r="I1077" s="1" t="s">
        <v>40</v>
      </c>
      <c r="J1077">
        <v>3.15</v>
      </c>
      <c r="K1077">
        <v>-10</v>
      </c>
      <c r="L1077">
        <v>-1.78493449781659</v>
      </c>
      <c r="M1077" s="1" t="s">
        <v>40</v>
      </c>
      <c r="N1077">
        <v>8.3423580786026204</v>
      </c>
      <c r="O1077">
        <v>1.45720524017467</v>
      </c>
      <c r="P1077"/>
      <c r="Q1077">
        <v>0.14572052401746699</v>
      </c>
      <c r="R1077">
        <v>0.27717940277087399</v>
      </c>
      <c r="S1077" s="11" t="s">
        <v>323</v>
      </c>
      <c r="T1077" s="2" t="s">
        <v>323</v>
      </c>
      <c r="U1077" s="3" t="s">
        <v>106</v>
      </c>
      <c r="V1077" s="2" t="s">
        <v>325</v>
      </c>
      <c r="W1077" s="2">
        <v>8</v>
      </c>
      <c r="X1077" s="2">
        <v>18</v>
      </c>
      <c r="Y1077" s="2">
        <v>0</v>
      </c>
      <c r="Z1077" s="2">
        <v>0</v>
      </c>
      <c r="AA1077" s="2">
        <v>0</v>
      </c>
      <c r="AB1077" s="12">
        <f>(W1077*4+X1077*1+Y1077*-2+Z1077*-3)/W1077</f>
        <v>6.25</v>
      </c>
      <c r="AC1077" s="3">
        <f>W1077*12.0107+X1077*1.00784+Y1077*15.999+Z1077*14.0067</f>
        <v>114.22672</v>
      </c>
      <c r="AD1077" s="12">
        <v>126</v>
      </c>
      <c r="AE1077" s="3" t="s">
        <v>321</v>
      </c>
      <c r="AF1077" s="2" t="s">
        <v>313</v>
      </c>
      <c r="AG1077" s="2" t="str">
        <f>IF(AD1077&gt;37,"Proton symporter", "Diffusion")</f>
        <v>Proton symporter</v>
      </c>
      <c r="AH1077" s="3" t="s">
        <v>326</v>
      </c>
    </row>
    <row r="1078" spans="1:34" hidden="1" x14ac:dyDescent="0.2">
      <c r="A1078" s="16" t="s">
        <v>317</v>
      </c>
      <c r="B1078" s="9" t="s">
        <v>35</v>
      </c>
      <c r="C1078" t="s">
        <v>47</v>
      </c>
      <c r="D1078" s="10" t="s">
        <v>37</v>
      </c>
      <c r="E1078" t="s">
        <v>327</v>
      </c>
      <c r="F1078" t="s">
        <v>328</v>
      </c>
      <c r="G1078">
        <v>-10</v>
      </c>
      <c r="H1078">
        <v>-20</v>
      </c>
      <c r="I1078" s="1" t="s">
        <v>40</v>
      </c>
      <c r="J1078">
        <v>3.15</v>
      </c>
      <c r="K1078">
        <v>-10</v>
      </c>
      <c r="L1078">
        <v>-6.1188755020080299</v>
      </c>
      <c r="M1078" s="1" t="s">
        <v>40</v>
      </c>
      <c r="N1078">
        <v>7.9847389558232997</v>
      </c>
      <c r="O1078">
        <v>1.7164658634538199</v>
      </c>
      <c r="P1078"/>
      <c r="Q1078">
        <v>0.17164658634538199</v>
      </c>
      <c r="R1078">
        <v>0.27710719989634602</v>
      </c>
      <c r="S1078" s="20" t="s">
        <v>327</v>
      </c>
      <c r="T1078" s="3" t="s">
        <v>327</v>
      </c>
      <c r="U1078" s="3" t="s">
        <v>106</v>
      </c>
      <c r="V1078" s="3" t="s">
        <v>329</v>
      </c>
      <c r="W1078" s="3">
        <v>7</v>
      </c>
      <c r="X1078" s="3">
        <v>16</v>
      </c>
      <c r="Y1078" s="3">
        <v>0</v>
      </c>
      <c r="Z1078" s="3">
        <v>0</v>
      </c>
      <c r="AA1078" s="3">
        <v>0</v>
      </c>
      <c r="AB1078" s="12">
        <f>(W1078*4+X1078*1+Y1078*-2+Z1078*-3)/W1078</f>
        <v>6.2857142857142856</v>
      </c>
      <c r="AC1078" s="3">
        <f>W1078*12.0107+X1078*1.00784+Y1078*15.999+Z1078*14.0067</f>
        <v>100.20034</v>
      </c>
      <c r="AD1078" s="3">
        <v>98</v>
      </c>
      <c r="AE1078" s="3" t="s">
        <v>321</v>
      </c>
      <c r="AF1078" s="2" t="s">
        <v>79</v>
      </c>
      <c r="AG1078" s="2" t="str">
        <f>IF(AD1078&gt;37,"Proton symporter", "Diffusion")</f>
        <v>Proton symporter</v>
      </c>
      <c r="AH1078" s="3" t="s">
        <v>330</v>
      </c>
    </row>
    <row r="1079" spans="1:34" hidden="1" x14ac:dyDescent="0.2">
      <c r="A1079" s="8" t="s">
        <v>34</v>
      </c>
      <c r="B1079" s="9" t="s">
        <v>35</v>
      </c>
      <c r="C1079" s="1" t="s">
        <v>58</v>
      </c>
      <c r="D1079" s="10" t="s">
        <v>37</v>
      </c>
      <c r="E1079" s="1" t="s">
        <v>227</v>
      </c>
      <c r="F1079" s="1" t="s">
        <v>228</v>
      </c>
      <c r="G1079" s="1">
        <v>-10</v>
      </c>
      <c r="H1079" s="1">
        <v>-20</v>
      </c>
      <c r="I1079" s="1" t="s">
        <v>40</v>
      </c>
      <c r="J1079" s="1">
        <v>3.15</v>
      </c>
      <c r="K1079" s="1">
        <v>-10</v>
      </c>
      <c r="L1079" s="1">
        <v>-3.2816964285714301</v>
      </c>
      <c r="M1079" s="1" t="s">
        <v>40</v>
      </c>
      <c r="N1079" s="1">
        <v>7.6160714285714297</v>
      </c>
      <c r="O1079" s="1">
        <v>0.30959821428571399</v>
      </c>
      <c r="Q1079" s="1">
        <v>3.0959821428571399E-2</v>
      </c>
      <c r="R1079" s="1">
        <v>0.27678191715988998</v>
      </c>
      <c r="S1079" s="11" t="s">
        <v>227</v>
      </c>
      <c r="T1079" s="2" t="s">
        <v>229</v>
      </c>
      <c r="U1079" s="3" t="s">
        <v>41</v>
      </c>
      <c r="V1079" s="2" t="s">
        <v>230</v>
      </c>
      <c r="W1079" s="2">
        <v>40</v>
      </c>
      <c r="X1079" s="2">
        <v>56</v>
      </c>
      <c r="Y1079" s="2">
        <v>0</v>
      </c>
      <c r="Z1079" s="2">
        <v>0</v>
      </c>
      <c r="AA1079" s="2">
        <v>0</v>
      </c>
      <c r="AB1079" s="12">
        <f>(W1079*4+X1079*1+Y1079*-2+Z1079*-3)/W1079</f>
        <v>5.4</v>
      </c>
      <c r="AC1079" s="3">
        <f>W1079*12.0107+X1079*1.00784+Y1079*15.999+Z1079*14.0067</f>
        <v>536.86703999999997</v>
      </c>
      <c r="AD1079" s="12">
        <v>633</v>
      </c>
      <c r="AE1079" s="2" t="s">
        <v>231</v>
      </c>
      <c r="AF1079" s="2" t="s">
        <v>79</v>
      </c>
      <c r="AG1079" s="2" t="s">
        <v>232</v>
      </c>
      <c r="AH1079" s="3" t="s">
        <v>233</v>
      </c>
    </row>
    <row r="1080" spans="1:34" hidden="1" x14ac:dyDescent="0.2">
      <c r="A1080" s="16" t="s">
        <v>63</v>
      </c>
      <c r="B1080" s="17" t="s">
        <v>64</v>
      </c>
      <c r="C1080" t="s">
        <v>68</v>
      </c>
      <c r="D1080" s="18" t="s">
        <v>66</v>
      </c>
      <c r="E1080" t="s">
        <v>244</v>
      </c>
      <c r="F1080" t="s">
        <v>245</v>
      </c>
      <c r="G1080">
        <v>-10</v>
      </c>
      <c r="H1080">
        <v>0</v>
      </c>
      <c r="I1080">
        <v>-10</v>
      </c>
      <c r="J1080">
        <v>0.45</v>
      </c>
      <c r="K1080">
        <v>-10</v>
      </c>
      <c r="L1080">
        <v>0</v>
      </c>
      <c r="M1080">
        <v>-10</v>
      </c>
      <c r="N1080">
        <v>1.38227848101266</v>
      </c>
      <c r="O1080">
        <v>0.92151898734177196</v>
      </c>
      <c r="P1080"/>
      <c r="Q1080">
        <v>9.2151898734177007E-2</v>
      </c>
      <c r="R1080">
        <v>0.27654530111239001</v>
      </c>
      <c r="S1080" s="20" t="s">
        <v>246</v>
      </c>
      <c r="T1080" s="3" t="s">
        <v>247</v>
      </c>
      <c r="U1080" s="3" t="s">
        <v>106</v>
      </c>
      <c r="V1080" s="3" t="s">
        <v>238</v>
      </c>
      <c r="W1080" s="3">
        <v>4</v>
      </c>
      <c r="X1080" s="3">
        <v>10</v>
      </c>
      <c r="Y1080" s="3">
        <v>2</v>
      </c>
      <c r="Z1080" s="3">
        <v>0</v>
      </c>
      <c r="AA1080" s="3">
        <v>0</v>
      </c>
      <c r="AB1080" s="12">
        <f>(W1080*4+X1080*1+Y1080*-2+Z1080*-3)/W1080</f>
        <v>5.5</v>
      </c>
      <c r="AC1080" s="3">
        <f>W1080*12.0107+X1080*1.00784+Y1080*15.999+Z1080*14.0067</f>
        <v>90.119200000000006</v>
      </c>
      <c r="AD1080" s="12">
        <v>230</v>
      </c>
      <c r="AE1080" s="2" t="s">
        <v>220</v>
      </c>
      <c r="AF1080" s="3" t="s">
        <v>120</v>
      </c>
      <c r="AG1080" s="2" t="str">
        <f>IF(AD1080&gt;37,"Proton symporter", "Diffusion")</f>
        <v>Proton symporter</v>
      </c>
      <c r="AH1080" s="3" t="s">
        <v>248</v>
      </c>
    </row>
    <row r="1081" spans="1:34" hidden="1" x14ac:dyDescent="0.2">
      <c r="A1081" s="8" t="s">
        <v>34</v>
      </c>
      <c r="B1081" s="9" t="s">
        <v>35</v>
      </c>
      <c r="C1081" s="1" t="s">
        <v>62</v>
      </c>
      <c r="D1081" s="15" t="s">
        <v>55</v>
      </c>
      <c r="E1081" s="1" t="s">
        <v>343</v>
      </c>
      <c r="F1081" s="1" t="s">
        <v>344</v>
      </c>
      <c r="G1081" s="1">
        <v>-10</v>
      </c>
      <c r="H1081" s="1">
        <v>-20</v>
      </c>
      <c r="I1081" s="1" t="s">
        <v>40</v>
      </c>
      <c r="J1081" s="1">
        <v>3.15</v>
      </c>
      <c r="K1081" s="1">
        <v>-10</v>
      </c>
      <c r="L1081" s="1">
        <v>-2.9462809917355401</v>
      </c>
      <c r="M1081" s="1" t="s">
        <v>40</v>
      </c>
      <c r="N1081" s="1">
        <v>21.7677685950413</v>
      </c>
      <c r="O1081" s="1">
        <v>9.4107438016528899</v>
      </c>
      <c r="Q1081" s="1">
        <v>0.94107438016528899</v>
      </c>
      <c r="R1081" s="1">
        <v>0.276403819356558</v>
      </c>
      <c r="S1081" s="20" t="s">
        <v>343</v>
      </c>
      <c r="T1081" s="3" t="s">
        <v>345</v>
      </c>
      <c r="U1081" s="3" t="s">
        <v>106</v>
      </c>
      <c r="V1081" s="3" t="s">
        <v>346</v>
      </c>
      <c r="W1081" s="3">
        <v>3</v>
      </c>
      <c r="X1081" s="3">
        <v>8</v>
      </c>
      <c r="Y1081" s="3">
        <v>0</v>
      </c>
      <c r="Z1081" s="3">
        <v>0</v>
      </c>
      <c r="AA1081" s="3">
        <v>0</v>
      </c>
      <c r="AB1081" s="12">
        <f>(W1081*4+X1081*1+Y1081*-2+Z1081*-3)/W1081</f>
        <v>6.666666666666667</v>
      </c>
      <c r="AC1081" s="3">
        <f>W1081*12.0107+X1081*1.00784+Y1081*15.999+Z1081*14.0067</f>
        <v>44.094819999999999</v>
      </c>
      <c r="AD1081" s="24">
        <v>-42</v>
      </c>
      <c r="AE1081" s="3" t="s">
        <v>231</v>
      </c>
      <c r="AF1081" s="2" t="s">
        <v>79</v>
      </c>
      <c r="AG1081" s="25" t="str">
        <f>IF(AD1081&gt;37,"Proton symporter", "Diffusion")</f>
        <v>Diffusion</v>
      </c>
      <c r="AH1081" s="3" t="s">
        <v>347</v>
      </c>
    </row>
    <row r="1082" spans="1:34" hidden="1" x14ac:dyDescent="0.2">
      <c r="A1082" s="8" t="s">
        <v>34</v>
      </c>
      <c r="B1082" s="9" t="s">
        <v>35</v>
      </c>
      <c r="C1082" s="1" t="s">
        <v>61</v>
      </c>
      <c r="D1082" s="13" t="s">
        <v>51</v>
      </c>
      <c r="E1082" s="1" t="s">
        <v>199</v>
      </c>
      <c r="F1082" s="1" t="s">
        <v>200</v>
      </c>
      <c r="G1082" s="1">
        <v>-10</v>
      </c>
      <c r="H1082" s="1">
        <v>-20</v>
      </c>
      <c r="I1082" s="1" t="s">
        <v>40</v>
      </c>
      <c r="J1082" s="1">
        <v>3.15</v>
      </c>
      <c r="K1082" s="1">
        <v>-10</v>
      </c>
      <c r="L1082" s="1">
        <v>-8.0404615384615408</v>
      </c>
      <c r="M1082" s="1" t="s">
        <v>40</v>
      </c>
      <c r="N1082" s="1">
        <v>4.2686153846153898</v>
      </c>
      <c r="O1082" s="1">
        <v>0.81876923076923103</v>
      </c>
      <c r="Q1082" s="1">
        <v>8.1876923076923097E-2</v>
      </c>
      <c r="R1082" s="1">
        <v>0.27632961323809102</v>
      </c>
      <c r="S1082" s="20" t="s">
        <v>201</v>
      </c>
      <c r="T1082" s="3" t="s">
        <v>201</v>
      </c>
      <c r="U1082" s="3" t="s">
        <v>106</v>
      </c>
      <c r="V1082" s="3" t="s">
        <v>202</v>
      </c>
      <c r="W1082" s="3">
        <v>7</v>
      </c>
      <c r="X1082" s="3">
        <v>8</v>
      </c>
      <c r="Y1082" s="3">
        <v>1</v>
      </c>
      <c r="Z1082" s="3">
        <v>0</v>
      </c>
      <c r="AA1082" s="3">
        <v>0</v>
      </c>
      <c r="AB1082" s="12">
        <f>(W1082*4+X1082*1+Y1082*-2+Z1082*-3)/W1082</f>
        <v>4.8571428571428568</v>
      </c>
      <c r="AC1082" s="3">
        <f>W1082*12.0107+X1082*1.00784+Y1082*15.999+Z1082*14.0067</f>
        <v>108.13661999999999</v>
      </c>
      <c r="AD1082" s="12">
        <v>205</v>
      </c>
      <c r="AE1082" s="3" t="s">
        <v>176</v>
      </c>
      <c r="AF1082" s="3" t="s">
        <v>203</v>
      </c>
      <c r="AG1082" s="2" t="str">
        <f>IF(AD1082&gt;37,"Proton symporter", "Diffusion")</f>
        <v>Proton symporter</v>
      </c>
      <c r="AH1082" s="3" t="s">
        <v>204</v>
      </c>
    </row>
    <row r="1083" spans="1:34" hidden="1" x14ac:dyDescent="0.2">
      <c r="A1083" s="16" t="s">
        <v>317</v>
      </c>
      <c r="B1083" s="9" t="s">
        <v>35</v>
      </c>
      <c r="C1083" t="s">
        <v>61</v>
      </c>
      <c r="D1083" s="13" t="s">
        <v>51</v>
      </c>
      <c r="E1083" t="s">
        <v>318</v>
      </c>
      <c r="F1083" t="s">
        <v>319</v>
      </c>
      <c r="G1083">
        <v>-10</v>
      </c>
      <c r="H1083">
        <v>-20</v>
      </c>
      <c r="I1083" s="1" t="s">
        <v>40</v>
      </c>
      <c r="J1083">
        <v>3.15</v>
      </c>
      <c r="K1083">
        <v>-10</v>
      </c>
      <c r="L1083">
        <v>-5.3361867704280099</v>
      </c>
      <c r="M1083" s="1" t="s">
        <v>40</v>
      </c>
      <c r="N1083">
        <v>3.7875486381322898</v>
      </c>
      <c r="O1083">
        <v>0.69027237354085602</v>
      </c>
      <c r="P1083"/>
      <c r="Q1083">
        <v>6.9027237354085599E-2</v>
      </c>
      <c r="R1083">
        <v>0.27630038379183702</v>
      </c>
      <c r="S1083" s="20" t="s">
        <v>318</v>
      </c>
      <c r="T1083" s="3" t="s">
        <v>318</v>
      </c>
      <c r="U1083" s="3" t="s">
        <v>106</v>
      </c>
      <c r="V1083" s="3" t="s">
        <v>320</v>
      </c>
      <c r="W1083" s="3">
        <v>9</v>
      </c>
      <c r="X1083" s="3">
        <v>20</v>
      </c>
      <c r="Y1083" s="3">
        <v>0</v>
      </c>
      <c r="Z1083" s="3">
        <v>0</v>
      </c>
      <c r="AA1083" s="3">
        <v>0</v>
      </c>
      <c r="AB1083" s="12">
        <f>(W1083*4+X1083*1+Y1083*-2+Z1083*-3)/W1083</f>
        <v>6.2222222222222223</v>
      </c>
      <c r="AC1083" s="3">
        <f>W1083*12.0107+X1083*1.00784+Y1083*15.999+Z1083*14.0067</f>
        <v>128.25309999999999</v>
      </c>
      <c r="AD1083" s="12">
        <v>151</v>
      </c>
      <c r="AE1083" s="3" t="s">
        <v>321</v>
      </c>
      <c r="AF1083" s="2" t="s">
        <v>79</v>
      </c>
      <c r="AG1083" s="2" t="str">
        <f>IF(AD1083&gt;37,"Proton symporter", "Diffusion")</f>
        <v>Proton symporter</v>
      </c>
      <c r="AH1083" s="3" t="s">
        <v>322</v>
      </c>
    </row>
    <row r="1084" spans="1:34" hidden="1" x14ac:dyDescent="0.2">
      <c r="A1084" s="8" t="s">
        <v>34</v>
      </c>
      <c r="B1084" s="9" t="s">
        <v>35</v>
      </c>
      <c r="C1084" s="1" t="s">
        <v>57</v>
      </c>
      <c r="D1084" s="10" t="s">
        <v>37</v>
      </c>
      <c r="E1084" s="1" t="s">
        <v>295</v>
      </c>
      <c r="F1084" s="1" t="s">
        <v>296</v>
      </c>
      <c r="G1084" s="1">
        <v>-10</v>
      </c>
      <c r="H1084" s="1">
        <v>-20</v>
      </c>
      <c r="I1084" s="1" t="s">
        <v>40</v>
      </c>
      <c r="J1084" s="1">
        <v>3.15</v>
      </c>
      <c r="K1084" s="1">
        <v>-10</v>
      </c>
      <c r="L1084" s="1">
        <v>-5.4</v>
      </c>
      <c r="M1084" s="1" t="s">
        <v>40</v>
      </c>
      <c r="N1084" s="1">
        <v>10.266666666666699</v>
      </c>
      <c r="O1084" s="1">
        <v>1.62222222222222</v>
      </c>
      <c r="Q1084" s="1">
        <v>0.16222222222222199</v>
      </c>
      <c r="R1084" s="1">
        <v>0.27600620499271</v>
      </c>
      <c r="S1084" s="11" t="s">
        <v>295</v>
      </c>
      <c r="T1084" s="2" t="s">
        <v>297</v>
      </c>
      <c r="U1084" s="3" t="s">
        <v>41</v>
      </c>
      <c r="V1084" s="2" t="s">
        <v>298</v>
      </c>
      <c r="W1084" s="2">
        <v>6</v>
      </c>
      <c r="X1084" s="2">
        <v>14</v>
      </c>
      <c r="Y1084" s="2">
        <v>1</v>
      </c>
      <c r="Z1084" s="2">
        <v>0</v>
      </c>
      <c r="AA1084" s="2">
        <v>0</v>
      </c>
      <c r="AB1084" s="12">
        <f>(W1084*4+X1084*1+Y1084*-2+Z1084*-3)/W1084</f>
        <v>6</v>
      </c>
      <c r="AC1084" s="3">
        <f>W1084*12.0107+X1084*1.00784+Y1084*15.999+Z1084*14.0067</f>
        <v>102.17295999999999</v>
      </c>
      <c r="AD1084" s="12">
        <v>153</v>
      </c>
      <c r="AE1084" s="2" t="s">
        <v>262</v>
      </c>
      <c r="AF1084" s="2" t="s">
        <v>44</v>
      </c>
      <c r="AG1084" s="2" t="str">
        <f>IF(AD1084&gt;37,"Proton symporter", "Diffusion")</f>
        <v>Proton symporter</v>
      </c>
      <c r="AH1084" s="3" t="s">
        <v>299</v>
      </c>
    </row>
    <row r="1085" spans="1:34" hidden="1" x14ac:dyDescent="0.2">
      <c r="A1085" s="8" t="s">
        <v>34</v>
      </c>
      <c r="B1085" s="9" t="s">
        <v>35</v>
      </c>
      <c r="C1085" s="1" t="s">
        <v>46</v>
      </c>
      <c r="D1085" s="10" t="s">
        <v>37</v>
      </c>
      <c r="E1085" s="1" t="s">
        <v>172</v>
      </c>
      <c r="F1085" s="1" t="s">
        <v>173</v>
      </c>
      <c r="G1085" s="1">
        <v>-10</v>
      </c>
      <c r="H1085" s="1">
        <v>-20</v>
      </c>
      <c r="I1085" s="1" t="s">
        <v>40</v>
      </c>
      <c r="J1085" s="1">
        <v>3.15</v>
      </c>
      <c r="K1085" s="1">
        <v>-10</v>
      </c>
      <c r="L1085" s="1">
        <v>-7.8802690582959602</v>
      </c>
      <c r="M1085" s="1" t="s">
        <v>40</v>
      </c>
      <c r="N1085" s="1">
        <v>9.6116591928251101</v>
      </c>
      <c r="O1085" s="1">
        <v>1.73139013452915</v>
      </c>
      <c r="Q1085" s="1">
        <v>0.17313901345291499</v>
      </c>
      <c r="R1085" s="1">
        <v>0.27597134608886298</v>
      </c>
      <c r="S1085" s="20" t="s">
        <v>172</v>
      </c>
      <c r="T1085" s="3" t="s">
        <v>172</v>
      </c>
      <c r="U1085" s="3" t="s">
        <v>174</v>
      </c>
      <c r="V1085" s="3" t="s">
        <v>175</v>
      </c>
      <c r="W1085" s="3">
        <v>6</v>
      </c>
      <c r="X1085" s="3">
        <v>6</v>
      </c>
      <c r="Y1085" s="3">
        <v>1</v>
      </c>
      <c r="Z1085" s="3">
        <v>0</v>
      </c>
      <c r="AA1085" s="3">
        <v>0</v>
      </c>
      <c r="AB1085" s="12">
        <f>(W1085*4+X1085*1+Y1085*-2+Z1085*-3)/W1085</f>
        <v>4.666666666666667</v>
      </c>
      <c r="AC1085" s="3">
        <f>W1085*12.0107+X1085*1.00784+Y1085*15.999+Z1085*14.0067</f>
        <v>94.11023999999999</v>
      </c>
      <c r="AD1085" s="12">
        <v>181.7</v>
      </c>
      <c r="AE1085" s="3" t="s">
        <v>176</v>
      </c>
      <c r="AF1085" s="2" t="s">
        <v>150</v>
      </c>
      <c r="AG1085" s="2" t="str">
        <f>IF(AD1085&gt;37,"Proton symporter", "Diffusion")</f>
        <v>Proton symporter</v>
      </c>
      <c r="AH1085" s="3" t="s">
        <v>177</v>
      </c>
    </row>
    <row r="1086" spans="1:34" hidden="1" x14ac:dyDescent="0.2">
      <c r="A1086" s="16" t="s">
        <v>63</v>
      </c>
      <c r="B1086" s="17" t="s">
        <v>64</v>
      </c>
      <c r="C1086" t="s">
        <v>72</v>
      </c>
      <c r="D1086" s="18" t="s">
        <v>66</v>
      </c>
      <c r="E1086" t="s">
        <v>286</v>
      </c>
      <c r="F1086" t="s">
        <v>280</v>
      </c>
      <c r="G1086">
        <v>-10</v>
      </c>
      <c r="H1086">
        <v>0</v>
      </c>
      <c r="I1086">
        <v>-10</v>
      </c>
      <c r="J1086">
        <v>0.45</v>
      </c>
      <c r="K1086">
        <v>-10</v>
      </c>
      <c r="L1086">
        <v>0</v>
      </c>
      <c r="M1086">
        <v>-10</v>
      </c>
      <c r="N1086">
        <v>3.30909090909091</v>
      </c>
      <c r="O1086">
        <v>2.2060606060606101</v>
      </c>
      <c r="P1086"/>
      <c r="Q1086">
        <v>0.220606060606061</v>
      </c>
      <c r="R1086">
        <v>0.27590366822969797</v>
      </c>
      <c r="S1086" s="20" t="s">
        <v>287</v>
      </c>
      <c r="T1086" s="3" t="s">
        <v>288</v>
      </c>
      <c r="U1086" s="3" t="s">
        <v>174</v>
      </c>
      <c r="V1086" s="3" t="s">
        <v>283</v>
      </c>
      <c r="W1086" s="3">
        <v>3</v>
      </c>
      <c r="X1086" s="3">
        <v>8</v>
      </c>
      <c r="Y1086" s="3">
        <v>1</v>
      </c>
      <c r="Z1086" s="3">
        <v>0</v>
      </c>
      <c r="AA1086" s="3">
        <v>0</v>
      </c>
      <c r="AB1086" s="12">
        <f>(W1086*4+X1086*1+Y1086*-2+Z1086*-3)/W1086</f>
        <v>6</v>
      </c>
      <c r="AC1086" s="3">
        <f>W1086*12.0107+X1086*1.00784+Y1086*15.999+Z1086*14.0067</f>
        <v>60.093820000000001</v>
      </c>
      <c r="AD1086" s="12">
        <v>97</v>
      </c>
      <c r="AE1086" s="2" t="s">
        <v>262</v>
      </c>
      <c r="AF1086" s="3" t="s">
        <v>44</v>
      </c>
      <c r="AG1086" s="2" t="str">
        <f>IF(AD1086&gt;37,"Proton symporter", "Diffusion")</f>
        <v>Proton symporter</v>
      </c>
      <c r="AH1086" s="3" t="s">
        <v>285</v>
      </c>
    </row>
    <row r="1087" spans="1:34" hidden="1" x14ac:dyDescent="0.2">
      <c r="A1087" s="8" t="s">
        <v>350</v>
      </c>
      <c r="B1087" s="17" t="s">
        <v>64</v>
      </c>
      <c r="C1087" t="s">
        <v>351</v>
      </c>
      <c r="D1087" s="13" t="s">
        <v>51</v>
      </c>
      <c r="E1087" t="s">
        <v>259</v>
      </c>
      <c r="F1087" t="s">
        <v>260</v>
      </c>
      <c r="G1087">
        <v>-10</v>
      </c>
      <c r="H1087">
        <v>0</v>
      </c>
      <c r="I1087">
        <v>0</v>
      </c>
      <c r="J1087">
        <v>0.45</v>
      </c>
      <c r="K1087">
        <v>-10</v>
      </c>
      <c r="L1087">
        <v>0</v>
      </c>
      <c r="M1087">
        <v>0</v>
      </c>
      <c r="N1087">
        <v>0</v>
      </c>
      <c r="O1087" s="26">
        <v>1.0249999999999999</v>
      </c>
      <c r="P1087"/>
      <c r="Q1087" s="26">
        <v>0.10249999999999999</v>
      </c>
      <c r="R1087" s="26">
        <v>0.27553449386505902</v>
      </c>
      <c r="S1087" s="3" t="str">
        <f>VLOOKUP($E1087,'[1]Product Naming'!$A$1:$P$58,2)</f>
        <v>Isobutanol</v>
      </c>
      <c r="T1087" s="3" t="str">
        <f>VLOOKUP($E1087,'[1]Product Naming'!$A$1:$P$58,3)</f>
        <v>Isobutanol</v>
      </c>
      <c r="U1087" s="3" t="str">
        <f>VLOOKUP($E1087,'[1]Product Naming'!$A$1:$P$58,4)</f>
        <v>E</v>
      </c>
      <c r="V1087" s="3" t="str">
        <f>VLOOKUP($E1087,'[1]Product Naming'!$A$1:$P$58,5)</f>
        <v>C5H10O</v>
      </c>
      <c r="W1087" s="3">
        <f>VLOOKUP($E1087,'[1]Product Naming'!$A$1:$P$58,6)</f>
        <v>5</v>
      </c>
      <c r="X1087" s="3">
        <f>VLOOKUP($E1087,'[1]Product Naming'!$A$1:$P$58,7)</f>
        <v>10</v>
      </c>
      <c r="Y1087" s="3">
        <f>VLOOKUP($E1087,'[1]Product Naming'!$A$1:$P$58,8)</f>
        <v>1</v>
      </c>
      <c r="Z1087" s="3">
        <f>VLOOKUP($E1087,'[1]Product Naming'!$A$1:$P$58,9)</f>
        <v>0</v>
      </c>
      <c r="AA1087" s="3">
        <f>VLOOKUP($E1087,'[1]Product Naming'!$A$1:$P$58,10)</f>
        <v>0</v>
      </c>
      <c r="AB1087" s="3">
        <f>VLOOKUP($E1087,'[1]Product Naming'!$A$1:$P$58,11)</f>
        <v>5.6</v>
      </c>
      <c r="AC1087" s="3">
        <f>VLOOKUP($E1087,'[1]Product Naming'!$A$1:$P$58,12)</f>
        <v>86.130899999999997</v>
      </c>
      <c r="AD1087" s="3">
        <f>VLOOKUP($E1087,'[1]Product Naming'!$A$1:$P$58,13)</f>
        <v>108</v>
      </c>
      <c r="AE1087" s="3" t="str">
        <f>VLOOKUP($E1087,'[1]Product Naming'!$A$1:$P$58,14)</f>
        <v>Alcohol</v>
      </c>
      <c r="AF1087" s="3" t="str">
        <f>VLOOKUP($E1087,'[1]Product Naming'!$A$1:$P$58,15)</f>
        <v>Pyruvate</v>
      </c>
      <c r="AG1087" s="3" t="str">
        <f>VLOOKUP($E1087,'[1]Product Naming'!$A$1:$P$58,16)</f>
        <v>Proton symporter</v>
      </c>
      <c r="AH1087" s="3" t="str">
        <f>VLOOKUP($E1087,'[1]Product Naming'!$A$1:$Q$58,17)</f>
        <v>ibutoh_c</v>
      </c>
    </row>
    <row r="1088" spans="1:34" hidden="1" x14ac:dyDescent="0.2">
      <c r="A1088" s="16" t="s">
        <v>63</v>
      </c>
      <c r="B1088" s="17" t="s">
        <v>64</v>
      </c>
      <c r="C1088" t="s">
        <v>68</v>
      </c>
      <c r="D1088" s="18" t="s">
        <v>66</v>
      </c>
      <c r="E1088" t="s">
        <v>279</v>
      </c>
      <c r="F1088" t="s">
        <v>280</v>
      </c>
      <c r="G1088">
        <v>-10</v>
      </c>
      <c r="H1088">
        <v>0</v>
      </c>
      <c r="I1088">
        <v>-10</v>
      </c>
      <c r="J1088">
        <v>0.45</v>
      </c>
      <c r="K1088">
        <v>-10</v>
      </c>
      <c r="L1088">
        <v>0</v>
      </c>
      <c r="M1088">
        <v>-10</v>
      </c>
      <c r="N1088">
        <v>2.06037735849057</v>
      </c>
      <c r="O1088">
        <v>1.3735849056603799</v>
      </c>
      <c r="P1088"/>
      <c r="Q1088">
        <v>0.13735849056603799</v>
      </c>
      <c r="R1088">
        <v>0.27487167524299599</v>
      </c>
      <c r="S1088" s="20" t="s">
        <v>281</v>
      </c>
      <c r="T1088" s="3" t="s">
        <v>282</v>
      </c>
      <c r="U1088" s="3" t="s">
        <v>174</v>
      </c>
      <c r="V1088" s="3" t="s">
        <v>283</v>
      </c>
      <c r="W1088" s="3">
        <v>3</v>
      </c>
      <c r="X1088" s="3">
        <v>8</v>
      </c>
      <c r="Y1088" s="3">
        <v>1</v>
      </c>
      <c r="Z1088" s="3">
        <v>0</v>
      </c>
      <c r="AA1088" s="3">
        <v>0</v>
      </c>
      <c r="AB1088" s="12">
        <f>(W1088*4+X1088*1+Y1088*-2+Z1088*-3)/W1088</f>
        <v>6</v>
      </c>
      <c r="AC1088" s="3">
        <f>W1088*12.0107+X1088*1.00784+Y1088*15.999+Z1088*14.0067</f>
        <v>60.093820000000001</v>
      </c>
      <c r="AD1088" s="12">
        <v>97</v>
      </c>
      <c r="AE1088" s="2" t="s">
        <v>262</v>
      </c>
      <c r="AF1088" s="2" t="s">
        <v>284</v>
      </c>
      <c r="AG1088" s="2" t="str">
        <f>IF(AD1088&gt;37,"Proton symporter", "Diffusion")</f>
        <v>Proton symporter</v>
      </c>
      <c r="AH1088" s="3" t="s">
        <v>285</v>
      </c>
    </row>
    <row r="1089" spans="1:34" hidden="1" x14ac:dyDescent="0.2">
      <c r="A1089" s="16" t="s">
        <v>63</v>
      </c>
      <c r="B1089" s="17" t="s">
        <v>64</v>
      </c>
      <c r="C1089" t="s">
        <v>73</v>
      </c>
      <c r="D1089" s="18" t="s">
        <v>66</v>
      </c>
      <c r="E1089" t="s">
        <v>318</v>
      </c>
      <c r="F1089" t="s">
        <v>319</v>
      </c>
      <c r="G1089">
        <v>-10</v>
      </c>
      <c r="H1089">
        <v>0</v>
      </c>
      <c r="I1089">
        <v>-20</v>
      </c>
      <c r="J1089">
        <v>0.45</v>
      </c>
      <c r="K1089">
        <v>-10</v>
      </c>
      <c r="L1089">
        <v>0</v>
      </c>
      <c r="M1089">
        <v>-20</v>
      </c>
      <c r="N1089">
        <v>0.35714285714285099</v>
      </c>
      <c r="O1089">
        <v>1.0714285714285701</v>
      </c>
      <c r="P1089"/>
      <c r="Q1089">
        <v>0.107142857142857</v>
      </c>
      <c r="R1089" s="19">
        <v>0.27444385003851701</v>
      </c>
      <c r="S1089" s="20" t="s">
        <v>318</v>
      </c>
      <c r="T1089" s="3" t="s">
        <v>318</v>
      </c>
      <c r="U1089" s="3" t="s">
        <v>106</v>
      </c>
      <c r="V1089" s="3" t="s">
        <v>320</v>
      </c>
      <c r="W1089" s="3">
        <v>9</v>
      </c>
      <c r="X1089" s="3">
        <v>20</v>
      </c>
      <c r="Y1089" s="3">
        <v>0</v>
      </c>
      <c r="Z1089" s="3">
        <v>0</v>
      </c>
      <c r="AA1089" s="3">
        <v>0</v>
      </c>
      <c r="AB1089" s="12">
        <f>(W1089*4+X1089*1+Y1089*-2+Z1089*-3)/W1089</f>
        <v>6.2222222222222223</v>
      </c>
      <c r="AC1089" s="3">
        <f>W1089*12.0107+X1089*1.00784+Y1089*15.999+Z1089*14.0067</f>
        <v>128.25309999999999</v>
      </c>
      <c r="AD1089" s="12">
        <v>151</v>
      </c>
      <c r="AE1089" s="3" t="s">
        <v>321</v>
      </c>
      <c r="AF1089" s="2" t="s">
        <v>79</v>
      </c>
      <c r="AG1089" s="2" t="str">
        <f>IF(AD1089&gt;37,"Proton symporter", "Diffusion")</f>
        <v>Proton symporter</v>
      </c>
      <c r="AH1089" s="3" t="s">
        <v>322</v>
      </c>
    </row>
    <row r="1090" spans="1:34" hidden="1" x14ac:dyDescent="0.2">
      <c r="A1090" s="16" t="s">
        <v>317</v>
      </c>
      <c r="B1090" s="9" t="s">
        <v>35</v>
      </c>
      <c r="C1090" t="s">
        <v>58</v>
      </c>
      <c r="D1090" s="10" t="s">
        <v>37</v>
      </c>
      <c r="E1090" t="s">
        <v>327</v>
      </c>
      <c r="F1090" t="s">
        <v>328</v>
      </c>
      <c r="G1090">
        <v>-10</v>
      </c>
      <c r="H1090">
        <v>-20</v>
      </c>
      <c r="I1090" s="1" t="s">
        <v>40</v>
      </c>
      <c r="J1090">
        <v>3.15</v>
      </c>
      <c r="K1090">
        <v>-10</v>
      </c>
      <c r="L1090">
        <v>-1.9177339901477799</v>
      </c>
      <c r="M1090" s="1" t="s">
        <v>40</v>
      </c>
      <c r="N1090">
        <v>8.4931034482758694</v>
      </c>
      <c r="O1090">
        <v>1.6438423645320199</v>
      </c>
      <c r="P1090"/>
      <c r="Q1090">
        <v>0.16438423645320199</v>
      </c>
      <c r="R1090">
        <v>0.27428489281374901</v>
      </c>
      <c r="S1090" s="20" t="s">
        <v>327</v>
      </c>
      <c r="T1090" s="3" t="s">
        <v>327</v>
      </c>
      <c r="U1090" s="3" t="s">
        <v>106</v>
      </c>
      <c r="V1090" s="3" t="s">
        <v>329</v>
      </c>
      <c r="W1090" s="3">
        <v>7</v>
      </c>
      <c r="X1090" s="3">
        <v>16</v>
      </c>
      <c r="Y1090" s="3">
        <v>0</v>
      </c>
      <c r="Z1090" s="3">
        <v>0</v>
      </c>
      <c r="AA1090" s="3">
        <v>0</v>
      </c>
      <c r="AB1090" s="12">
        <f>(W1090*4+X1090*1+Y1090*-2+Z1090*-3)/W1090</f>
        <v>6.2857142857142856</v>
      </c>
      <c r="AC1090" s="3">
        <f>W1090*12.0107+X1090*1.00784+Y1090*15.999+Z1090*14.0067</f>
        <v>100.20034</v>
      </c>
      <c r="AD1090" s="3">
        <v>98</v>
      </c>
      <c r="AE1090" s="3" t="s">
        <v>321</v>
      </c>
      <c r="AF1090" s="2" t="s">
        <v>79</v>
      </c>
      <c r="AG1090" s="2" t="str">
        <f>IF(AD1090&gt;37,"Proton symporter", "Diffusion")</f>
        <v>Proton symporter</v>
      </c>
      <c r="AH1090" s="3" t="s">
        <v>330</v>
      </c>
    </row>
    <row r="1091" spans="1:34" hidden="1" x14ac:dyDescent="0.2">
      <c r="A1091" s="8" t="s">
        <v>350</v>
      </c>
      <c r="B1091" s="17" t="s">
        <v>64</v>
      </c>
      <c r="C1091" t="s">
        <v>352</v>
      </c>
      <c r="D1091" s="13" t="s">
        <v>51</v>
      </c>
      <c r="E1091" t="s">
        <v>310</v>
      </c>
      <c r="F1091" t="s">
        <v>311</v>
      </c>
      <c r="G1091">
        <v>-10</v>
      </c>
      <c r="H1091">
        <v>0</v>
      </c>
      <c r="I1091">
        <v>0</v>
      </c>
      <c r="J1091">
        <v>0.45</v>
      </c>
      <c r="K1091">
        <v>-10</v>
      </c>
      <c r="L1091">
        <v>0</v>
      </c>
      <c r="M1091">
        <v>0</v>
      </c>
      <c r="N1091">
        <v>0</v>
      </c>
      <c r="O1091" s="26">
        <v>0.99682539682539495</v>
      </c>
      <c r="P1091"/>
      <c r="Q1091">
        <v>9.9682539682539498E-2</v>
      </c>
      <c r="R1091" s="26">
        <v>0.27423171888602099</v>
      </c>
      <c r="S1091" s="3" t="str">
        <f>VLOOKUP($E1091,'[1]Product Naming'!$A$1:$P$58,2)</f>
        <v>Pentanol-PW1</v>
      </c>
      <c r="T1091" s="3" t="str">
        <f>VLOOKUP($E1091,'[1]Product Naming'!$A$1:$P$58,3)</f>
        <v>Pentanol (PW1)</v>
      </c>
      <c r="U1091" s="3" t="str">
        <f>VLOOKUP($E1091,'[1]Product Naming'!$A$1:$P$58,4)</f>
        <v>E</v>
      </c>
      <c r="V1091" s="3" t="str">
        <f>VLOOKUP($E1091,'[1]Product Naming'!$A$1:$P$58,5)</f>
        <v>C5H12O</v>
      </c>
      <c r="W1091" s="3">
        <f>VLOOKUP($E1091,'[1]Product Naming'!$A$1:$P$58,6)</f>
        <v>5</v>
      </c>
      <c r="X1091" s="3">
        <f>VLOOKUP($E1091,'[1]Product Naming'!$A$1:$P$58,7)</f>
        <v>12</v>
      </c>
      <c r="Y1091" s="3">
        <f>VLOOKUP($E1091,'[1]Product Naming'!$A$1:$P$58,8)</f>
        <v>1</v>
      </c>
      <c r="Z1091" s="3">
        <f>VLOOKUP($E1091,'[1]Product Naming'!$A$1:$P$58,9)</f>
        <v>0</v>
      </c>
      <c r="AA1091" s="3">
        <f>VLOOKUP($E1091,'[1]Product Naming'!$A$1:$P$58,10)</f>
        <v>0</v>
      </c>
      <c r="AB1091" s="3">
        <f>VLOOKUP($E1091,'[1]Product Naming'!$A$1:$P$58,11)</f>
        <v>6</v>
      </c>
      <c r="AC1091" s="3">
        <f>VLOOKUP($E1091,'[1]Product Naming'!$A$1:$P$58,12)</f>
        <v>88.14658</v>
      </c>
      <c r="AD1091" s="3">
        <f>VLOOKUP($E1091,'[1]Product Naming'!$A$1:$P$58,13)</f>
        <v>138</v>
      </c>
      <c r="AE1091" s="3" t="str">
        <f>VLOOKUP($E1091,'[1]Product Naming'!$A$1:$P$58,14)</f>
        <v>Alcohol</v>
      </c>
      <c r="AF1091" s="3" t="str">
        <f>VLOOKUP($E1091,'[1]Product Naming'!$A$1:$P$58,15)</f>
        <v>Acetyl-CoA + Succinyl-CoA</v>
      </c>
      <c r="AG1091" s="3" t="str">
        <f>VLOOKUP($E1091,'[1]Product Naming'!$A$1:$P$58,16)</f>
        <v>Proton symporter</v>
      </c>
      <c r="AH1091" s="3" t="str">
        <f>VLOOKUP($E1091,'[1]Product Naming'!$A$1:$Q$58,17)</f>
        <v>pentoh_c</v>
      </c>
    </row>
    <row r="1092" spans="1:34" hidden="1" x14ac:dyDescent="0.2">
      <c r="A1092" s="16" t="s">
        <v>63</v>
      </c>
      <c r="B1092" s="17" t="s">
        <v>64</v>
      </c>
      <c r="C1092" t="s">
        <v>73</v>
      </c>
      <c r="D1092" s="18" t="s">
        <v>66</v>
      </c>
      <c r="E1092" t="s">
        <v>323</v>
      </c>
      <c r="F1092" t="s">
        <v>324</v>
      </c>
      <c r="G1092">
        <v>-10</v>
      </c>
      <c r="H1092">
        <v>0</v>
      </c>
      <c r="I1092">
        <v>-20</v>
      </c>
      <c r="J1092">
        <v>0.45</v>
      </c>
      <c r="K1092">
        <v>-10</v>
      </c>
      <c r="L1092">
        <v>0</v>
      </c>
      <c r="M1092">
        <v>-20</v>
      </c>
      <c r="N1092">
        <v>0.39999999999999503</v>
      </c>
      <c r="O1092">
        <v>1.2</v>
      </c>
      <c r="P1092"/>
      <c r="Q1092">
        <v>0.12</v>
      </c>
      <c r="R1092" s="19">
        <v>0.273760862792091</v>
      </c>
      <c r="S1092" s="11" t="s">
        <v>323</v>
      </c>
      <c r="T1092" s="2" t="s">
        <v>323</v>
      </c>
      <c r="U1092" s="3" t="s">
        <v>106</v>
      </c>
      <c r="V1092" s="2" t="s">
        <v>325</v>
      </c>
      <c r="W1092" s="2">
        <v>8</v>
      </c>
      <c r="X1092" s="2">
        <v>18</v>
      </c>
      <c r="Y1092" s="2">
        <v>0</v>
      </c>
      <c r="Z1092" s="2">
        <v>0</v>
      </c>
      <c r="AA1092" s="2">
        <v>0</v>
      </c>
      <c r="AB1092" s="12">
        <f>(W1092*4+X1092*1+Y1092*-2+Z1092*-3)/W1092</f>
        <v>6.25</v>
      </c>
      <c r="AC1092" s="3">
        <f>W1092*12.0107+X1092*1.00784+Y1092*15.999+Z1092*14.0067</f>
        <v>114.22672</v>
      </c>
      <c r="AD1092" s="12">
        <v>126</v>
      </c>
      <c r="AE1092" s="3" t="s">
        <v>321</v>
      </c>
      <c r="AF1092" s="2" t="s">
        <v>313</v>
      </c>
      <c r="AG1092" s="2" t="str">
        <f>IF(AD1092&gt;37,"Proton symporter", "Diffusion")</f>
        <v>Proton symporter</v>
      </c>
      <c r="AH1092" s="3" t="s">
        <v>326</v>
      </c>
    </row>
    <row r="1093" spans="1:34" hidden="1" x14ac:dyDescent="0.2">
      <c r="A1093" s="16" t="s">
        <v>317</v>
      </c>
      <c r="B1093" s="9" t="s">
        <v>35</v>
      </c>
      <c r="C1093" t="s">
        <v>58</v>
      </c>
      <c r="D1093" s="10" t="s">
        <v>37</v>
      </c>
      <c r="E1093" t="s">
        <v>331</v>
      </c>
      <c r="F1093" t="s">
        <v>332</v>
      </c>
      <c r="G1093">
        <v>-10</v>
      </c>
      <c r="H1093">
        <v>-20</v>
      </c>
      <c r="I1093" s="1" t="s">
        <v>40</v>
      </c>
      <c r="J1093">
        <v>3.15</v>
      </c>
      <c r="K1093">
        <v>-10</v>
      </c>
      <c r="L1093">
        <v>-1.8848571428571499</v>
      </c>
      <c r="M1093" s="1" t="s">
        <v>40</v>
      </c>
      <c r="N1093">
        <v>8.5588571428571196</v>
      </c>
      <c r="O1093">
        <v>1.9068571428571399</v>
      </c>
      <c r="P1093"/>
      <c r="Q1093">
        <v>0.19068571428571399</v>
      </c>
      <c r="R1093">
        <v>0.27363190427343898</v>
      </c>
      <c r="S1093" s="11" t="s">
        <v>331</v>
      </c>
      <c r="T1093" s="2" t="s">
        <v>331</v>
      </c>
      <c r="U1093" s="3" t="s">
        <v>106</v>
      </c>
      <c r="V1093" s="3" t="s">
        <v>333</v>
      </c>
      <c r="W1093" s="2">
        <v>6</v>
      </c>
      <c r="X1093" s="2">
        <v>14</v>
      </c>
      <c r="Y1093" s="2">
        <v>0</v>
      </c>
      <c r="Z1093" s="2">
        <v>0</v>
      </c>
      <c r="AA1093" s="2">
        <v>0</v>
      </c>
      <c r="AB1093" s="12">
        <f>(W1093*4+X1093*1+Y1093*-2+Z1093*-3)/W1093</f>
        <v>6.333333333333333</v>
      </c>
      <c r="AC1093" s="3">
        <f>W1093*12.0107+X1093*1.00784+Y1093*15.999+Z1093*14.0067</f>
        <v>86.173959999999994</v>
      </c>
      <c r="AD1093" s="12">
        <v>69</v>
      </c>
      <c r="AE1093" s="3" t="s">
        <v>321</v>
      </c>
      <c r="AF1093" s="2" t="s">
        <v>313</v>
      </c>
      <c r="AG1093" s="2" t="str">
        <f>IF(AD1093&gt;37,"Proton symporter", "Diffusion")</f>
        <v>Proton symporter</v>
      </c>
      <c r="AH1093" s="3" t="s">
        <v>334</v>
      </c>
    </row>
    <row r="1094" spans="1:34" hidden="1" x14ac:dyDescent="0.2">
      <c r="A1094" s="16" t="s">
        <v>63</v>
      </c>
      <c r="B1094" s="17" t="s">
        <v>64</v>
      </c>
      <c r="C1094" t="s">
        <v>73</v>
      </c>
      <c r="D1094" s="18" t="s">
        <v>66</v>
      </c>
      <c r="E1094" t="s">
        <v>273</v>
      </c>
      <c r="F1094" t="s">
        <v>274</v>
      </c>
      <c r="G1094">
        <v>-10</v>
      </c>
      <c r="H1094">
        <v>0</v>
      </c>
      <c r="I1094">
        <v>-20</v>
      </c>
      <c r="J1094">
        <v>0.45</v>
      </c>
      <c r="K1094">
        <v>-10</v>
      </c>
      <c r="L1094">
        <v>0</v>
      </c>
      <c r="M1094">
        <v>-18.2153846153846</v>
      </c>
      <c r="N1094">
        <v>0</v>
      </c>
      <c r="O1094">
        <v>1.7846153846153801</v>
      </c>
      <c r="P1094"/>
      <c r="Q1094">
        <v>0.17846153846153801</v>
      </c>
      <c r="R1094" s="19">
        <v>0.273347840592636</v>
      </c>
      <c r="S1094" s="22" t="s">
        <v>273</v>
      </c>
      <c r="T1094" s="3" t="s">
        <v>275</v>
      </c>
      <c r="U1094" s="3" t="s">
        <v>41</v>
      </c>
      <c r="V1094" s="2" t="s">
        <v>276</v>
      </c>
      <c r="W1094" s="2">
        <v>3</v>
      </c>
      <c r="X1094" s="2">
        <v>12</v>
      </c>
      <c r="Y1094" s="2">
        <v>0</v>
      </c>
      <c r="Z1094" s="2">
        <v>2</v>
      </c>
      <c r="AA1094" s="2">
        <v>0</v>
      </c>
      <c r="AB1094" s="12">
        <f>(W1094*4+X1094*1+Y1094*-2+Z1094*-3)/W1094</f>
        <v>6</v>
      </c>
      <c r="AC1094" s="3">
        <f>W1094*12.0107+X1094*1.00784+Y1094*15.999+Z1094*14.0067</f>
        <v>76.139580000000009</v>
      </c>
      <c r="AD1094" s="12">
        <v>139.30000000000001</v>
      </c>
      <c r="AE1094" s="2" t="s">
        <v>277</v>
      </c>
      <c r="AF1094" s="2" t="s">
        <v>125</v>
      </c>
      <c r="AG1094" s="2" t="str">
        <f>IF(AD1094&gt;37,"Proton symporter", "Diffusion")</f>
        <v>Proton symporter</v>
      </c>
      <c r="AH1094" s="3" t="s">
        <v>278</v>
      </c>
    </row>
    <row r="1095" spans="1:34" hidden="1" x14ac:dyDescent="0.2">
      <c r="A1095" s="8" t="s">
        <v>350</v>
      </c>
      <c r="B1095" s="17" t="s">
        <v>64</v>
      </c>
      <c r="C1095" t="s">
        <v>352</v>
      </c>
      <c r="D1095" s="13" t="s">
        <v>51</v>
      </c>
      <c r="E1095" t="s">
        <v>273</v>
      </c>
      <c r="F1095" t="s">
        <v>274</v>
      </c>
      <c r="G1095">
        <v>-10</v>
      </c>
      <c r="H1095">
        <v>0</v>
      </c>
      <c r="I1095">
        <v>0</v>
      </c>
      <c r="J1095">
        <v>0.45</v>
      </c>
      <c r="K1095">
        <v>-10</v>
      </c>
      <c r="L1095">
        <v>0</v>
      </c>
      <c r="M1095" s="26">
        <v>1.1418181818181801</v>
      </c>
      <c r="N1095">
        <v>0</v>
      </c>
      <c r="O1095" s="26">
        <v>1.1418181818181801</v>
      </c>
      <c r="P1095"/>
      <c r="Q1095" s="26">
        <v>0.114181818181818</v>
      </c>
      <c r="R1095" s="26">
        <v>0.27329512927719501</v>
      </c>
      <c r="S1095" s="3" t="str">
        <f>VLOOKUP($E1095,'[1]Product Naming'!$A$1:$P$58,2)</f>
        <v>1-3-Diaminopropane</v>
      </c>
      <c r="T1095" s="3" t="str">
        <f>VLOOKUP($E1095,'[1]Product Naming'!$A$1:$P$58,3)</f>
        <v>1,3-Diaminopropane</v>
      </c>
      <c r="U1095" s="3" t="str">
        <f>VLOOKUP($E1095,'[1]Product Naming'!$A$1:$P$58,4)</f>
        <v>A</v>
      </c>
      <c r="V1095" s="3" t="str">
        <f>VLOOKUP($E1095,'[1]Product Naming'!$A$1:$P$58,5)</f>
        <v>C3H12N2</v>
      </c>
      <c r="W1095" s="3">
        <f>VLOOKUP($E1095,'[1]Product Naming'!$A$1:$P$58,6)</f>
        <v>3</v>
      </c>
      <c r="X1095" s="3">
        <f>VLOOKUP($E1095,'[1]Product Naming'!$A$1:$P$58,7)</f>
        <v>12</v>
      </c>
      <c r="Y1095" s="3">
        <f>VLOOKUP($E1095,'[1]Product Naming'!$A$1:$P$58,8)</f>
        <v>0</v>
      </c>
      <c r="Z1095" s="3">
        <f>VLOOKUP($E1095,'[1]Product Naming'!$A$1:$P$58,9)</f>
        <v>2</v>
      </c>
      <c r="AA1095" s="3">
        <f>VLOOKUP($E1095,'[1]Product Naming'!$A$1:$P$58,10)</f>
        <v>2</v>
      </c>
      <c r="AB1095" s="3">
        <f>VLOOKUP($E1095,'[1]Product Naming'!$A$1:$P$58,11)</f>
        <v>6</v>
      </c>
      <c r="AC1095" s="3">
        <f>VLOOKUP($E1095,'[1]Product Naming'!$A$1:$P$58,12)</f>
        <v>76.139580000000009</v>
      </c>
      <c r="AD1095" s="3">
        <f>VLOOKUP($E1095,'[1]Product Naming'!$A$1:$P$58,13)</f>
        <v>139.30000000000001</v>
      </c>
      <c r="AE1095" s="3" t="str">
        <f>VLOOKUP($E1095,'[1]Product Naming'!$A$1:$P$58,14)</f>
        <v>Diamine</v>
      </c>
      <c r="AF1095" s="3" t="str">
        <f>VLOOKUP($E1095,'[1]Product Naming'!$A$1:$P$58,15)</f>
        <v>Oxaloacetate + aKG</v>
      </c>
      <c r="AG1095" s="3" t="str">
        <f>VLOOKUP($E1095,'[1]Product Naming'!$A$1:$P$58,16)</f>
        <v>Proton symporter</v>
      </c>
      <c r="AH1095" s="3" t="str">
        <f>VLOOKUP($E1095,'[1]Product Naming'!$A$1:$Q$58,17)</f>
        <v>13dampp_c</v>
      </c>
    </row>
    <row r="1096" spans="1:34" hidden="1" x14ac:dyDescent="0.2">
      <c r="A1096" s="16" t="s">
        <v>317</v>
      </c>
      <c r="B1096" s="9" t="s">
        <v>35</v>
      </c>
      <c r="C1096" t="s">
        <v>61</v>
      </c>
      <c r="D1096" s="13" t="s">
        <v>51</v>
      </c>
      <c r="E1096" t="s">
        <v>327</v>
      </c>
      <c r="F1096" t="s">
        <v>328</v>
      </c>
      <c r="G1096">
        <v>-10</v>
      </c>
      <c r="H1096">
        <v>-20</v>
      </c>
      <c r="I1096" s="1" t="s">
        <v>40</v>
      </c>
      <c r="J1096">
        <v>3.15</v>
      </c>
      <c r="K1096">
        <v>-10</v>
      </c>
      <c r="L1096">
        <v>-5.3871921182265998</v>
      </c>
      <c r="M1096" s="1" t="s">
        <v>40</v>
      </c>
      <c r="N1096">
        <v>3.8827586206896698</v>
      </c>
      <c r="O1096">
        <v>0.87389162561576295</v>
      </c>
      <c r="P1096"/>
      <c r="Q1096">
        <v>8.7389162561576306E-2</v>
      </c>
      <c r="R1096">
        <v>0.27328758165257999</v>
      </c>
      <c r="S1096" s="20" t="s">
        <v>327</v>
      </c>
      <c r="T1096" s="3" t="s">
        <v>327</v>
      </c>
      <c r="U1096" s="3" t="s">
        <v>106</v>
      </c>
      <c r="V1096" s="3" t="s">
        <v>329</v>
      </c>
      <c r="W1096" s="3">
        <v>7</v>
      </c>
      <c r="X1096" s="3">
        <v>16</v>
      </c>
      <c r="Y1096" s="3">
        <v>0</v>
      </c>
      <c r="Z1096" s="3">
        <v>0</v>
      </c>
      <c r="AA1096" s="3">
        <v>0</v>
      </c>
      <c r="AB1096" s="12">
        <f>(W1096*4+X1096*1+Y1096*-2+Z1096*-3)/W1096</f>
        <v>6.2857142857142856</v>
      </c>
      <c r="AC1096" s="3">
        <f>W1096*12.0107+X1096*1.00784+Y1096*15.999+Z1096*14.0067</f>
        <v>100.20034</v>
      </c>
      <c r="AD1096" s="3">
        <v>98</v>
      </c>
      <c r="AE1096" s="3" t="s">
        <v>321</v>
      </c>
      <c r="AF1096" s="2" t="s">
        <v>79</v>
      </c>
      <c r="AG1096" s="2" t="str">
        <f>IF(AD1096&gt;37,"Proton symporter", "Diffusion")</f>
        <v>Proton symporter</v>
      </c>
      <c r="AH1096" s="3" t="s">
        <v>330</v>
      </c>
    </row>
    <row r="1097" spans="1:34" hidden="1" x14ac:dyDescent="0.2">
      <c r="A1097" s="16" t="s">
        <v>63</v>
      </c>
      <c r="B1097" s="17" t="s">
        <v>64</v>
      </c>
      <c r="C1097" t="s">
        <v>73</v>
      </c>
      <c r="D1097" s="18" t="s">
        <v>66</v>
      </c>
      <c r="E1097" t="s">
        <v>327</v>
      </c>
      <c r="F1097" t="s">
        <v>328</v>
      </c>
      <c r="G1097">
        <v>-10</v>
      </c>
      <c r="H1097">
        <v>0</v>
      </c>
      <c r="I1097">
        <v>-20</v>
      </c>
      <c r="J1097">
        <v>0.45</v>
      </c>
      <c r="K1097">
        <v>-10</v>
      </c>
      <c r="L1097">
        <v>0</v>
      </c>
      <c r="M1097">
        <v>-20</v>
      </c>
      <c r="N1097">
        <v>0.45454545454545697</v>
      </c>
      <c r="O1097">
        <v>1.36363636363636</v>
      </c>
      <c r="P1097"/>
      <c r="Q1097">
        <v>0.13636363636363599</v>
      </c>
      <c r="R1097" s="19">
        <v>0.272891606296639</v>
      </c>
      <c r="S1097" s="20" t="s">
        <v>327</v>
      </c>
      <c r="T1097" s="3" t="s">
        <v>327</v>
      </c>
      <c r="U1097" s="3" t="s">
        <v>106</v>
      </c>
      <c r="V1097" s="3" t="s">
        <v>329</v>
      </c>
      <c r="W1097" s="3">
        <v>7</v>
      </c>
      <c r="X1097" s="3">
        <v>16</v>
      </c>
      <c r="Y1097" s="3">
        <v>0</v>
      </c>
      <c r="Z1097" s="3">
        <v>0</v>
      </c>
      <c r="AA1097" s="3">
        <v>0</v>
      </c>
      <c r="AB1097" s="12">
        <f>(W1097*4+X1097*1+Y1097*-2+Z1097*-3)/W1097</f>
        <v>6.2857142857142856</v>
      </c>
      <c r="AC1097" s="3">
        <f>W1097*12.0107+X1097*1.00784+Y1097*15.999+Z1097*14.0067</f>
        <v>100.20034</v>
      </c>
      <c r="AD1097" s="3">
        <v>98</v>
      </c>
      <c r="AE1097" s="3" t="s">
        <v>321</v>
      </c>
      <c r="AF1097" s="2" t="s">
        <v>79</v>
      </c>
      <c r="AG1097" s="2" t="str">
        <f>IF(AD1097&gt;37,"Proton symporter", "Diffusion")</f>
        <v>Proton symporter</v>
      </c>
      <c r="AH1097" s="3" t="s">
        <v>330</v>
      </c>
    </row>
    <row r="1098" spans="1:34" hidden="1" x14ac:dyDescent="0.2">
      <c r="A1098" s="16" t="s">
        <v>63</v>
      </c>
      <c r="B1098" s="17" t="s">
        <v>64</v>
      </c>
      <c r="C1098" t="s">
        <v>73</v>
      </c>
      <c r="D1098" s="18" t="s">
        <v>66</v>
      </c>
      <c r="E1098" t="s">
        <v>331</v>
      </c>
      <c r="F1098" t="s">
        <v>332</v>
      </c>
      <c r="G1098">
        <v>-10</v>
      </c>
      <c r="H1098">
        <v>0</v>
      </c>
      <c r="I1098">
        <v>-20</v>
      </c>
      <c r="J1098">
        <v>0.45</v>
      </c>
      <c r="K1098">
        <v>-10</v>
      </c>
      <c r="L1098">
        <v>0</v>
      </c>
      <c r="M1098">
        <v>-20</v>
      </c>
      <c r="N1098">
        <v>0.52631578947367996</v>
      </c>
      <c r="O1098">
        <v>1.57894736842105</v>
      </c>
      <c r="P1098"/>
      <c r="Q1098">
        <v>0.157894736842105</v>
      </c>
      <c r="R1098" s="19">
        <v>0.271747847749992</v>
      </c>
      <c r="S1098" s="11" t="s">
        <v>331</v>
      </c>
      <c r="T1098" s="2" t="s">
        <v>331</v>
      </c>
      <c r="U1098" s="3" t="s">
        <v>106</v>
      </c>
      <c r="V1098" s="3" t="s">
        <v>333</v>
      </c>
      <c r="W1098" s="2">
        <v>6</v>
      </c>
      <c r="X1098" s="2">
        <v>14</v>
      </c>
      <c r="Y1098" s="2">
        <v>0</v>
      </c>
      <c r="Z1098" s="2">
        <v>0</v>
      </c>
      <c r="AA1098" s="2">
        <v>0</v>
      </c>
      <c r="AB1098" s="12">
        <f>(W1098*4+X1098*1+Y1098*-2+Z1098*-3)/W1098</f>
        <v>6.333333333333333</v>
      </c>
      <c r="AC1098" s="3">
        <f>W1098*12.0107+X1098*1.00784+Y1098*15.999+Z1098*14.0067</f>
        <v>86.173959999999994</v>
      </c>
      <c r="AD1098" s="12">
        <v>69</v>
      </c>
      <c r="AE1098" s="3" t="s">
        <v>321</v>
      </c>
      <c r="AF1098" s="2" t="s">
        <v>313</v>
      </c>
      <c r="AG1098" s="2" t="str">
        <f>IF(AD1098&gt;37,"Proton symporter", "Diffusion")</f>
        <v>Proton symporter</v>
      </c>
      <c r="AH1098" s="3" t="s">
        <v>334</v>
      </c>
    </row>
    <row r="1099" spans="1:34" hidden="1" x14ac:dyDescent="0.2">
      <c r="A1099" s="8" t="s">
        <v>34</v>
      </c>
      <c r="B1099" s="9" t="s">
        <v>35</v>
      </c>
      <c r="C1099" s="1" t="s">
        <v>57</v>
      </c>
      <c r="D1099" s="10" t="s">
        <v>37</v>
      </c>
      <c r="E1099" s="1" t="s">
        <v>199</v>
      </c>
      <c r="F1099" s="1" t="s">
        <v>200</v>
      </c>
      <c r="G1099" s="1">
        <v>-10</v>
      </c>
      <c r="H1099" s="1">
        <v>-20</v>
      </c>
      <c r="I1099" s="1" t="s">
        <v>40</v>
      </c>
      <c r="J1099" s="1">
        <v>3.15</v>
      </c>
      <c r="K1099" s="1">
        <v>-10</v>
      </c>
      <c r="L1099" s="1">
        <v>-7.1762650602409597</v>
      </c>
      <c r="M1099" s="1" t="s">
        <v>40</v>
      </c>
      <c r="N1099" s="1">
        <v>9.4392771084337195</v>
      </c>
      <c r="O1099" s="1">
        <v>1.50867469879518</v>
      </c>
      <c r="Q1099" s="1">
        <v>0.15086746987951799</v>
      </c>
      <c r="R1099" s="1">
        <v>0.27166952409116901</v>
      </c>
      <c r="S1099" s="20" t="s">
        <v>201</v>
      </c>
      <c r="T1099" s="3" t="s">
        <v>201</v>
      </c>
      <c r="U1099" s="3" t="s">
        <v>106</v>
      </c>
      <c r="V1099" s="3" t="s">
        <v>202</v>
      </c>
      <c r="W1099" s="3">
        <v>7</v>
      </c>
      <c r="X1099" s="3">
        <v>8</v>
      </c>
      <c r="Y1099" s="3">
        <v>1</v>
      </c>
      <c r="Z1099" s="3">
        <v>0</v>
      </c>
      <c r="AA1099" s="3">
        <v>0</v>
      </c>
      <c r="AB1099" s="12">
        <f>(W1099*4+X1099*1+Y1099*-2+Z1099*-3)/W1099</f>
        <v>4.8571428571428568</v>
      </c>
      <c r="AC1099" s="3">
        <f>W1099*12.0107+X1099*1.00784+Y1099*15.999+Z1099*14.0067</f>
        <v>108.13661999999999</v>
      </c>
      <c r="AD1099" s="12">
        <v>205</v>
      </c>
      <c r="AE1099" s="3" t="s">
        <v>176</v>
      </c>
      <c r="AF1099" s="3" t="s">
        <v>203</v>
      </c>
      <c r="AG1099" s="2" t="str">
        <f>IF(AD1099&gt;37,"Proton symporter", "Diffusion")</f>
        <v>Proton symporter</v>
      </c>
      <c r="AH1099" s="3" t="s">
        <v>204</v>
      </c>
    </row>
    <row r="1100" spans="1:34" hidden="1" x14ac:dyDescent="0.2">
      <c r="A1100" s="8" t="s">
        <v>34</v>
      </c>
      <c r="B1100" s="9" t="s">
        <v>35</v>
      </c>
      <c r="C1100" s="1" t="s">
        <v>57</v>
      </c>
      <c r="D1100" s="10" t="s">
        <v>37</v>
      </c>
      <c r="E1100" s="1" t="s">
        <v>315</v>
      </c>
      <c r="F1100" s="1" t="s">
        <v>311</v>
      </c>
      <c r="G1100" s="1">
        <v>-10</v>
      </c>
      <c r="H1100" s="1">
        <v>-20</v>
      </c>
      <c r="I1100" s="1" t="s">
        <v>40</v>
      </c>
      <c r="J1100" s="1">
        <v>3.15</v>
      </c>
      <c r="K1100" s="1">
        <v>-10</v>
      </c>
      <c r="L1100" s="1">
        <v>-6.1829896907216497</v>
      </c>
      <c r="M1100" s="1" t="s">
        <v>40</v>
      </c>
      <c r="N1100" s="1">
        <v>10.7886597938144</v>
      </c>
      <c r="O1100" s="1">
        <v>1.84226804123711</v>
      </c>
      <c r="Q1100" s="1">
        <v>0.18422680412371101</v>
      </c>
      <c r="R1100" s="1">
        <v>0.270415019114019</v>
      </c>
      <c r="S1100" s="20" t="s">
        <v>315</v>
      </c>
      <c r="T1100" s="3" t="s">
        <v>316</v>
      </c>
      <c r="U1100" s="3" t="s">
        <v>106</v>
      </c>
      <c r="V1100" s="3" t="s">
        <v>292</v>
      </c>
      <c r="W1100" s="3">
        <v>5</v>
      </c>
      <c r="X1100" s="3">
        <v>12</v>
      </c>
      <c r="Y1100" s="3">
        <v>1</v>
      </c>
      <c r="Z1100" s="3">
        <v>0</v>
      </c>
      <c r="AA1100" s="3">
        <v>0</v>
      </c>
      <c r="AB1100" s="12">
        <f>(W1100*4+X1100*1+Y1100*-2+Z1100*-3)/W1100</f>
        <v>6</v>
      </c>
      <c r="AC1100" s="3">
        <f>W1100*12.0107+X1100*1.00784+Y1100*15.999+Z1100*14.0067</f>
        <v>88.14658</v>
      </c>
      <c r="AD1100" s="12">
        <v>138</v>
      </c>
      <c r="AE1100" s="3" t="s">
        <v>262</v>
      </c>
      <c r="AF1100" s="3" t="s">
        <v>44</v>
      </c>
      <c r="AG1100" s="2" t="str">
        <f>IF(AD1100&gt;37,"Proton symporter", "Diffusion")</f>
        <v>Proton symporter</v>
      </c>
      <c r="AH1100" s="3" t="s">
        <v>314</v>
      </c>
    </row>
    <row r="1101" spans="1:34" hidden="1" x14ac:dyDescent="0.2">
      <c r="A1101" s="16" t="s">
        <v>63</v>
      </c>
      <c r="B1101" s="17" t="s">
        <v>64</v>
      </c>
      <c r="C1101" t="s">
        <v>73</v>
      </c>
      <c r="D1101" s="18" t="s">
        <v>66</v>
      </c>
      <c r="E1101" t="s">
        <v>335</v>
      </c>
      <c r="F1101" t="s">
        <v>336</v>
      </c>
      <c r="G1101">
        <v>-10</v>
      </c>
      <c r="H1101">
        <v>0</v>
      </c>
      <c r="I1101">
        <v>-20</v>
      </c>
      <c r="J1101">
        <v>0.45</v>
      </c>
      <c r="K1101">
        <v>-10</v>
      </c>
      <c r="L1101">
        <v>0</v>
      </c>
      <c r="M1101">
        <v>-20</v>
      </c>
      <c r="N1101">
        <v>0.625000000000006</v>
      </c>
      <c r="O1101">
        <v>1.875</v>
      </c>
      <c r="P1101"/>
      <c r="Q1101">
        <v>0.1875</v>
      </c>
      <c r="R1101" s="19">
        <v>0.27017517974835198</v>
      </c>
      <c r="S1101" s="11" t="s">
        <v>335</v>
      </c>
      <c r="T1101" s="2" t="s">
        <v>335</v>
      </c>
      <c r="U1101" s="3" t="s">
        <v>106</v>
      </c>
      <c r="V1101" s="2" t="s">
        <v>337</v>
      </c>
      <c r="W1101" s="2">
        <v>5</v>
      </c>
      <c r="X1101" s="2">
        <v>12</v>
      </c>
      <c r="Y1101" s="2">
        <v>0</v>
      </c>
      <c r="Z1101" s="2">
        <v>0</v>
      </c>
      <c r="AA1101" s="2">
        <v>0</v>
      </c>
      <c r="AB1101" s="12">
        <f>(W1101*4+X1101*1+Y1101*-2+Z1101*-3)/W1101</f>
        <v>6.4</v>
      </c>
      <c r="AC1101" s="3">
        <f>W1101*12.0107+X1101*1.00784+Y1101*15.999+Z1101*14.0067</f>
        <v>72.147580000000005</v>
      </c>
      <c r="AD1101" s="24">
        <v>36.1</v>
      </c>
      <c r="AE1101" s="3" t="s">
        <v>321</v>
      </c>
      <c r="AF1101" s="2" t="s">
        <v>79</v>
      </c>
      <c r="AG1101" s="25" t="str">
        <f>IF(AD1101&gt;37,"Proton symporter", "Diffusion")</f>
        <v>Diffusion</v>
      </c>
      <c r="AH1101" s="3" t="s">
        <v>338</v>
      </c>
    </row>
    <row r="1102" spans="1:34" hidden="1" x14ac:dyDescent="0.2">
      <c r="A1102" s="8" t="s">
        <v>34</v>
      </c>
      <c r="B1102" s="9" t="s">
        <v>35</v>
      </c>
      <c r="C1102" s="1" t="s">
        <v>47</v>
      </c>
      <c r="D1102" s="10" t="s">
        <v>37</v>
      </c>
      <c r="E1102" s="1" t="s">
        <v>335</v>
      </c>
      <c r="F1102" s="1" t="s">
        <v>336</v>
      </c>
      <c r="G1102" s="1">
        <v>-10</v>
      </c>
      <c r="H1102" s="1">
        <v>-20</v>
      </c>
      <c r="I1102" s="1" t="s">
        <v>40</v>
      </c>
      <c r="J1102" s="1">
        <v>3.15</v>
      </c>
      <c r="K1102" s="1">
        <v>-10</v>
      </c>
      <c r="L1102" s="1">
        <v>-6.4488888888888898</v>
      </c>
      <c r="M1102" s="1" t="s">
        <v>40</v>
      </c>
      <c r="N1102" s="1">
        <v>8.4055555555555408</v>
      </c>
      <c r="O1102" s="1">
        <v>2.3188888888888899</v>
      </c>
      <c r="Q1102" s="1">
        <v>0.23188888888888801</v>
      </c>
      <c r="R1102" s="1">
        <v>0.26955360971833697</v>
      </c>
      <c r="S1102" s="11" t="s">
        <v>335</v>
      </c>
      <c r="T1102" s="2" t="s">
        <v>335</v>
      </c>
      <c r="U1102" s="3" t="s">
        <v>106</v>
      </c>
      <c r="V1102" s="2" t="s">
        <v>337</v>
      </c>
      <c r="W1102" s="2">
        <v>5</v>
      </c>
      <c r="X1102" s="2">
        <v>12</v>
      </c>
      <c r="Y1102" s="2">
        <v>0</v>
      </c>
      <c r="Z1102" s="2">
        <v>0</v>
      </c>
      <c r="AA1102" s="2">
        <v>0</v>
      </c>
      <c r="AB1102" s="12">
        <f>(W1102*4+X1102*1+Y1102*-2+Z1102*-3)/W1102</f>
        <v>6.4</v>
      </c>
      <c r="AC1102" s="3">
        <f>W1102*12.0107+X1102*1.00784+Y1102*15.999+Z1102*14.0067</f>
        <v>72.147580000000005</v>
      </c>
      <c r="AD1102" s="24">
        <v>36.1</v>
      </c>
      <c r="AE1102" s="3" t="s">
        <v>321</v>
      </c>
      <c r="AF1102" s="2" t="s">
        <v>79</v>
      </c>
      <c r="AG1102" s="25" t="str">
        <f>IF(AD1102&gt;37,"Proton symporter", "Diffusion")</f>
        <v>Diffusion</v>
      </c>
      <c r="AH1102" s="3" t="s">
        <v>338</v>
      </c>
    </row>
    <row r="1103" spans="1:34" hidden="1" x14ac:dyDescent="0.2">
      <c r="A1103" s="16" t="s">
        <v>317</v>
      </c>
      <c r="B1103" s="9" t="s">
        <v>35</v>
      </c>
      <c r="C1103" t="s">
        <v>61</v>
      </c>
      <c r="D1103" s="13" t="s">
        <v>51</v>
      </c>
      <c r="E1103" t="s">
        <v>323</v>
      </c>
      <c r="F1103" t="s">
        <v>324</v>
      </c>
      <c r="G1103">
        <v>-10</v>
      </c>
      <c r="H1103">
        <v>-20</v>
      </c>
      <c r="I1103" s="1" t="s">
        <v>40</v>
      </c>
      <c r="J1103">
        <v>3.15</v>
      </c>
      <c r="K1103">
        <v>-10</v>
      </c>
      <c r="L1103">
        <v>-5.5638297872340399</v>
      </c>
      <c r="M1103" s="1" t="s">
        <v>40</v>
      </c>
      <c r="N1103">
        <v>3.9608510638297898</v>
      </c>
      <c r="O1103">
        <v>0.754893617021277</v>
      </c>
      <c r="P1103"/>
      <c r="Q1103">
        <v>7.5489361702127694E-2</v>
      </c>
      <c r="R1103">
        <v>0.26912037810633199</v>
      </c>
      <c r="S1103" s="11" t="s">
        <v>323</v>
      </c>
      <c r="T1103" s="2" t="s">
        <v>323</v>
      </c>
      <c r="U1103" s="3" t="s">
        <v>106</v>
      </c>
      <c r="V1103" s="2" t="s">
        <v>325</v>
      </c>
      <c r="W1103" s="2">
        <v>8</v>
      </c>
      <c r="X1103" s="2">
        <v>18</v>
      </c>
      <c r="Y1103" s="2">
        <v>0</v>
      </c>
      <c r="Z1103" s="2">
        <v>0</v>
      </c>
      <c r="AA1103" s="2">
        <v>0</v>
      </c>
      <c r="AB1103" s="12">
        <f>(W1103*4+X1103*1+Y1103*-2+Z1103*-3)/W1103</f>
        <v>6.25</v>
      </c>
      <c r="AC1103" s="3">
        <f>W1103*12.0107+X1103*1.00784+Y1103*15.999+Z1103*14.0067</f>
        <v>114.22672</v>
      </c>
      <c r="AD1103" s="12">
        <v>126</v>
      </c>
      <c r="AE1103" s="3" t="s">
        <v>321</v>
      </c>
      <c r="AF1103" s="2" t="s">
        <v>313</v>
      </c>
      <c r="AG1103" s="2" t="str">
        <f>IF(AD1103&gt;37,"Proton symporter", "Diffusion")</f>
        <v>Proton symporter</v>
      </c>
      <c r="AH1103" s="3" t="s">
        <v>326</v>
      </c>
    </row>
    <row r="1104" spans="1:34" hidden="1" x14ac:dyDescent="0.2">
      <c r="A1104" s="8" t="s">
        <v>34</v>
      </c>
      <c r="B1104" s="9" t="s">
        <v>35</v>
      </c>
      <c r="C1104" s="1" t="s">
        <v>58</v>
      </c>
      <c r="D1104" s="10" t="s">
        <v>37</v>
      </c>
      <c r="E1104" s="1" t="s">
        <v>335</v>
      </c>
      <c r="F1104" s="1" t="s">
        <v>336</v>
      </c>
      <c r="G1104" s="1">
        <v>-10</v>
      </c>
      <c r="H1104" s="1">
        <v>-20</v>
      </c>
      <c r="I1104" s="1" t="s">
        <v>40</v>
      </c>
      <c r="J1104" s="1">
        <v>3.15</v>
      </c>
      <c r="K1104" s="1">
        <v>-10</v>
      </c>
      <c r="L1104" s="1">
        <v>-2.1431438127090301</v>
      </c>
      <c r="M1104" s="1" t="s">
        <v>40</v>
      </c>
      <c r="N1104" s="1">
        <v>8.8394648829431492</v>
      </c>
      <c r="O1104" s="1">
        <v>2.2321070234113698</v>
      </c>
      <c r="Q1104" s="1">
        <v>0.22321070234113699</v>
      </c>
      <c r="R1104" s="1">
        <v>0.26816945320744301</v>
      </c>
      <c r="S1104" s="11" t="s">
        <v>335</v>
      </c>
      <c r="T1104" s="2" t="s">
        <v>335</v>
      </c>
      <c r="U1104" s="3" t="s">
        <v>106</v>
      </c>
      <c r="V1104" s="2" t="s">
        <v>337</v>
      </c>
      <c r="W1104" s="2">
        <v>5</v>
      </c>
      <c r="X1104" s="2">
        <v>12</v>
      </c>
      <c r="Y1104" s="2">
        <v>0</v>
      </c>
      <c r="Z1104" s="2">
        <v>0</v>
      </c>
      <c r="AA1104" s="2">
        <v>0</v>
      </c>
      <c r="AB1104" s="12">
        <f>(W1104*4+X1104*1+Y1104*-2+Z1104*-3)/W1104</f>
        <v>6.4</v>
      </c>
      <c r="AC1104" s="3">
        <f>W1104*12.0107+X1104*1.00784+Y1104*15.999+Z1104*14.0067</f>
        <v>72.147580000000005</v>
      </c>
      <c r="AD1104" s="24">
        <v>36.1</v>
      </c>
      <c r="AE1104" s="3" t="s">
        <v>321</v>
      </c>
      <c r="AF1104" s="2" t="s">
        <v>79</v>
      </c>
      <c r="AG1104" s="25" t="str">
        <f>IF(AD1104&gt;37,"Proton symporter", "Diffusion")</f>
        <v>Diffusion</v>
      </c>
      <c r="AH1104" s="3" t="s">
        <v>338</v>
      </c>
    </row>
    <row r="1105" spans="1:34" hidden="1" x14ac:dyDescent="0.2">
      <c r="A1105" s="8" t="s">
        <v>34</v>
      </c>
      <c r="B1105" s="9" t="s">
        <v>35</v>
      </c>
      <c r="C1105" s="1" t="s">
        <v>61</v>
      </c>
      <c r="D1105" s="13" t="s">
        <v>51</v>
      </c>
      <c r="E1105" s="1" t="s">
        <v>335</v>
      </c>
      <c r="F1105" s="1" t="s">
        <v>336</v>
      </c>
      <c r="G1105" s="1">
        <v>-10</v>
      </c>
      <c r="H1105" s="1">
        <v>-20</v>
      </c>
      <c r="I1105" s="1" t="s">
        <v>40</v>
      </c>
      <c r="J1105" s="1">
        <v>3.15</v>
      </c>
      <c r="K1105" s="1">
        <v>-10</v>
      </c>
      <c r="L1105" s="1">
        <v>-5.5386666666666704</v>
      </c>
      <c r="M1105" s="1" t="s">
        <v>40</v>
      </c>
      <c r="N1105" s="1">
        <v>4.0866666666666696</v>
      </c>
      <c r="O1105" s="1">
        <v>1.1826666666666701</v>
      </c>
      <c r="Q1105" s="1">
        <v>0.11826666666666701</v>
      </c>
      <c r="R1105" s="1">
        <v>0.26630373010963698</v>
      </c>
      <c r="S1105" s="11" t="s">
        <v>335</v>
      </c>
      <c r="T1105" s="2" t="s">
        <v>335</v>
      </c>
      <c r="U1105" s="3" t="s">
        <v>106</v>
      </c>
      <c r="V1105" s="2" t="s">
        <v>337</v>
      </c>
      <c r="W1105" s="2">
        <v>5</v>
      </c>
      <c r="X1105" s="2">
        <v>12</v>
      </c>
      <c r="Y1105" s="2">
        <v>0</v>
      </c>
      <c r="Z1105" s="2">
        <v>0</v>
      </c>
      <c r="AA1105" s="2">
        <v>0</v>
      </c>
      <c r="AB1105" s="12">
        <f>(W1105*4+X1105*1+Y1105*-2+Z1105*-3)/W1105</f>
        <v>6.4</v>
      </c>
      <c r="AC1105" s="3">
        <f>W1105*12.0107+X1105*1.00784+Y1105*15.999+Z1105*14.0067</f>
        <v>72.147580000000005</v>
      </c>
      <c r="AD1105" s="24">
        <v>36.1</v>
      </c>
      <c r="AE1105" s="3" t="s">
        <v>321</v>
      </c>
      <c r="AF1105" s="2" t="s">
        <v>79</v>
      </c>
      <c r="AG1105" s="25" t="str">
        <f>IF(AD1105&gt;37,"Proton symporter", "Diffusion")</f>
        <v>Diffusion</v>
      </c>
      <c r="AH1105" s="3" t="s">
        <v>338</v>
      </c>
    </row>
    <row r="1106" spans="1:34" hidden="1" x14ac:dyDescent="0.2">
      <c r="A1106" s="16" t="s">
        <v>63</v>
      </c>
      <c r="B1106" s="17" t="s">
        <v>64</v>
      </c>
      <c r="C1106" t="s">
        <v>73</v>
      </c>
      <c r="D1106" s="18" t="s">
        <v>66</v>
      </c>
      <c r="E1106" t="s">
        <v>343</v>
      </c>
      <c r="F1106" t="s">
        <v>344</v>
      </c>
      <c r="G1106">
        <v>-10</v>
      </c>
      <c r="H1106">
        <v>0</v>
      </c>
      <c r="I1106">
        <v>-20</v>
      </c>
      <c r="J1106">
        <v>0.45</v>
      </c>
      <c r="K1106">
        <v>-10</v>
      </c>
      <c r="L1106">
        <v>0</v>
      </c>
      <c r="M1106">
        <v>-20</v>
      </c>
      <c r="N1106">
        <v>1</v>
      </c>
      <c r="O1106">
        <v>3</v>
      </c>
      <c r="P1106"/>
      <c r="Q1106">
        <v>0.3</v>
      </c>
      <c r="R1106" s="19">
        <v>0.26419904134212102</v>
      </c>
      <c r="S1106" s="20" t="s">
        <v>343</v>
      </c>
      <c r="T1106" s="3" t="s">
        <v>345</v>
      </c>
      <c r="U1106" s="3" t="s">
        <v>106</v>
      </c>
      <c r="V1106" s="3" t="s">
        <v>346</v>
      </c>
      <c r="W1106" s="3">
        <v>3</v>
      </c>
      <c r="X1106" s="3">
        <v>8</v>
      </c>
      <c r="Y1106" s="3">
        <v>0</v>
      </c>
      <c r="Z1106" s="3">
        <v>0</v>
      </c>
      <c r="AA1106" s="3">
        <v>0</v>
      </c>
      <c r="AB1106" s="12">
        <f>(W1106*4+X1106*1+Y1106*-2+Z1106*-3)/W1106</f>
        <v>6.666666666666667</v>
      </c>
      <c r="AC1106" s="3">
        <f>W1106*12.0107+X1106*1.00784+Y1106*15.999+Z1106*14.0067</f>
        <v>44.094819999999999</v>
      </c>
      <c r="AD1106" s="24">
        <v>-42</v>
      </c>
      <c r="AE1106" s="3" t="s">
        <v>231</v>
      </c>
      <c r="AF1106" s="2" t="s">
        <v>79</v>
      </c>
      <c r="AG1106" s="25" t="str">
        <f>IF(AD1106&gt;37,"Proton symporter", "Diffusion")</f>
        <v>Diffusion</v>
      </c>
      <c r="AH1106" s="3" t="s">
        <v>347</v>
      </c>
    </row>
    <row r="1107" spans="1:34" hidden="1" x14ac:dyDescent="0.2">
      <c r="A1107" s="8" t="s">
        <v>34</v>
      </c>
      <c r="B1107" s="9" t="s">
        <v>35</v>
      </c>
      <c r="C1107" s="1" t="s">
        <v>47</v>
      </c>
      <c r="D1107" s="10" t="s">
        <v>37</v>
      </c>
      <c r="E1107" s="1" t="s">
        <v>339</v>
      </c>
      <c r="F1107" s="1" t="s">
        <v>340</v>
      </c>
      <c r="G1107" s="1">
        <v>-10</v>
      </c>
      <c r="H1107" s="1">
        <v>-20</v>
      </c>
      <c r="I1107" s="1" t="s">
        <v>40</v>
      </c>
      <c r="J1107" s="1">
        <v>3.15</v>
      </c>
      <c r="K1107" s="1">
        <v>-10</v>
      </c>
      <c r="L1107" s="1">
        <v>-6.6682432432432304</v>
      </c>
      <c r="M1107" s="1" t="s">
        <v>40</v>
      </c>
      <c r="N1107" s="1">
        <v>8.71891891891892</v>
      </c>
      <c r="O1107" s="1">
        <v>2.82027027027027</v>
      </c>
      <c r="Q1107" s="1">
        <v>0.28202702702702698</v>
      </c>
      <c r="R1107" s="1">
        <v>0.26410020950535601</v>
      </c>
      <c r="S1107" s="11" t="s">
        <v>339</v>
      </c>
      <c r="T1107" s="2" t="s">
        <v>339</v>
      </c>
      <c r="U1107" s="3" t="s">
        <v>106</v>
      </c>
      <c r="V1107" s="2" t="s">
        <v>341</v>
      </c>
      <c r="W1107" s="2">
        <v>4</v>
      </c>
      <c r="X1107" s="2">
        <v>10</v>
      </c>
      <c r="Y1107" s="2">
        <v>0</v>
      </c>
      <c r="Z1107" s="2">
        <v>0</v>
      </c>
      <c r="AA1107" s="2">
        <v>0</v>
      </c>
      <c r="AB1107" s="12">
        <f>(W1107*4+X1107*1+Y1107*-2+Z1107*-3)/W1107</f>
        <v>6.5</v>
      </c>
      <c r="AC1107" s="3">
        <f>W1107*12.0107+X1107*1.00784+Y1107*15.999+Z1107*14.0067</f>
        <v>58.121200000000002</v>
      </c>
      <c r="AD1107" s="24">
        <v>-1</v>
      </c>
      <c r="AE1107" s="3" t="s">
        <v>321</v>
      </c>
      <c r="AF1107" s="2" t="s">
        <v>313</v>
      </c>
      <c r="AG1107" s="25" t="str">
        <f>IF(AD1107&gt;37,"Proton symporter", "Diffusion")</f>
        <v>Diffusion</v>
      </c>
      <c r="AH1107" s="3" t="s">
        <v>342</v>
      </c>
    </row>
    <row r="1108" spans="1:34" hidden="1" x14ac:dyDescent="0.2">
      <c r="A1108" s="8" t="s">
        <v>350</v>
      </c>
      <c r="B1108" s="17" t="s">
        <v>64</v>
      </c>
      <c r="C1108" t="s">
        <v>353</v>
      </c>
      <c r="D1108" s="13" t="s">
        <v>51</v>
      </c>
      <c r="E1108" t="s">
        <v>166</v>
      </c>
      <c r="F1108" t="s">
        <v>167</v>
      </c>
      <c r="G1108">
        <v>-10</v>
      </c>
      <c r="H1108">
        <v>0</v>
      </c>
      <c r="I1108">
        <v>0</v>
      </c>
      <c r="J1108">
        <v>0.45</v>
      </c>
      <c r="K1108">
        <v>-10</v>
      </c>
      <c r="L1108">
        <v>0</v>
      </c>
      <c r="M1108" s="26">
        <v>2.89333333333333</v>
      </c>
      <c r="N1108">
        <v>0</v>
      </c>
      <c r="O1108" s="26">
        <v>0.96444444444444399</v>
      </c>
      <c r="P1108"/>
      <c r="Q1108">
        <v>9.6444444444444402E-2</v>
      </c>
      <c r="R1108" s="26">
        <v>0.26393147021581698</v>
      </c>
      <c r="S1108" s="3" t="str">
        <f>VLOOKUP($E1108,'[1]Product Naming'!$A$1:$P$58,2)</f>
        <v>GammaButyrolactone</v>
      </c>
      <c r="T1108" s="3" t="str">
        <f>VLOOKUP($E1108,'[1]Product Naming'!$A$1:$P$58,3)</f>
        <v>Gamma butyrolactone</v>
      </c>
      <c r="U1108" s="3" t="str">
        <f>VLOOKUP($E1108,'[1]Product Naming'!$A$1:$P$58,4)</f>
        <v>A</v>
      </c>
      <c r="V1108" s="3" t="str">
        <f>VLOOKUP($E1108,'[1]Product Naming'!$A$1:$P$58,5)</f>
        <v>C4H6O2</v>
      </c>
      <c r="W1108" s="3">
        <f>VLOOKUP($E1108,'[1]Product Naming'!$A$1:$P$58,6)</f>
        <v>4</v>
      </c>
      <c r="X1108" s="3">
        <f>VLOOKUP($E1108,'[1]Product Naming'!$A$1:$P$58,7)</f>
        <v>6</v>
      </c>
      <c r="Y1108" s="3">
        <f>VLOOKUP($E1108,'[1]Product Naming'!$A$1:$P$58,8)</f>
        <v>2</v>
      </c>
      <c r="Z1108" s="3">
        <f>VLOOKUP($E1108,'[1]Product Naming'!$A$1:$P$58,9)</f>
        <v>0</v>
      </c>
      <c r="AA1108" s="3">
        <f>VLOOKUP($E1108,'[1]Product Naming'!$A$1:$P$58,10)</f>
        <v>0</v>
      </c>
      <c r="AB1108" s="3">
        <f>VLOOKUP($E1108,'[1]Product Naming'!$A$1:$P$58,11)</f>
        <v>4.5</v>
      </c>
      <c r="AC1108" s="3">
        <f>VLOOKUP($E1108,'[1]Product Naming'!$A$1:$P$58,12)</f>
        <v>86.08784</v>
      </c>
      <c r="AD1108" s="3">
        <f>VLOOKUP($E1108,'[1]Product Naming'!$A$1:$P$58,13)</f>
        <v>204</v>
      </c>
      <c r="AE1108" s="3" t="str">
        <f>VLOOKUP($E1108,'[1]Product Naming'!$A$1:$P$58,14)</f>
        <v>Lactone (cyclic ester)</v>
      </c>
      <c r="AF1108" s="3" t="str">
        <f>VLOOKUP($E1108,'[1]Product Naming'!$A$1:$P$58,15)</f>
        <v>aKG</v>
      </c>
      <c r="AG1108" s="3" t="str">
        <f>VLOOKUP($E1108,'[1]Product Naming'!$A$1:$P$58,16)</f>
        <v>Proton symporter</v>
      </c>
      <c r="AH1108" s="3" t="str">
        <f>VLOOKUP($E1108,'[1]Product Naming'!$A$1:$Q$58,17)</f>
        <v>gblt_c</v>
      </c>
    </row>
    <row r="1109" spans="1:34" hidden="1" x14ac:dyDescent="0.2">
      <c r="A1109" s="8" t="s">
        <v>34</v>
      </c>
      <c r="B1109" s="9" t="s">
        <v>35</v>
      </c>
      <c r="C1109" s="1" t="s">
        <v>58</v>
      </c>
      <c r="D1109" s="10" t="s">
        <v>37</v>
      </c>
      <c r="E1109" s="1" t="s">
        <v>211</v>
      </c>
      <c r="F1109" s="1" t="s">
        <v>212</v>
      </c>
      <c r="G1109" s="1">
        <v>-10</v>
      </c>
      <c r="H1109" s="1">
        <v>-20</v>
      </c>
      <c r="I1109" s="1" t="s">
        <v>40</v>
      </c>
      <c r="J1109" s="1">
        <v>3.15</v>
      </c>
      <c r="K1109" s="1">
        <v>-10</v>
      </c>
      <c r="L1109" s="1">
        <v>-4.8006814310051098</v>
      </c>
      <c r="M1109" s="1" t="s">
        <v>40</v>
      </c>
      <c r="N1109" s="1">
        <v>7.8405451448040901</v>
      </c>
      <c r="O1109" s="1">
        <v>1.51993185689949</v>
      </c>
      <c r="Q1109" s="1">
        <v>0.15199318568994899</v>
      </c>
      <c r="R1109" s="1">
        <v>0.26360212717405301</v>
      </c>
      <c r="S1109" s="20" t="s">
        <v>211</v>
      </c>
      <c r="T1109" s="3" t="s">
        <v>211</v>
      </c>
      <c r="U1109" s="3" t="s">
        <v>174</v>
      </c>
      <c r="V1109" s="3" t="s">
        <v>213</v>
      </c>
      <c r="W1109" s="3">
        <v>8</v>
      </c>
      <c r="X1109" s="3">
        <v>8</v>
      </c>
      <c r="Y1109" s="3">
        <v>0</v>
      </c>
      <c r="Z1109" s="3">
        <v>0</v>
      </c>
      <c r="AA1109" s="3">
        <v>0</v>
      </c>
      <c r="AB1109" s="12">
        <f>(W1109*4+X1109*1+Y1109*-2+Z1109*-3)/W1109</f>
        <v>5</v>
      </c>
      <c r="AC1109" s="3">
        <f>W1109*12.0107+X1109*1.00784+Y1109*15.999+Z1109*14.0067</f>
        <v>104.14832</v>
      </c>
      <c r="AD1109" s="12">
        <v>145</v>
      </c>
      <c r="AE1109" s="3" t="s">
        <v>214</v>
      </c>
      <c r="AF1109" s="3" t="s">
        <v>203</v>
      </c>
      <c r="AG1109" s="2" t="str">
        <f>IF(AD1109&gt;37,"Proton symporter", "Diffusion")</f>
        <v>Proton symporter</v>
      </c>
      <c r="AH1109" s="3" t="s">
        <v>215</v>
      </c>
    </row>
    <row r="1110" spans="1:34" hidden="1" x14ac:dyDescent="0.2">
      <c r="A1110" s="16" t="s">
        <v>317</v>
      </c>
      <c r="B1110" s="9" t="s">
        <v>35</v>
      </c>
      <c r="C1110" t="s">
        <v>61</v>
      </c>
      <c r="D1110" s="13" t="s">
        <v>51</v>
      </c>
      <c r="E1110" t="s">
        <v>331</v>
      </c>
      <c r="F1110" t="s">
        <v>332</v>
      </c>
      <c r="G1110">
        <v>-10</v>
      </c>
      <c r="H1110">
        <v>-20</v>
      </c>
      <c r="I1110" s="1" t="s">
        <v>40</v>
      </c>
      <c r="J1110">
        <v>3.15</v>
      </c>
      <c r="K1110">
        <v>-10</v>
      </c>
      <c r="L1110">
        <v>-5.6889502762430997</v>
      </c>
      <c r="M1110" s="1" t="s">
        <v>40</v>
      </c>
      <c r="N1110">
        <v>4.1193370165745797</v>
      </c>
      <c r="O1110">
        <v>0.98011049723757004</v>
      </c>
      <c r="P1110"/>
      <c r="Q1110">
        <v>9.8011049723757002E-2</v>
      </c>
      <c r="R1110">
        <v>0.26359927787823001</v>
      </c>
      <c r="S1110" s="11" t="s">
        <v>331</v>
      </c>
      <c r="T1110" s="2" t="s">
        <v>331</v>
      </c>
      <c r="U1110" s="3" t="s">
        <v>106</v>
      </c>
      <c r="V1110" s="3" t="s">
        <v>333</v>
      </c>
      <c r="W1110" s="2">
        <v>6</v>
      </c>
      <c r="X1110" s="2">
        <v>14</v>
      </c>
      <c r="Y1110" s="2">
        <v>0</v>
      </c>
      <c r="Z1110" s="2">
        <v>0</v>
      </c>
      <c r="AA1110" s="2">
        <v>0</v>
      </c>
      <c r="AB1110" s="12">
        <f>(W1110*4+X1110*1+Y1110*-2+Z1110*-3)/W1110</f>
        <v>6.333333333333333</v>
      </c>
      <c r="AC1110" s="3">
        <f>W1110*12.0107+X1110*1.00784+Y1110*15.999+Z1110*14.0067</f>
        <v>86.173959999999994</v>
      </c>
      <c r="AD1110" s="12">
        <v>69</v>
      </c>
      <c r="AE1110" s="3" t="s">
        <v>321</v>
      </c>
      <c r="AF1110" s="2" t="s">
        <v>313</v>
      </c>
      <c r="AG1110" s="2" t="str">
        <f>IF(AD1110&gt;37,"Proton symporter", "Diffusion")</f>
        <v>Proton symporter</v>
      </c>
      <c r="AH1110" s="3" t="s">
        <v>334</v>
      </c>
    </row>
    <row r="1111" spans="1:34" hidden="1" x14ac:dyDescent="0.2">
      <c r="A1111" s="8" t="s">
        <v>34</v>
      </c>
      <c r="B1111" s="9" t="s">
        <v>35</v>
      </c>
      <c r="C1111" s="1" t="s">
        <v>56</v>
      </c>
      <c r="D1111" s="14" t="s">
        <v>55</v>
      </c>
      <c r="E1111" s="1" t="s">
        <v>348</v>
      </c>
      <c r="F1111" s="1" t="s">
        <v>344</v>
      </c>
      <c r="G1111" s="1">
        <v>-10</v>
      </c>
      <c r="H1111" s="1">
        <v>-20</v>
      </c>
      <c r="I1111" s="1" t="s">
        <v>40</v>
      </c>
      <c r="J1111" s="1">
        <v>3.15</v>
      </c>
      <c r="K1111" s="1">
        <v>-10</v>
      </c>
      <c r="L1111" s="1">
        <v>-7.5236686390532297</v>
      </c>
      <c r="M1111" s="1" t="s">
        <v>40</v>
      </c>
      <c r="N1111" s="1">
        <v>13.514201183432</v>
      </c>
      <c r="O1111" s="1">
        <v>5.4952662721893502</v>
      </c>
      <c r="Q1111" s="1">
        <v>0.54952662721893497</v>
      </c>
      <c r="R1111" s="1">
        <v>0.26311513315905499</v>
      </c>
      <c r="S1111" s="20" t="s">
        <v>348</v>
      </c>
      <c r="T1111" s="3" t="s">
        <v>349</v>
      </c>
      <c r="U1111" s="3" t="s">
        <v>106</v>
      </c>
      <c r="V1111" s="3" t="s">
        <v>346</v>
      </c>
      <c r="W1111" s="3">
        <v>3</v>
      </c>
      <c r="X1111" s="3">
        <v>8</v>
      </c>
      <c r="Y1111" s="3">
        <v>0</v>
      </c>
      <c r="Z1111" s="3">
        <v>0</v>
      </c>
      <c r="AA1111" s="3">
        <v>0</v>
      </c>
      <c r="AB1111" s="12">
        <f>(W1111*4+X1111*1+Y1111*-2+Z1111*-3)/W1111</f>
        <v>6.666666666666667</v>
      </c>
      <c r="AC1111" s="3">
        <f>W1111*12.0107+X1111*1.00784+Y1111*15.999+Z1111*14.0067</f>
        <v>44.094819999999999</v>
      </c>
      <c r="AD1111" s="24">
        <v>-42</v>
      </c>
      <c r="AE1111" s="3" t="s">
        <v>231</v>
      </c>
      <c r="AF1111" s="3" t="s">
        <v>44</v>
      </c>
      <c r="AG1111" s="25" t="str">
        <f>IF(AD1111&gt;37,"Proton symporter", "Diffusion")</f>
        <v>Diffusion</v>
      </c>
      <c r="AH1111" s="3" t="s">
        <v>347</v>
      </c>
    </row>
    <row r="1112" spans="1:34" hidden="1" x14ac:dyDescent="0.2">
      <c r="A1112" s="16" t="s">
        <v>63</v>
      </c>
      <c r="B1112" s="17" t="s">
        <v>64</v>
      </c>
      <c r="C1112" t="s">
        <v>73</v>
      </c>
      <c r="D1112" s="18" t="s">
        <v>66</v>
      </c>
      <c r="E1112" t="s">
        <v>295</v>
      </c>
      <c r="F1112" t="s">
        <v>296</v>
      </c>
      <c r="G1112">
        <v>-10</v>
      </c>
      <c r="H1112">
        <v>0</v>
      </c>
      <c r="I1112">
        <v>-20</v>
      </c>
      <c r="J1112">
        <v>0.45</v>
      </c>
      <c r="K1112">
        <v>-10</v>
      </c>
      <c r="L1112">
        <v>0</v>
      </c>
      <c r="M1112">
        <v>-20</v>
      </c>
      <c r="N1112">
        <v>0</v>
      </c>
      <c r="O1112">
        <v>1.2888888888888901</v>
      </c>
      <c r="P1112"/>
      <c r="Q1112">
        <v>0.128888888888889</v>
      </c>
      <c r="R1112" s="19">
        <v>0.26301097041919103</v>
      </c>
      <c r="S1112" s="11" t="s">
        <v>295</v>
      </c>
      <c r="T1112" s="2" t="s">
        <v>297</v>
      </c>
      <c r="U1112" s="3" t="s">
        <v>41</v>
      </c>
      <c r="V1112" s="2" t="s">
        <v>298</v>
      </c>
      <c r="W1112" s="2">
        <v>6</v>
      </c>
      <c r="X1112" s="2">
        <v>14</v>
      </c>
      <c r="Y1112" s="2">
        <v>1</v>
      </c>
      <c r="Z1112" s="2">
        <v>0</v>
      </c>
      <c r="AA1112" s="2">
        <v>0</v>
      </c>
      <c r="AB1112" s="12">
        <f>(W1112*4+X1112*1+Y1112*-2+Z1112*-3)/W1112</f>
        <v>6</v>
      </c>
      <c r="AC1112" s="3">
        <f>W1112*12.0107+X1112*1.00784+Y1112*15.999+Z1112*14.0067</f>
        <v>102.17295999999999</v>
      </c>
      <c r="AD1112" s="12">
        <v>153</v>
      </c>
      <c r="AE1112" s="2" t="s">
        <v>262</v>
      </c>
      <c r="AF1112" s="2" t="s">
        <v>44</v>
      </c>
      <c r="AG1112" s="2" t="str">
        <f>IF(AD1112&gt;37,"Proton symporter", "Diffusion")</f>
        <v>Proton symporter</v>
      </c>
      <c r="AH1112" s="3" t="s">
        <v>299</v>
      </c>
    </row>
    <row r="1113" spans="1:34" hidden="1" x14ac:dyDescent="0.2">
      <c r="A1113" s="16" t="s">
        <v>63</v>
      </c>
      <c r="B1113" s="17" t="s">
        <v>64</v>
      </c>
      <c r="C1113" t="s">
        <v>71</v>
      </c>
      <c r="D1113" s="18" t="s">
        <v>66</v>
      </c>
      <c r="E1113" t="s">
        <v>240</v>
      </c>
      <c r="F1113" t="s">
        <v>235</v>
      </c>
      <c r="G1113">
        <v>-10</v>
      </c>
      <c r="H1113">
        <v>0</v>
      </c>
      <c r="I1113">
        <v>-5</v>
      </c>
      <c r="J1113">
        <v>0.45</v>
      </c>
      <c r="K1113">
        <v>-10</v>
      </c>
      <c r="L1113">
        <v>0</v>
      </c>
      <c r="M1113">
        <v>-5</v>
      </c>
      <c r="N1113">
        <v>4.5454545454545503</v>
      </c>
      <c r="O1113">
        <v>1.36363636363636</v>
      </c>
      <c r="P1113"/>
      <c r="Q1113">
        <v>0.13636363636363599</v>
      </c>
      <c r="R1113">
        <v>0.261247583274131</v>
      </c>
      <c r="S1113" s="20" t="s">
        <v>241</v>
      </c>
      <c r="T1113" s="3" t="s">
        <v>242</v>
      </c>
      <c r="U1113" s="3" t="s">
        <v>106</v>
      </c>
      <c r="V1113" s="3" t="s">
        <v>238</v>
      </c>
      <c r="W1113" s="3">
        <v>4</v>
      </c>
      <c r="X1113" s="3">
        <v>10</v>
      </c>
      <c r="Y1113" s="3">
        <v>2</v>
      </c>
      <c r="Z1113" s="3">
        <v>0</v>
      </c>
      <c r="AA1113" s="3">
        <v>0</v>
      </c>
      <c r="AB1113" s="12">
        <f>(W1113*4+X1113*1+Y1113*-2+Z1113*-3)/W1113</f>
        <v>5.5</v>
      </c>
      <c r="AC1113" s="3">
        <f>W1113*12.0107+X1113*1.00784+Y1113*15.999+Z1113*14.0067</f>
        <v>90.119200000000006</v>
      </c>
      <c r="AD1113" s="12">
        <v>207</v>
      </c>
      <c r="AE1113" s="2" t="s">
        <v>220</v>
      </c>
      <c r="AF1113" s="3" t="s">
        <v>243</v>
      </c>
      <c r="AG1113" s="2" t="str">
        <f>IF(AD1113&gt;37,"Proton symporter", "Diffusion")</f>
        <v>Proton symporter</v>
      </c>
      <c r="AH1113" s="3" t="s">
        <v>239</v>
      </c>
    </row>
    <row r="1114" spans="1:34" hidden="1" x14ac:dyDescent="0.2">
      <c r="A1114" s="16" t="s">
        <v>63</v>
      </c>
      <c r="B1114" s="17" t="s">
        <v>64</v>
      </c>
      <c r="C1114" t="s">
        <v>71</v>
      </c>
      <c r="D1114" s="18" t="s">
        <v>66</v>
      </c>
      <c r="E1114" t="s">
        <v>249</v>
      </c>
      <c r="F1114" t="s">
        <v>250</v>
      </c>
      <c r="G1114">
        <v>-10</v>
      </c>
      <c r="H1114">
        <v>0</v>
      </c>
      <c r="I1114">
        <v>-5</v>
      </c>
      <c r="J1114">
        <v>0.45</v>
      </c>
      <c r="K1114">
        <v>-10</v>
      </c>
      <c r="L1114">
        <v>0</v>
      </c>
      <c r="M1114">
        <v>-5</v>
      </c>
      <c r="N1114">
        <v>4.5454545454545503</v>
      </c>
      <c r="O1114">
        <v>1.36363636363636</v>
      </c>
      <c r="P1114"/>
      <c r="Q1114">
        <v>0.13636363636363599</v>
      </c>
      <c r="R1114">
        <v>0.261247583274131</v>
      </c>
      <c r="S1114" s="20" t="s">
        <v>251</v>
      </c>
      <c r="T1114" s="3" t="s">
        <v>252</v>
      </c>
      <c r="U1114" s="3" t="s">
        <v>106</v>
      </c>
      <c r="V1114" s="3" t="s">
        <v>238</v>
      </c>
      <c r="W1114" s="3">
        <v>4</v>
      </c>
      <c r="X1114" s="3">
        <v>10</v>
      </c>
      <c r="Y1114" s="3">
        <v>2</v>
      </c>
      <c r="Z1114" s="3">
        <v>0</v>
      </c>
      <c r="AA1114" s="3">
        <v>0</v>
      </c>
      <c r="AB1114" s="12">
        <f>(W1114*4+X1114*1+Y1114*-2+Z1114*-3)/W1114</f>
        <v>5.5</v>
      </c>
      <c r="AC1114" s="3">
        <f>W1114*12.0107+X1114*1.00784+Y1114*15.999+Z1114*14.0067</f>
        <v>90.119200000000006</v>
      </c>
      <c r="AD1114" s="12">
        <v>177</v>
      </c>
      <c r="AE1114" s="3" t="s">
        <v>220</v>
      </c>
      <c r="AF1114" s="3" t="s">
        <v>135</v>
      </c>
      <c r="AG1114" s="2" t="str">
        <f>IF(AD1114&gt;37,"Proton symporter", "Diffusion")</f>
        <v>Proton symporter</v>
      </c>
      <c r="AH1114" s="3" t="s">
        <v>253</v>
      </c>
    </row>
    <row r="1115" spans="1:34" hidden="1" x14ac:dyDescent="0.2">
      <c r="A1115" s="16" t="s">
        <v>63</v>
      </c>
      <c r="B1115" s="17" t="s">
        <v>64</v>
      </c>
      <c r="C1115" t="s">
        <v>71</v>
      </c>
      <c r="D1115" s="18" t="s">
        <v>66</v>
      </c>
      <c r="E1115" t="s">
        <v>234</v>
      </c>
      <c r="F1115" t="s">
        <v>235</v>
      </c>
      <c r="G1115">
        <v>-10</v>
      </c>
      <c r="H1115">
        <v>0</v>
      </c>
      <c r="I1115">
        <v>-5</v>
      </c>
      <c r="J1115">
        <v>0.45</v>
      </c>
      <c r="K1115">
        <v>-10</v>
      </c>
      <c r="L1115">
        <v>0</v>
      </c>
      <c r="M1115">
        <v>-5</v>
      </c>
      <c r="N1115">
        <v>4.5454545454545503</v>
      </c>
      <c r="O1115">
        <v>1.36363636363636</v>
      </c>
      <c r="P1115"/>
      <c r="Q1115">
        <v>0.13636363636363599</v>
      </c>
      <c r="R1115">
        <v>0.26124536178107499</v>
      </c>
      <c r="S1115" s="20" t="s">
        <v>236</v>
      </c>
      <c r="T1115" s="3" t="s">
        <v>237</v>
      </c>
      <c r="U1115" s="3" t="s">
        <v>106</v>
      </c>
      <c r="V1115" s="3" t="s">
        <v>238</v>
      </c>
      <c r="W1115" s="3">
        <v>4</v>
      </c>
      <c r="X1115" s="3">
        <v>10</v>
      </c>
      <c r="Y1115" s="3">
        <v>2</v>
      </c>
      <c r="Z1115" s="3">
        <v>0</v>
      </c>
      <c r="AA1115" s="3">
        <v>0</v>
      </c>
      <c r="AB1115" s="12">
        <f>(W1115*4+X1115*1+Y1115*-2+Z1115*-3)/W1115</f>
        <v>5.5</v>
      </c>
      <c r="AC1115" s="3">
        <f>W1115*12.0107+X1115*1.00784+Y1115*15.999+Z1115*14.0067</f>
        <v>90.119200000000006</v>
      </c>
      <c r="AD1115" s="12">
        <v>207</v>
      </c>
      <c r="AE1115" s="2" t="s">
        <v>220</v>
      </c>
      <c r="AF1115" s="3" t="s">
        <v>79</v>
      </c>
      <c r="AG1115" s="2" t="str">
        <f>IF(AD1115&gt;37,"Proton symporter", "Diffusion")</f>
        <v>Proton symporter</v>
      </c>
      <c r="AH1115" s="3" t="s">
        <v>239</v>
      </c>
    </row>
    <row r="1116" spans="1:34" hidden="1" x14ac:dyDescent="0.2">
      <c r="A1116" s="16" t="s">
        <v>63</v>
      </c>
      <c r="B1116" s="17" t="s">
        <v>64</v>
      </c>
      <c r="C1116" t="s">
        <v>67</v>
      </c>
      <c r="D1116" s="18" t="s">
        <v>66</v>
      </c>
      <c r="E1116" t="s">
        <v>295</v>
      </c>
      <c r="F1116" t="s">
        <v>296</v>
      </c>
      <c r="G1116">
        <v>-10</v>
      </c>
      <c r="H1116">
        <v>0</v>
      </c>
      <c r="I1116">
        <v>-5</v>
      </c>
      <c r="J1116">
        <v>0.45</v>
      </c>
      <c r="K1116">
        <v>-10</v>
      </c>
      <c r="L1116">
        <v>0</v>
      </c>
      <c r="M1116">
        <v>-5</v>
      </c>
      <c r="N1116">
        <v>4.7230769230769303</v>
      </c>
      <c r="O1116">
        <v>0.74102564102564095</v>
      </c>
      <c r="P1116"/>
      <c r="Q1116">
        <v>7.4102564102563995E-2</v>
      </c>
      <c r="R1116">
        <v>0.26089863259644103</v>
      </c>
      <c r="S1116" s="11" t="s">
        <v>295</v>
      </c>
      <c r="T1116" s="2" t="s">
        <v>297</v>
      </c>
      <c r="U1116" s="3" t="s">
        <v>41</v>
      </c>
      <c r="V1116" s="2" t="s">
        <v>298</v>
      </c>
      <c r="W1116" s="2">
        <v>6</v>
      </c>
      <c r="X1116" s="2">
        <v>14</v>
      </c>
      <c r="Y1116" s="2">
        <v>1</v>
      </c>
      <c r="Z1116" s="2">
        <v>0</v>
      </c>
      <c r="AA1116" s="2">
        <v>0</v>
      </c>
      <c r="AB1116" s="12">
        <f>(W1116*4+X1116*1+Y1116*-2+Z1116*-3)/W1116</f>
        <v>6</v>
      </c>
      <c r="AC1116" s="3">
        <f>W1116*12.0107+X1116*1.00784+Y1116*15.999+Z1116*14.0067</f>
        <v>102.17295999999999</v>
      </c>
      <c r="AD1116" s="12">
        <v>153</v>
      </c>
      <c r="AE1116" s="2" t="s">
        <v>262</v>
      </c>
      <c r="AF1116" s="2" t="s">
        <v>44</v>
      </c>
      <c r="AG1116" s="2" t="str">
        <f>IF(AD1116&gt;37,"Proton symporter", "Diffusion")</f>
        <v>Proton symporter</v>
      </c>
      <c r="AH1116" s="3" t="s">
        <v>299</v>
      </c>
    </row>
    <row r="1117" spans="1:34" hidden="1" x14ac:dyDescent="0.2">
      <c r="A1117" s="16" t="s">
        <v>74</v>
      </c>
      <c r="B1117" s="9" t="s">
        <v>35</v>
      </c>
      <c r="C1117" t="s">
        <v>61</v>
      </c>
      <c r="D1117" s="13" t="s">
        <v>51</v>
      </c>
      <c r="E1117" t="s">
        <v>268</v>
      </c>
      <c r="F1117" t="s">
        <v>269</v>
      </c>
      <c r="G1117">
        <v>-10</v>
      </c>
      <c r="H1117">
        <v>-20</v>
      </c>
      <c r="I1117" s="1" t="s">
        <v>40</v>
      </c>
      <c r="J1117">
        <v>3.15</v>
      </c>
      <c r="K1117">
        <v>-10</v>
      </c>
      <c r="L1117">
        <v>-6.4652920962199296</v>
      </c>
      <c r="M1117" s="1" t="s">
        <v>40</v>
      </c>
      <c r="N1117">
        <v>3.9037800687285098</v>
      </c>
      <c r="O1117">
        <v>0.60962199312714604</v>
      </c>
      <c r="P1117"/>
      <c r="Q1117">
        <v>6.0962199312714599E-2</v>
      </c>
      <c r="R1117">
        <v>0.25919957579859798</v>
      </c>
      <c r="S1117" s="3" t="s">
        <v>268</v>
      </c>
      <c r="T1117" s="3" t="s">
        <v>268</v>
      </c>
      <c r="U1117" s="3" t="s">
        <v>106</v>
      </c>
      <c r="V1117" s="3" t="s">
        <v>270</v>
      </c>
      <c r="W1117" s="3">
        <v>10</v>
      </c>
      <c r="X1117" s="3">
        <v>16</v>
      </c>
      <c r="Y1117" s="3">
        <v>0</v>
      </c>
      <c r="Z1117" s="3">
        <v>0</v>
      </c>
      <c r="AA1117" s="3">
        <v>0</v>
      </c>
      <c r="AB1117" s="12">
        <f>(W1117*4+X1117*1+Y1117*-2+Z1117*-3)/W1117</f>
        <v>5.6</v>
      </c>
      <c r="AC1117" s="3">
        <f>W1117*12.0107+X1117*1.00784+Y1117*15.999+Z1117*14.0067</f>
        <v>136.23244</v>
      </c>
      <c r="AD1117" s="12">
        <v>176</v>
      </c>
      <c r="AE1117" s="3" t="s">
        <v>271</v>
      </c>
      <c r="AF1117" s="3" t="s">
        <v>79</v>
      </c>
      <c r="AG1117" s="2" t="str">
        <f>IF(AD1117&gt;37,"Proton symporter", "Diffusion")</f>
        <v>Proton symporter</v>
      </c>
      <c r="AH1117" s="3" t="s">
        <v>272</v>
      </c>
    </row>
    <row r="1118" spans="1:34" hidden="1" x14ac:dyDescent="0.2">
      <c r="A1118" s="16" t="s">
        <v>63</v>
      </c>
      <c r="B1118" s="17" t="s">
        <v>64</v>
      </c>
      <c r="C1118" t="s">
        <v>65</v>
      </c>
      <c r="D1118" s="18" t="s">
        <v>66</v>
      </c>
      <c r="E1118" t="s">
        <v>222</v>
      </c>
      <c r="F1118" t="s">
        <v>223</v>
      </c>
      <c r="G1118">
        <v>-10</v>
      </c>
      <c r="H1118">
        <v>0</v>
      </c>
      <c r="I1118">
        <v>0</v>
      </c>
      <c r="J1118">
        <v>0.45</v>
      </c>
      <c r="K1118">
        <v>-10</v>
      </c>
      <c r="L1118">
        <v>0</v>
      </c>
      <c r="M1118">
        <v>0</v>
      </c>
      <c r="N1118">
        <v>6.25</v>
      </c>
      <c r="O1118">
        <v>1.25</v>
      </c>
      <c r="P1118"/>
      <c r="Q1118">
        <v>0.125</v>
      </c>
      <c r="R1118">
        <v>0.25918484469832198</v>
      </c>
      <c r="S1118" s="11" t="s">
        <v>222</v>
      </c>
      <c r="T1118" s="2" t="s">
        <v>222</v>
      </c>
      <c r="U1118" s="3" t="s">
        <v>41</v>
      </c>
      <c r="V1118" s="2" t="s">
        <v>224</v>
      </c>
      <c r="W1118" s="2">
        <v>3</v>
      </c>
      <c r="X1118" s="2">
        <v>6</v>
      </c>
      <c r="Y1118" s="2">
        <v>1</v>
      </c>
      <c r="Z1118" s="2">
        <v>0</v>
      </c>
      <c r="AA1118" s="2">
        <v>0</v>
      </c>
      <c r="AB1118" s="12">
        <f>(W1118*4+X1118*1+Y1118*-2+Z1118*-3)/W1118</f>
        <v>5.333333333333333</v>
      </c>
      <c r="AC1118" s="3">
        <f>W1118*12.0107+X1118*1.00784+Y1118*15.999+Z1118*14.0067</f>
        <v>58.078140000000005</v>
      </c>
      <c r="AD1118" s="12">
        <v>56</v>
      </c>
      <c r="AE1118" s="2" t="s">
        <v>225</v>
      </c>
      <c r="AF1118" s="2" t="s">
        <v>79</v>
      </c>
      <c r="AG1118" s="2" t="str">
        <f>IF(AD1118&gt;37,"Proton symporter", "Diffusion")</f>
        <v>Proton symporter</v>
      </c>
      <c r="AH1118" s="3" t="s">
        <v>226</v>
      </c>
    </row>
    <row r="1119" spans="1:34" hidden="1" x14ac:dyDescent="0.2">
      <c r="A1119" s="8" t="s">
        <v>34</v>
      </c>
      <c r="B1119" s="9" t="s">
        <v>35</v>
      </c>
      <c r="C1119" s="1" t="s">
        <v>61</v>
      </c>
      <c r="D1119" s="13" t="s">
        <v>51</v>
      </c>
      <c r="E1119" s="1" t="s">
        <v>254</v>
      </c>
      <c r="F1119" s="1" t="s">
        <v>255</v>
      </c>
      <c r="G1119" s="1">
        <v>-10</v>
      </c>
      <c r="H1119" s="1">
        <v>-20</v>
      </c>
      <c r="I1119" s="1" t="s">
        <v>40</v>
      </c>
      <c r="J1119" s="1">
        <v>3.15</v>
      </c>
      <c r="K1119" s="1">
        <v>-10</v>
      </c>
      <c r="L1119" s="1">
        <v>-6.4750572082379803</v>
      </c>
      <c r="M1119" s="1" t="s">
        <v>40</v>
      </c>
      <c r="N1119" s="1">
        <v>3.9107551487414098</v>
      </c>
      <c r="O1119" s="1">
        <v>0.40594965675057099</v>
      </c>
      <c r="Q1119" s="1">
        <v>4.0594965675057097E-2</v>
      </c>
      <c r="R1119" s="1">
        <v>0.25890300877823402</v>
      </c>
      <c r="S1119" s="11" t="s">
        <v>254</v>
      </c>
      <c r="T1119" s="2" t="s">
        <v>254</v>
      </c>
      <c r="U1119" s="3" t="s">
        <v>41</v>
      </c>
      <c r="V1119" s="2" t="s">
        <v>256</v>
      </c>
      <c r="W1119" s="2">
        <v>15</v>
      </c>
      <c r="X1119" s="2">
        <v>24</v>
      </c>
      <c r="Y1119" s="2">
        <v>0</v>
      </c>
      <c r="Z1119" s="2">
        <v>0</v>
      </c>
      <c r="AA1119" s="2">
        <v>0</v>
      </c>
      <c r="AB1119" s="12">
        <f>(W1119*4+X1119*1+Y1119*-2+Z1119*-3)/W1119+0.01</f>
        <v>5.6099999999999994</v>
      </c>
      <c r="AC1119" s="3">
        <f>W1119*12.0107+X1119*1.00784+Y1119*15.999+Z1119*14.0067</f>
        <v>204.34866000000002</v>
      </c>
      <c r="AD1119" s="12" t="s">
        <v>257</v>
      </c>
      <c r="AE1119" s="2" t="s">
        <v>231</v>
      </c>
      <c r="AF1119" s="2" t="s">
        <v>79</v>
      </c>
      <c r="AG1119" s="2" t="str">
        <f>IF(AD1119&gt;37,"Proton symporter", "Diffusion")</f>
        <v>Proton symporter</v>
      </c>
      <c r="AH1119" s="3" t="s">
        <v>258</v>
      </c>
    </row>
    <row r="1120" spans="1:34" hidden="1" x14ac:dyDescent="0.2">
      <c r="A1120" s="8" t="s">
        <v>34</v>
      </c>
      <c r="B1120" s="9" t="s">
        <v>35</v>
      </c>
      <c r="C1120" s="1" t="s">
        <v>61</v>
      </c>
      <c r="D1120" s="13" t="s">
        <v>51</v>
      </c>
      <c r="E1120" s="1" t="s">
        <v>264</v>
      </c>
      <c r="F1120" s="1" t="s">
        <v>265</v>
      </c>
      <c r="G1120" s="1">
        <v>-10</v>
      </c>
      <c r="H1120" s="1">
        <v>-20</v>
      </c>
      <c r="I1120" s="1" t="s">
        <v>40</v>
      </c>
      <c r="J1120" s="1">
        <v>3.15</v>
      </c>
      <c r="K1120" s="1">
        <v>-10</v>
      </c>
      <c r="L1120" s="1">
        <v>-6.4945205479452097</v>
      </c>
      <c r="M1120" s="1" t="s">
        <v>40</v>
      </c>
      <c r="N1120" s="1">
        <v>3.9246575342465699</v>
      </c>
      <c r="O1120" s="1">
        <v>1.2150684931506801</v>
      </c>
      <c r="Q1120" s="1">
        <v>0.121506849315068</v>
      </c>
      <c r="R1120" s="1">
        <v>0.25831190601846699</v>
      </c>
      <c r="S1120" s="20" t="s">
        <v>264</v>
      </c>
      <c r="T1120" s="3" t="s">
        <v>264</v>
      </c>
      <c r="U1120" s="3" t="s">
        <v>106</v>
      </c>
      <c r="V1120" s="3" t="s">
        <v>266</v>
      </c>
      <c r="W1120" s="3">
        <v>5</v>
      </c>
      <c r="X1120" s="3">
        <v>8</v>
      </c>
      <c r="Y1120" s="3">
        <v>0</v>
      </c>
      <c r="Z1120" s="3">
        <v>0</v>
      </c>
      <c r="AA1120" s="3">
        <v>0</v>
      </c>
      <c r="AB1120" s="12">
        <f>(W1120*4+X1120*1+Y1120*-2+Z1120*-3)/W1120</f>
        <v>5.6</v>
      </c>
      <c r="AC1120" s="3">
        <f>W1120*12.0107+X1120*1.00784+Y1120*15.999+Z1120*14.0067</f>
        <v>68.116219999999998</v>
      </c>
      <c r="AD1120" s="24">
        <v>34.07</v>
      </c>
      <c r="AE1120" s="3" t="s">
        <v>231</v>
      </c>
      <c r="AF1120" s="3" t="s">
        <v>79</v>
      </c>
      <c r="AG1120" s="25" t="str">
        <f>IF(AD1120&gt;37,"Proton symporter", "Diffusion")</f>
        <v>Diffusion</v>
      </c>
      <c r="AH1120" s="3" t="s">
        <v>267</v>
      </c>
    </row>
    <row r="1121" spans="1:34" hidden="1" x14ac:dyDescent="0.2">
      <c r="A1121" s="16" t="s">
        <v>63</v>
      </c>
      <c r="B1121" s="17" t="s">
        <v>64</v>
      </c>
      <c r="C1121" t="s">
        <v>72</v>
      </c>
      <c r="D1121" s="18" t="s">
        <v>66</v>
      </c>
      <c r="E1121" t="s">
        <v>300</v>
      </c>
      <c r="F1121" t="s">
        <v>301</v>
      </c>
      <c r="G1121">
        <v>-10</v>
      </c>
      <c r="H1121">
        <v>0</v>
      </c>
      <c r="I1121">
        <v>-10</v>
      </c>
      <c r="J1121">
        <v>0.45</v>
      </c>
      <c r="K1121">
        <v>-10</v>
      </c>
      <c r="L1121">
        <v>0</v>
      </c>
      <c r="M1121">
        <v>-10</v>
      </c>
      <c r="N1121">
        <v>3.3333333333333299</v>
      </c>
      <c r="O1121">
        <v>1.6666666666666701</v>
      </c>
      <c r="P1121"/>
      <c r="Q1121">
        <v>0.16666666666666699</v>
      </c>
      <c r="R1121">
        <v>0.25709613954469301</v>
      </c>
      <c r="S1121" s="20" t="s">
        <v>300</v>
      </c>
      <c r="T1121" s="3" t="s">
        <v>302</v>
      </c>
      <c r="U1121" s="3" t="s">
        <v>106</v>
      </c>
      <c r="V1121" s="3" t="s">
        <v>303</v>
      </c>
      <c r="W1121" s="3">
        <v>4</v>
      </c>
      <c r="X1121" s="3">
        <v>10</v>
      </c>
      <c r="Y1121" s="3">
        <v>1</v>
      </c>
      <c r="Z1121" s="3">
        <v>0</v>
      </c>
      <c r="AA1121" s="3">
        <v>0</v>
      </c>
      <c r="AB1121" s="12">
        <f>(W1121*4+X1121*1+Y1121*-2+Z1121*-3)/W1121</f>
        <v>6</v>
      </c>
      <c r="AC1121" s="3">
        <f>W1121*12.0107+X1121*1.00784+Y1121*15.999+Z1121*14.0067</f>
        <v>74.120199999999997</v>
      </c>
      <c r="AD1121" s="12">
        <v>117.7</v>
      </c>
      <c r="AE1121" s="3" t="s">
        <v>262</v>
      </c>
      <c r="AF1121" s="2" t="s">
        <v>79</v>
      </c>
      <c r="AG1121" s="2" t="str">
        <f>IF(AD1121&gt;37,"Proton symporter", "Diffusion")</f>
        <v>Proton symporter</v>
      </c>
      <c r="AH1121" s="3" t="s">
        <v>304</v>
      </c>
    </row>
    <row r="1122" spans="1:34" hidden="1" x14ac:dyDescent="0.2">
      <c r="A1122" s="16" t="s">
        <v>63</v>
      </c>
      <c r="B1122" s="17" t="s">
        <v>64</v>
      </c>
      <c r="C1122" t="s">
        <v>72</v>
      </c>
      <c r="D1122" s="18" t="s">
        <v>66</v>
      </c>
      <c r="E1122" t="s">
        <v>305</v>
      </c>
      <c r="F1122" t="s">
        <v>301</v>
      </c>
      <c r="G1122">
        <v>-10</v>
      </c>
      <c r="H1122">
        <v>0</v>
      </c>
      <c r="I1122">
        <v>-10</v>
      </c>
      <c r="J1122">
        <v>0.45</v>
      </c>
      <c r="K1122">
        <v>-10</v>
      </c>
      <c r="L1122">
        <v>0</v>
      </c>
      <c r="M1122">
        <v>-10</v>
      </c>
      <c r="N1122">
        <v>3.3333333333333299</v>
      </c>
      <c r="O1122">
        <v>1.6666666666666701</v>
      </c>
      <c r="P1122"/>
      <c r="Q1122">
        <v>0.16666666666666699</v>
      </c>
      <c r="R1122">
        <v>0.25709613954469301</v>
      </c>
      <c r="S1122" s="20" t="s">
        <v>305</v>
      </c>
      <c r="T1122" s="3" t="s">
        <v>306</v>
      </c>
      <c r="U1122" s="3" t="s">
        <v>106</v>
      </c>
      <c r="V1122" s="3" t="s">
        <v>303</v>
      </c>
      <c r="W1122" s="3">
        <v>4</v>
      </c>
      <c r="X1122" s="3">
        <v>10</v>
      </c>
      <c r="Y1122" s="3">
        <v>1</v>
      </c>
      <c r="Z1122" s="3">
        <v>0</v>
      </c>
      <c r="AA1122" s="3">
        <v>0</v>
      </c>
      <c r="AB1122" s="12">
        <f>(W1122*4+X1122*1+Y1122*-2+Z1122*-3)/W1122</f>
        <v>6</v>
      </c>
      <c r="AC1122" s="3">
        <f>W1122*12.0107+X1122*1.00784+Y1122*15.999+Z1122*14.0067</f>
        <v>74.120199999999997</v>
      </c>
      <c r="AD1122" s="12">
        <v>117.7</v>
      </c>
      <c r="AE1122" s="3" t="s">
        <v>262</v>
      </c>
      <c r="AF1122" s="3" t="s">
        <v>44</v>
      </c>
      <c r="AG1122" s="2" t="str">
        <f>IF(AD1122&gt;37,"Proton symporter", "Diffusion")</f>
        <v>Proton symporter</v>
      </c>
      <c r="AH1122" s="3" t="s">
        <v>304</v>
      </c>
    </row>
    <row r="1123" spans="1:34" hidden="1" x14ac:dyDescent="0.2">
      <c r="A1123" s="8" t="s">
        <v>34</v>
      </c>
      <c r="B1123" s="9" t="s">
        <v>35</v>
      </c>
      <c r="C1123" s="1" t="s">
        <v>58</v>
      </c>
      <c r="D1123" s="10" t="s">
        <v>37</v>
      </c>
      <c r="E1123" s="1" t="s">
        <v>339</v>
      </c>
      <c r="F1123" s="1" t="s">
        <v>340</v>
      </c>
      <c r="G1123" s="1">
        <v>-10</v>
      </c>
      <c r="H1123" s="1">
        <v>-20</v>
      </c>
      <c r="I1123" s="1" t="s">
        <v>40</v>
      </c>
      <c r="J1123" s="1">
        <v>3.15</v>
      </c>
      <c r="K1123" s="1">
        <v>-10</v>
      </c>
      <c r="L1123" s="1">
        <v>-2.74017857142857</v>
      </c>
      <c r="M1123" s="1" t="s">
        <v>40</v>
      </c>
      <c r="N1123" s="1">
        <v>9.3785714285714299</v>
      </c>
      <c r="O1123" s="1">
        <v>2.6553571428571399</v>
      </c>
      <c r="Q1123" s="1">
        <v>0.26553571428571399</v>
      </c>
      <c r="R1123" s="1">
        <v>0.25699817420140603</v>
      </c>
      <c r="S1123" s="11" t="s">
        <v>339</v>
      </c>
      <c r="T1123" s="2" t="s">
        <v>339</v>
      </c>
      <c r="U1123" s="3" t="s">
        <v>106</v>
      </c>
      <c r="V1123" s="2" t="s">
        <v>341</v>
      </c>
      <c r="W1123" s="2">
        <v>4</v>
      </c>
      <c r="X1123" s="2">
        <v>10</v>
      </c>
      <c r="Y1123" s="2">
        <v>0</v>
      </c>
      <c r="Z1123" s="2">
        <v>0</v>
      </c>
      <c r="AA1123" s="2">
        <v>0</v>
      </c>
      <c r="AB1123" s="12">
        <f>(W1123*4+X1123*1+Y1123*-2+Z1123*-3)/W1123</f>
        <v>6.5</v>
      </c>
      <c r="AC1123" s="3">
        <f>W1123*12.0107+X1123*1.00784+Y1123*15.999+Z1123*14.0067</f>
        <v>58.121200000000002</v>
      </c>
      <c r="AD1123" s="24">
        <v>-1</v>
      </c>
      <c r="AE1123" s="3" t="s">
        <v>321</v>
      </c>
      <c r="AF1123" s="2" t="s">
        <v>313</v>
      </c>
      <c r="AG1123" s="25" t="str">
        <f>IF(AD1123&gt;37,"Proton symporter", "Diffusion")</f>
        <v>Diffusion</v>
      </c>
      <c r="AH1123" s="3" t="s">
        <v>342</v>
      </c>
    </row>
    <row r="1124" spans="1:34" hidden="1" x14ac:dyDescent="0.2">
      <c r="A1124" s="8" t="s">
        <v>34</v>
      </c>
      <c r="B1124" s="9" t="s">
        <v>35</v>
      </c>
      <c r="C1124" s="1" t="s">
        <v>58</v>
      </c>
      <c r="D1124" s="10" t="s">
        <v>37</v>
      </c>
      <c r="E1124" s="1" t="s">
        <v>343</v>
      </c>
      <c r="F1124" s="1" t="s">
        <v>344</v>
      </c>
      <c r="G1124" s="1">
        <v>-10</v>
      </c>
      <c r="H1124" s="1">
        <v>-20</v>
      </c>
      <c r="I1124" s="1" t="s">
        <v>40</v>
      </c>
      <c r="J1124" s="1">
        <v>3.15</v>
      </c>
      <c r="K1124" s="1">
        <v>-10</v>
      </c>
      <c r="L1124" s="1">
        <v>-2.52879581151833</v>
      </c>
      <c r="M1124" s="1" t="s">
        <v>40</v>
      </c>
      <c r="N1124" s="1">
        <v>9.5172774869109897</v>
      </c>
      <c r="O1124" s="1">
        <v>3.4942408376963301</v>
      </c>
      <c r="Q1124" s="1">
        <v>0.34942408376963302</v>
      </c>
      <c r="R1124" s="1">
        <v>0.25657417034381702</v>
      </c>
      <c r="S1124" s="20" t="s">
        <v>343</v>
      </c>
      <c r="T1124" s="3" t="s">
        <v>345</v>
      </c>
      <c r="U1124" s="3" t="s">
        <v>106</v>
      </c>
      <c r="V1124" s="3" t="s">
        <v>346</v>
      </c>
      <c r="W1124" s="3">
        <v>3</v>
      </c>
      <c r="X1124" s="3">
        <v>8</v>
      </c>
      <c r="Y1124" s="3">
        <v>0</v>
      </c>
      <c r="Z1124" s="3">
        <v>0</v>
      </c>
      <c r="AA1124" s="3">
        <v>0</v>
      </c>
      <c r="AB1124" s="12">
        <f>(W1124*4+X1124*1+Y1124*-2+Z1124*-3)/W1124</f>
        <v>6.666666666666667</v>
      </c>
      <c r="AC1124" s="3">
        <f>W1124*12.0107+X1124*1.00784+Y1124*15.999+Z1124*14.0067</f>
        <v>44.094819999999999</v>
      </c>
      <c r="AD1124" s="24">
        <v>-42</v>
      </c>
      <c r="AE1124" s="3" t="s">
        <v>231</v>
      </c>
      <c r="AF1124" s="2" t="s">
        <v>79</v>
      </c>
      <c r="AG1124" s="25" t="str">
        <f>IF(AD1124&gt;37,"Proton symporter", "Diffusion")</f>
        <v>Diffusion</v>
      </c>
      <c r="AH1124" s="3" t="s">
        <v>347</v>
      </c>
    </row>
    <row r="1125" spans="1:34" hidden="1" x14ac:dyDescent="0.2">
      <c r="A1125" s="8" t="s">
        <v>368</v>
      </c>
      <c r="B1125" s="17" t="s">
        <v>64</v>
      </c>
      <c r="C1125" t="s">
        <v>369</v>
      </c>
      <c r="D1125" s="18" t="s">
        <v>66</v>
      </c>
      <c r="E1125" t="s">
        <v>286</v>
      </c>
      <c r="F1125" t="s">
        <v>280</v>
      </c>
      <c r="G1125">
        <v>-10</v>
      </c>
      <c r="H1125">
        <v>0</v>
      </c>
      <c r="I1125">
        <v>-20</v>
      </c>
      <c r="J1125">
        <v>0.45</v>
      </c>
      <c r="K1125">
        <v>-7.5999999999999899</v>
      </c>
      <c r="L1125">
        <v>0</v>
      </c>
      <c r="M1125">
        <v>-20</v>
      </c>
      <c r="N1125">
        <v>-7.5999999999999899</v>
      </c>
      <c r="O1125">
        <v>1.6</v>
      </c>
      <c r="P1125"/>
      <c r="Q1125">
        <v>0.21052631578947301</v>
      </c>
      <c r="R1125">
        <v>0.25653985634852</v>
      </c>
      <c r="S1125" s="1" t="str">
        <f>VLOOKUP($E1125,'[1]Product Naming'!$A$1:$P$58,2)</f>
        <v>1-propanol-PW2</v>
      </c>
      <c r="T1125" s="1" t="str">
        <f>VLOOKUP($E1125,'[1]Product Naming'!$A$1:$P$58,3)</f>
        <v>1-Propanol (PW2)</v>
      </c>
      <c r="U1125" s="1" t="str">
        <f>VLOOKUP($E1125,'[1]Product Naming'!$A$1:$P$58,4)</f>
        <v>E-S</v>
      </c>
      <c r="V1125" s="1" t="str">
        <f>VLOOKUP($E1125,'[1]Product Naming'!$A$1:$P$58,5)</f>
        <v>C3H8O</v>
      </c>
      <c r="W1125" s="1">
        <f>VLOOKUP($E1125,'[1]Product Naming'!$A$1:$P$58,6)</f>
        <v>3</v>
      </c>
      <c r="X1125" s="1">
        <f>VLOOKUP($E1125,'[1]Product Naming'!$A$1:$P$58,7)</f>
        <v>8</v>
      </c>
      <c r="Y1125" s="1">
        <f>VLOOKUP($E1125,'[1]Product Naming'!$A$1:$P$58,8)</f>
        <v>1</v>
      </c>
      <c r="Z1125" s="1">
        <f>VLOOKUP($E1125,'[1]Product Naming'!$A$1:$P$58,9)</f>
        <v>0</v>
      </c>
      <c r="AA1125" s="1">
        <f>VLOOKUP($E1125,'[1]Product Naming'!$A$1:$P$58,10)</f>
        <v>0</v>
      </c>
      <c r="AB1125" s="27">
        <f>VLOOKUP($E1125,'[1]Product Naming'!$A$1:$P$58,11)</f>
        <v>6</v>
      </c>
      <c r="AC1125" s="3">
        <f>VLOOKUP($E1125,'[1]Product Naming'!$A$1:$P$58,12)</f>
        <v>60.093820000000001</v>
      </c>
      <c r="AD1125" s="1">
        <f>VLOOKUP($E1125,'[1]Product Naming'!$A$1:$P$58,13)</f>
        <v>97</v>
      </c>
      <c r="AE1125" s="1" t="str">
        <f>VLOOKUP($E1125,'[1]Product Naming'!$A$1:$P$58,14)</f>
        <v>Alcohol</v>
      </c>
      <c r="AF1125" s="1" t="str">
        <f>VLOOKUP($E1125,'[1]Product Naming'!$A$1:$P$58,15)</f>
        <v>Oxaloacetate</v>
      </c>
      <c r="AG1125" s="28" t="str">
        <f>VLOOKUP($E1125,'[1]Product Naming'!$A$1:$P$58,16)</f>
        <v>Proton symporter</v>
      </c>
      <c r="AH1125" s="3" t="str">
        <f>VLOOKUP($E1125,'[1]Product Naming'!$A$1:$Q$58,17)</f>
        <v>ppoh_c</v>
      </c>
    </row>
    <row r="1126" spans="1:34" hidden="1" x14ac:dyDescent="0.2">
      <c r="A1126" s="8" t="s">
        <v>350</v>
      </c>
      <c r="B1126" s="17" t="s">
        <v>64</v>
      </c>
      <c r="C1126" t="s">
        <v>351</v>
      </c>
      <c r="D1126" s="13" t="s">
        <v>51</v>
      </c>
      <c r="E1126" t="s">
        <v>286</v>
      </c>
      <c r="F1126" t="s">
        <v>280</v>
      </c>
      <c r="G1126">
        <v>-10</v>
      </c>
      <c r="H1126">
        <v>0</v>
      </c>
      <c r="I1126">
        <v>0</v>
      </c>
      <c r="J1126">
        <v>0.45</v>
      </c>
      <c r="K1126">
        <v>-10</v>
      </c>
      <c r="L1126">
        <v>0</v>
      </c>
      <c r="M1126">
        <v>0</v>
      </c>
      <c r="N1126">
        <v>0</v>
      </c>
      <c r="O1126" s="26">
        <v>1.36666666666667</v>
      </c>
      <c r="P1126"/>
      <c r="Q1126" s="26">
        <v>0.13666666666666699</v>
      </c>
      <c r="R1126">
        <v>0.256321796677972</v>
      </c>
      <c r="S1126" s="3" t="str">
        <f>VLOOKUP($E1126,'[1]Product Naming'!$A$1:$P$58,2)</f>
        <v>1-propanol-PW2</v>
      </c>
      <c r="T1126" s="3" t="str">
        <f>VLOOKUP($E1126,'[1]Product Naming'!$A$1:$P$58,3)</f>
        <v>1-Propanol (PW2)</v>
      </c>
      <c r="U1126" s="3" t="str">
        <f>VLOOKUP($E1126,'[1]Product Naming'!$A$1:$P$58,4)</f>
        <v>E-S</v>
      </c>
      <c r="V1126" s="3" t="str">
        <f>VLOOKUP($E1126,'[1]Product Naming'!$A$1:$P$58,5)</f>
        <v>C3H8O</v>
      </c>
      <c r="W1126" s="3">
        <f>VLOOKUP($E1126,'[1]Product Naming'!$A$1:$P$58,6)</f>
        <v>3</v>
      </c>
      <c r="X1126" s="3">
        <f>VLOOKUP($E1126,'[1]Product Naming'!$A$1:$P$58,7)</f>
        <v>8</v>
      </c>
      <c r="Y1126" s="3">
        <f>VLOOKUP($E1126,'[1]Product Naming'!$A$1:$P$58,8)</f>
        <v>1</v>
      </c>
      <c r="Z1126" s="3">
        <f>VLOOKUP($E1126,'[1]Product Naming'!$A$1:$P$58,9)</f>
        <v>0</v>
      </c>
      <c r="AA1126" s="3">
        <f>VLOOKUP($E1126,'[1]Product Naming'!$A$1:$P$58,10)</f>
        <v>0</v>
      </c>
      <c r="AB1126" s="3">
        <f>VLOOKUP($E1126,'[1]Product Naming'!$A$1:$P$58,11)</f>
        <v>6</v>
      </c>
      <c r="AC1126" s="3">
        <f>VLOOKUP($E1126,'[1]Product Naming'!$A$1:$P$58,12)</f>
        <v>60.093820000000001</v>
      </c>
      <c r="AD1126" s="3">
        <f>VLOOKUP($E1126,'[1]Product Naming'!$A$1:$P$58,13)</f>
        <v>97</v>
      </c>
      <c r="AE1126" s="3" t="str">
        <f>VLOOKUP($E1126,'[1]Product Naming'!$A$1:$P$58,14)</f>
        <v>Alcohol</v>
      </c>
      <c r="AF1126" s="3" t="str">
        <f>VLOOKUP($E1126,'[1]Product Naming'!$A$1:$P$58,15)</f>
        <v>Oxaloacetate</v>
      </c>
      <c r="AG1126" s="3" t="str">
        <f>VLOOKUP($E1126,'[1]Product Naming'!$A$1:$P$58,16)</f>
        <v>Proton symporter</v>
      </c>
      <c r="AH1126" s="3" t="str">
        <f>VLOOKUP($E1126,'[1]Product Naming'!$A$1:$Q$58,17)</f>
        <v>ppoh_c</v>
      </c>
    </row>
    <row r="1127" spans="1:34" hidden="1" x14ac:dyDescent="0.2">
      <c r="A1127" s="16" t="s">
        <v>63</v>
      </c>
      <c r="B1127" s="17" t="s">
        <v>64</v>
      </c>
      <c r="C1127" t="s">
        <v>65</v>
      </c>
      <c r="D1127" s="18" t="s">
        <v>66</v>
      </c>
      <c r="E1127" t="s">
        <v>259</v>
      </c>
      <c r="F1127" t="s">
        <v>260</v>
      </c>
      <c r="G1127">
        <v>-10</v>
      </c>
      <c r="H1127">
        <v>0</v>
      </c>
      <c r="I1127">
        <v>0</v>
      </c>
      <c r="J1127">
        <v>0.45</v>
      </c>
      <c r="K1127">
        <v>-10</v>
      </c>
      <c r="L1127">
        <v>0</v>
      </c>
      <c r="M1127">
        <v>0</v>
      </c>
      <c r="N1127">
        <v>6.6666666666666696</v>
      </c>
      <c r="O1127">
        <v>0.83333333333333304</v>
      </c>
      <c r="P1127"/>
      <c r="Q1127">
        <v>8.3333333333333301E-2</v>
      </c>
      <c r="R1127">
        <v>0.25625044626918903</v>
      </c>
      <c r="S1127" s="20" t="s">
        <v>259</v>
      </c>
      <c r="T1127" s="3" t="s">
        <v>259</v>
      </c>
      <c r="U1127" s="3" t="s">
        <v>106</v>
      </c>
      <c r="V1127" s="3" t="s">
        <v>261</v>
      </c>
      <c r="W1127" s="3">
        <v>5</v>
      </c>
      <c r="X1127" s="3">
        <v>10</v>
      </c>
      <c r="Y1127" s="3">
        <v>1</v>
      </c>
      <c r="Z1127" s="3">
        <v>0</v>
      </c>
      <c r="AA1127" s="3">
        <v>0</v>
      </c>
      <c r="AB1127" s="12">
        <f>(W1127*4+X1127*1+Y1127*-2+Z1127*-3)/W1127+0.02</f>
        <v>5.6199999999999992</v>
      </c>
      <c r="AC1127" s="3">
        <f>W1127*12.0107+X1127*1.00784+Y1127*15.999+Z1127*14.0067</f>
        <v>86.130899999999997</v>
      </c>
      <c r="AD1127" s="12">
        <v>108</v>
      </c>
      <c r="AE1127" s="3" t="s">
        <v>262</v>
      </c>
      <c r="AF1127" s="3" t="s">
        <v>135</v>
      </c>
      <c r="AG1127" s="2" t="str">
        <f>IF(AD1127&gt;37,"Proton symporter", "Diffusion")</f>
        <v>Proton symporter</v>
      </c>
      <c r="AH1127" s="3" t="s">
        <v>263</v>
      </c>
    </row>
    <row r="1128" spans="1:34" hidden="1" x14ac:dyDescent="0.2">
      <c r="A1128" s="8" t="s">
        <v>34</v>
      </c>
      <c r="B1128" s="9" t="s">
        <v>35</v>
      </c>
      <c r="C1128" s="1" t="s">
        <v>61</v>
      </c>
      <c r="D1128" s="13" t="s">
        <v>51</v>
      </c>
      <c r="E1128" s="1" t="s">
        <v>227</v>
      </c>
      <c r="F1128" s="1" t="s">
        <v>228</v>
      </c>
      <c r="G1128" s="1">
        <v>-10</v>
      </c>
      <c r="H1128" s="1">
        <v>-20</v>
      </c>
      <c r="I1128" s="1" t="s">
        <v>40</v>
      </c>
      <c r="J1128" s="1">
        <v>3.15</v>
      </c>
      <c r="K1128" s="1">
        <v>-10</v>
      </c>
      <c r="L1128" s="1">
        <v>-6.7417241379310404</v>
      </c>
      <c r="M1128" s="1" t="s">
        <v>40</v>
      </c>
      <c r="N1128" s="1">
        <v>3.8827586206896698</v>
      </c>
      <c r="O1128" s="1">
        <v>0.15293103448275899</v>
      </c>
      <c r="Q1128" s="1">
        <v>1.52931034482759E-2</v>
      </c>
      <c r="R1128" s="1">
        <v>0.256245054960406</v>
      </c>
      <c r="S1128" s="11" t="s">
        <v>227</v>
      </c>
      <c r="T1128" s="2" t="s">
        <v>229</v>
      </c>
      <c r="U1128" s="3" t="s">
        <v>41</v>
      </c>
      <c r="V1128" s="2" t="s">
        <v>230</v>
      </c>
      <c r="W1128" s="2">
        <v>40</v>
      </c>
      <c r="X1128" s="2">
        <v>56</v>
      </c>
      <c r="Y1128" s="2">
        <v>0</v>
      </c>
      <c r="Z1128" s="2">
        <v>0</v>
      </c>
      <c r="AA1128" s="2">
        <v>0</v>
      </c>
      <c r="AB1128" s="12">
        <f>(W1128*4+X1128*1+Y1128*-2+Z1128*-3)/W1128</f>
        <v>5.4</v>
      </c>
      <c r="AC1128" s="3">
        <f>W1128*12.0107+X1128*1.00784+Y1128*15.999+Z1128*14.0067</f>
        <v>536.86703999999997</v>
      </c>
      <c r="AD1128" s="12">
        <v>633</v>
      </c>
      <c r="AE1128" s="2" t="s">
        <v>231</v>
      </c>
      <c r="AF1128" s="2" t="s">
        <v>79</v>
      </c>
      <c r="AG1128" s="2" t="s">
        <v>232</v>
      </c>
      <c r="AH1128" s="3" t="s">
        <v>233</v>
      </c>
    </row>
    <row r="1129" spans="1:34" hidden="1" x14ac:dyDescent="0.2">
      <c r="A1129" s="8" t="s">
        <v>34</v>
      </c>
      <c r="B1129" s="9" t="s">
        <v>35</v>
      </c>
      <c r="C1129" s="1" t="s">
        <v>48</v>
      </c>
      <c r="D1129" s="10" t="s">
        <v>37</v>
      </c>
      <c r="E1129" s="1" t="s">
        <v>348</v>
      </c>
      <c r="F1129" s="1" t="s">
        <v>344</v>
      </c>
      <c r="G1129" s="1">
        <v>-10</v>
      </c>
      <c r="H1129" s="1">
        <v>-20</v>
      </c>
      <c r="I1129" s="1" t="s">
        <v>40</v>
      </c>
      <c r="J1129" s="1">
        <v>3.15</v>
      </c>
      <c r="K1129" s="1">
        <v>-10</v>
      </c>
      <c r="L1129" s="1">
        <v>-6.9901960784313699</v>
      </c>
      <c r="M1129" s="1" t="s">
        <v>40</v>
      </c>
      <c r="N1129" s="1">
        <v>9.1941176470588299</v>
      </c>
      <c r="O1129" s="1">
        <v>3.60196078431373</v>
      </c>
      <c r="Q1129" s="1">
        <v>0.36019607843137302</v>
      </c>
      <c r="R1129" s="1">
        <v>0.25589983055465199</v>
      </c>
      <c r="S1129" s="20" t="s">
        <v>348</v>
      </c>
      <c r="T1129" s="3" t="s">
        <v>349</v>
      </c>
      <c r="U1129" s="3" t="s">
        <v>106</v>
      </c>
      <c r="V1129" s="3" t="s">
        <v>346</v>
      </c>
      <c r="W1129" s="3">
        <v>3</v>
      </c>
      <c r="X1129" s="3">
        <v>8</v>
      </c>
      <c r="Y1129" s="3">
        <v>0</v>
      </c>
      <c r="Z1129" s="3">
        <v>0</v>
      </c>
      <c r="AA1129" s="3">
        <v>0</v>
      </c>
      <c r="AB1129" s="12">
        <f>(W1129*4+X1129*1+Y1129*-2+Z1129*-3)/W1129</f>
        <v>6.666666666666667</v>
      </c>
      <c r="AC1129" s="3">
        <f>W1129*12.0107+X1129*1.00784+Y1129*15.999+Z1129*14.0067</f>
        <v>44.094819999999999</v>
      </c>
      <c r="AD1129" s="24">
        <v>-42</v>
      </c>
      <c r="AE1129" s="3" t="s">
        <v>231</v>
      </c>
      <c r="AF1129" s="3" t="s">
        <v>44</v>
      </c>
      <c r="AG1129" s="25" t="str">
        <f>IF(AD1129&gt;37,"Proton symporter", "Diffusion")</f>
        <v>Diffusion</v>
      </c>
      <c r="AH1129" s="3" t="s">
        <v>347</v>
      </c>
    </row>
    <row r="1130" spans="1:34" hidden="1" x14ac:dyDescent="0.2">
      <c r="A1130" s="8" t="s">
        <v>34</v>
      </c>
      <c r="B1130" s="9" t="s">
        <v>35</v>
      </c>
      <c r="C1130" s="1" t="s">
        <v>47</v>
      </c>
      <c r="D1130" s="10" t="s">
        <v>37</v>
      </c>
      <c r="E1130" s="1" t="s">
        <v>343</v>
      </c>
      <c r="F1130" s="1" t="s">
        <v>344</v>
      </c>
      <c r="G1130" s="1">
        <v>-10</v>
      </c>
      <c r="H1130" s="1">
        <v>-20</v>
      </c>
      <c r="I1130" s="1" t="s">
        <v>40</v>
      </c>
      <c r="J1130" s="1">
        <v>3.15</v>
      </c>
      <c r="K1130" s="1">
        <v>-10</v>
      </c>
      <c r="L1130" s="1">
        <v>-7.0086206896551797</v>
      </c>
      <c r="M1130" s="1" t="s">
        <v>40</v>
      </c>
      <c r="N1130" s="1">
        <v>9.2051724137931306</v>
      </c>
      <c r="O1130" s="1">
        <v>3.5982758620689701</v>
      </c>
      <c r="Q1130" s="1">
        <v>0.35982758620689698</v>
      </c>
      <c r="R1130" s="1">
        <v>0.25563803676107499</v>
      </c>
      <c r="S1130" s="20" t="s">
        <v>343</v>
      </c>
      <c r="T1130" s="3" t="s">
        <v>345</v>
      </c>
      <c r="U1130" s="3" t="s">
        <v>106</v>
      </c>
      <c r="V1130" s="3" t="s">
        <v>346</v>
      </c>
      <c r="W1130" s="3">
        <v>3</v>
      </c>
      <c r="X1130" s="3">
        <v>8</v>
      </c>
      <c r="Y1130" s="3">
        <v>0</v>
      </c>
      <c r="Z1130" s="3">
        <v>0</v>
      </c>
      <c r="AA1130" s="3">
        <v>0</v>
      </c>
      <c r="AB1130" s="12">
        <f>(W1130*4+X1130*1+Y1130*-2+Z1130*-3)/W1130</f>
        <v>6.666666666666667</v>
      </c>
      <c r="AC1130" s="3">
        <f>W1130*12.0107+X1130*1.00784+Y1130*15.999+Z1130*14.0067</f>
        <v>44.094819999999999</v>
      </c>
      <c r="AD1130" s="24">
        <v>-42</v>
      </c>
      <c r="AE1130" s="3" t="s">
        <v>231</v>
      </c>
      <c r="AF1130" s="2" t="s">
        <v>79</v>
      </c>
      <c r="AG1130" s="25" t="str">
        <f>IF(AD1130&gt;37,"Proton symporter", "Diffusion")</f>
        <v>Diffusion</v>
      </c>
      <c r="AH1130" s="3" t="s">
        <v>347</v>
      </c>
    </row>
    <row r="1131" spans="1:34" hidden="1" x14ac:dyDescent="0.2">
      <c r="A1131" s="8" t="s">
        <v>34</v>
      </c>
      <c r="B1131" s="9" t="s">
        <v>35</v>
      </c>
      <c r="C1131" s="1" t="s">
        <v>61</v>
      </c>
      <c r="D1131" s="13" t="s">
        <v>51</v>
      </c>
      <c r="E1131" s="1" t="s">
        <v>211</v>
      </c>
      <c r="F1131" s="1" t="s">
        <v>212</v>
      </c>
      <c r="G1131" s="1">
        <v>-10</v>
      </c>
      <c r="H1131" s="1">
        <v>-20</v>
      </c>
      <c r="I1131" s="1" t="s">
        <v>40</v>
      </c>
      <c r="J1131" s="1">
        <v>3.15</v>
      </c>
      <c r="K1131" s="1">
        <v>-10</v>
      </c>
      <c r="L1131" s="1">
        <v>-7.1388478581979404</v>
      </c>
      <c r="M1131" s="1" t="s">
        <v>40</v>
      </c>
      <c r="N1131" s="1">
        <v>3.71107828655835</v>
      </c>
      <c r="O1131" s="1">
        <v>0.78611521418020802</v>
      </c>
      <c r="Q1131" s="1">
        <v>7.8611521418020802E-2</v>
      </c>
      <c r="R1131" s="1">
        <v>0.25552393985501398</v>
      </c>
      <c r="S1131" s="20" t="s">
        <v>211</v>
      </c>
      <c r="T1131" s="3" t="s">
        <v>211</v>
      </c>
      <c r="U1131" s="3" t="s">
        <v>174</v>
      </c>
      <c r="V1131" s="3" t="s">
        <v>213</v>
      </c>
      <c r="W1131" s="3">
        <v>8</v>
      </c>
      <c r="X1131" s="3">
        <v>8</v>
      </c>
      <c r="Y1131" s="3">
        <v>0</v>
      </c>
      <c r="Z1131" s="3">
        <v>0</v>
      </c>
      <c r="AA1131" s="3">
        <v>0</v>
      </c>
      <c r="AB1131" s="12">
        <f>(W1131*4+X1131*1+Y1131*-2+Z1131*-3)/W1131</f>
        <v>5</v>
      </c>
      <c r="AC1131" s="3">
        <f>W1131*12.0107+X1131*1.00784+Y1131*15.999+Z1131*14.0067</f>
        <v>104.14832</v>
      </c>
      <c r="AD1131" s="12">
        <v>145</v>
      </c>
      <c r="AE1131" s="3" t="s">
        <v>214</v>
      </c>
      <c r="AF1131" s="3" t="s">
        <v>203</v>
      </c>
      <c r="AG1131" s="2" t="str">
        <f>IF(AD1131&gt;37,"Proton symporter", "Diffusion")</f>
        <v>Proton symporter</v>
      </c>
      <c r="AH1131" s="3" t="s">
        <v>215</v>
      </c>
    </row>
    <row r="1132" spans="1:34" hidden="1" x14ac:dyDescent="0.2">
      <c r="A1132" s="16" t="s">
        <v>317</v>
      </c>
      <c r="B1132" s="9" t="s">
        <v>35</v>
      </c>
      <c r="C1132" t="s">
        <v>46</v>
      </c>
      <c r="D1132" s="10" t="s">
        <v>37</v>
      </c>
      <c r="E1132" t="s">
        <v>318</v>
      </c>
      <c r="F1132" t="s">
        <v>319</v>
      </c>
      <c r="G1132">
        <v>-10</v>
      </c>
      <c r="H1132">
        <v>-20</v>
      </c>
      <c r="I1132" s="1" t="s">
        <v>40</v>
      </c>
      <c r="J1132">
        <v>3.15</v>
      </c>
      <c r="K1132">
        <v>-10</v>
      </c>
      <c r="L1132">
        <v>-3.5465346534653501</v>
      </c>
      <c r="M1132" s="1" t="s">
        <v>40</v>
      </c>
      <c r="N1132">
        <v>9.42277227722772</v>
      </c>
      <c r="O1132">
        <v>1.1752475247524801</v>
      </c>
      <c r="P1132"/>
      <c r="Q1132">
        <v>0.117524752475248</v>
      </c>
      <c r="R1132">
        <v>0.25528740502135</v>
      </c>
      <c r="S1132" s="20" t="s">
        <v>318</v>
      </c>
      <c r="T1132" s="3" t="s">
        <v>318</v>
      </c>
      <c r="U1132" s="3" t="s">
        <v>106</v>
      </c>
      <c r="V1132" s="3" t="s">
        <v>320</v>
      </c>
      <c r="W1132" s="3">
        <v>9</v>
      </c>
      <c r="X1132" s="3">
        <v>20</v>
      </c>
      <c r="Y1132" s="3">
        <v>0</v>
      </c>
      <c r="Z1132" s="3">
        <v>0</v>
      </c>
      <c r="AA1132" s="3">
        <v>0</v>
      </c>
      <c r="AB1132" s="12">
        <f>(W1132*4+X1132*1+Y1132*-2+Z1132*-3)/W1132</f>
        <v>6.2222222222222223</v>
      </c>
      <c r="AC1132" s="3">
        <f>W1132*12.0107+X1132*1.00784+Y1132*15.999+Z1132*14.0067</f>
        <v>128.25309999999999</v>
      </c>
      <c r="AD1132" s="12">
        <v>151</v>
      </c>
      <c r="AE1132" s="3" t="s">
        <v>321</v>
      </c>
      <c r="AF1132" s="2" t="s">
        <v>79</v>
      </c>
      <c r="AG1132" s="2" t="str">
        <f>IF(AD1132&gt;37,"Proton symporter", "Diffusion")</f>
        <v>Proton symporter</v>
      </c>
      <c r="AH1132" s="3" t="s">
        <v>322</v>
      </c>
    </row>
    <row r="1133" spans="1:34" hidden="1" x14ac:dyDescent="0.2">
      <c r="A1133" s="8" t="s">
        <v>34</v>
      </c>
      <c r="B1133" s="9" t="s">
        <v>35</v>
      </c>
      <c r="C1133" s="1" t="s">
        <v>61</v>
      </c>
      <c r="D1133" s="13" t="s">
        <v>51</v>
      </c>
      <c r="E1133" s="1" t="s">
        <v>343</v>
      </c>
      <c r="F1133" s="1" t="s">
        <v>344</v>
      </c>
      <c r="G1133" s="1">
        <v>-10</v>
      </c>
      <c r="H1133" s="1">
        <v>-20</v>
      </c>
      <c r="I1133" s="1" t="s">
        <v>40</v>
      </c>
      <c r="J1133" s="1">
        <v>3.15</v>
      </c>
      <c r="K1133" s="1">
        <v>-10</v>
      </c>
      <c r="L1133" s="1">
        <v>-5.7604166666666696</v>
      </c>
      <c r="M1133" s="1" t="s">
        <v>40</v>
      </c>
      <c r="N1133" s="1">
        <v>4.4562499999999998</v>
      </c>
      <c r="O1133" s="1">
        <v>1.84791666666667</v>
      </c>
      <c r="Q1133" s="1">
        <v>0.18479166666666699</v>
      </c>
      <c r="R1133" s="1">
        <v>0.25430979122309499</v>
      </c>
      <c r="S1133" s="20" t="s">
        <v>343</v>
      </c>
      <c r="T1133" s="3" t="s">
        <v>345</v>
      </c>
      <c r="U1133" s="3" t="s">
        <v>106</v>
      </c>
      <c r="V1133" s="3" t="s">
        <v>346</v>
      </c>
      <c r="W1133" s="3">
        <v>3</v>
      </c>
      <c r="X1133" s="3">
        <v>8</v>
      </c>
      <c r="Y1133" s="3">
        <v>0</v>
      </c>
      <c r="Z1133" s="3">
        <v>0</v>
      </c>
      <c r="AA1133" s="3">
        <v>0</v>
      </c>
      <c r="AB1133" s="12">
        <f>(W1133*4+X1133*1+Y1133*-2+Z1133*-3)/W1133</f>
        <v>6.666666666666667</v>
      </c>
      <c r="AC1133" s="3">
        <f>W1133*12.0107+X1133*1.00784+Y1133*15.999+Z1133*14.0067</f>
        <v>44.094819999999999</v>
      </c>
      <c r="AD1133" s="24">
        <v>-42</v>
      </c>
      <c r="AE1133" s="3" t="s">
        <v>231</v>
      </c>
      <c r="AF1133" s="2" t="s">
        <v>79</v>
      </c>
      <c r="AG1133" s="25" t="str">
        <f>IF(AD1133&gt;37,"Proton symporter", "Diffusion")</f>
        <v>Diffusion</v>
      </c>
      <c r="AH1133" s="3" t="s">
        <v>347</v>
      </c>
    </row>
    <row r="1134" spans="1:34" hidden="1" x14ac:dyDescent="0.2">
      <c r="A1134" s="16" t="s">
        <v>317</v>
      </c>
      <c r="B1134" s="9" t="s">
        <v>35</v>
      </c>
      <c r="C1134" t="s">
        <v>46</v>
      </c>
      <c r="D1134" s="10" t="s">
        <v>37</v>
      </c>
      <c r="E1134" t="s">
        <v>327</v>
      </c>
      <c r="F1134" t="s">
        <v>328</v>
      </c>
      <c r="G1134">
        <v>-10</v>
      </c>
      <c r="H1134">
        <v>-20</v>
      </c>
      <c r="I1134" s="1" t="s">
        <v>40</v>
      </c>
      <c r="J1134">
        <v>3.15</v>
      </c>
      <c r="K1134">
        <v>-10</v>
      </c>
      <c r="L1134">
        <v>-3.5761006289308201</v>
      </c>
      <c r="M1134" s="1" t="s">
        <v>40</v>
      </c>
      <c r="N1134">
        <v>9.5484276729559703</v>
      </c>
      <c r="O1134">
        <v>1.4930817610062901</v>
      </c>
      <c r="P1134"/>
      <c r="Q1134">
        <v>0.14930817610062899</v>
      </c>
      <c r="R1134">
        <v>0.25338736651342603</v>
      </c>
      <c r="S1134" s="20" t="s">
        <v>327</v>
      </c>
      <c r="T1134" s="3" t="s">
        <v>327</v>
      </c>
      <c r="U1134" s="3" t="s">
        <v>106</v>
      </c>
      <c r="V1134" s="3" t="s">
        <v>329</v>
      </c>
      <c r="W1134" s="3">
        <v>7</v>
      </c>
      <c r="X1134" s="3">
        <v>16</v>
      </c>
      <c r="Y1134" s="3">
        <v>0</v>
      </c>
      <c r="Z1134" s="3">
        <v>0</v>
      </c>
      <c r="AA1134" s="3">
        <v>0</v>
      </c>
      <c r="AB1134" s="12">
        <f>(W1134*4+X1134*1+Y1134*-2+Z1134*-3)/W1134</f>
        <v>6.2857142857142856</v>
      </c>
      <c r="AC1134" s="3">
        <f>W1134*12.0107+X1134*1.00784+Y1134*15.999+Z1134*14.0067</f>
        <v>100.20034</v>
      </c>
      <c r="AD1134" s="3">
        <v>98</v>
      </c>
      <c r="AE1134" s="3" t="s">
        <v>321</v>
      </c>
      <c r="AF1134" s="2" t="s">
        <v>79</v>
      </c>
      <c r="AG1134" s="2" t="str">
        <f>IF(AD1134&gt;37,"Proton symporter", "Diffusion")</f>
        <v>Proton symporter</v>
      </c>
      <c r="AH1134" s="3" t="s">
        <v>330</v>
      </c>
    </row>
    <row r="1135" spans="1:34" hidden="1" x14ac:dyDescent="0.2">
      <c r="A1135" s="8" t="s">
        <v>34</v>
      </c>
      <c r="B1135" s="9" t="s">
        <v>35</v>
      </c>
      <c r="C1135" s="1" t="s">
        <v>46</v>
      </c>
      <c r="D1135" s="10" t="s">
        <v>37</v>
      </c>
      <c r="E1135" s="1" t="s">
        <v>199</v>
      </c>
      <c r="F1135" s="1" t="s">
        <v>200</v>
      </c>
      <c r="G1135" s="1">
        <v>-10</v>
      </c>
      <c r="H1135" s="1">
        <v>-20</v>
      </c>
      <c r="I1135" s="1" t="s">
        <v>40</v>
      </c>
      <c r="J1135" s="1">
        <v>3.15</v>
      </c>
      <c r="K1135" s="1">
        <v>-10</v>
      </c>
      <c r="L1135" s="1">
        <v>-8.2791071428571392</v>
      </c>
      <c r="M1135" s="1" t="s">
        <v>40</v>
      </c>
      <c r="N1135" s="1">
        <v>10.3475</v>
      </c>
      <c r="O1135" s="1">
        <v>1.3789285714285699</v>
      </c>
      <c r="Q1135" s="1">
        <v>0.13789285714285701</v>
      </c>
      <c r="R1135" s="1">
        <v>0.25254962819541099</v>
      </c>
      <c r="S1135" s="20" t="s">
        <v>201</v>
      </c>
      <c r="T1135" s="3" t="s">
        <v>201</v>
      </c>
      <c r="U1135" s="3" t="s">
        <v>106</v>
      </c>
      <c r="V1135" s="3" t="s">
        <v>202</v>
      </c>
      <c r="W1135" s="3">
        <v>7</v>
      </c>
      <c r="X1135" s="3">
        <v>8</v>
      </c>
      <c r="Y1135" s="3">
        <v>1</v>
      </c>
      <c r="Z1135" s="3">
        <v>0</v>
      </c>
      <c r="AA1135" s="3">
        <v>0</v>
      </c>
      <c r="AB1135" s="12">
        <f>(W1135*4+X1135*1+Y1135*-2+Z1135*-3)/W1135</f>
        <v>4.8571428571428568</v>
      </c>
      <c r="AC1135" s="3">
        <f>W1135*12.0107+X1135*1.00784+Y1135*15.999+Z1135*14.0067</f>
        <v>108.13661999999999</v>
      </c>
      <c r="AD1135" s="12">
        <v>205</v>
      </c>
      <c r="AE1135" s="3" t="s">
        <v>176</v>
      </c>
      <c r="AF1135" s="3" t="s">
        <v>203</v>
      </c>
      <c r="AG1135" s="2" t="str">
        <f>IF(AD1135&gt;37,"Proton symporter", "Diffusion")</f>
        <v>Proton symporter</v>
      </c>
      <c r="AH1135" s="3" t="s">
        <v>204</v>
      </c>
    </row>
    <row r="1136" spans="1:34" hidden="1" x14ac:dyDescent="0.2">
      <c r="A1136" s="16" t="s">
        <v>74</v>
      </c>
      <c r="B1136" s="9" t="s">
        <v>35</v>
      </c>
      <c r="C1136" t="s">
        <v>46</v>
      </c>
      <c r="D1136" s="10" t="s">
        <v>37</v>
      </c>
      <c r="E1136" t="s">
        <v>268</v>
      </c>
      <c r="F1136" t="s">
        <v>269</v>
      </c>
      <c r="G1136">
        <v>-10</v>
      </c>
      <c r="H1136">
        <v>-20</v>
      </c>
      <c r="I1136" s="1" t="s">
        <v>40</v>
      </c>
      <c r="J1136">
        <v>3.15</v>
      </c>
      <c r="K1136">
        <v>-10</v>
      </c>
      <c r="L1136">
        <v>-4.7949367088607602</v>
      </c>
      <c r="M1136" s="1" t="s">
        <v>40</v>
      </c>
      <c r="N1136">
        <v>9.1392405063291093</v>
      </c>
      <c r="O1136">
        <v>1.08607594936709</v>
      </c>
      <c r="P1136"/>
      <c r="Q1136">
        <v>0.108607594936709</v>
      </c>
      <c r="R1136">
        <v>0.25059529001545799</v>
      </c>
      <c r="S1136" s="3" t="s">
        <v>268</v>
      </c>
      <c r="T1136" s="3" t="s">
        <v>268</v>
      </c>
      <c r="U1136" s="3" t="s">
        <v>106</v>
      </c>
      <c r="V1136" s="3" t="s">
        <v>270</v>
      </c>
      <c r="W1136" s="3">
        <v>10</v>
      </c>
      <c r="X1136" s="3">
        <v>16</v>
      </c>
      <c r="Y1136" s="3">
        <v>0</v>
      </c>
      <c r="Z1136" s="3">
        <v>0</v>
      </c>
      <c r="AA1136" s="3">
        <v>0</v>
      </c>
      <c r="AB1136" s="12">
        <f>(W1136*4+X1136*1+Y1136*-2+Z1136*-3)/W1136</f>
        <v>5.6</v>
      </c>
      <c r="AC1136" s="3">
        <f>W1136*12.0107+X1136*1.00784+Y1136*15.999+Z1136*14.0067</f>
        <v>136.23244</v>
      </c>
      <c r="AD1136" s="12">
        <v>176</v>
      </c>
      <c r="AE1136" s="3" t="s">
        <v>271</v>
      </c>
      <c r="AF1136" s="3" t="s">
        <v>79</v>
      </c>
      <c r="AG1136" s="2" t="str">
        <f>IF(AD1136&gt;37,"Proton symporter", "Diffusion")</f>
        <v>Proton symporter</v>
      </c>
      <c r="AH1136" s="3" t="s">
        <v>272</v>
      </c>
    </row>
    <row r="1137" spans="1:34" hidden="1" x14ac:dyDescent="0.2">
      <c r="A1137" s="8" t="s">
        <v>34</v>
      </c>
      <c r="B1137" s="9" t="s">
        <v>35</v>
      </c>
      <c r="C1137" s="1" t="s">
        <v>46</v>
      </c>
      <c r="D1137" s="10" t="s">
        <v>37</v>
      </c>
      <c r="E1137" s="1" t="s">
        <v>254</v>
      </c>
      <c r="F1137" s="1" t="s">
        <v>255</v>
      </c>
      <c r="G1137" s="1">
        <v>-10</v>
      </c>
      <c r="H1137" s="1">
        <v>-20</v>
      </c>
      <c r="I1137" s="1" t="s">
        <v>40</v>
      </c>
      <c r="J1137" s="1">
        <v>3.15</v>
      </c>
      <c r="K1137" s="1">
        <v>-10</v>
      </c>
      <c r="L1137" s="1">
        <v>-4.8162921348314898</v>
      </c>
      <c r="M1137" s="1" t="s">
        <v>40</v>
      </c>
      <c r="N1137" s="1">
        <v>9.1544943820225004</v>
      </c>
      <c r="O1137" s="1">
        <v>0.72303370786517096</v>
      </c>
      <c r="Q1137" s="1">
        <v>7.2303370786517093E-2</v>
      </c>
      <c r="R1137" s="1">
        <v>0.25024333033847102</v>
      </c>
      <c r="S1137" s="11" t="s">
        <v>254</v>
      </c>
      <c r="T1137" s="2" t="s">
        <v>254</v>
      </c>
      <c r="U1137" s="3" t="s">
        <v>41</v>
      </c>
      <c r="V1137" s="2" t="s">
        <v>256</v>
      </c>
      <c r="W1137" s="2">
        <v>15</v>
      </c>
      <c r="X1137" s="2">
        <v>24</v>
      </c>
      <c r="Y1137" s="2">
        <v>0</v>
      </c>
      <c r="Z1137" s="2">
        <v>0</v>
      </c>
      <c r="AA1137" s="2">
        <v>0</v>
      </c>
      <c r="AB1137" s="12">
        <f>(W1137*4+X1137*1+Y1137*-2+Z1137*-3)/W1137+0.01</f>
        <v>5.6099999999999994</v>
      </c>
      <c r="AC1137" s="3">
        <f>W1137*12.0107+X1137*1.00784+Y1137*15.999+Z1137*14.0067</f>
        <v>204.34866000000002</v>
      </c>
      <c r="AD1137" s="12" t="s">
        <v>257</v>
      </c>
      <c r="AE1137" s="2" t="s">
        <v>231</v>
      </c>
      <c r="AF1137" s="2" t="s">
        <v>79</v>
      </c>
      <c r="AG1137" s="2" t="str">
        <f>IF(AD1137&gt;37,"Proton symporter", "Diffusion")</f>
        <v>Proton symporter</v>
      </c>
      <c r="AH1137" s="3" t="s">
        <v>258</v>
      </c>
    </row>
    <row r="1138" spans="1:34" hidden="1" x14ac:dyDescent="0.2">
      <c r="A1138" s="8" t="s">
        <v>34</v>
      </c>
      <c r="B1138" s="9" t="s">
        <v>35</v>
      </c>
      <c r="C1138" s="1" t="s">
        <v>46</v>
      </c>
      <c r="D1138" s="10" t="s">
        <v>37</v>
      </c>
      <c r="E1138" s="1" t="s">
        <v>264</v>
      </c>
      <c r="F1138" s="1" t="s">
        <v>265</v>
      </c>
      <c r="G1138" s="1">
        <v>-10</v>
      </c>
      <c r="H1138" s="1">
        <v>-20</v>
      </c>
      <c r="I1138" s="1" t="s">
        <v>40</v>
      </c>
      <c r="J1138" s="1">
        <v>3.15</v>
      </c>
      <c r="K1138" s="1">
        <v>-10</v>
      </c>
      <c r="L1138" s="1">
        <v>-4.8588235294117696</v>
      </c>
      <c r="M1138" s="1" t="s">
        <v>40</v>
      </c>
      <c r="N1138" s="1">
        <v>9.1848739495798295</v>
      </c>
      <c r="O1138" s="1">
        <v>2.1630252100840299</v>
      </c>
      <c r="Q1138" s="1">
        <v>0.216302521008403</v>
      </c>
      <c r="R1138" s="1">
        <v>0.249542368628838</v>
      </c>
      <c r="S1138" s="20" t="s">
        <v>264</v>
      </c>
      <c r="T1138" s="3" t="s">
        <v>264</v>
      </c>
      <c r="U1138" s="3" t="s">
        <v>106</v>
      </c>
      <c r="V1138" s="3" t="s">
        <v>266</v>
      </c>
      <c r="W1138" s="3">
        <v>5</v>
      </c>
      <c r="X1138" s="3">
        <v>8</v>
      </c>
      <c r="Y1138" s="3">
        <v>0</v>
      </c>
      <c r="Z1138" s="3">
        <v>0</v>
      </c>
      <c r="AA1138" s="3">
        <v>0</v>
      </c>
      <c r="AB1138" s="12">
        <f>(W1138*4+X1138*1+Y1138*-2+Z1138*-3)/W1138</f>
        <v>5.6</v>
      </c>
      <c r="AC1138" s="3">
        <f>W1138*12.0107+X1138*1.00784+Y1138*15.999+Z1138*14.0067</f>
        <v>68.116219999999998</v>
      </c>
      <c r="AD1138" s="24">
        <v>34.07</v>
      </c>
      <c r="AE1138" s="3" t="s">
        <v>231</v>
      </c>
      <c r="AF1138" s="3" t="s">
        <v>79</v>
      </c>
      <c r="AG1138" s="25" t="str">
        <f>IF(AD1138&gt;37,"Proton symporter", "Diffusion")</f>
        <v>Diffusion</v>
      </c>
      <c r="AH1138" s="3" t="s">
        <v>267</v>
      </c>
    </row>
    <row r="1139" spans="1:34" hidden="1" x14ac:dyDescent="0.2">
      <c r="A1139" s="8" t="s">
        <v>34</v>
      </c>
      <c r="B1139" s="9" t="s">
        <v>35</v>
      </c>
      <c r="C1139" s="1" t="s">
        <v>57</v>
      </c>
      <c r="D1139" s="10" t="s">
        <v>37</v>
      </c>
      <c r="E1139" s="1" t="s">
        <v>211</v>
      </c>
      <c r="F1139" s="1" t="s">
        <v>212</v>
      </c>
      <c r="G1139" s="1">
        <v>-10</v>
      </c>
      <c r="H1139" s="1">
        <v>-20</v>
      </c>
      <c r="I1139" s="1" t="s">
        <v>40</v>
      </c>
      <c r="J1139" s="1">
        <v>3.15</v>
      </c>
      <c r="K1139" s="1">
        <v>-10</v>
      </c>
      <c r="L1139" s="1">
        <v>-5.62011173184358</v>
      </c>
      <c r="M1139" s="1" t="s">
        <v>40</v>
      </c>
      <c r="N1139" s="1">
        <v>8.4960893854748605</v>
      </c>
      <c r="O1139" s="1">
        <v>1.43798882681564</v>
      </c>
      <c r="Q1139" s="1">
        <v>0.14379888268156399</v>
      </c>
      <c r="R1139" s="1">
        <v>0.24939072885436001</v>
      </c>
      <c r="S1139" s="20" t="s">
        <v>211</v>
      </c>
      <c r="T1139" s="3" t="s">
        <v>211</v>
      </c>
      <c r="U1139" s="3" t="s">
        <v>174</v>
      </c>
      <c r="V1139" s="3" t="s">
        <v>213</v>
      </c>
      <c r="W1139" s="3">
        <v>8</v>
      </c>
      <c r="X1139" s="3">
        <v>8</v>
      </c>
      <c r="Y1139" s="3">
        <v>0</v>
      </c>
      <c r="Z1139" s="3">
        <v>0</v>
      </c>
      <c r="AA1139" s="3">
        <v>0</v>
      </c>
      <c r="AB1139" s="12">
        <f>(W1139*4+X1139*1+Y1139*-2+Z1139*-3)/W1139</f>
        <v>5</v>
      </c>
      <c r="AC1139" s="3">
        <f>W1139*12.0107+X1139*1.00784+Y1139*15.999+Z1139*14.0067</f>
        <v>104.14832</v>
      </c>
      <c r="AD1139" s="12">
        <v>145</v>
      </c>
      <c r="AE1139" s="3" t="s">
        <v>214</v>
      </c>
      <c r="AF1139" s="3" t="s">
        <v>203</v>
      </c>
      <c r="AG1139" s="2" t="str">
        <f>IF(AD1139&gt;37,"Proton symporter", "Diffusion")</f>
        <v>Proton symporter</v>
      </c>
      <c r="AH1139" s="3" t="s">
        <v>215</v>
      </c>
    </row>
    <row r="1140" spans="1:34" hidden="1" x14ac:dyDescent="0.2">
      <c r="A1140" s="16" t="s">
        <v>317</v>
      </c>
      <c r="B1140" s="9" t="s">
        <v>35</v>
      </c>
      <c r="C1140" t="s">
        <v>46</v>
      </c>
      <c r="D1140" s="10" t="s">
        <v>37</v>
      </c>
      <c r="E1140" t="s">
        <v>323</v>
      </c>
      <c r="F1140" t="s">
        <v>324</v>
      </c>
      <c r="G1140">
        <v>-10</v>
      </c>
      <c r="H1140">
        <v>-20</v>
      </c>
      <c r="I1140" s="1" t="s">
        <v>40</v>
      </c>
      <c r="J1140">
        <v>3.15</v>
      </c>
      <c r="K1140">
        <v>-10</v>
      </c>
      <c r="L1140">
        <v>-3.9594594594594601</v>
      </c>
      <c r="M1140" s="1" t="s">
        <v>40</v>
      </c>
      <c r="N1140">
        <v>9.7340540540540594</v>
      </c>
      <c r="O1140">
        <v>1.2832432432432399</v>
      </c>
      <c r="P1140"/>
      <c r="Q1140">
        <v>0.128324324324324</v>
      </c>
      <c r="R1140">
        <v>0.24826120835120899</v>
      </c>
      <c r="S1140" s="11" t="s">
        <v>323</v>
      </c>
      <c r="T1140" s="2" t="s">
        <v>323</v>
      </c>
      <c r="U1140" s="3" t="s">
        <v>106</v>
      </c>
      <c r="V1140" s="2" t="s">
        <v>325</v>
      </c>
      <c r="W1140" s="2">
        <v>8</v>
      </c>
      <c r="X1140" s="2">
        <v>18</v>
      </c>
      <c r="Y1140" s="2">
        <v>0</v>
      </c>
      <c r="Z1140" s="2">
        <v>0</v>
      </c>
      <c r="AA1140" s="2">
        <v>0</v>
      </c>
      <c r="AB1140" s="12">
        <f>(W1140*4+X1140*1+Y1140*-2+Z1140*-3)/W1140</f>
        <v>6.25</v>
      </c>
      <c r="AC1140" s="3">
        <f>W1140*12.0107+X1140*1.00784+Y1140*15.999+Z1140*14.0067</f>
        <v>114.22672</v>
      </c>
      <c r="AD1140" s="12">
        <v>126</v>
      </c>
      <c r="AE1140" s="3" t="s">
        <v>321</v>
      </c>
      <c r="AF1140" s="2" t="s">
        <v>313</v>
      </c>
      <c r="AG1140" s="2" t="str">
        <f>IF(AD1140&gt;37,"Proton symporter", "Diffusion")</f>
        <v>Proton symporter</v>
      </c>
      <c r="AH1140" s="3" t="s">
        <v>326</v>
      </c>
    </row>
    <row r="1141" spans="1:34" hidden="1" x14ac:dyDescent="0.2">
      <c r="A1141" s="8" t="s">
        <v>34</v>
      </c>
      <c r="B1141" s="9" t="s">
        <v>35</v>
      </c>
      <c r="C1141" s="1" t="s">
        <v>46</v>
      </c>
      <c r="D1141" s="10" t="s">
        <v>37</v>
      </c>
      <c r="E1141" s="1" t="s">
        <v>335</v>
      </c>
      <c r="F1141" s="1" t="s">
        <v>336</v>
      </c>
      <c r="G1141" s="1">
        <v>-10</v>
      </c>
      <c r="H1141" s="1">
        <v>-20</v>
      </c>
      <c r="I1141" s="1" t="s">
        <v>40</v>
      </c>
      <c r="J1141" s="1">
        <v>3.15</v>
      </c>
      <c r="K1141" s="1">
        <v>-10</v>
      </c>
      <c r="L1141" s="1">
        <v>-3.7675213675213701</v>
      </c>
      <c r="M1141" s="1" t="s">
        <v>40</v>
      </c>
      <c r="N1141" s="1">
        <v>9.8547008547008694</v>
      </c>
      <c r="O1141" s="1">
        <v>2.0290598290598298</v>
      </c>
      <c r="Q1141" s="1">
        <v>0.202905982905983</v>
      </c>
      <c r="R1141" s="1">
        <v>0.24794125416202401</v>
      </c>
      <c r="S1141" s="11" t="s">
        <v>335</v>
      </c>
      <c r="T1141" s="2" t="s">
        <v>335</v>
      </c>
      <c r="U1141" s="3" t="s">
        <v>106</v>
      </c>
      <c r="V1141" s="2" t="s">
        <v>337</v>
      </c>
      <c r="W1141" s="2">
        <v>5</v>
      </c>
      <c r="X1141" s="2">
        <v>12</v>
      </c>
      <c r="Y1141" s="2">
        <v>0</v>
      </c>
      <c r="Z1141" s="2">
        <v>0</v>
      </c>
      <c r="AA1141" s="2">
        <v>0</v>
      </c>
      <c r="AB1141" s="12">
        <f>(W1141*4+X1141*1+Y1141*-2+Z1141*-3)/W1141</f>
        <v>6.4</v>
      </c>
      <c r="AC1141" s="3">
        <f>W1141*12.0107+X1141*1.00784+Y1141*15.999+Z1141*14.0067</f>
        <v>72.147580000000005</v>
      </c>
      <c r="AD1141" s="24">
        <v>36.1</v>
      </c>
      <c r="AE1141" s="3" t="s">
        <v>321</v>
      </c>
      <c r="AF1141" s="2" t="s">
        <v>79</v>
      </c>
      <c r="AG1141" s="25" t="str">
        <f>IF(AD1141&gt;37,"Proton symporter", "Diffusion")</f>
        <v>Diffusion</v>
      </c>
      <c r="AH1141" s="3" t="s">
        <v>338</v>
      </c>
    </row>
    <row r="1142" spans="1:34" hidden="1" x14ac:dyDescent="0.2">
      <c r="A1142" s="8" t="s">
        <v>350</v>
      </c>
      <c r="B1142" s="17" t="s">
        <v>64</v>
      </c>
      <c r="C1142" t="s">
        <v>354</v>
      </c>
      <c r="D1142" s="13" t="s">
        <v>51</v>
      </c>
      <c r="E1142" t="s">
        <v>339</v>
      </c>
      <c r="F1142" t="s">
        <v>340</v>
      </c>
      <c r="G1142">
        <v>-10</v>
      </c>
      <c r="H1142">
        <v>0</v>
      </c>
      <c r="I1142">
        <v>0</v>
      </c>
      <c r="J1142">
        <v>0.45</v>
      </c>
      <c r="K1142">
        <v>-10</v>
      </c>
      <c r="L1142">
        <v>0</v>
      </c>
      <c r="M1142">
        <v>0</v>
      </c>
      <c r="N1142">
        <v>0</v>
      </c>
      <c r="O1142" s="26">
        <v>1.3647058823529401</v>
      </c>
      <c r="P1142"/>
      <c r="Q1142" s="26">
        <v>0.13647058823529401</v>
      </c>
      <c r="R1142" s="26">
        <v>0.24755218313442701</v>
      </c>
      <c r="S1142" s="3" t="str">
        <f>VLOOKUP($E1142,'[1]Product Naming'!$A$1:$P$58,2)</f>
        <v>Butane</v>
      </c>
      <c r="T1142" s="3" t="str">
        <f>VLOOKUP($E1142,'[1]Product Naming'!$A$1:$P$58,3)</f>
        <v>Butane</v>
      </c>
      <c r="U1142" s="3" t="str">
        <f>VLOOKUP($E1142,'[1]Product Naming'!$A$1:$P$58,4)</f>
        <v>E</v>
      </c>
      <c r="V1142" s="3" t="str">
        <f>VLOOKUP($E1142,'[1]Product Naming'!$A$1:$P$58,5)</f>
        <v>C4H10</v>
      </c>
      <c r="W1142" s="3">
        <f>VLOOKUP($E1142,'[1]Product Naming'!$A$1:$P$58,6)</f>
        <v>4</v>
      </c>
      <c r="X1142" s="3">
        <f>VLOOKUP($E1142,'[1]Product Naming'!$A$1:$P$58,7)</f>
        <v>10</v>
      </c>
      <c r="Y1142" s="3">
        <f>VLOOKUP($E1142,'[1]Product Naming'!$A$1:$P$58,8)</f>
        <v>0</v>
      </c>
      <c r="Z1142" s="3">
        <f>VLOOKUP($E1142,'[1]Product Naming'!$A$1:$P$58,9)</f>
        <v>0</v>
      </c>
      <c r="AA1142" s="3">
        <f>VLOOKUP($E1142,'[1]Product Naming'!$A$1:$P$58,10)</f>
        <v>0</v>
      </c>
      <c r="AB1142" s="3">
        <f>VLOOKUP($E1142,'[1]Product Naming'!$A$1:$P$58,11)</f>
        <v>6.5</v>
      </c>
      <c r="AC1142" s="3">
        <f>VLOOKUP($E1142,'[1]Product Naming'!$A$1:$P$58,12)</f>
        <v>58.121200000000002</v>
      </c>
      <c r="AD1142" s="3">
        <f>VLOOKUP($E1142,'[1]Product Naming'!$A$1:$P$58,13)</f>
        <v>-1</v>
      </c>
      <c r="AE1142" s="3" t="str">
        <f>VLOOKUP($E1142,'[1]Product Naming'!$A$1:$P$58,14)</f>
        <v>Hydrocarbon (alkane)</v>
      </c>
      <c r="AF1142" s="3" t="str">
        <f>VLOOKUP($E1142,'[1]Product Naming'!$A$1:$P$58,15)</f>
        <v>Acetyl-CoA + Succinyl-CoA</v>
      </c>
      <c r="AG1142" s="3" t="str">
        <f>VLOOKUP($E1142,'[1]Product Naming'!$A$1:$P$58,16)</f>
        <v>Diffusion</v>
      </c>
      <c r="AH1142" s="3" t="str">
        <f>VLOOKUP($E1142,'[1]Product Naming'!$A$1:$Q$58,17)</f>
        <v>butn_c</v>
      </c>
    </row>
    <row r="1143" spans="1:34" hidden="1" x14ac:dyDescent="0.2">
      <c r="A1143" s="16" t="s">
        <v>63</v>
      </c>
      <c r="B1143" s="17" t="s">
        <v>64</v>
      </c>
      <c r="C1143" t="s">
        <v>73</v>
      </c>
      <c r="D1143" s="18" t="s">
        <v>66</v>
      </c>
      <c r="E1143" t="s">
        <v>310</v>
      </c>
      <c r="F1143" t="s">
        <v>311</v>
      </c>
      <c r="G1143">
        <v>-10</v>
      </c>
      <c r="H1143">
        <v>0</v>
      </c>
      <c r="I1143">
        <v>-20</v>
      </c>
      <c r="J1143">
        <v>0.45</v>
      </c>
      <c r="K1143">
        <v>-10</v>
      </c>
      <c r="L1143">
        <v>0</v>
      </c>
      <c r="M1143">
        <v>-20</v>
      </c>
      <c r="N1143">
        <v>0</v>
      </c>
      <c r="O1143">
        <v>1.40606060606061</v>
      </c>
      <c r="P1143"/>
      <c r="Q1143">
        <v>0.14060606060606101</v>
      </c>
      <c r="R1143" s="19">
        <v>0.24753232214293999</v>
      </c>
      <c r="S1143" s="20" t="s">
        <v>310</v>
      </c>
      <c r="T1143" s="3" t="s">
        <v>312</v>
      </c>
      <c r="U1143" s="3" t="s">
        <v>106</v>
      </c>
      <c r="V1143" s="3" t="s">
        <v>292</v>
      </c>
      <c r="W1143" s="3">
        <v>5</v>
      </c>
      <c r="X1143" s="3">
        <v>12</v>
      </c>
      <c r="Y1143" s="3">
        <v>1</v>
      </c>
      <c r="Z1143" s="3">
        <v>0</v>
      </c>
      <c r="AA1143" s="3">
        <v>0</v>
      </c>
      <c r="AB1143" s="12">
        <f>(W1143*4+X1143*1+Y1143*-2+Z1143*-3)/W1143</f>
        <v>6</v>
      </c>
      <c r="AC1143" s="3">
        <f>W1143*12.0107+X1143*1.00784+Y1143*15.999+Z1143*14.0067</f>
        <v>88.14658</v>
      </c>
      <c r="AD1143" s="12">
        <v>138</v>
      </c>
      <c r="AE1143" s="3" t="s">
        <v>262</v>
      </c>
      <c r="AF1143" s="2" t="s">
        <v>313</v>
      </c>
      <c r="AG1143" s="2" t="str">
        <f>IF(AD1143&gt;37,"Proton symporter", "Diffusion")</f>
        <v>Proton symporter</v>
      </c>
      <c r="AH1143" s="3" t="s">
        <v>314</v>
      </c>
    </row>
    <row r="1144" spans="1:34" hidden="1" x14ac:dyDescent="0.2">
      <c r="A1144" s="16" t="s">
        <v>63</v>
      </c>
      <c r="B1144" s="17" t="s">
        <v>64</v>
      </c>
      <c r="C1144" t="s">
        <v>73</v>
      </c>
      <c r="D1144" s="18" t="s">
        <v>66</v>
      </c>
      <c r="E1144" t="s">
        <v>315</v>
      </c>
      <c r="F1144" t="s">
        <v>311</v>
      </c>
      <c r="G1144">
        <v>-10</v>
      </c>
      <c r="H1144">
        <v>0</v>
      </c>
      <c r="I1144">
        <v>-20</v>
      </c>
      <c r="J1144">
        <v>0.45</v>
      </c>
      <c r="K1144">
        <v>-10</v>
      </c>
      <c r="L1144">
        <v>0</v>
      </c>
      <c r="M1144">
        <v>-20</v>
      </c>
      <c r="N1144">
        <v>0</v>
      </c>
      <c r="O1144">
        <v>1.40606060606061</v>
      </c>
      <c r="P1144"/>
      <c r="Q1144">
        <v>0.14060606060606101</v>
      </c>
      <c r="R1144" s="19">
        <v>0.24753232214293999</v>
      </c>
      <c r="S1144" s="20" t="s">
        <v>315</v>
      </c>
      <c r="T1144" s="3" t="s">
        <v>316</v>
      </c>
      <c r="U1144" s="3" t="s">
        <v>106</v>
      </c>
      <c r="V1144" s="3" t="s">
        <v>292</v>
      </c>
      <c r="W1144" s="3">
        <v>5</v>
      </c>
      <c r="X1144" s="3">
        <v>12</v>
      </c>
      <c r="Y1144" s="3">
        <v>1</v>
      </c>
      <c r="Z1144" s="3">
        <v>0</v>
      </c>
      <c r="AA1144" s="3">
        <v>0</v>
      </c>
      <c r="AB1144" s="12">
        <f>(W1144*4+X1144*1+Y1144*-2+Z1144*-3)/W1144</f>
        <v>6</v>
      </c>
      <c r="AC1144" s="3">
        <f>W1144*12.0107+X1144*1.00784+Y1144*15.999+Z1144*14.0067</f>
        <v>88.14658</v>
      </c>
      <c r="AD1144" s="12">
        <v>138</v>
      </c>
      <c r="AE1144" s="3" t="s">
        <v>262</v>
      </c>
      <c r="AF1144" s="3" t="s">
        <v>44</v>
      </c>
      <c r="AG1144" s="2" t="str">
        <f>IF(AD1144&gt;37,"Proton symporter", "Diffusion")</f>
        <v>Proton symporter</v>
      </c>
      <c r="AH1144" s="3" t="s">
        <v>314</v>
      </c>
    </row>
    <row r="1145" spans="1:34" hidden="1" x14ac:dyDescent="0.2">
      <c r="A1145" s="16" t="s">
        <v>63</v>
      </c>
      <c r="B1145" s="17" t="s">
        <v>64</v>
      </c>
      <c r="C1145" t="s">
        <v>69</v>
      </c>
      <c r="D1145" s="18" t="s">
        <v>66</v>
      </c>
      <c r="E1145" t="s">
        <v>339</v>
      </c>
      <c r="F1145" t="s">
        <v>340</v>
      </c>
      <c r="G1145">
        <v>-10</v>
      </c>
      <c r="H1145">
        <v>0</v>
      </c>
      <c r="I1145">
        <v>-20</v>
      </c>
      <c r="J1145">
        <v>0.45</v>
      </c>
      <c r="K1145">
        <v>-10</v>
      </c>
      <c r="L1145">
        <v>0</v>
      </c>
      <c r="M1145">
        <v>-20</v>
      </c>
      <c r="N1145">
        <v>0</v>
      </c>
      <c r="O1145">
        <v>1.3647058823529401</v>
      </c>
      <c r="P1145"/>
      <c r="Q1145">
        <v>0.13647058823529401</v>
      </c>
      <c r="R1145" s="19">
        <v>0.24748313113701001</v>
      </c>
      <c r="S1145" s="11" t="s">
        <v>339</v>
      </c>
      <c r="T1145" s="2" t="s">
        <v>339</v>
      </c>
      <c r="U1145" s="3" t="s">
        <v>106</v>
      </c>
      <c r="V1145" s="2" t="s">
        <v>341</v>
      </c>
      <c r="W1145" s="2">
        <v>4</v>
      </c>
      <c r="X1145" s="2">
        <v>10</v>
      </c>
      <c r="Y1145" s="2">
        <v>0</v>
      </c>
      <c r="Z1145" s="2">
        <v>0</v>
      </c>
      <c r="AA1145" s="2">
        <v>0</v>
      </c>
      <c r="AB1145" s="12">
        <f>(W1145*4+X1145*1+Y1145*-2+Z1145*-3)/W1145</f>
        <v>6.5</v>
      </c>
      <c r="AC1145" s="3">
        <f>W1145*12.0107+X1145*1.00784+Y1145*15.999+Z1145*14.0067</f>
        <v>58.121200000000002</v>
      </c>
      <c r="AD1145" s="24">
        <v>-1</v>
      </c>
      <c r="AE1145" s="3" t="s">
        <v>321</v>
      </c>
      <c r="AF1145" s="2" t="s">
        <v>313</v>
      </c>
      <c r="AG1145" s="25" t="str">
        <f>IF(AD1145&gt;37,"Proton symporter", "Diffusion")</f>
        <v>Diffusion</v>
      </c>
      <c r="AH1145" s="3" t="s">
        <v>342</v>
      </c>
    </row>
    <row r="1146" spans="1:34" hidden="1" x14ac:dyDescent="0.2">
      <c r="A1146" s="16" t="s">
        <v>63</v>
      </c>
      <c r="B1146" s="17" t="s">
        <v>64</v>
      </c>
      <c r="C1146" t="s">
        <v>67</v>
      </c>
      <c r="D1146" s="18" t="s">
        <v>66</v>
      </c>
      <c r="E1146" t="s">
        <v>310</v>
      </c>
      <c r="F1146" t="s">
        <v>311</v>
      </c>
      <c r="G1146">
        <v>-10</v>
      </c>
      <c r="H1146">
        <v>0</v>
      </c>
      <c r="I1146">
        <v>-5</v>
      </c>
      <c r="J1146">
        <v>0.45</v>
      </c>
      <c r="K1146">
        <v>-10</v>
      </c>
      <c r="L1146">
        <v>0</v>
      </c>
      <c r="M1146">
        <v>-5</v>
      </c>
      <c r="N1146">
        <v>4.5352112676056402</v>
      </c>
      <c r="O1146">
        <v>0.81408450704225299</v>
      </c>
      <c r="P1146"/>
      <c r="Q1146">
        <v>8.1408450704225296E-2</v>
      </c>
      <c r="R1146">
        <v>0.24727348424107701</v>
      </c>
      <c r="S1146" s="20" t="s">
        <v>310</v>
      </c>
      <c r="T1146" s="3" t="s">
        <v>312</v>
      </c>
      <c r="U1146" s="3" t="s">
        <v>106</v>
      </c>
      <c r="V1146" s="3" t="s">
        <v>292</v>
      </c>
      <c r="W1146" s="3">
        <v>5</v>
      </c>
      <c r="X1146" s="3">
        <v>12</v>
      </c>
      <c r="Y1146" s="3">
        <v>1</v>
      </c>
      <c r="Z1146" s="3">
        <v>0</v>
      </c>
      <c r="AA1146" s="3">
        <v>0</v>
      </c>
      <c r="AB1146" s="12">
        <f>(W1146*4+X1146*1+Y1146*-2+Z1146*-3)/W1146</f>
        <v>6</v>
      </c>
      <c r="AC1146" s="3">
        <f>W1146*12.0107+X1146*1.00784+Y1146*15.999+Z1146*14.0067</f>
        <v>88.14658</v>
      </c>
      <c r="AD1146" s="12">
        <v>138</v>
      </c>
      <c r="AE1146" s="3" t="s">
        <v>262</v>
      </c>
      <c r="AF1146" s="2" t="s">
        <v>313</v>
      </c>
      <c r="AG1146" s="2" t="str">
        <f>IF(AD1146&gt;37,"Proton symporter", "Diffusion")</f>
        <v>Proton symporter</v>
      </c>
      <c r="AH1146" s="3" t="s">
        <v>314</v>
      </c>
    </row>
    <row r="1147" spans="1:34" hidden="1" x14ac:dyDescent="0.2">
      <c r="A1147" s="16" t="s">
        <v>63</v>
      </c>
      <c r="B1147" s="17" t="s">
        <v>64</v>
      </c>
      <c r="C1147" t="s">
        <v>67</v>
      </c>
      <c r="D1147" s="18" t="s">
        <v>66</v>
      </c>
      <c r="E1147" t="s">
        <v>315</v>
      </c>
      <c r="F1147" t="s">
        <v>311</v>
      </c>
      <c r="G1147">
        <v>-10</v>
      </c>
      <c r="H1147">
        <v>0</v>
      </c>
      <c r="I1147">
        <v>-5</v>
      </c>
      <c r="J1147">
        <v>0.45</v>
      </c>
      <c r="K1147">
        <v>-10</v>
      </c>
      <c r="L1147">
        <v>0</v>
      </c>
      <c r="M1147">
        <v>-5</v>
      </c>
      <c r="N1147">
        <v>4.5352112676056304</v>
      </c>
      <c r="O1147">
        <v>0.81408450704225299</v>
      </c>
      <c r="P1147"/>
      <c r="Q1147">
        <v>8.1408450704225296E-2</v>
      </c>
      <c r="R1147">
        <v>0.24727348424107701</v>
      </c>
      <c r="S1147" s="20" t="s">
        <v>315</v>
      </c>
      <c r="T1147" s="3" t="s">
        <v>316</v>
      </c>
      <c r="U1147" s="3" t="s">
        <v>106</v>
      </c>
      <c r="V1147" s="3" t="s">
        <v>292</v>
      </c>
      <c r="W1147" s="3">
        <v>5</v>
      </c>
      <c r="X1147" s="3">
        <v>12</v>
      </c>
      <c r="Y1147" s="3">
        <v>1</v>
      </c>
      <c r="Z1147" s="3">
        <v>0</v>
      </c>
      <c r="AA1147" s="3">
        <v>0</v>
      </c>
      <c r="AB1147" s="12">
        <f>(W1147*4+X1147*1+Y1147*-2+Z1147*-3)/W1147</f>
        <v>6</v>
      </c>
      <c r="AC1147" s="3">
        <f>W1147*12.0107+X1147*1.00784+Y1147*15.999+Z1147*14.0067</f>
        <v>88.14658</v>
      </c>
      <c r="AD1147" s="12">
        <v>138</v>
      </c>
      <c r="AE1147" s="3" t="s">
        <v>262</v>
      </c>
      <c r="AF1147" s="3" t="s">
        <v>44</v>
      </c>
      <c r="AG1147" s="2" t="str">
        <f>IF(AD1147&gt;37,"Proton symporter", "Diffusion")</f>
        <v>Proton symporter</v>
      </c>
      <c r="AH1147" s="3" t="s">
        <v>314</v>
      </c>
    </row>
    <row r="1148" spans="1:34" hidden="1" x14ac:dyDescent="0.2">
      <c r="A1148" s="16" t="s">
        <v>63</v>
      </c>
      <c r="B1148" s="17" t="s">
        <v>64</v>
      </c>
      <c r="C1148" t="s">
        <v>68</v>
      </c>
      <c r="D1148" s="18" t="s">
        <v>66</v>
      </c>
      <c r="E1148" t="s">
        <v>166</v>
      </c>
      <c r="F1148" t="s">
        <v>167</v>
      </c>
      <c r="G1148">
        <v>-10</v>
      </c>
      <c r="H1148">
        <v>0</v>
      </c>
      <c r="I1148">
        <v>-10</v>
      </c>
      <c r="J1148">
        <v>0.45</v>
      </c>
      <c r="K1148">
        <v>-10</v>
      </c>
      <c r="L1148">
        <v>0</v>
      </c>
      <c r="M1148">
        <v>-10</v>
      </c>
      <c r="N1148">
        <v>0.42823529411764699</v>
      </c>
      <c r="O1148">
        <v>0.85647058823529298</v>
      </c>
      <c r="P1148"/>
      <c r="Q1148">
        <v>8.5647058823529298E-2</v>
      </c>
      <c r="R1148">
        <v>0.245526816399287</v>
      </c>
      <c r="S1148" s="11" t="s">
        <v>166</v>
      </c>
      <c r="T1148" s="2" t="s">
        <v>168</v>
      </c>
      <c r="U1148" s="3" t="s">
        <v>41</v>
      </c>
      <c r="V1148" s="2" t="s">
        <v>169</v>
      </c>
      <c r="W1148" s="2">
        <v>4</v>
      </c>
      <c r="X1148" s="2">
        <v>6</v>
      </c>
      <c r="Y1148" s="2">
        <v>2</v>
      </c>
      <c r="Z1148" s="2">
        <v>0</v>
      </c>
      <c r="AA1148" s="2">
        <v>0</v>
      </c>
      <c r="AB1148" s="12">
        <f>(W1148*4+X1148*1+Y1148*-2+Z1148*-3)/W1148</f>
        <v>4.5</v>
      </c>
      <c r="AC1148" s="3">
        <f>W1148*12.0107+X1148*1.00784+Y1148*15.999+Z1148*14.0067</f>
        <v>86.08784</v>
      </c>
      <c r="AD1148" s="12">
        <v>204</v>
      </c>
      <c r="AE1148" s="2" t="s">
        <v>170</v>
      </c>
      <c r="AF1148" s="2" t="s">
        <v>120</v>
      </c>
      <c r="AG1148" s="2" t="str">
        <f>IF(AD1148&gt;37,"Proton symporter", "Diffusion")</f>
        <v>Proton symporter</v>
      </c>
      <c r="AH1148" s="3" t="s">
        <v>171</v>
      </c>
    </row>
    <row r="1149" spans="1:34" hidden="1" x14ac:dyDescent="0.2">
      <c r="A1149" s="16" t="s">
        <v>317</v>
      </c>
      <c r="B1149" s="9" t="s">
        <v>35</v>
      </c>
      <c r="C1149" t="s">
        <v>46</v>
      </c>
      <c r="D1149" s="10" t="s">
        <v>37</v>
      </c>
      <c r="E1149" t="s">
        <v>331</v>
      </c>
      <c r="F1149" t="s">
        <v>332</v>
      </c>
      <c r="G1149">
        <v>-10</v>
      </c>
      <c r="H1149">
        <v>-20</v>
      </c>
      <c r="I1149" s="1" t="s">
        <v>40</v>
      </c>
      <c r="J1149">
        <v>3.15</v>
      </c>
      <c r="K1149">
        <v>-10</v>
      </c>
      <c r="L1149">
        <v>-4.1176056338028104</v>
      </c>
      <c r="M1149" s="1" t="s">
        <v>40</v>
      </c>
      <c r="N1149">
        <v>9.9690140845070392</v>
      </c>
      <c r="O1149">
        <v>1.6718309859154901</v>
      </c>
      <c r="P1149"/>
      <c r="Q1149">
        <v>0.16718309859154901</v>
      </c>
      <c r="R1149">
        <v>0.244006049340111</v>
      </c>
      <c r="S1149" s="11" t="s">
        <v>331</v>
      </c>
      <c r="T1149" s="2" t="s">
        <v>331</v>
      </c>
      <c r="U1149" s="3" t="s">
        <v>106</v>
      </c>
      <c r="V1149" s="3" t="s">
        <v>333</v>
      </c>
      <c r="W1149" s="2">
        <v>6</v>
      </c>
      <c r="X1149" s="2">
        <v>14</v>
      </c>
      <c r="Y1149" s="2">
        <v>0</v>
      </c>
      <c r="Z1149" s="2">
        <v>0</v>
      </c>
      <c r="AA1149" s="2">
        <v>0</v>
      </c>
      <c r="AB1149" s="12">
        <f>(W1149*4+X1149*1+Y1149*-2+Z1149*-3)/W1149</f>
        <v>6.333333333333333</v>
      </c>
      <c r="AC1149" s="3">
        <f>W1149*12.0107+X1149*1.00784+Y1149*15.999+Z1149*14.0067</f>
        <v>86.173959999999994</v>
      </c>
      <c r="AD1149" s="12">
        <v>69</v>
      </c>
      <c r="AE1149" s="3" t="s">
        <v>321</v>
      </c>
      <c r="AF1149" s="2" t="s">
        <v>313</v>
      </c>
      <c r="AG1149" s="2" t="str">
        <f>IF(AD1149&gt;37,"Proton symporter", "Diffusion")</f>
        <v>Proton symporter</v>
      </c>
      <c r="AH1149" s="3" t="s">
        <v>334</v>
      </c>
    </row>
    <row r="1150" spans="1:34" hidden="1" x14ac:dyDescent="0.2">
      <c r="A1150" s="16" t="s">
        <v>74</v>
      </c>
      <c r="B1150" s="9" t="s">
        <v>35</v>
      </c>
      <c r="C1150" t="s">
        <v>57</v>
      </c>
      <c r="D1150" s="10" t="s">
        <v>37</v>
      </c>
      <c r="E1150" t="s">
        <v>268</v>
      </c>
      <c r="F1150" t="s">
        <v>269</v>
      </c>
      <c r="G1150">
        <v>-10</v>
      </c>
      <c r="H1150">
        <v>-20</v>
      </c>
      <c r="I1150" s="1" t="s">
        <v>40</v>
      </c>
      <c r="J1150">
        <v>3.15</v>
      </c>
      <c r="K1150">
        <v>-10</v>
      </c>
      <c r="L1150">
        <v>-5</v>
      </c>
      <c r="M1150" s="1" t="s">
        <v>40</v>
      </c>
      <c r="N1150">
        <v>9.2857142857142794</v>
      </c>
      <c r="O1150">
        <v>1.0714285714285701</v>
      </c>
      <c r="P1150"/>
      <c r="Q1150">
        <v>0.107142857142857</v>
      </c>
      <c r="R1150">
        <v>0.24306156093290601</v>
      </c>
      <c r="S1150" s="3" t="s">
        <v>268</v>
      </c>
      <c r="T1150" s="3" t="s">
        <v>268</v>
      </c>
      <c r="U1150" s="3" t="s">
        <v>106</v>
      </c>
      <c r="V1150" s="3" t="s">
        <v>270</v>
      </c>
      <c r="W1150" s="3">
        <v>10</v>
      </c>
      <c r="X1150" s="3">
        <v>16</v>
      </c>
      <c r="Y1150" s="3">
        <v>0</v>
      </c>
      <c r="Z1150" s="3">
        <v>0</v>
      </c>
      <c r="AA1150" s="3">
        <v>0</v>
      </c>
      <c r="AB1150" s="12">
        <f>(W1150*4+X1150*1+Y1150*-2+Z1150*-3)/W1150</f>
        <v>5.6</v>
      </c>
      <c r="AC1150" s="3">
        <f>W1150*12.0107+X1150*1.00784+Y1150*15.999+Z1150*14.0067</f>
        <v>136.23244</v>
      </c>
      <c r="AD1150" s="12">
        <v>176</v>
      </c>
      <c r="AE1150" s="3" t="s">
        <v>271</v>
      </c>
      <c r="AF1150" s="3" t="s">
        <v>79</v>
      </c>
      <c r="AG1150" s="2" t="str">
        <f>IF(AD1150&gt;37,"Proton symporter", "Diffusion")</f>
        <v>Proton symporter</v>
      </c>
      <c r="AH1150" s="3" t="s">
        <v>272</v>
      </c>
    </row>
    <row r="1151" spans="1:34" hidden="1" x14ac:dyDescent="0.2">
      <c r="A1151" s="8" t="s">
        <v>34</v>
      </c>
      <c r="B1151" s="9" t="s">
        <v>35</v>
      </c>
      <c r="C1151" s="1" t="s">
        <v>57</v>
      </c>
      <c r="D1151" s="10" t="s">
        <v>37</v>
      </c>
      <c r="E1151" s="1" t="s">
        <v>254</v>
      </c>
      <c r="F1151" s="1" t="s">
        <v>255</v>
      </c>
      <c r="G1151" s="1">
        <v>-10</v>
      </c>
      <c r="H1151" s="1">
        <v>-20</v>
      </c>
      <c r="I1151" s="1" t="s">
        <v>40</v>
      </c>
      <c r="J1151" s="1">
        <v>3.15</v>
      </c>
      <c r="K1151" s="1">
        <v>-10</v>
      </c>
      <c r="L1151" s="1">
        <v>-5</v>
      </c>
      <c r="M1151" s="1" t="s">
        <v>40</v>
      </c>
      <c r="N1151" s="1">
        <v>9.2857142857142705</v>
      </c>
      <c r="O1151" s="1">
        <v>0.71428571428571397</v>
      </c>
      <c r="Q1151" s="1">
        <v>7.1428571428571397E-2</v>
      </c>
      <c r="R1151" s="1">
        <v>0.24306156093290601</v>
      </c>
      <c r="S1151" s="11" t="s">
        <v>254</v>
      </c>
      <c r="T1151" s="2" t="s">
        <v>254</v>
      </c>
      <c r="U1151" s="3" t="s">
        <v>41</v>
      </c>
      <c r="V1151" s="2" t="s">
        <v>256</v>
      </c>
      <c r="W1151" s="2">
        <v>15</v>
      </c>
      <c r="X1151" s="2">
        <v>24</v>
      </c>
      <c r="Y1151" s="2">
        <v>0</v>
      </c>
      <c r="Z1151" s="2">
        <v>0</v>
      </c>
      <c r="AA1151" s="2">
        <v>0</v>
      </c>
      <c r="AB1151" s="12">
        <f>(W1151*4+X1151*1+Y1151*-2+Z1151*-3)/W1151+0.01</f>
        <v>5.6099999999999994</v>
      </c>
      <c r="AC1151" s="3">
        <f>W1151*12.0107+X1151*1.00784+Y1151*15.999+Z1151*14.0067</f>
        <v>204.34866000000002</v>
      </c>
      <c r="AD1151" s="12" t="s">
        <v>257</v>
      </c>
      <c r="AE1151" s="2" t="s">
        <v>231</v>
      </c>
      <c r="AF1151" s="2" t="s">
        <v>79</v>
      </c>
      <c r="AG1151" s="2" t="str">
        <f>IF(AD1151&gt;37,"Proton symporter", "Diffusion")</f>
        <v>Proton symporter</v>
      </c>
      <c r="AH1151" s="3" t="s">
        <v>258</v>
      </c>
    </row>
    <row r="1152" spans="1:34" hidden="1" x14ac:dyDescent="0.2">
      <c r="A1152" s="16" t="s">
        <v>63</v>
      </c>
      <c r="B1152" s="17" t="s">
        <v>64</v>
      </c>
      <c r="C1152" t="s">
        <v>72</v>
      </c>
      <c r="D1152" s="18" t="s">
        <v>66</v>
      </c>
      <c r="E1152" t="s">
        <v>289</v>
      </c>
      <c r="F1152" t="s">
        <v>290</v>
      </c>
      <c r="G1152">
        <v>-10</v>
      </c>
      <c r="H1152">
        <v>0</v>
      </c>
      <c r="I1152">
        <v>-10</v>
      </c>
      <c r="J1152">
        <v>0.45</v>
      </c>
      <c r="K1152">
        <v>-10</v>
      </c>
      <c r="L1152">
        <v>0</v>
      </c>
      <c r="M1152">
        <v>-10</v>
      </c>
      <c r="N1152">
        <v>3.3090909090909002</v>
      </c>
      <c r="O1152">
        <v>1.3236363636363599</v>
      </c>
      <c r="P1152"/>
      <c r="Q1152">
        <v>0.13236363636363599</v>
      </c>
      <c r="R1152">
        <v>0.24281995816444199</v>
      </c>
      <c r="S1152" s="11" t="s">
        <v>289</v>
      </c>
      <c r="T1152" s="2" t="s">
        <v>291</v>
      </c>
      <c r="U1152" s="3" t="s">
        <v>41</v>
      </c>
      <c r="V1152" s="2" t="s">
        <v>292</v>
      </c>
      <c r="W1152" s="2">
        <v>5</v>
      </c>
      <c r="X1152" s="2">
        <v>12</v>
      </c>
      <c r="Y1152" s="2">
        <v>1</v>
      </c>
      <c r="Z1152" s="2">
        <v>0</v>
      </c>
      <c r="AA1152" s="2">
        <v>0</v>
      </c>
      <c r="AB1152" s="12">
        <f>(W1152*4+X1152*1+Y1152*-2+Z1152*-3)/W1152</f>
        <v>6</v>
      </c>
      <c r="AC1152" s="3">
        <f>W1152*12.0107+X1152*1.00784+Y1152*15.999+Z1152*14.0067</f>
        <v>88.14658</v>
      </c>
      <c r="AD1152" s="12">
        <v>129</v>
      </c>
      <c r="AE1152" s="2" t="s">
        <v>262</v>
      </c>
      <c r="AF1152" s="2" t="s">
        <v>293</v>
      </c>
      <c r="AG1152" s="2" t="str">
        <f>IF(AD1152&gt;37,"Proton symporter", "Diffusion")</f>
        <v>Proton symporter</v>
      </c>
      <c r="AH1152" s="3" t="s">
        <v>294</v>
      </c>
    </row>
    <row r="1153" spans="1:34" hidden="1" x14ac:dyDescent="0.2">
      <c r="A1153" s="8" t="s">
        <v>34</v>
      </c>
      <c r="B1153" s="9" t="s">
        <v>35</v>
      </c>
      <c r="C1153" s="1" t="s">
        <v>57</v>
      </c>
      <c r="D1153" s="10" t="s">
        <v>37</v>
      </c>
      <c r="E1153" s="1" t="s">
        <v>264</v>
      </c>
      <c r="F1153" s="1" t="s">
        <v>265</v>
      </c>
      <c r="G1153" s="1">
        <v>-10</v>
      </c>
      <c r="H1153" s="1">
        <v>-20</v>
      </c>
      <c r="I1153" s="1" t="s">
        <v>40</v>
      </c>
      <c r="J1153" s="1">
        <v>3.15</v>
      </c>
      <c r="K1153" s="1">
        <v>-10</v>
      </c>
      <c r="L1153" s="1">
        <v>-5.0255999999999998</v>
      </c>
      <c r="M1153" s="1" t="s">
        <v>40</v>
      </c>
      <c r="N1153" s="1">
        <v>9.3040000000000003</v>
      </c>
      <c r="O1153" s="1">
        <v>2.1392000000000002</v>
      </c>
      <c r="Q1153" s="1">
        <v>0.21392</v>
      </c>
      <c r="R1153" s="1">
        <v>0.242646735868914</v>
      </c>
      <c r="S1153" s="20" t="s">
        <v>264</v>
      </c>
      <c r="T1153" s="3" t="s">
        <v>264</v>
      </c>
      <c r="U1153" s="3" t="s">
        <v>106</v>
      </c>
      <c r="V1153" s="3" t="s">
        <v>266</v>
      </c>
      <c r="W1153" s="3">
        <v>5</v>
      </c>
      <c r="X1153" s="3">
        <v>8</v>
      </c>
      <c r="Y1153" s="3">
        <v>0</v>
      </c>
      <c r="Z1153" s="3">
        <v>0</v>
      </c>
      <c r="AA1153" s="3">
        <v>0</v>
      </c>
      <c r="AB1153" s="12">
        <f>(W1153*4+X1153*1+Y1153*-2+Z1153*-3)/W1153</f>
        <v>5.6</v>
      </c>
      <c r="AC1153" s="3">
        <f>W1153*12.0107+X1153*1.00784+Y1153*15.999+Z1153*14.0067</f>
        <v>68.116219999999998</v>
      </c>
      <c r="AD1153" s="24">
        <v>34.07</v>
      </c>
      <c r="AE1153" s="3" t="s">
        <v>231</v>
      </c>
      <c r="AF1153" s="3" t="s">
        <v>79</v>
      </c>
      <c r="AG1153" s="25" t="str">
        <f>IF(AD1153&gt;37,"Proton symporter", "Diffusion")</f>
        <v>Diffusion</v>
      </c>
      <c r="AH1153" s="3" t="s">
        <v>267</v>
      </c>
    </row>
    <row r="1154" spans="1:34" hidden="1" x14ac:dyDescent="0.2">
      <c r="A1154" s="8" t="s">
        <v>34</v>
      </c>
      <c r="B1154" s="9" t="s">
        <v>35</v>
      </c>
      <c r="C1154" s="1" t="s">
        <v>46</v>
      </c>
      <c r="D1154" s="10" t="s">
        <v>37</v>
      </c>
      <c r="E1154" s="1" t="s">
        <v>227</v>
      </c>
      <c r="F1154" s="1" t="s">
        <v>228</v>
      </c>
      <c r="G1154" s="1">
        <v>-10</v>
      </c>
      <c r="H1154" s="1">
        <v>-20</v>
      </c>
      <c r="I1154" s="1" t="s">
        <v>40</v>
      </c>
      <c r="J1154" s="1">
        <v>3.15</v>
      </c>
      <c r="K1154" s="1">
        <v>-10</v>
      </c>
      <c r="L1154" s="1">
        <v>-5.6924107142857103</v>
      </c>
      <c r="M1154" s="1" t="s">
        <v>40</v>
      </c>
      <c r="N1154" s="1">
        <v>9.40178571428571</v>
      </c>
      <c r="O1154" s="1">
        <v>0.26495535714285701</v>
      </c>
      <c r="Q1154" s="1">
        <v>2.6495535714285701E-2</v>
      </c>
      <c r="R1154" s="1">
        <v>0.24091931483305401</v>
      </c>
      <c r="S1154" s="11" t="s">
        <v>227</v>
      </c>
      <c r="T1154" s="2" t="s">
        <v>229</v>
      </c>
      <c r="U1154" s="3" t="s">
        <v>41</v>
      </c>
      <c r="V1154" s="2" t="s">
        <v>230</v>
      </c>
      <c r="W1154" s="2">
        <v>40</v>
      </c>
      <c r="X1154" s="2">
        <v>56</v>
      </c>
      <c r="Y1154" s="2">
        <v>0</v>
      </c>
      <c r="Z1154" s="2">
        <v>0</v>
      </c>
      <c r="AA1154" s="2">
        <v>0</v>
      </c>
      <c r="AB1154" s="12">
        <f>(W1154*4+X1154*1+Y1154*-2+Z1154*-3)/W1154</f>
        <v>5.4</v>
      </c>
      <c r="AC1154" s="3">
        <f>W1154*12.0107+X1154*1.00784+Y1154*15.999+Z1154*14.0067</f>
        <v>536.86703999999997</v>
      </c>
      <c r="AD1154" s="12">
        <v>633</v>
      </c>
      <c r="AE1154" s="2" t="s">
        <v>231</v>
      </c>
      <c r="AF1154" s="2" t="s">
        <v>79</v>
      </c>
      <c r="AG1154" s="2" t="s">
        <v>232</v>
      </c>
      <c r="AH1154" s="3" t="s">
        <v>233</v>
      </c>
    </row>
    <row r="1155" spans="1:34" hidden="1" x14ac:dyDescent="0.2">
      <c r="A1155" s="8" t="s">
        <v>34</v>
      </c>
      <c r="B1155" s="9" t="s">
        <v>35</v>
      </c>
      <c r="C1155" s="1" t="s">
        <v>61</v>
      </c>
      <c r="D1155" s="13" t="s">
        <v>51</v>
      </c>
      <c r="E1155" s="1" t="s">
        <v>339</v>
      </c>
      <c r="F1155" s="1" t="s">
        <v>340</v>
      </c>
      <c r="G1155" s="1">
        <v>-10</v>
      </c>
      <c r="H1155" s="1">
        <v>-20</v>
      </c>
      <c r="I1155" s="1" t="s">
        <v>40</v>
      </c>
      <c r="J1155" s="1">
        <v>3.15</v>
      </c>
      <c r="K1155" s="1">
        <v>-10</v>
      </c>
      <c r="L1155" s="1">
        <v>-6.3947761194029997</v>
      </c>
      <c r="M1155" s="1" t="s">
        <v>40</v>
      </c>
      <c r="N1155" s="1">
        <v>4.7044776119403098</v>
      </c>
      <c r="O1155" s="1">
        <v>1.3238805970149301</v>
      </c>
      <c r="Q1155" s="1">
        <v>0.132388059701493</v>
      </c>
      <c r="R1155" s="1">
        <v>0.24014663982784601</v>
      </c>
      <c r="S1155" s="11" t="s">
        <v>339</v>
      </c>
      <c r="T1155" s="2" t="s">
        <v>339</v>
      </c>
      <c r="U1155" s="3" t="s">
        <v>106</v>
      </c>
      <c r="V1155" s="2" t="s">
        <v>341</v>
      </c>
      <c r="W1155" s="2">
        <v>4</v>
      </c>
      <c r="X1155" s="2">
        <v>10</v>
      </c>
      <c r="Y1155" s="2">
        <v>0</v>
      </c>
      <c r="Z1155" s="2">
        <v>0</v>
      </c>
      <c r="AA1155" s="2">
        <v>0</v>
      </c>
      <c r="AB1155" s="12">
        <f>(W1155*4+X1155*1+Y1155*-2+Z1155*-3)/W1155</f>
        <v>6.5</v>
      </c>
      <c r="AC1155" s="3">
        <f>W1155*12.0107+X1155*1.00784+Y1155*15.999+Z1155*14.0067</f>
        <v>58.121200000000002</v>
      </c>
      <c r="AD1155" s="24">
        <v>-1</v>
      </c>
      <c r="AE1155" s="3" t="s">
        <v>321</v>
      </c>
      <c r="AF1155" s="2" t="s">
        <v>313</v>
      </c>
      <c r="AG1155" s="25" t="str">
        <f>IF(AD1155&gt;37,"Proton symporter", "Diffusion")</f>
        <v>Diffusion</v>
      </c>
      <c r="AH1155" s="3" t="s">
        <v>342</v>
      </c>
    </row>
    <row r="1156" spans="1:34" hidden="1" x14ac:dyDescent="0.2">
      <c r="A1156" s="8" t="s">
        <v>34</v>
      </c>
      <c r="B1156" s="9" t="s">
        <v>35</v>
      </c>
      <c r="C1156" s="1" t="s">
        <v>46</v>
      </c>
      <c r="D1156" s="10" t="s">
        <v>37</v>
      </c>
      <c r="E1156" s="1" t="s">
        <v>343</v>
      </c>
      <c r="F1156" s="1" t="s">
        <v>344</v>
      </c>
      <c r="G1156" s="1">
        <v>-10</v>
      </c>
      <c r="H1156" s="1">
        <v>-20</v>
      </c>
      <c r="I1156" s="1" t="s">
        <v>40</v>
      </c>
      <c r="J1156" s="1">
        <v>3.15</v>
      </c>
      <c r="K1156" s="1">
        <v>-10</v>
      </c>
      <c r="L1156" s="1">
        <v>-3.9594594594594601</v>
      </c>
      <c r="M1156" s="1" t="s">
        <v>40</v>
      </c>
      <c r="N1156" s="1">
        <v>10.3756756756757</v>
      </c>
      <c r="O1156" s="1">
        <v>3.2081081081081102</v>
      </c>
      <c r="Q1156" s="1">
        <v>0.32081081081081098</v>
      </c>
      <c r="R1156" s="1">
        <v>0.23959002970647</v>
      </c>
      <c r="S1156" s="20" t="s">
        <v>343</v>
      </c>
      <c r="T1156" s="3" t="s">
        <v>345</v>
      </c>
      <c r="U1156" s="3" t="s">
        <v>106</v>
      </c>
      <c r="V1156" s="3" t="s">
        <v>346</v>
      </c>
      <c r="W1156" s="3">
        <v>3</v>
      </c>
      <c r="X1156" s="3">
        <v>8</v>
      </c>
      <c r="Y1156" s="3">
        <v>0</v>
      </c>
      <c r="Z1156" s="3">
        <v>0</v>
      </c>
      <c r="AA1156" s="3">
        <v>0</v>
      </c>
      <c r="AB1156" s="12">
        <f>(W1156*4+X1156*1+Y1156*-2+Z1156*-3)/W1156</f>
        <v>6.666666666666667</v>
      </c>
      <c r="AC1156" s="3">
        <f>W1156*12.0107+X1156*1.00784+Y1156*15.999+Z1156*14.0067</f>
        <v>44.094819999999999</v>
      </c>
      <c r="AD1156" s="24">
        <v>-42</v>
      </c>
      <c r="AE1156" s="3" t="s">
        <v>231</v>
      </c>
      <c r="AF1156" s="2" t="s">
        <v>79</v>
      </c>
      <c r="AG1156" s="25" t="str">
        <f>IF(AD1156&gt;37,"Proton symporter", "Diffusion")</f>
        <v>Diffusion</v>
      </c>
      <c r="AH1156" s="3" t="s">
        <v>347</v>
      </c>
    </row>
    <row r="1157" spans="1:34" hidden="1" x14ac:dyDescent="0.2">
      <c r="A1157" s="16" t="s">
        <v>63</v>
      </c>
      <c r="B1157" s="17" t="s">
        <v>64</v>
      </c>
      <c r="C1157" t="s">
        <v>65</v>
      </c>
      <c r="D1157" s="18" t="s">
        <v>66</v>
      </c>
      <c r="E1157" t="s">
        <v>307</v>
      </c>
      <c r="F1157" t="s">
        <v>308</v>
      </c>
      <c r="G1157">
        <v>-10</v>
      </c>
      <c r="H1157">
        <v>0</v>
      </c>
      <c r="I1157">
        <v>0</v>
      </c>
      <c r="J1157">
        <v>0.45</v>
      </c>
      <c r="K1157">
        <v>-10</v>
      </c>
      <c r="L1157">
        <v>0</v>
      </c>
      <c r="M1157">
        <v>0</v>
      </c>
      <c r="N1157">
        <v>6.6666666666666696</v>
      </c>
      <c r="O1157">
        <v>1.1111111111111101</v>
      </c>
      <c r="P1157"/>
      <c r="Q1157">
        <v>0.11111111111111099</v>
      </c>
      <c r="R1157">
        <v>0.238382403110001</v>
      </c>
      <c r="S1157" s="11" t="s">
        <v>307</v>
      </c>
      <c r="T1157" s="2" t="s">
        <v>307</v>
      </c>
      <c r="U1157" s="3" t="s">
        <v>41</v>
      </c>
      <c r="V1157" s="2" t="s">
        <v>283</v>
      </c>
      <c r="W1157" s="2">
        <v>3</v>
      </c>
      <c r="X1157" s="2">
        <v>8</v>
      </c>
      <c r="Y1157" s="2">
        <v>1</v>
      </c>
      <c r="Z1157" s="2">
        <v>0</v>
      </c>
      <c r="AA1157" s="2">
        <v>0</v>
      </c>
      <c r="AB1157" s="12">
        <f>(W1157*4+X1157*1+Y1157*-2+Z1157*-3)/W1157</f>
        <v>6</v>
      </c>
      <c r="AC1157" s="3">
        <f>W1157*12.0107+X1157*1.00784+Y1157*15.999+Z1157*14.0067</f>
        <v>60.093820000000001</v>
      </c>
      <c r="AD1157" s="12">
        <v>82.5</v>
      </c>
      <c r="AE1157" s="2" t="s">
        <v>262</v>
      </c>
      <c r="AF1157" s="2" t="s">
        <v>79</v>
      </c>
      <c r="AG1157" s="2" t="str">
        <f>IF(AD1157&gt;37,"Proton symporter", "Diffusion")</f>
        <v>Proton symporter</v>
      </c>
      <c r="AH1157" s="3" t="s">
        <v>309</v>
      </c>
    </row>
    <row r="1158" spans="1:34" hidden="1" x14ac:dyDescent="0.2">
      <c r="A1158" s="16" t="s">
        <v>63</v>
      </c>
      <c r="B1158" s="17" t="s">
        <v>64</v>
      </c>
      <c r="C1158" t="s">
        <v>65</v>
      </c>
      <c r="D1158" s="18" t="s">
        <v>66</v>
      </c>
      <c r="E1158" t="s">
        <v>286</v>
      </c>
      <c r="F1158" t="s">
        <v>280</v>
      </c>
      <c r="G1158">
        <v>-10</v>
      </c>
      <c r="H1158">
        <v>0</v>
      </c>
      <c r="I1158">
        <v>0</v>
      </c>
      <c r="J1158">
        <v>0.45</v>
      </c>
      <c r="K1158">
        <v>-10</v>
      </c>
      <c r="L1158">
        <v>0</v>
      </c>
      <c r="M1158">
        <v>0</v>
      </c>
      <c r="N1158">
        <v>6.6666666666666696</v>
      </c>
      <c r="O1158">
        <v>1.1111111111111101</v>
      </c>
      <c r="P1158"/>
      <c r="Q1158">
        <v>0.11111111111111099</v>
      </c>
      <c r="R1158">
        <v>0.23838240311</v>
      </c>
      <c r="S1158" s="20" t="s">
        <v>287</v>
      </c>
      <c r="T1158" s="3" t="s">
        <v>288</v>
      </c>
      <c r="U1158" s="3" t="s">
        <v>174</v>
      </c>
      <c r="V1158" s="3" t="s">
        <v>283</v>
      </c>
      <c r="W1158" s="3">
        <v>3</v>
      </c>
      <c r="X1158" s="3">
        <v>8</v>
      </c>
      <c r="Y1158" s="3">
        <v>1</v>
      </c>
      <c r="Z1158" s="3">
        <v>0</v>
      </c>
      <c r="AA1158" s="3">
        <v>0</v>
      </c>
      <c r="AB1158" s="12">
        <f>(W1158*4+X1158*1+Y1158*-2+Z1158*-3)/W1158</f>
        <v>6</v>
      </c>
      <c r="AC1158" s="3">
        <f>W1158*12.0107+X1158*1.00784+Y1158*15.999+Z1158*14.0067</f>
        <v>60.093820000000001</v>
      </c>
      <c r="AD1158" s="12">
        <v>97</v>
      </c>
      <c r="AE1158" s="2" t="s">
        <v>262</v>
      </c>
      <c r="AF1158" s="3" t="s">
        <v>44</v>
      </c>
      <c r="AG1158" s="2" t="str">
        <f>IF(AD1158&gt;37,"Proton symporter", "Diffusion")</f>
        <v>Proton symporter</v>
      </c>
      <c r="AH1158" s="3" t="s">
        <v>285</v>
      </c>
    </row>
    <row r="1159" spans="1:34" hidden="1" x14ac:dyDescent="0.2">
      <c r="A1159" s="16" t="s">
        <v>63</v>
      </c>
      <c r="B1159" s="17" t="s">
        <v>64</v>
      </c>
      <c r="C1159" t="s">
        <v>73</v>
      </c>
      <c r="D1159" s="18" t="s">
        <v>66</v>
      </c>
      <c r="E1159" t="s">
        <v>348</v>
      </c>
      <c r="F1159" t="s">
        <v>344</v>
      </c>
      <c r="G1159">
        <v>-10</v>
      </c>
      <c r="H1159">
        <v>0</v>
      </c>
      <c r="I1159">
        <v>-20</v>
      </c>
      <c r="J1159">
        <v>0.45</v>
      </c>
      <c r="K1159">
        <v>-10</v>
      </c>
      <c r="L1159">
        <v>0</v>
      </c>
      <c r="M1159">
        <v>-20</v>
      </c>
      <c r="N1159">
        <v>0.41052631578947202</v>
      </c>
      <c r="O1159">
        <v>2.7052631578947302</v>
      </c>
      <c r="P1159"/>
      <c r="Q1159">
        <v>0.270526315789473</v>
      </c>
      <c r="R1159" s="19">
        <v>0.238242644297982</v>
      </c>
      <c r="S1159" s="20" t="s">
        <v>348</v>
      </c>
      <c r="T1159" s="3" t="s">
        <v>349</v>
      </c>
      <c r="U1159" s="3" t="s">
        <v>106</v>
      </c>
      <c r="V1159" s="3" t="s">
        <v>346</v>
      </c>
      <c r="W1159" s="3">
        <v>3</v>
      </c>
      <c r="X1159" s="3">
        <v>8</v>
      </c>
      <c r="Y1159" s="3">
        <v>0</v>
      </c>
      <c r="Z1159" s="3">
        <v>0</v>
      </c>
      <c r="AA1159" s="3">
        <v>0</v>
      </c>
      <c r="AB1159" s="12">
        <f>(W1159*4+X1159*1+Y1159*-2+Z1159*-3)/W1159</f>
        <v>6.666666666666667</v>
      </c>
      <c r="AC1159" s="3">
        <f>W1159*12.0107+X1159*1.00784+Y1159*15.999+Z1159*14.0067</f>
        <v>44.094819999999999</v>
      </c>
      <c r="AD1159" s="24">
        <v>-42</v>
      </c>
      <c r="AE1159" s="3" t="s">
        <v>231</v>
      </c>
      <c r="AF1159" s="3" t="s">
        <v>44</v>
      </c>
      <c r="AG1159" s="25" t="str">
        <f>IF(AD1159&gt;37,"Proton symporter", "Diffusion")</f>
        <v>Diffusion</v>
      </c>
      <c r="AH1159" s="3" t="s">
        <v>347</v>
      </c>
    </row>
    <row r="1160" spans="1:34" hidden="1" x14ac:dyDescent="0.2">
      <c r="A1160" s="16" t="s">
        <v>63</v>
      </c>
      <c r="B1160" s="17" t="s">
        <v>64</v>
      </c>
      <c r="C1160" t="s">
        <v>67</v>
      </c>
      <c r="D1160" s="18" t="s">
        <v>66</v>
      </c>
      <c r="E1160" t="s">
        <v>318</v>
      </c>
      <c r="F1160" t="s">
        <v>319</v>
      </c>
      <c r="G1160">
        <v>-10</v>
      </c>
      <c r="H1160">
        <v>0</v>
      </c>
      <c r="I1160">
        <v>-5</v>
      </c>
      <c r="J1160">
        <v>0.45</v>
      </c>
      <c r="K1160">
        <v>-10</v>
      </c>
      <c r="L1160">
        <v>0</v>
      </c>
      <c r="M1160">
        <v>-5</v>
      </c>
      <c r="N1160">
        <v>5.1785714285714297</v>
      </c>
      <c r="O1160">
        <v>0.53571428571428603</v>
      </c>
      <c r="P1160"/>
      <c r="Q1160">
        <v>5.3571428571428603E-2</v>
      </c>
      <c r="R1160">
        <v>0.236757470217584</v>
      </c>
      <c r="S1160" s="20" t="s">
        <v>318</v>
      </c>
      <c r="T1160" s="3" t="s">
        <v>318</v>
      </c>
      <c r="U1160" s="3" t="s">
        <v>106</v>
      </c>
      <c r="V1160" s="3" t="s">
        <v>320</v>
      </c>
      <c r="W1160" s="3">
        <v>9</v>
      </c>
      <c r="X1160" s="3">
        <v>20</v>
      </c>
      <c r="Y1160" s="3">
        <v>0</v>
      </c>
      <c r="Z1160" s="3">
        <v>0</v>
      </c>
      <c r="AA1160" s="3">
        <v>0</v>
      </c>
      <c r="AB1160" s="12">
        <f>(W1160*4+X1160*1+Y1160*-2+Z1160*-3)/W1160</f>
        <v>6.2222222222222223</v>
      </c>
      <c r="AC1160" s="3">
        <f>W1160*12.0107+X1160*1.00784+Y1160*15.999+Z1160*14.0067</f>
        <v>128.25309999999999</v>
      </c>
      <c r="AD1160" s="12">
        <v>151</v>
      </c>
      <c r="AE1160" s="3" t="s">
        <v>321</v>
      </c>
      <c r="AF1160" s="2" t="s">
        <v>79</v>
      </c>
      <c r="AG1160" s="2" t="str">
        <f>IF(AD1160&gt;37,"Proton symporter", "Diffusion")</f>
        <v>Proton symporter</v>
      </c>
      <c r="AH1160" s="3" t="s">
        <v>322</v>
      </c>
    </row>
    <row r="1161" spans="1:34" hidden="1" x14ac:dyDescent="0.2">
      <c r="A1161" s="16" t="s">
        <v>63</v>
      </c>
      <c r="B1161" s="17" t="s">
        <v>64</v>
      </c>
      <c r="C1161" t="s">
        <v>67</v>
      </c>
      <c r="D1161" s="18" t="s">
        <v>66</v>
      </c>
      <c r="E1161" t="s">
        <v>323</v>
      </c>
      <c r="F1161" t="s">
        <v>324</v>
      </c>
      <c r="G1161">
        <v>-10</v>
      </c>
      <c r="H1161">
        <v>0</v>
      </c>
      <c r="I1161">
        <v>-5</v>
      </c>
      <c r="J1161">
        <v>0.45</v>
      </c>
      <c r="K1161">
        <v>-10</v>
      </c>
      <c r="L1161">
        <v>0</v>
      </c>
      <c r="M1161">
        <v>-5</v>
      </c>
      <c r="N1161">
        <v>5.2</v>
      </c>
      <c r="O1161">
        <v>0.6</v>
      </c>
      <c r="P1161"/>
      <c r="Q1161">
        <v>0.06</v>
      </c>
      <c r="R1161">
        <v>0.236168270158511</v>
      </c>
      <c r="S1161" s="11" t="s">
        <v>323</v>
      </c>
      <c r="T1161" s="2" t="s">
        <v>323</v>
      </c>
      <c r="U1161" s="3" t="s">
        <v>106</v>
      </c>
      <c r="V1161" s="2" t="s">
        <v>325</v>
      </c>
      <c r="W1161" s="2">
        <v>8</v>
      </c>
      <c r="X1161" s="2">
        <v>18</v>
      </c>
      <c r="Y1161" s="2">
        <v>0</v>
      </c>
      <c r="Z1161" s="2">
        <v>0</v>
      </c>
      <c r="AA1161" s="2">
        <v>0</v>
      </c>
      <c r="AB1161" s="12">
        <f>(W1161*4+X1161*1+Y1161*-2+Z1161*-3)/W1161</f>
        <v>6.25</v>
      </c>
      <c r="AC1161" s="3">
        <f>W1161*12.0107+X1161*1.00784+Y1161*15.999+Z1161*14.0067</f>
        <v>114.22672</v>
      </c>
      <c r="AD1161" s="12">
        <v>126</v>
      </c>
      <c r="AE1161" s="3" t="s">
        <v>321</v>
      </c>
      <c r="AF1161" s="2" t="s">
        <v>313</v>
      </c>
      <c r="AG1161" s="2" t="str">
        <f>IF(AD1161&gt;37,"Proton symporter", "Diffusion")</f>
        <v>Proton symporter</v>
      </c>
      <c r="AH1161" s="3" t="s">
        <v>326</v>
      </c>
    </row>
    <row r="1162" spans="1:34" hidden="1" x14ac:dyDescent="0.2">
      <c r="A1162" s="8" t="s">
        <v>350</v>
      </c>
      <c r="B1162" s="17" t="s">
        <v>64</v>
      </c>
      <c r="C1162" t="s">
        <v>353</v>
      </c>
      <c r="D1162" s="13" t="s">
        <v>51</v>
      </c>
      <c r="E1162" t="s">
        <v>339</v>
      </c>
      <c r="F1162" t="s">
        <v>340</v>
      </c>
      <c r="G1162">
        <v>-10</v>
      </c>
      <c r="H1162">
        <v>0</v>
      </c>
      <c r="I1162">
        <v>0</v>
      </c>
      <c r="J1162">
        <v>0.45</v>
      </c>
      <c r="K1162">
        <v>-10</v>
      </c>
      <c r="L1162">
        <v>0</v>
      </c>
      <c r="M1162">
        <v>0</v>
      </c>
      <c r="N1162">
        <v>0</v>
      </c>
      <c r="O1162" s="26">
        <v>1.2994011976047899</v>
      </c>
      <c r="P1162"/>
      <c r="Q1162" s="26">
        <v>0.12994011976047901</v>
      </c>
      <c r="R1162" s="26">
        <v>0.23570617478394101</v>
      </c>
      <c r="S1162" s="3" t="str">
        <f>VLOOKUP($E1162,'[1]Product Naming'!$A$1:$P$58,2)</f>
        <v>Butane</v>
      </c>
      <c r="T1162" s="3" t="str">
        <f>VLOOKUP($E1162,'[1]Product Naming'!$A$1:$P$58,3)</f>
        <v>Butane</v>
      </c>
      <c r="U1162" s="3" t="str">
        <f>VLOOKUP($E1162,'[1]Product Naming'!$A$1:$P$58,4)</f>
        <v>E</v>
      </c>
      <c r="V1162" s="3" t="str">
        <f>VLOOKUP($E1162,'[1]Product Naming'!$A$1:$P$58,5)</f>
        <v>C4H10</v>
      </c>
      <c r="W1162" s="3">
        <f>VLOOKUP($E1162,'[1]Product Naming'!$A$1:$P$58,6)</f>
        <v>4</v>
      </c>
      <c r="X1162" s="3">
        <f>VLOOKUP($E1162,'[1]Product Naming'!$A$1:$P$58,7)</f>
        <v>10</v>
      </c>
      <c r="Y1162" s="3">
        <f>VLOOKUP($E1162,'[1]Product Naming'!$A$1:$P$58,8)</f>
        <v>0</v>
      </c>
      <c r="Z1162" s="3">
        <f>VLOOKUP($E1162,'[1]Product Naming'!$A$1:$P$58,9)</f>
        <v>0</v>
      </c>
      <c r="AA1162" s="3">
        <f>VLOOKUP($E1162,'[1]Product Naming'!$A$1:$P$58,10)</f>
        <v>0</v>
      </c>
      <c r="AB1162" s="3">
        <f>VLOOKUP($E1162,'[1]Product Naming'!$A$1:$P$58,11)</f>
        <v>6.5</v>
      </c>
      <c r="AC1162" s="3">
        <f>VLOOKUP($E1162,'[1]Product Naming'!$A$1:$P$58,12)</f>
        <v>58.121200000000002</v>
      </c>
      <c r="AD1162" s="3">
        <f>VLOOKUP($E1162,'[1]Product Naming'!$A$1:$P$58,13)</f>
        <v>-1</v>
      </c>
      <c r="AE1162" s="3" t="str">
        <f>VLOOKUP($E1162,'[1]Product Naming'!$A$1:$P$58,14)</f>
        <v>Hydrocarbon (alkane)</v>
      </c>
      <c r="AF1162" s="3" t="str">
        <f>VLOOKUP($E1162,'[1]Product Naming'!$A$1:$P$58,15)</f>
        <v>Acetyl-CoA + Succinyl-CoA</v>
      </c>
      <c r="AG1162" s="3" t="str">
        <f>VLOOKUP($E1162,'[1]Product Naming'!$A$1:$P$58,16)</f>
        <v>Diffusion</v>
      </c>
      <c r="AH1162" s="3" t="str">
        <f>VLOOKUP($E1162,'[1]Product Naming'!$A$1:$Q$58,17)</f>
        <v>butn_c</v>
      </c>
    </row>
    <row r="1163" spans="1:34" hidden="1" x14ac:dyDescent="0.2">
      <c r="A1163" s="16" t="s">
        <v>317</v>
      </c>
      <c r="B1163" s="9" t="s">
        <v>35</v>
      </c>
      <c r="C1163" t="s">
        <v>57</v>
      </c>
      <c r="D1163" s="10" t="s">
        <v>37</v>
      </c>
      <c r="E1163" t="s">
        <v>323</v>
      </c>
      <c r="F1163" t="s">
        <v>324</v>
      </c>
      <c r="G1163">
        <v>-10</v>
      </c>
      <c r="H1163">
        <v>-20</v>
      </c>
      <c r="I1163" s="1" t="s">
        <v>40</v>
      </c>
      <c r="J1163">
        <v>3.15</v>
      </c>
      <c r="K1163">
        <v>-10</v>
      </c>
      <c r="L1163">
        <v>-4.5159857904085303</v>
      </c>
      <c r="M1163" s="1" t="s">
        <v>40</v>
      </c>
      <c r="N1163">
        <v>10.0902309058614</v>
      </c>
      <c r="O1163">
        <v>1.2387211367673101</v>
      </c>
      <c r="P1163"/>
      <c r="Q1163">
        <v>0.123872113676731</v>
      </c>
      <c r="R1163">
        <v>0.235620882647707</v>
      </c>
      <c r="S1163" s="11" t="s">
        <v>323</v>
      </c>
      <c r="T1163" s="2" t="s">
        <v>323</v>
      </c>
      <c r="U1163" s="3" t="s">
        <v>106</v>
      </c>
      <c r="V1163" s="2" t="s">
        <v>325</v>
      </c>
      <c r="W1163" s="2">
        <v>8</v>
      </c>
      <c r="X1163" s="2">
        <v>18</v>
      </c>
      <c r="Y1163" s="2">
        <v>0</v>
      </c>
      <c r="Z1163" s="2">
        <v>0</v>
      </c>
      <c r="AA1163" s="2">
        <v>0</v>
      </c>
      <c r="AB1163" s="12">
        <f>(W1163*4+X1163*1+Y1163*-2+Z1163*-3)/W1163</f>
        <v>6.25</v>
      </c>
      <c r="AC1163" s="3">
        <f>W1163*12.0107+X1163*1.00784+Y1163*15.999+Z1163*14.0067</f>
        <v>114.22672</v>
      </c>
      <c r="AD1163" s="12">
        <v>126</v>
      </c>
      <c r="AE1163" s="3" t="s">
        <v>321</v>
      </c>
      <c r="AF1163" s="2" t="s">
        <v>313</v>
      </c>
      <c r="AG1163" s="2" t="str">
        <f>IF(AD1163&gt;37,"Proton symporter", "Diffusion")</f>
        <v>Proton symporter</v>
      </c>
      <c r="AH1163" s="3" t="s">
        <v>326</v>
      </c>
    </row>
    <row r="1164" spans="1:34" hidden="1" x14ac:dyDescent="0.2">
      <c r="A1164" s="16" t="s">
        <v>63</v>
      </c>
      <c r="B1164" s="17" t="s">
        <v>64</v>
      </c>
      <c r="C1164" t="s">
        <v>67</v>
      </c>
      <c r="D1164" s="18" t="s">
        <v>66</v>
      </c>
      <c r="E1164" t="s">
        <v>327</v>
      </c>
      <c r="F1164" t="s">
        <v>328</v>
      </c>
      <c r="G1164">
        <v>-10</v>
      </c>
      <c r="H1164">
        <v>0</v>
      </c>
      <c r="I1164">
        <v>-5</v>
      </c>
      <c r="J1164">
        <v>0.45</v>
      </c>
      <c r="K1164">
        <v>-10</v>
      </c>
      <c r="L1164">
        <v>0</v>
      </c>
      <c r="M1164">
        <v>-5</v>
      </c>
      <c r="N1164">
        <v>5.2272727272727302</v>
      </c>
      <c r="O1164">
        <v>0.68181818181818199</v>
      </c>
      <c r="P1164"/>
      <c r="Q1164">
        <v>6.8181818181818205E-2</v>
      </c>
      <c r="R1164">
        <v>0.235418379174237</v>
      </c>
      <c r="S1164" s="20" t="s">
        <v>327</v>
      </c>
      <c r="T1164" s="3" t="s">
        <v>327</v>
      </c>
      <c r="U1164" s="3" t="s">
        <v>106</v>
      </c>
      <c r="V1164" s="3" t="s">
        <v>329</v>
      </c>
      <c r="W1164" s="3">
        <v>7</v>
      </c>
      <c r="X1164" s="3">
        <v>16</v>
      </c>
      <c r="Y1164" s="3">
        <v>0</v>
      </c>
      <c r="Z1164" s="3">
        <v>0</v>
      </c>
      <c r="AA1164" s="3">
        <v>0</v>
      </c>
      <c r="AB1164" s="12">
        <f>(W1164*4+X1164*1+Y1164*-2+Z1164*-3)/W1164</f>
        <v>6.2857142857142856</v>
      </c>
      <c r="AC1164" s="3">
        <f>W1164*12.0107+X1164*1.00784+Y1164*15.999+Z1164*14.0067</f>
        <v>100.20034</v>
      </c>
      <c r="AD1164" s="3">
        <v>98</v>
      </c>
      <c r="AE1164" s="3" t="s">
        <v>321</v>
      </c>
      <c r="AF1164" s="2" t="s">
        <v>79</v>
      </c>
      <c r="AG1164" s="2" t="str">
        <f>IF(AD1164&gt;37,"Proton symporter", "Diffusion")</f>
        <v>Proton symporter</v>
      </c>
      <c r="AH1164" s="3" t="s">
        <v>330</v>
      </c>
    </row>
    <row r="1165" spans="1:34" hidden="1" x14ac:dyDescent="0.2">
      <c r="A1165" s="16" t="s">
        <v>63</v>
      </c>
      <c r="B1165" s="17" t="s">
        <v>64</v>
      </c>
      <c r="C1165" t="s">
        <v>67</v>
      </c>
      <c r="D1165" s="18" t="s">
        <v>66</v>
      </c>
      <c r="E1165" t="s">
        <v>331</v>
      </c>
      <c r="F1165" t="s">
        <v>332</v>
      </c>
      <c r="G1165">
        <v>-10</v>
      </c>
      <c r="H1165">
        <v>0</v>
      </c>
      <c r="I1165">
        <v>-5</v>
      </c>
      <c r="J1165">
        <v>0.45</v>
      </c>
      <c r="K1165">
        <v>-10</v>
      </c>
      <c r="L1165">
        <v>0</v>
      </c>
      <c r="M1165">
        <v>-5</v>
      </c>
      <c r="N1165">
        <v>5.2631578947368398</v>
      </c>
      <c r="O1165">
        <v>0.78947368421052599</v>
      </c>
      <c r="P1165"/>
      <c r="Q1165">
        <v>7.8947368421052599E-2</v>
      </c>
      <c r="R1165">
        <v>0.234431680510718</v>
      </c>
      <c r="S1165" s="11" t="s">
        <v>331</v>
      </c>
      <c r="T1165" s="2" t="s">
        <v>331</v>
      </c>
      <c r="U1165" s="3" t="s">
        <v>106</v>
      </c>
      <c r="V1165" s="3" t="s">
        <v>333</v>
      </c>
      <c r="W1165" s="2">
        <v>6</v>
      </c>
      <c r="X1165" s="2">
        <v>14</v>
      </c>
      <c r="Y1165" s="2">
        <v>0</v>
      </c>
      <c r="Z1165" s="2">
        <v>0</v>
      </c>
      <c r="AA1165" s="2">
        <v>0</v>
      </c>
      <c r="AB1165" s="12">
        <f>(W1165*4+X1165*1+Y1165*-2+Z1165*-3)/W1165</f>
        <v>6.333333333333333</v>
      </c>
      <c r="AC1165" s="3">
        <f>W1165*12.0107+X1165*1.00784+Y1165*15.999+Z1165*14.0067</f>
        <v>86.173959999999994</v>
      </c>
      <c r="AD1165" s="12">
        <v>69</v>
      </c>
      <c r="AE1165" s="3" t="s">
        <v>321</v>
      </c>
      <c r="AF1165" s="2" t="s">
        <v>313</v>
      </c>
      <c r="AG1165" s="2" t="str">
        <f>IF(AD1165&gt;37,"Proton symporter", "Diffusion")</f>
        <v>Proton symporter</v>
      </c>
      <c r="AH1165" s="3" t="s">
        <v>334</v>
      </c>
    </row>
    <row r="1166" spans="1:34" hidden="1" x14ac:dyDescent="0.2">
      <c r="A1166" s="8" t="s">
        <v>34</v>
      </c>
      <c r="B1166" s="9" t="s">
        <v>35</v>
      </c>
      <c r="C1166" s="1" t="s">
        <v>57</v>
      </c>
      <c r="D1166" s="10" t="s">
        <v>37</v>
      </c>
      <c r="E1166" s="1" t="s">
        <v>227</v>
      </c>
      <c r="F1166" s="1" t="s">
        <v>228</v>
      </c>
      <c r="G1166" s="1">
        <v>-10</v>
      </c>
      <c r="H1166" s="1">
        <v>-20</v>
      </c>
      <c r="I1166" s="1" t="s">
        <v>40</v>
      </c>
      <c r="J1166" s="1">
        <v>3.15</v>
      </c>
      <c r="K1166" s="1">
        <v>-10</v>
      </c>
      <c r="L1166" s="1">
        <v>-5.8774436090225501</v>
      </c>
      <c r="M1166" s="1" t="s">
        <v>40</v>
      </c>
      <c r="N1166" s="1">
        <v>9.5388471177944805</v>
      </c>
      <c r="O1166" s="1">
        <v>0.261528822055138</v>
      </c>
      <c r="Q1166" s="1">
        <v>2.6152882205513799E-2</v>
      </c>
      <c r="R1166" s="1">
        <v>0.23380770760578901</v>
      </c>
      <c r="S1166" s="11" t="s">
        <v>227</v>
      </c>
      <c r="T1166" s="2" t="s">
        <v>229</v>
      </c>
      <c r="U1166" s="3" t="s">
        <v>41</v>
      </c>
      <c r="V1166" s="2" t="s">
        <v>230</v>
      </c>
      <c r="W1166" s="2">
        <v>40</v>
      </c>
      <c r="X1166" s="2">
        <v>56</v>
      </c>
      <c r="Y1166" s="2">
        <v>0</v>
      </c>
      <c r="Z1166" s="2">
        <v>0</v>
      </c>
      <c r="AA1166" s="2">
        <v>0</v>
      </c>
      <c r="AB1166" s="12">
        <f>(W1166*4+X1166*1+Y1166*-2+Z1166*-3)/W1166</f>
        <v>5.4</v>
      </c>
      <c r="AC1166" s="3">
        <f>W1166*12.0107+X1166*1.00784+Y1166*15.999+Z1166*14.0067</f>
        <v>536.86703999999997</v>
      </c>
      <c r="AD1166" s="12">
        <v>633</v>
      </c>
      <c r="AE1166" s="2" t="s">
        <v>231</v>
      </c>
      <c r="AF1166" s="2" t="s">
        <v>79</v>
      </c>
      <c r="AG1166" s="2" t="s">
        <v>232</v>
      </c>
      <c r="AH1166" s="3" t="s">
        <v>233</v>
      </c>
    </row>
    <row r="1167" spans="1:34" hidden="1" x14ac:dyDescent="0.2">
      <c r="A1167" s="16" t="s">
        <v>317</v>
      </c>
      <c r="B1167" s="9" t="s">
        <v>35</v>
      </c>
      <c r="C1167" t="s">
        <v>57</v>
      </c>
      <c r="D1167" s="10" t="s">
        <v>37</v>
      </c>
      <c r="E1167" t="s">
        <v>331</v>
      </c>
      <c r="F1167" t="s">
        <v>332</v>
      </c>
      <c r="G1167">
        <v>-10</v>
      </c>
      <c r="H1167">
        <v>-20</v>
      </c>
      <c r="I1167" s="1" t="s">
        <v>40</v>
      </c>
      <c r="J1167">
        <v>3.15</v>
      </c>
      <c r="K1167">
        <v>-10</v>
      </c>
      <c r="L1167">
        <v>-4.55641025641025</v>
      </c>
      <c r="M1167" s="1" t="s">
        <v>40</v>
      </c>
      <c r="N1167">
        <v>10.246153846153801</v>
      </c>
      <c r="O1167">
        <v>1.6256410256410201</v>
      </c>
      <c r="P1167"/>
      <c r="Q1167">
        <v>0.162564102564102</v>
      </c>
      <c r="R1167">
        <v>0.23327770052279401</v>
      </c>
      <c r="S1167" s="11" t="s">
        <v>331</v>
      </c>
      <c r="T1167" s="2" t="s">
        <v>331</v>
      </c>
      <c r="U1167" s="3" t="s">
        <v>106</v>
      </c>
      <c r="V1167" s="3" t="s">
        <v>333</v>
      </c>
      <c r="W1167" s="2">
        <v>6</v>
      </c>
      <c r="X1167" s="2">
        <v>14</v>
      </c>
      <c r="Y1167" s="2">
        <v>0</v>
      </c>
      <c r="Z1167" s="2">
        <v>0</v>
      </c>
      <c r="AA1167" s="2">
        <v>0</v>
      </c>
      <c r="AB1167" s="12">
        <f>(W1167*4+X1167*1+Y1167*-2+Z1167*-3)/W1167</f>
        <v>6.333333333333333</v>
      </c>
      <c r="AC1167" s="3">
        <f>W1167*12.0107+X1167*1.00784+Y1167*15.999+Z1167*14.0067</f>
        <v>86.173959999999994</v>
      </c>
      <c r="AD1167" s="12">
        <v>69</v>
      </c>
      <c r="AE1167" s="3" t="s">
        <v>321</v>
      </c>
      <c r="AF1167" s="2" t="s">
        <v>313</v>
      </c>
      <c r="AG1167" s="2" t="str">
        <f>IF(AD1167&gt;37,"Proton symporter", "Diffusion")</f>
        <v>Proton symporter</v>
      </c>
      <c r="AH1167" s="3" t="s">
        <v>334</v>
      </c>
    </row>
    <row r="1168" spans="1:34" hidden="1" x14ac:dyDescent="0.2">
      <c r="A1168" s="16" t="s">
        <v>63</v>
      </c>
      <c r="B1168" s="17" t="s">
        <v>64</v>
      </c>
      <c r="C1168" t="s">
        <v>67</v>
      </c>
      <c r="D1168" s="18" t="s">
        <v>66</v>
      </c>
      <c r="E1168" t="s">
        <v>335</v>
      </c>
      <c r="F1168" t="s">
        <v>336</v>
      </c>
      <c r="G1168">
        <v>-10</v>
      </c>
      <c r="H1168">
        <v>0</v>
      </c>
      <c r="I1168">
        <v>-5</v>
      </c>
      <c r="J1168">
        <v>0.45</v>
      </c>
      <c r="K1168">
        <v>-10</v>
      </c>
      <c r="L1168">
        <v>0</v>
      </c>
      <c r="M1168">
        <v>-5</v>
      </c>
      <c r="N1168">
        <v>5.3125</v>
      </c>
      <c r="O1168">
        <v>0.9375</v>
      </c>
      <c r="P1168"/>
      <c r="Q1168">
        <v>9.375E-2</v>
      </c>
      <c r="R1168">
        <v>0.23307496984838</v>
      </c>
      <c r="S1168" s="11" t="s">
        <v>335</v>
      </c>
      <c r="T1168" s="2" t="s">
        <v>335</v>
      </c>
      <c r="U1168" s="3" t="s">
        <v>106</v>
      </c>
      <c r="V1168" s="2" t="s">
        <v>337</v>
      </c>
      <c r="W1168" s="2">
        <v>5</v>
      </c>
      <c r="X1168" s="2">
        <v>12</v>
      </c>
      <c r="Y1168" s="2">
        <v>0</v>
      </c>
      <c r="Z1168" s="2">
        <v>0</v>
      </c>
      <c r="AA1168" s="2">
        <v>0</v>
      </c>
      <c r="AB1168" s="12">
        <f>(W1168*4+X1168*1+Y1168*-2+Z1168*-3)/W1168</f>
        <v>6.4</v>
      </c>
      <c r="AC1168" s="3">
        <f>W1168*12.0107+X1168*1.00784+Y1168*15.999+Z1168*14.0067</f>
        <v>72.147580000000005</v>
      </c>
      <c r="AD1168" s="24">
        <v>36.1</v>
      </c>
      <c r="AE1168" s="3" t="s">
        <v>321</v>
      </c>
      <c r="AF1168" s="2" t="s">
        <v>79</v>
      </c>
      <c r="AG1168" s="25" t="str">
        <f>IF(AD1168&gt;37,"Proton symporter", "Diffusion")</f>
        <v>Diffusion</v>
      </c>
      <c r="AH1168" s="3" t="s">
        <v>338</v>
      </c>
    </row>
    <row r="1169" spans="1:34" hidden="1" x14ac:dyDescent="0.2">
      <c r="A1169" s="8" t="s">
        <v>34</v>
      </c>
      <c r="B1169" s="9" t="s">
        <v>35</v>
      </c>
      <c r="C1169" s="1" t="s">
        <v>46</v>
      </c>
      <c r="D1169" s="10" t="s">
        <v>37</v>
      </c>
      <c r="E1169" s="1" t="s">
        <v>211</v>
      </c>
      <c r="F1169" s="1" t="s">
        <v>212</v>
      </c>
      <c r="G1169" s="1">
        <v>-10</v>
      </c>
      <c r="H1169" s="1">
        <v>-20</v>
      </c>
      <c r="I1169" s="1" t="s">
        <v>40</v>
      </c>
      <c r="J1169" s="1">
        <v>3.15</v>
      </c>
      <c r="K1169" s="1">
        <v>-10</v>
      </c>
      <c r="L1169" s="1">
        <v>-6.8449744463373099</v>
      </c>
      <c r="M1169" s="1" t="s">
        <v>40</v>
      </c>
      <c r="N1169" s="1">
        <v>9.4759795570698397</v>
      </c>
      <c r="O1169" s="1">
        <v>1.31550255536627</v>
      </c>
      <c r="Q1169" s="1">
        <v>0.131550255536627</v>
      </c>
      <c r="R1169" s="1">
        <v>0.23204709573494001</v>
      </c>
      <c r="S1169" s="20" t="s">
        <v>211</v>
      </c>
      <c r="T1169" s="3" t="s">
        <v>211</v>
      </c>
      <c r="U1169" s="3" t="s">
        <v>174</v>
      </c>
      <c r="V1169" s="3" t="s">
        <v>213</v>
      </c>
      <c r="W1169" s="3">
        <v>8</v>
      </c>
      <c r="X1169" s="3">
        <v>8</v>
      </c>
      <c r="Y1169" s="3">
        <v>0</v>
      </c>
      <c r="Z1169" s="3">
        <v>0</v>
      </c>
      <c r="AA1169" s="3">
        <v>0</v>
      </c>
      <c r="AB1169" s="12">
        <f>(W1169*4+X1169*1+Y1169*-2+Z1169*-3)/W1169</f>
        <v>5</v>
      </c>
      <c r="AC1169" s="3">
        <f>W1169*12.0107+X1169*1.00784+Y1169*15.999+Z1169*14.0067</f>
        <v>104.14832</v>
      </c>
      <c r="AD1169" s="12">
        <v>145</v>
      </c>
      <c r="AE1169" s="3" t="s">
        <v>214</v>
      </c>
      <c r="AF1169" s="3" t="s">
        <v>203</v>
      </c>
      <c r="AG1169" s="2" t="str">
        <f>IF(AD1169&gt;37,"Proton symporter", "Diffusion")</f>
        <v>Proton symporter</v>
      </c>
      <c r="AH1169" s="3" t="s">
        <v>215</v>
      </c>
    </row>
    <row r="1170" spans="1:34" hidden="1" x14ac:dyDescent="0.2">
      <c r="A1170" s="16" t="s">
        <v>63</v>
      </c>
      <c r="B1170" s="17" t="s">
        <v>64</v>
      </c>
      <c r="C1170" t="s">
        <v>71</v>
      </c>
      <c r="D1170" s="18" t="s">
        <v>66</v>
      </c>
      <c r="E1170" t="s">
        <v>194</v>
      </c>
      <c r="F1170" t="s">
        <v>195</v>
      </c>
      <c r="G1170">
        <v>-10</v>
      </c>
      <c r="H1170">
        <v>0</v>
      </c>
      <c r="I1170">
        <v>-5</v>
      </c>
      <c r="J1170">
        <v>0.45</v>
      </c>
      <c r="K1170">
        <v>-10</v>
      </c>
      <c r="L1170">
        <v>0</v>
      </c>
      <c r="M1170">
        <v>-5</v>
      </c>
      <c r="N1170">
        <v>3.2410256410256402</v>
      </c>
      <c r="O1170">
        <v>0.74102564102564095</v>
      </c>
      <c r="P1170"/>
      <c r="Q1170">
        <v>7.4102564102564106E-2</v>
      </c>
      <c r="R1170">
        <v>0.23187683437915199</v>
      </c>
      <c r="S1170" s="3" t="s">
        <v>194</v>
      </c>
      <c r="T1170" s="2" t="s">
        <v>196</v>
      </c>
      <c r="U1170" s="3" t="s">
        <v>35</v>
      </c>
      <c r="V1170" s="3" t="s">
        <v>197</v>
      </c>
      <c r="W1170" s="3">
        <v>6</v>
      </c>
      <c r="X1170" s="3">
        <v>15</v>
      </c>
      <c r="Y1170" s="3">
        <v>2</v>
      </c>
      <c r="Z1170" s="3">
        <v>2</v>
      </c>
      <c r="AA1170" s="3">
        <v>1</v>
      </c>
      <c r="AB1170" s="12">
        <f>(W1170*4+X1170*1+Y1170*-2+Z1170*-3)/W1170</f>
        <v>4.833333333333333</v>
      </c>
      <c r="AC1170" s="3">
        <f>W1170*12.0107+X1170*1.00784+Y1170*15.999+Z1170*14.0067</f>
        <v>147.19319999999999</v>
      </c>
      <c r="AD1170" s="12" t="s">
        <v>40</v>
      </c>
      <c r="AE1170" s="3" t="s">
        <v>119</v>
      </c>
      <c r="AF1170" s="3" t="s">
        <v>44</v>
      </c>
      <c r="AG1170" s="2" t="s">
        <v>80</v>
      </c>
      <c r="AH1170" s="2" t="s">
        <v>198</v>
      </c>
    </row>
    <row r="1171" spans="1:34" hidden="1" x14ac:dyDescent="0.2">
      <c r="A1171" s="16" t="s">
        <v>63</v>
      </c>
      <c r="B1171" s="17" t="s">
        <v>64</v>
      </c>
      <c r="C1171" t="s">
        <v>71</v>
      </c>
      <c r="D1171" s="18" t="s">
        <v>66</v>
      </c>
      <c r="E1171" t="s">
        <v>222</v>
      </c>
      <c r="F1171" t="s">
        <v>223</v>
      </c>
      <c r="G1171">
        <v>-10</v>
      </c>
      <c r="H1171">
        <v>0</v>
      </c>
      <c r="I1171">
        <v>-5</v>
      </c>
      <c r="J1171">
        <v>0.45</v>
      </c>
      <c r="K1171">
        <v>-10</v>
      </c>
      <c r="L1171">
        <v>0</v>
      </c>
      <c r="M1171">
        <v>-5</v>
      </c>
      <c r="N1171">
        <v>4.375</v>
      </c>
      <c r="O1171">
        <v>1.875</v>
      </c>
      <c r="P1171"/>
      <c r="Q1171">
        <v>0.1875</v>
      </c>
      <c r="R1171">
        <v>0.231499656672251</v>
      </c>
      <c r="S1171" s="11" t="s">
        <v>222</v>
      </c>
      <c r="T1171" s="2" t="s">
        <v>222</v>
      </c>
      <c r="U1171" s="3" t="s">
        <v>41</v>
      </c>
      <c r="V1171" s="2" t="s">
        <v>224</v>
      </c>
      <c r="W1171" s="2">
        <v>3</v>
      </c>
      <c r="X1171" s="2">
        <v>6</v>
      </c>
      <c r="Y1171" s="2">
        <v>1</v>
      </c>
      <c r="Z1171" s="2">
        <v>0</v>
      </c>
      <c r="AA1171" s="2">
        <v>0</v>
      </c>
      <c r="AB1171" s="12">
        <f>(W1171*4+X1171*1+Y1171*-2+Z1171*-3)/W1171</f>
        <v>5.333333333333333</v>
      </c>
      <c r="AC1171" s="3">
        <f>W1171*12.0107+X1171*1.00784+Y1171*15.999+Z1171*14.0067</f>
        <v>58.078140000000005</v>
      </c>
      <c r="AD1171" s="12">
        <v>56</v>
      </c>
      <c r="AE1171" s="2" t="s">
        <v>225</v>
      </c>
      <c r="AF1171" s="2" t="s">
        <v>79</v>
      </c>
      <c r="AG1171" s="2" t="str">
        <f>IF(AD1171&gt;37,"Proton symporter", "Diffusion")</f>
        <v>Proton symporter</v>
      </c>
      <c r="AH1171" s="3" t="s">
        <v>226</v>
      </c>
    </row>
    <row r="1172" spans="1:34" hidden="1" x14ac:dyDescent="0.2">
      <c r="A1172" s="8" t="s">
        <v>34</v>
      </c>
      <c r="B1172" s="9" t="s">
        <v>35</v>
      </c>
      <c r="C1172" s="1" t="s">
        <v>54</v>
      </c>
      <c r="D1172" s="14" t="s">
        <v>55</v>
      </c>
      <c r="E1172" s="1" t="s">
        <v>348</v>
      </c>
      <c r="F1172" s="1" t="s">
        <v>344</v>
      </c>
      <c r="G1172" s="1">
        <v>-10</v>
      </c>
      <c r="H1172" s="1">
        <v>-20</v>
      </c>
      <c r="I1172" s="1" t="s">
        <v>40</v>
      </c>
      <c r="J1172" s="1">
        <v>3.15</v>
      </c>
      <c r="K1172" s="1">
        <v>-10</v>
      </c>
      <c r="L1172" s="1">
        <v>-12.731012658227799</v>
      </c>
      <c r="M1172" s="1" t="s">
        <v>40</v>
      </c>
      <c r="N1172" s="1">
        <v>31.638607594936801</v>
      </c>
      <c r="O1172" s="1">
        <v>9.4537974683544501</v>
      </c>
      <c r="Q1172" s="1">
        <v>0.94537974683544501</v>
      </c>
      <c r="R1172" s="1">
        <v>0.23139507181565799</v>
      </c>
      <c r="S1172" s="20" t="s">
        <v>348</v>
      </c>
      <c r="T1172" s="3" t="s">
        <v>349</v>
      </c>
      <c r="U1172" s="3" t="s">
        <v>106</v>
      </c>
      <c r="V1172" s="3" t="s">
        <v>346</v>
      </c>
      <c r="W1172" s="3">
        <v>3</v>
      </c>
      <c r="X1172" s="3">
        <v>8</v>
      </c>
      <c r="Y1172" s="3">
        <v>0</v>
      </c>
      <c r="Z1172" s="3">
        <v>0</v>
      </c>
      <c r="AA1172" s="3">
        <v>0</v>
      </c>
      <c r="AB1172" s="12">
        <f>(W1172*4+X1172*1+Y1172*-2+Z1172*-3)/W1172</f>
        <v>6.666666666666667</v>
      </c>
      <c r="AC1172" s="3">
        <f>W1172*12.0107+X1172*1.00784+Y1172*15.999+Z1172*14.0067</f>
        <v>44.094819999999999</v>
      </c>
      <c r="AD1172" s="24">
        <v>-42</v>
      </c>
      <c r="AE1172" s="3" t="s">
        <v>231</v>
      </c>
      <c r="AF1172" s="3" t="s">
        <v>44</v>
      </c>
      <c r="AG1172" s="25" t="str">
        <f>IF(AD1172&gt;37,"Proton symporter", "Diffusion")</f>
        <v>Diffusion</v>
      </c>
      <c r="AH1172" s="3" t="s">
        <v>347</v>
      </c>
    </row>
    <row r="1173" spans="1:34" hidden="1" x14ac:dyDescent="0.2">
      <c r="A1173" s="8" t="s">
        <v>34</v>
      </c>
      <c r="B1173" s="9" t="s">
        <v>35</v>
      </c>
      <c r="C1173" s="1" t="s">
        <v>62</v>
      </c>
      <c r="D1173" s="15" t="s">
        <v>55</v>
      </c>
      <c r="E1173" s="1" t="s">
        <v>348</v>
      </c>
      <c r="F1173" s="1" t="s">
        <v>344</v>
      </c>
      <c r="G1173" s="1">
        <v>-10</v>
      </c>
      <c r="H1173" s="1">
        <v>-20</v>
      </c>
      <c r="I1173" s="1" t="s">
        <v>40</v>
      </c>
      <c r="J1173" s="1">
        <v>3.15</v>
      </c>
      <c r="K1173" s="1">
        <v>-10</v>
      </c>
      <c r="L1173" s="1">
        <v>-10.8006329113924</v>
      </c>
      <c r="M1173" s="1" t="s">
        <v>40</v>
      </c>
      <c r="N1173" s="1">
        <v>26.4803797468354</v>
      </c>
      <c r="O1173" s="1">
        <v>7.8398734177215204</v>
      </c>
      <c r="Q1173" s="1">
        <v>0.78398734177215201</v>
      </c>
      <c r="R1173" s="1">
        <v>0.230265641229078</v>
      </c>
      <c r="S1173" s="20" t="s">
        <v>348</v>
      </c>
      <c r="T1173" s="3" t="s">
        <v>349</v>
      </c>
      <c r="U1173" s="3" t="s">
        <v>106</v>
      </c>
      <c r="V1173" s="3" t="s">
        <v>346</v>
      </c>
      <c r="W1173" s="3">
        <v>3</v>
      </c>
      <c r="X1173" s="3">
        <v>8</v>
      </c>
      <c r="Y1173" s="3">
        <v>0</v>
      </c>
      <c r="Z1173" s="3">
        <v>0</v>
      </c>
      <c r="AA1173" s="3">
        <v>0</v>
      </c>
      <c r="AB1173" s="12">
        <f>(W1173*4+X1173*1+Y1173*-2+Z1173*-3)/W1173</f>
        <v>6.666666666666667</v>
      </c>
      <c r="AC1173" s="3">
        <f>W1173*12.0107+X1173*1.00784+Y1173*15.999+Z1173*14.0067</f>
        <v>44.094819999999999</v>
      </c>
      <c r="AD1173" s="24">
        <v>-42</v>
      </c>
      <c r="AE1173" s="3" t="s">
        <v>231</v>
      </c>
      <c r="AF1173" s="3" t="s">
        <v>44</v>
      </c>
      <c r="AG1173" s="25" t="str">
        <f>IF(AD1173&gt;37,"Proton symporter", "Diffusion")</f>
        <v>Diffusion</v>
      </c>
      <c r="AH1173" s="3" t="s">
        <v>347</v>
      </c>
    </row>
    <row r="1174" spans="1:34" hidden="1" x14ac:dyDescent="0.2">
      <c r="A1174" s="16" t="s">
        <v>63</v>
      </c>
      <c r="B1174" s="17" t="s">
        <v>64</v>
      </c>
      <c r="C1174" t="s">
        <v>71</v>
      </c>
      <c r="D1174" s="18" t="s">
        <v>66</v>
      </c>
      <c r="E1174" t="s">
        <v>259</v>
      </c>
      <c r="F1174" t="s">
        <v>260</v>
      </c>
      <c r="G1174">
        <v>-10</v>
      </c>
      <c r="H1174">
        <v>0</v>
      </c>
      <c r="I1174">
        <v>-5</v>
      </c>
      <c r="J1174">
        <v>0.45</v>
      </c>
      <c r="K1174">
        <v>-10</v>
      </c>
      <c r="L1174">
        <v>0</v>
      </c>
      <c r="M1174">
        <v>-5</v>
      </c>
      <c r="N1174">
        <v>5</v>
      </c>
      <c r="O1174">
        <v>1.25</v>
      </c>
      <c r="P1174"/>
      <c r="Q1174">
        <v>0.125</v>
      </c>
      <c r="R1174">
        <v>0.22887870007398001</v>
      </c>
      <c r="S1174" s="20" t="s">
        <v>259</v>
      </c>
      <c r="T1174" s="3" t="s">
        <v>259</v>
      </c>
      <c r="U1174" s="3" t="s">
        <v>106</v>
      </c>
      <c r="V1174" s="3" t="s">
        <v>261</v>
      </c>
      <c r="W1174" s="3">
        <v>5</v>
      </c>
      <c r="X1174" s="3">
        <v>10</v>
      </c>
      <c r="Y1174" s="3">
        <v>1</v>
      </c>
      <c r="Z1174" s="3">
        <v>0</v>
      </c>
      <c r="AA1174" s="3">
        <v>0</v>
      </c>
      <c r="AB1174" s="12">
        <f>(W1174*4+X1174*1+Y1174*-2+Z1174*-3)/W1174+0.02</f>
        <v>5.6199999999999992</v>
      </c>
      <c r="AC1174" s="3">
        <f>W1174*12.0107+X1174*1.00784+Y1174*15.999+Z1174*14.0067</f>
        <v>86.130899999999997</v>
      </c>
      <c r="AD1174" s="12">
        <v>108</v>
      </c>
      <c r="AE1174" s="3" t="s">
        <v>262</v>
      </c>
      <c r="AF1174" s="3" t="s">
        <v>135</v>
      </c>
      <c r="AG1174" s="2" t="str">
        <f>IF(AD1174&gt;37,"Proton symporter", "Diffusion")</f>
        <v>Proton symporter</v>
      </c>
      <c r="AH1174" s="3" t="s">
        <v>263</v>
      </c>
    </row>
    <row r="1175" spans="1:34" hidden="1" x14ac:dyDescent="0.2">
      <c r="A1175" s="16" t="s">
        <v>317</v>
      </c>
      <c r="B1175" s="9" t="s">
        <v>35</v>
      </c>
      <c r="C1175" t="s">
        <v>57</v>
      </c>
      <c r="D1175" s="10" t="s">
        <v>37</v>
      </c>
      <c r="E1175" t="s">
        <v>318</v>
      </c>
      <c r="F1175" t="s">
        <v>319</v>
      </c>
      <c r="G1175">
        <v>-10</v>
      </c>
      <c r="H1175">
        <v>-20</v>
      </c>
      <c r="I1175" s="1" t="s">
        <v>40</v>
      </c>
      <c r="J1175">
        <v>3.15</v>
      </c>
      <c r="K1175">
        <v>-10</v>
      </c>
      <c r="L1175">
        <v>-5</v>
      </c>
      <c r="M1175" s="1" t="s">
        <v>40</v>
      </c>
      <c r="N1175">
        <v>10.3571428571429</v>
      </c>
      <c r="O1175">
        <v>1.0714285714285701</v>
      </c>
      <c r="P1175"/>
      <c r="Q1175">
        <v>0.107142857142857</v>
      </c>
      <c r="R1175">
        <v>0.228825077789725</v>
      </c>
      <c r="S1175" s="20" t="s">
        <v>318</v>
      </c>
      <c r="T1175" s="3" t="s">
        <v>318</v>
      </c>
      <c r="U1175" s="3" t="s">
        <v>106</v>
      </c>
      <c r="V1175" s="3" t="s">
        <v>320</v>
      </c>
      <c r="W1175" s="3">
        <v>9</v>
      </c>
      <c r="X1175" s="3">
        <v>20</v>
      </c>
      <c r="Y1175" s="3">
        <v>0</v>
      </c>
      <c r="Z1175" s="3">
        <v>0</v>
      </c>
      <c r="AA1175" s="3">
        <v>0</v>
      </c>
      <c r="AB1175" s="12">
        <f>(W1175*4+X1175*1+Y1175*-2+Z1175*-3)/W1175</f>
        <v>6.2222222222222223</v>
      </c>
      <c r="AC1175" s="3">
        <f>W1175*12.0107+X1175*1.00784+Y1175*15.999+Z1175*14.0067</f>
        <v>128.25309999999999</v>
      </c>
      <c r="AD1175" s="12">
        <v>151</v>
      </c>
      <c r="AE1175" s="3" t="s">
        <v>321</v>
      </c>
      <c r="AF1175" s="2" t="s">
        <v>79</v>
      </c>
      <c r="AG1175" s="2" t="str">
        <f>IF(AD1175&gt;37,"Proton symporter", "Diffusion")</f>
        <v>Proton symporter</v>
      </c>
      <c r="AH1175" s="3" t="s">
        <v>322</v>
      </c>
    </row>
    <row r="1176" spans="1:34" hidden="1" x14ac:dyDescent="0.2">
      <c r="A1176" s="16" t="s">
        <v>63</v>
      </c>
      <c r="B1176" s="17" t="s">
        <v>64</v>
      </c>
      <c r="C1176" t="s">
        <v>67</v>
      </c>
      <c r="D1176" s="18" t="s">
        <v>66</v>
      </c>
      <c r="E1176" t="s">
        <v>343</v>
      </c>
      <c r="F1176" t="s">
        <v>344</v>
      </c>
      <c r="G1176">
        <v>-10</v>
      </c>
      <c r="H1176">
        <v>0</v>
      </c>
      <c r="I1176">
        <v>-5</v>
      </c>
      <c r="J1176">
        <v>0.45</v>
      </c>
      <c r="K1176">
        <v>-10</v>
      </c>
      <c r="L1176">
        <v>0</v>
      </c>
      <c r="M1176">
        <v>-5</v>
      </c>
      <c r="N1176">
        <v>5.5</v>
      </c>
      <c r="O1176">
        <v>1.5</v>
      </c>
      <c r="P1176"/>
      <c r="Q1176">
        <v>0.15</v>
      </c>
      <c r="R1176">
        <v>0.22791946933149601</v>
      </c>
      <c r="S1176" s="20" t="s">
        <v>343</v>
      </c>
      <c r="T1176" s="3" t="s">
        <v>345</v>
      </c>
      <c r="U1176" s="3" t="s">
        <v>106</v>
      </c>
      <c r="V1176" s="3" t="s">
        <v>346</v>
      </c>
      <c r="W1176" s="3">
        <v>3</v>
      </c>
      <c r="X1176" s="3">
        <v>8</v>
      </c>
      <c r="Y1176" s="3">
        <v>0</v>
      </c>
      <c r="Z1176" s="3">
        <v>0</v>
      </c>
      <c r="AA1176" s="3">
        <v>0</v>
      </c>
      <c r="AB1176" s="12">
        <f>(W1176*4+X1176*1+Y1176*-2+Z1176*-3)/W1176</f>
        <v>6.666666666666667</v>
      </c>
      <c r="AC1176" s="3">
        <f>W1176*12.0107+X1176*1.00784+Y1176*15.999+Z1176*14.0067</f>
        <v>44.094819999999999</v>
      </c>
      <c r="AD1176" s="24">
        <v>-42</v>
      </c>
      <c r="AE1176" s="3" t="s">
        <v>231</v>
      </c>
      <c r="AF1176" s="2" t="s">
        <v>79</v>
      </c>
      <c r="AG1176" s="25" t="str">
        <f>IF(AD1176&gt;37,"Proton symporter", "Diffusion")</f>
        <v>Diffusion</v>
      </c>
      <c r="AH1176" s="3" t="s">
        <v>347</v>
      </c>
    </row>
    <row r="1177" spans="1:34" hidden="1" x14ac:dyDescent="0.2">
      <c r="A1177" s="16" t="s">
        <v>63</v>
      </c>
      <c r="B1177" s="17" t="s">
        <v>64</v>
      </c>
      <c r="C1177" t="s">
        <v>67</v>
      </c>
      <c r="D1177" s="18" t="s">
        <v>66</v>
      </c>
      <c r="E1177" t="s">
        <v>348</v>
      </c>
      <c r="F1177" t="s">
        <v>344</v>
      </c>
      <c r="G1177">
        <v>-10</v>
      </c>
      <c r="H1177">
        <v>0</v>
      </c>
      <c r="I1177">
        <v>-5</v>
      </c>
      <c r="J1177">
        <v>0.45</v>
      </c>
      <c r="K1177">
        <v>-10</v>
      </c>
      <c r="L1177">
        <v>0</v>
      </c>
      <c r="M1177">
        <v>-5</v>
      </c>
      <c r="N1177">
        <v>5.5</v>
      </c>
      <c r="O1177">
        <v>1.5</v>
      </c>
      <c r="P1177"/>
      <c r="Q1177">
        <v>0.15</v>
      </c>
      <c r="R1177">
        <v>0.22791946933149501</v>
      </c>
      <c r="S1177" s="20" t="s">
        <v>348</v>
      </c>
      <c r="T1177" s="3" t="s">
        <v>349</v>
      </c>
      <c r="U1177" s="3" t="s">
        <v>106</v>
      </c>
      <c r="V1177" s="3" t="s">
        <v>346</v>
      </c>
      <c r="W1177" s="3">
        <v>3</v>
      </c>
      <c r="X1177" s="3">
        <v>8</v>
      </c>
      <c r="Y1177" s="3">
        <v>0</v>
      </c>
      <c r="Z1177" s="3">
        <v>0</v>
      </c>
      <c r="AA1177" s="3">
        <v>0</v>
      </c>
      <c r="AB1177" s="12">
        <f>(W1177*4+X1177*1+Y1177*-2+Z1177*-3)/W1177</f>
        <v>6.666666666666667</v>
      </c>
      <c r="AC1177" s="3">
        <f>W1177*12.0107+X1177*1.00784+Y1177*15.999+Z1177*14.0067</f>
        <v>44.094819999999999</v>
      </c>
      <c r="AD1177" s="24">
        <v>-42</v>
      </c>
      <c r="AE1177" s="3" t="s">
        <v>231</v>
      </c>
      <c r="AF1177" s="3" t="s">
        <v>44</v>
      </c>
      <c r="AG1177" s="25" t="str">
        <f>IF(AD1177&gt;37,"Proton symporter", "Diffusion")</f>
        <v>Diffusion</v>
      </c>
      <c r="AH1177" s="3" t="s">
        <v>347</v>
      </c>
    </row>
    <row r="1178" spans="1:34" hidden="1" x14ac:dyDescent="0.2">
      <c r="A1178" s="8" t="s">
        <v>350</v>
      </c>
      <c r="B1178" s="17" t="s">
        <v>64</v>
      </c>
      <c r="C1178" t="s">
        <v>352</v>
      </c>
      <c r="D1178" s="13" t="s">
        <v>51</v>
      </c>
      <c r="E1178" t="s">
        <v>244</v>
      </c>
      <c r="F1178" t="s">
        <v>245</v>
      </c>
      <c r="G1178">
        <v>-10</v>
      </c>
      <c r="H1178">
        <v>0</v>
      </c>
      <c r="I1178">
        <v>0</v>
      </c>
      <c r="J1178">
        <v>0.45</v>
      </c>
      <c r="K1178">
        <v>-10</v>
      </c>
      <c r="L1178">
        <v>0</v>
      </c>
      <c r="M1178" s="26">
        <v>0.80512820512820504</v>
      </c>
      <c r="N1178">
        <v>0</v>
      </c>
      <c r="O1178" s="26">
        <v>0.80512820512820504</v>
      </c>
      <c r="P1178"/>
      <c r="Q1178">
        <v>8.0512820512820493E-2</v>
      </c>
      <c r="R1178" s="26">
        <v>0.227604653562686</v>
      </c>
      <c r="S1178" s="3" t="str">
        <f>VLOOKUP($E1178,'[1]Product Naming'!$A$1:$P$58,2)</f>
        <v>1-4-butanediol</v>
      </c>
      <c r="T1178" s="3" t="str">
        <f>VLOOKUP($E1178,'[1]Product Naming'!$A$1:$P$58,3)</f>
        <v>1,4-Butanediol</v>
      </c>
      <c r="U1178" s="3" t="str">
        <f>VLOOKUP($E1178,'[1]Product Naming'!$A$1:$P$58,4)</f>
        <v>E</v>
      </c>
      <c r="V1178" s="3" t="str">
        <f>VLOOKUP($E1178,'[1]Product Naming'!$A$1:$P$58,5)</f>
        <v>C4H10O2</v>
      </c>
      <c r="W1178" s="3">
        <f>VLOOKUP($E1178,'[1]Product Naming'!$A$1:$P$58,6)</f>
        <v>4</v>
      </c>
      <c r="X1178" s="3">
        <f>VLOOKUP($E1178,'[1]Product Naming'!$A$1:$P$58,7)</f>
        <v>10</v>
      </c>
      <c r="Y1178" s="3">
        <f>VLOOKUP($E1178,'[1]Product Naming'!$A$1:$P$58,8)</f>
        <v>2</v>
      </c>
      <c r="Z1178" s="3">
        <f>VLOOKUP($E1178,'[1]Product Naming'!$A$1:$P$58,9)</f>
        <v>0</v>
      </c>
      <c r="AA1178" s="3">
        <f>VLOOKUP($E1178,'[1]Product Naming'!$A$1:$P$58,10)</f>
        <v>0</v>
      </c>
      <c r="AB1178" s="3">
        <f>VLOOKUP($E1178,'[1]Product Naming'!$A$1:$P$58,11)</f>
        <v>5.5</v>
      </c>
      <c r="AC1178" s="3">
        <f>VLOOKUP($E1178,'[1]Product Naming'!$A$1:$P$58,12)</f>
        <v>90.119200000000006</v>
      </c>
      <c r="AD1178" s="3">
        <f>VLOOKUP($E1178,'[1]Product Naming'!$A$1:$P$58,13)</f>
        <v>230</v>
      </c>
      <c r="AE1178" s="3" t="str">
        <f>VLOOKUP($E1178,'[1]Product Naming'!$A$1:$P$58,14)</f>
        <v>Diol</v>
      </c>
      <c r="AF1178" s="3" t="str">
        <f>VLOOKUP($E1178,'[1]Product Naming'!$A$1:$P$58,15)</f>
        <v>aKG</v>
      </c>
      <c r="AG1178" s="3" t="str">
        <f>VLOOKUP($E1178,'[1]Product Naming'!$A$1:$P$58,16)</f>
        <v>Proton symporter</v>
      </c>
      <c r="AH1178" s="3" t="str">
        <f>VLOOKUP($E1178,'[1]Product Naming'!$A$1:$Q$58,17)</f>
        <v>14bdo_c</v>
      </c>
    </row>
    <row r="1179" spans="1:34" hidden="1" x14ac:dyDescent="0.2">
      <c r="A1179" s="16" t="s">
        <v>317</v>
      </c>
      <c r="B1179" s="9" t="s">
        <v>35</v>
      </c>
      <c r="C1179" t="s">
        <v>57</v>
      </c>
      <c r="D1179" s="10" t="s">
        <v>37</v>
      </c>
      <c r="E1179" t="s">
        <v>327</v>
      </c>
      <c r="F1179" t="s">
        <v>328</v>
      </c>
      <c r="G1179">
        <v>-10</v>
      </c>
      <c r="H1179">
        <v>-20</v>
      </c>
      <c r="I1179" s="1" t="s">
        <v>40</v>
      </c>
      <c r="J1179">
        <v>3.15</v>
      </c>
      <c r="K1179">
        <v>-10</v>
      </c>
      <c r="L1179">
        <v>-5</v>
      </c>
      <c r="M1179" s="1" t="s">
        <v>40</v>
      </c>
      <c r="N1179">
        <v>10.454545454545499</v>
      </c>
      <c r="O1179">
        <v>1.36363636363637</v>
      </c>
      <c r="P1179"/>
      <c r="Q1179">
        <v>0.13636363636363699</v>
      </c>
      <c r="R1179">
        <v>0.22753085204943599</v>
      </c>
      <c r="S1179" s="20" t="s">
        <v>327</v>
      </c>
      <c r="T1179" s="3" t="s">
        <v>327</v>
      </c>
      <c r="U1179" s="3" t="s">
        <v>106</v>
      </c>
      <c r="V1179" s="3" t="s">
        <v>329</v>
      </c>
      <c r="W1179" s="3">
        <v>7</v>
      </c>
      <c r="X1179" s="3">
        <v>16</v>
      </c>
      <c r="Y1179" s="3">
        <v>0</v>
      </c>
      <c r="Z1179" s="3">
        <v>0</v>
      </c>
      <c r="AA1179" s="3">
        <v>0</v>
      </c>
      <c r="AB1179" s="12">
        <f>(W1179*4+X1179*1+Y1179*-2+Z1179*-3)/W1179</f>
        <v>6.2857142857142856</v>
      </c>
      <c r="AC1179" s="3">
        <f>W1179*12.0107+X1179*1.00784+Y1179*15.999+Z1179*14.0067</f>
        <v>100.20034</v>
      </c>
      <c r="AD1179" s="3">
        <v>98</v>
      </c>
      <c r="AE1179" s="3" t="s">
        <v>321</v>
      </c>
      <c r="AF1179" s="2" t="s">
        <v>79</v>
      </c>
      <c r="AG1179" s="2" t="str">
        <f>IF(AD1179&gt;37,"Proton symporter", "Diffusion")</f>
        <v>Proton symporter</v>
      </c>
      <c r="AH1179" s="3" t="s">
        <v>330</v>
      </c>
    </row>
    <row r="1180" spans="1:34" hidden="1" x14ac:dyDescent="0.2">
      <c r="A1180" s="16" t="s">
        <v>63</v>
      </c>
      <c r="B1180" s="17" t="s">
        <v>64</v>
      </c>
      <c r="C1180" t="s">
        <v>67</v>
      </c>
      <c r="D1180" s="18" t="s">
        <v>66</v>
      </c>
      <c r="E1180" t="s">
        <v>244</v>
      </c>
      <c r="F1180" t="s">
        <v>245</v>
      </c>
      <c r="G1180">
        <v>-10</v>
      </c>
      <c r="H1180">
        <v>0</v>
      </c>
      <c r="I1180">
        <v>-5</v>
      </c>
      <c r="J1180">
        <v>0.45</v>
      </c>
      <c r="K1180">
        <v>-10</v>
      </c>
      <c r="L1180">
        <v>0</v>
      </c>
      <c r="M1180">
        <v>-5</v>
      </c>
      <c r="N1180">
        <v>3.5974683544303798</v>
      </c>
      <c r="O1180">
        <v>0.73164556962025296</v>
      </c>
      <c r="P1180"/>
      <c r="Q1180">
        <v>7.3164556962025007E-2</v>
      </c>
      <c r="R1180">
        <v>0.22720645560896499</v>
      </c>
      <c r="S1180" s="20" t="s">
        <v>246</v>
      </c>
      <c r="T1180" s="3" t="s">
        <v>247</v>
      </c>
      <c r="U1180" s="3" t="s">
        <v>106</v>
      </c>
      <c r="V1180" s="3" t="s">
        <v>238</v>
      </c>
      <c r="W1180" s="3">
        <v>4</v>
      </c>
      <c r="X1180" s="3">
        <v>10</v>
      </c>
      <c r="Y1180" s="3">
        <v>2</v>
      </c>
      <c r="Z1180" s="3">
        <v>0</v>
      </c>
      <c r="AA1180" s="3">
        <v>0</v>
      </c>
      <c r="AB1180" s="12">
        <f>(W1180*4+X1180*1+Y1180*-2+Z1180*-3)/W1180</f>
        <v>5.5</v>
      </c>
      <c r="AC1180" s="3">
        <f>W1180*12.0107+X1180*1.00784+Y1180*15.999+Z1180*14.0067</f>
        <v>90.119200000000006</v>
      </c>
      <c r="AD1180" s="12">
        <v>230</v>
      </c>
      <c r="AE1180" s="2" t="s">
        <v>220</v>
      </c>
      <c r="AF1180" s="3" t="s">
        <v>120</v>
      </c>
      <c r="AG1180" s="2" t="str">
        <f>IF(AD1180&gt;37,"Proton symporter", "Diffusion")</f>
        <v>Proton symporter</v>
      </c>
      <c r="AH1180" s="3" t="s">
        <v>248</v>
      </c>
    </row>
    <row r="1181" spans="1:34" hidden="1" x14ac:dyDescent="0.2">
      <c r="A1181" s="16" t="s">
        <v>63</v>
      </c>
      <c r="B1181" s="17" t="s">
        <v>64</v>
      </c>
      <c r="C1181" t="s">
        <v>67</v>
      </c>
      <c r="D1181" s="18" t="s">
        <v>66</v>
      </c>
      <c r="E1181" t="s">
        <v>279</v>
      </c>
      <c r="F1181" t="s">
        <v>280</v>
      </c>
      <c r="G1181">
        <v>-10</v>
      </c>
      <c r="H1181">
        <v>0</v>
      </c>
      <c r="I1181">
        <v>-5</v>
      </c>
      <c r="J1181">
        <v>0.45</v>
      </c>
      <c r="K1181">
        <v>-10</v>
      </c>
      <c r="L1181">
        <v>0</v>
      </c>
      <c r="M1181">
        <v>-5</v>
      </c>
      <c r="N1181">
        <v>4.13584905660377</v>
      </c>
      <c r="O1181">
        <v>1.0905660377358499</v>
      </c>
      <c r="P1181"/>
      <c r="Q1181">
        <v>0.109056603773585</v>
      </c>
      <c r="R1181">
        <v>0.22583142374159601</v>
      </c>
      <c r="S1181" s="20" t="s">
        <v>281</v>
      </c>
      <c r="T1181" s="3" t="s">
        <v>282</v>
      </c>
      <c r="U1181" s="3" t="s">
        <v>174</v>
      </c>
      <c r="V1181" s="3" t="s">
        <v>283</v>
      </c>
      <c r="W1181" s="3">
        <v>3</v>
      </c>
      <c r="X1181" s="3">
        <v>8</v>
      </c>
      <c r="Y1181" s="3">
        <v>1</v>
      </c>
      <c r="Z1181" s="3">
        <v>0</v>
      </c>
      <c r="AA1181" s="3">
        <v>0</v>
      </c>
      <c r="AB1181" s="12">
        <f>(W1181*4+X1181*1+Y1181*-2+Z1181*-3)/W1181</f>
        <v>6</v>
      </c>
      <c r="AC1181" s="3">
        <f>W1181*12.0107+X1181*1.00784+Y1181*15.999+Z1181*14.0067</f>
        <v>60.093820000000001</v>
      </c>
      <c r="AD1181" s="12">
        <v>97</v>
      </c>
      <c r="AE1181" s="2" t="s">
        <v>262</v>
      </c>
      <c r="AF1181" s="2" t="s">
        <v>284</v>
      </c>
      <c r="AG1181" s="2" t="str">
        <f>IF(AD1181&gt;37,"Proton symporter", "Diffusion")</f>
        <v>Proton symporter</v>
      </c>
      <c r="AH1181" s="3" t="s">
        <v>285</v>
      </c>
    </row>
    <row r="1182" spans="1:34" hidden="1" x14ac:dyDescent="0.2">
      <c r="A1182" s="8" t="s">
        <v>368</v>
      </c>
      <c r="B1182" s="17" t="s">
        <v>64</v>
      </c>
      <c r="C1182" t="s">
        <v>369</v>
      </c>
      <c r="D1182" s="18" t="s">
        <v>66</v>
      </c>
      <c r="E1182" t="s">
        <v>289</v>
      </c>
      <c r="F1182" t="s">
        <v>290</v>
      </c>
      <c r="G1182">
        <v>-10</v>
      </c>
      <c r="H1182">
        <v>0</v>
      </c>
      <c r="I1182">
        <v>-20</v>
      </c>
      <c r="J1182">
        <v>0.45</v>
      </c>
      <c r="K1182">
        <v>-7.6</v>
      </c>
      <c r="L1182">
        <v>0</v>
      </c>
      <c r="M1182">
        <v>-20</v>
      </c>
      <c r="N1182">
        <v>-7.6</v>
      </c>
      <c r="O1182">
        <v>0.95999999999999797</v>
      </c>
      <c r="P1182"/>
      <c r="Q1182">
        <v>0.12631578947368399</v>
      </c>
      <c r="R1182">
        <v>0.225778068069029</v>
      </c>
      <c r="S1182" s="1" t="str">
        <f>VLOOKUP($E1182,'[1]Product Naming'!$A$1:$P$58,2)</f>
        <v>2-Methyl-1-Butanol</v>
      </c>
      <c r="T1182" s="1" t="str">
        <f>VLOOKUP($E1182,'[1]Product Naming'!$A$1:$P$58,3)</f>
        <v>2-Methyl-1-butanol</v>
      </c>
      <c r="U1182" s="1" t="str">
        <f>VLOOKUP($E1182,'[1]Product Naming'!$A$1:$P$58,4)</f>
        <v>A</v>
      </c>
      <c r="V1182" s="1" t="str">
        <f>VLOOKUP($E1182,'[1]Product Naming'!$A$1:$P$58,5)</f>
        <v>C5H12O</v>
      </c>
      <c r="W1182" s="1">
        <f>VLOOKUP($E1182,'[1]Product Naming'!$A$1:$P$58,6)</f>
        <v>5</v>
      </c>
      <c r="X1182" s="1">
        <f>VLOOKUP($E1182,'[1]Product Naming'!$A$1:$P$58,7)</f>
        <v>12</v>
      </c>
      <c r="Y1182" s="1">
        <f>VLOOKUP($E1182,'[1]Product Naming'!$A$1:$P$58,8)</f>
        <v>1</v>
      </c>
      <c r="Z1182" s="1">
        <f>VLOOKUP($E1182,'[1]Product Naming'!$A$1:$P$58,9)</f>
        <v>0</v>
      </c>
      <c r="AA1182" s="1">
        <f>VLOOKUP($E1182,'[1]Product Naming'!$A$1:$P$58,10)</f>
        <v>0</v>
      </c>
      <c r="AB1182" s="27">
        <f>VLOOKUP($E1182,'[1]Product Naming'!$A$1:$P$58,11)</f>
        <v>6</v>
      </c>
      <c r="AC1182" s="3">
        <f>VLOOKUP($E1182,'[1]Product Naming'!$A$1:$P$58,12)</f>
        <v>88.14658</v>
      </c>
      <c r="AD1182" s="1">
        <f>VLOOKUP($E1182,'[1]Product Naming'!$A$1:$P$58,13)</f>
        <v>129</v>
      </c>
      <c r="AE1182" s="1" t="str">
        <f>VLOOKUP($E1182,'[1]Product Naming'!$A$1:$P$58,14)</f>
        <v>Alcohol</v>
      </c>
      <c r="AF1182" s="1" t="str">
        <f>VLOOKUP($E1182,'[1]Product Naming'!$A$1:$P$58,15)</f>
        <v>PEP</v>
      </c>
      <c r="AG1182" s="28" t="str">
        <f>VLOOKUP($E1182,'[1]Product Naming'!$A$1:$P$58,16)</f>
        <v>Proton symporter</v>
      </c>
      <c r="AH1182" s="3" t="str">
        <f>VLOOKUP($E1182,'[1]Product Naming'!$A$1:$Q$58,17)</f>
        <v>2mbtoh_c</v>
      </c>
    </row>
    <row r="1183" spans="1:34" hidden="1" x14ac:dyDescent="0.2">
      <c r="A1183" s="8" t="s">
        <v>34</v>
      </c>
      <c r="B1183" s="9" t="s">
        <v>35</v>
      </c>
      <c r="C1183" s="1" t="s">
        <v>46</v>
      </c>
      <c r="D1183" s="10" t="s">
        <v>37</v>
      </c>
      <c r="E1183" s="1" t="s">
        <v>339</v>
      </c>
      <c r="F1183" s="1" t="s">
        <v>340</v>
      </c>
      <c r="G1183" s="1">
        <v>-10</v>
      </c>
      <c r="H1183" s="1">
        <v>-20</v>
      </c>
      <c r="I1183" s="1" t="s">
        <v>40</v>
      </c>
      <c r="J1183" s="1">
        <v>3.15</v>
      </c>
      <c r="K1183" s="1">
        <v>-10</v>
      </c>
      <c r="L1183" s="1">
        <v>-5.1624999999999996</v>
      </c>
      <c r="M1183" s="1" t="s">
        <v>40</v>
      </c>
      <c r="N1183" s="1">
        <v>10.8692307692308</v>
      </c>
      <c r="O1183" s="1">
        <v>2.2826923076923098</v>
      </c>
      <c r="Q1183" s="1">
        <v>0.228269230769231</v>
      </c>
      <c r="R1183" s="1">
        <v>0.22470571603478601</v>
      </c>
      <c r="S1183" s="11" t="s">
        <v>339</v>
      </c>
      <c r="T1183" s="2" t="s">
        <v>339</v>
      </c>
      <c r="U1183" s="3" t="s">
        <v>106</v>
      </c>
      <c r="V1183" s="2" t="s">
        <v>341</v>
      </c>
      <c r="W1183" s="2">
        <v>4</v>
      </c>
      <c r="X1183" s="2">
        <v>10</v>
      </c>
      <c r="Y1183" s="2">
        <v>0</v>
      </c>
      <c r="Z1183" s="2">
        <v>0</v>
      </c>
      <c r="AA1183" s="2">
        <v>0</v>
      </c>
      <c r="AB1183" s="12">
        <f>(W1183*4+X1183*1+Y1183*-2+Z1183*-3)/W1183</f>
        <v>6.5</v>
      </c>
      <c r="AC1183" s="3">
        <f>W1183*12.0107+X1183*1.00784+Y1183*15.999+Z1183*14.0067</f>
        <v>58.121200000000002</v>
      </c>
      <c r="AD1183" s="24">
        <v>-1</v>
      </c>
      <c r="AE1183" s="3" t="s">
        <v>321</v>
      </c>
      <c r="AF1183" s="2" t="s">
        <v>313</v>
      </c>
      <c r="AG1183" s="25" t="str">
        <f>IF(AD1183&gt;37,"Proton symporter", "Diffusion")</f>
        <v>Diffusion</v>
      </c>
      <c r="AH1183" s="3" t="s">
        <v>342</v>
      </c>
    </row>
    <row r="1184" spans="1:34" hidden="1" x14ac:dyDescent="0.2">
      <c r="A1184" s="16" t="s">
        <v>63</v>
      </c>
      <c r="B1184" s="17" t="s">
        <v>64</v>
      </c>
      <c r="C1184" t="s">
        <v>65</v>
      </c>
      <c r="D1184" s="18" t="s">
        <v>66</v>
      </c>
      <c r="E1184" t="s">
        <v>273</v>
      </c>
      <c r="F1184" t="s">
        <v>274</v>
      </c>
      <c r="G1184">
        <v>-10</v>
      </c>
      <c r="H1184">
        <v>0</v>
      </c>
      <c r="I1184">
        <v>0</v>
      </c>
      <c r="J1184">
        <v>0.45</v>
      </c>
      <c r="K1184">
        <v>-10</v>
      </c>
      <c r="L1184">
        <v>0</v>
      </c>
      <c r="M1184">
        <v>0</v>
      </c>
      <c r="N1184">
        <v>5.8230769230769202</v>
      </c>
      <c r="O1184">
        <v>0.82307692307692304</v>
      </c>
      <c r="P1184"/>
      <c r="Q1184">
        <v>8.2307692307691999E-2</v>
      </c>
      <c r="R1184">
        <v>0.22373699118446699</v>
      </c>
      <c r="S1184" s="22" t="s">
        <v>273</v>
      </c>
      <c r="T1184" s="3" t="s">
        <v>275</v>
      </c>
      <c r="U1184" s="3" t="s">
        <v>41</v>
      </c>
      <c r="V1184" s="2" t="s">
        <v>276</v>
      </c>
      <c r="W1184" s="2">
        <v>3</v>
      </c>
      <c r="X1184" s="2">
        <v>12</v>
      </c>
      <c r="Y1184" s="2">
        <v>0</v>
      </c>
      <c r="Z1184" s="2">
        <v>2</v>
      </c>
      <c r="AA1184" s="2">
        <v>0</v>
      </c>
      <c r="AB1184" s="12">
        <f>(W1184*4+X1184*1+Y1184*-2+Z1184*-3)/W1184</f>
        <v>6</v>
      </c>
      <c r="AC1184" s="3">
        <f>W1184*12.0107+X1184*1.00784+Y1184*15.999+Z1184*14.0067</f>
        <v>76.139580000000009</v>
      </c>
      <c r="AD1184" s="12">
        <v>139.30000000000001</v>
      </c>
      <c r="AE1184" s="2" t="s">
        <v>277</v>
      </c>
      <c r="AF1184" s="2" t="s">
        <v>125</v>
      </c>
      <c r="AG1184" s="2" t="str">
        <f>IF(AD1184&gt;37,"Proton symporter", "Diffusion")</f>
        <v>Proton symporter</v>
      </c>
      <c r="AH1184" s="3" t="s">
        <v>278</v>
      </c>
    </row>
    <row r="1185" spans="1:34" hidden="1" x14ac:dyDescent="0.2">
      <c r="A1185" s="8" t="s">
        <v>34</v>
      </c>
      <c r="B1185" s="9" t="s">
        <v>35</v>
      </c>
      <c r="C1185" s="1" t="s">
        <v>57</v>
      </c>
      <c r="D1185" s="10" t="s">
        <v>37</v>
      </c>
      <c r="E1185" s="1" t="s">
        <v>339</v>
      </c>
      <c r="F1185" s="1" t="s">
        <v>340</v>
      </c>
      <c r="G1185" s="1">
        <v>-10</v>
      </c>
      <c r="H1185" s="1">
        <v>-20</v>
      </c>
      <c r="I1185" s="1" t="s">
        <v>40</v>
      </c>
      <c r="J1185" s="1">
        <v>3.15</v>
      </c>
      <c r="K1185" s="1">
        <v>-10</v>
      </c>
      <c r="L1185" s="1">
        <v>-4.9897350993377501</v>
      </c>
      <c r="M1185" s="1" t="s">
        <v>40</v>
      </c>
      <c r="N1185" s="1">
        <v>10.762913907284799</v>
      </c>
      <c r="O1185" s="1">
        <v>2.3092715231788099</v>
      </c>
      <c r="Q1185" s="1">
        <v>0.230927152317881</v>
      </c>
      <c r="R1185" s="1">
        <v>0.22350235138376801</v>
      </c>
      <c r="S1185" s="11" t="s">
        <v>339</v>
      </c>
      <c r="T1185" s="2" t="s">
        <v>339</v>
      </c>
      <c r="U1185" s="3" t="s">
        <v>106</v>
      </c>
      <c r="V1185" s="2" t="s">
        <v>341</v>
      </c>
      <c r="W1185" s="2">
        <v>4</v>
      </c>
      <c r="X1185" s="2">
        <v>10</v>
      </c>
      <c r="Y1185" s="2">
        <v>0</v>
      </c>
      <c r="Z1185" s="2">
        <v>0</v>
      </c>
      <c r="AA1185" s="2">
        <v>0</v>
      </c>
      <c r="AB1185" s="12">
        <f>(W1185*4+X1185*1+Y1185*-2+Z1185*-3)/W1185</f>
        <v>6.5</v>
      </c>
      <c r="AC1185" s="3">
        <f>W1185*12.0107+X1185*1.00784+Y1185*15.999+Z1185*14.0067</f>
        <v>58.121200000000002</v>
      </c>
      <c r="AD1185" s="24">
        <v>-1</v>
      </c>
      <c r="AE1185" s="3" t="s">
        <v>321</v>
      </c>
      <c r="AF1185" s="2" t="s">
        <v>313</v>
      </c>
      <c r="AG1185" s="25" t="str">
        <f>IF(AD1185&gt;37,"Proton symporter", "Diffusion")</f>
        <v>Diffusion</v>
      </c>
      <c r="AH1185" s="3" t="s">
        <v>342</v>
      </c>
    </row>
    <row r="1186" spans="1:34" hidden="1" x14ac:dyDescent="0.2">
      <c r="A1186" s="8" t="s">
        <v>350</v>
      </c>
      <c r="B1186" s="17" t="s">
        <v>64</v>
      </c>
      <c r="C1186" t="s">
        <v>354</v>
      </c>
      <c r="D1186" s="13" t="s">
        <v>51</v>
      </c>
      <c r="E1186" t="s">
        <v>161</v>
      </c>
      <c r="F1186" t="s">
        <v>162</v>
      </c>
      <c r="G1186">
        <v>-10</v>
      </c>
      <c r="H1186">
        <v>0</v>
      </c>
      <c r="I1186">
        <v>0</v>
      </c>
      <c r="J1186">
        <v>0.45</v>
      </c>
      <c r="K1186">
        <v>-10</v>
      </c>
      <c r="L1186">
        <v>0</v>
      </c>
      <c r="M1186" s="26">
        <v>3.17808219178082</v>
      </c>
      <c r="N1186">
        <v>0</v>
      </c>
      <c r="O1186" s="26">
        <v>0.63561643835616399</v>
      </c>
      <c r="P1186"/>
      <c r="Q1186">
        <v>6.3561643835616397E-2</v>
      </c>
      <c r="R1186" s="26">
        <v>0.222886763120382</v>
      </c>
      <c r="S1186" s="3" t="str">
        <f>VLOOKUP($E1186,'[1]Product Naming'!$A$1:$P$58,2)</f>
        <v>Catechol</v>
      </c>
      <c r="T1186" s="3" t="str">
        <f>VLOOKUP($E1186,'[1]Product Naming'!$A$1:$P$58,3)</f>
        <v>Catechol</v>
      </c>
      <c r="U1186" s="3" t="str">
        <f>VLOOKUP($E1186,'[1]Product Naming'!$A$1:$P$58,4)</f>
        <v>E</v>
      </c>
      <c r="V1186" s="3" t="str">
        <f>VLOOKUP($E1186,'[1]Product Naming'!$A$1:$P$58,5)</f>
        <v>C6H6O2</v>
      </c>
      <c r="W1186" s="3">
        <f>VLOOKUP($E1186,'[1]Product Naming'!$A$1:$P$58,6)</f>
        <v>6</v>
      </c>
      <c r="X1186" s="3">
        <f>VLOOKUP($E1186,'[1]Product Naming'!$A$1:$P$58,7)</f>
        <v>6</v>
      </c>
      <c r="Y1186" s="3">
        <f>VLOOKUP($E1186,'[1]Product Naming'!$A$1:$P$58,8)</f>
        <v>2</v>
      </c>
      <c r="Z1186" s="3">
        <f>VLOOKUP($E1186,'[1]Product Naming'!$A$1:$P$58,9)</f>
        <v>0</v>
      </c>
      <c r="AA1186" s="3">
        <f>VLOOKUP($E1186,'[1]Product Naming'!$A$1:$P$58,10)</f>
        <v>0</v>
      </c>
      <c r="AB1186" s="3">
        <f>VLOOKUP($E1186,'[1]Product Naming'!$A$1:$P$58,11)</f>
        <v>4.333333333333333</v>
      </c>
      <c r="AC1186" s="3">
        <f>VLOOKUP($E1186,'[1]Product Naming'!$A$1:$P$58,12)</f>
        <v>110.10924</v>
      </c>
      <c r="AD1186" s="3">
        <f>VLOOKUP($E1186,'[1]Product Naming'!$A$1:$P$58,13)</f>
        <v>245</v>
      </c>
      <c r="AE1186" s="3" t="str">
        <f>VLOOKUP($E1186,'[1]Product Naming'!$A$1:$P$58,14)</f>
        <v>Aromatic + Diol</v>
      </c>
      <c r="AF1186" s="3" t="str">
        <f>VLOOKUP($E1186,'[1]Product Naming'!$A$1:$P$58,15)</f>
        <v>Glyceraldehyde 3-P</v>
      </c>
      <c r="AG1186" s="3" t="str">
        <f>VLOOKUP($E1186,'[1]Product Naming'!$A$1:$P$58,16)</f>
        <v>Proton symporter</v>
      </c>
      <c r="AH1186" s="3" t="str">
        <f>VLOOKUP($E1186,'[1]Product Naming'!$A$1:$Q$58,17)</f>
        <v>catechol_c</v>
      </c>
    </row>
    <row r="1187" spans="1:34" hidden="1" x14ac:dyDescent="0.2">
      <c r="A1187" s="16" t="s">
        <v>63</v>
      </c>
      <c r="B1187" s="17" t="s">
        <v>64</v>
      </c>
      <c r="C1187" t="s">
        <v>69</v>
      </c>
      <c r="D1187" s="18" t="s">
        <v>66</v>
      </c>
      <c r="E1187" t="s">
        <v>161</v>
      </c>
      <c r="F1187" t="s">
        <v>162</v>
      </c>
      <c r="G1187">
        <v>-10</v>
      </c>
      <c r="H1187">
        <v>0</v>
      </c>
      <c r="I1187">
        <v>-20</v>
      </c>
      <c r="J1187">
        <v>0.45</v>
      </c>
      <c r="K1187">
        <v>-10</v>
      </c>
      <c r="L1187">
        <v>0</v>
      </c>
      <c r="M1187">
        <v>-16.821917808219201</v>
      </c>
      <c r="N1187">
        <v>0</v>
      </c>
      <c r="O1187">
        <v>0.63561643835616399</v>
      </c>
      <c r="P1187"/>
      <c r="Q1187">
        <v>6.3561643835616397E-2</v>
      </c>
      <c r="R1187" s="19">
        <v>0.22283234178854899</v>
      </c>
      <c r="S1187" s="20" t="s">
        <v>161</v>
      </c>
      <c r="T1187" s="3" t="s">
        <v>161</v>
      </c>
      <c r="U1187" s="3" t="s">
        <v>106</v>
      </c>
      <c r="V1187" s="20" t="s">
        <v>163</v>
      </c>
      <c r="W1187" s="3">
        <v>6</v>
      </c>
      <c r="X1187" s="3">
        <v>6</v>
      </c>
      <c r="Y1187" s="3">
        <v>2</v>
      </c>
      <c r="Z1187" s="3">
        <v>0</v>
      </c>
      <c r="AA1187" s="3">
        <v>0</v>
      </c>
      <c r="AB1187" s="12">
        <f>(W1187*4+X1187*1+Y1187*-2+Z1187*-3)/W1187</f>
        <v>4.333333333333333</v>
      </c>
      <c r="AC1187" s="3">
        <f>W1187*12.0107+X1187*1.00784+Y1187*15.999+Z1187*14.0067</f>
        <v>110.10924</v>
      </c>
      <c r="AD1187" s="12">
        <v>245</v>
      </c>
      <c r="AE1187" s="3" t="s">
        <v>164</v>
      </c>
      <c r="AF1187" s="2" t="s">
        <v>98</v>
      </c>
      <c r="AG1187" s="2" t="str">
        <f>IF(AD1187&gt;37,"Proton symporter", "Diffusion")</f>
        <v>Proton symporter</v>
      </c>
      <c r="AH1187" s="3" t="s">
        <v>165</v>
      </c>
    </row>
    <row r="1188" spans="1:34" hidden="1" x14ac:dyDescent="0.2">
      <c r="A1188" s="16" t="s">
        <v>63</v>
      </c>
      <c r="B1188" s="17" t="s">
        <v>64</v>
      </c>
      <c r="C1188" t="s">
        <v>73</v>
      </c>
      <c r="D1188" s="18" t="s">
        <v>66</v>
      </c>
      <c r="E1188" t="s">
        <v>279</v>
      </c>
      <c r="F1188" t="s">
        <v>280</v>
      </c>
      <c r="G1188">
        <v>-10</v>
      </c>
      <c r="H1188">
        <v>0</v>
      </c>
      <c r="I1188">
        <v>-20</v>
      </c>
      <c r="J1188">
        <v>0.45</v>
      </c>
      <c r="K1188">
        <v>-10</v>
      </c>
      <c r="L1188">
        <v>0</v>
      </c>
      <c r="M1188">
        <v>-20</v>
      </c>
      <c r="N1188">
        <v>0</v>
      </c>
      <c r="O1188">
        <v>1.8560000000000001</v>
      </c>
      <c r="P1188"/>
      <c r="Q1188">
        <v>0.18559999999999999</v>
      </c>
      <c r="R1188" s="19">
        <v>0.22275640087876999</v>
      </c>
      <c r="S1188" s="20" t="s">
        <v>281</v>
      </c>
      <c r="T1188" s="3" t="s">
        <v>282</v>
      </c>
      <c r="U1188" s="3" t="s">
        <v>174</v>
      </c>
      <c r="V1188" s="3" t="s">
        <v>283</v>
      </c>
      <c r="W1188" s="3">
        <v>3</v>
      </c>
      <c r="X1188" s="3">
        <v>8</v>
      </c>
      <c r="Y1188" s="3">
        <v>1</v>
      </c>
      <c r="Z1188" s="3">
        <v>0</v>
      </c>
      <c r="AA1188" s="3">
        <v>0</v>
      </c>
      <c r="AB1188" s="12">
        <f>(W1188*4+X1188*1+Y1188*-2+Z1188*-3)/W1188</f>
        <v>6</v>
      </c>
      <c r="AC1188" s="3">
        <f>W1188*12.0107+X1188*1.00784+Y1188*15.999+Z1188*14.0067</f>
        <v>60.093820000000001</v>
      </c>
      <c r="AD1188" s="12">
        <v>97</v>
      </c>
      <c r="AE1188" s="2" t="s">
        <v>262</v>
      </c>
      <c r="AF1188" s="2" t="s">
        <v>284</v>
      </c>
      <c r="AG1188" s="2" t="str">
        <f>IF(AD1188&gt;37,"Proton symporter", "Diffusion")</f>
        <v>Proton symporter</v>
      </c>
      <c r="AH1188" s="3" t="s">
        <v>285</v>
      </c>
    </row>
    <row r="1189" spans="1:34" hidden="1" x14ac:dyDescent="0.2">
      <c r="A1189" s="8" t="s">
        <v>34</v>
      </c>
      <c r="B1189" s="9" t="s">
        <v>35</v>
      </c>
      <c r="C1189" s="1" t="s">
        <v>57</v>
      </c>
      <c r="D1189" s="10" t="s">
        <v>37</v>
      </c>
      <c r="E1189" s="1" t="s">
        <v>335</v>
      </c>
      <c r="F1189" s="1" t="s">
        <v>336</v>
      </c>
      <c r="G1189" s="1">
        <v>-10</v>
      </c>
      <c r="H1189" s="1">
        <v>-20</v>
      </c>
      <c r="I1189" s="1" t="s">
        <v>40</v>
      </c>
      <c r="J1189" s="1">
        <v>3.15</v>
      </c>
      <c r="K1189" s="1">
        <v>-10</v>
      </c>
      <c r="L1189" s="1">
        <v>-5.1778894472361801</v>
      </c>
      <c r="M1189" s="1" t="s">
        <v>40</v>
      </c>
      <c r="N1189" s="1">
        <v>10.7361809045226</v>
      </c>
      <c r="O1189" s="1">
        <v>1.85276381909548</v>
      </c>
      <c r="Q1189" s="1">
        <v>0.18527638190954801</v>
      </c>
      <c r="R1189" s="1">
        <v>0.22259446123242599</v>
      </c>
      <c r="S1189" s="11" t="s">
        <v>335</v>
      </c>
      <c r="T1189" s="2" t="s">
        <v>335</v>
      </c>
      <c r="U1189" s="3" t="s">
        <v>106</v>
      </c>
      <c r="V1189" s="2" t="s">
        <v>337</v>
      </c>
      <c r="W1189" s="2">
        <v>5</v>
      </c>
      <c r="X1189" s="2">
        <v>12</v>
      </c>
      <c r="Y1189" s="2">
        <v>0</v>
      </c>
      <c r="Z1189" s="2">
        <v>0</v>
      </c>
      <c r="AA1189" s="2">
        <v>0</v>
      </c>
      <c r="AB1189" s="12">
        <f>(W1189*4+X1189*1+Y1189*-2+Z1189*-3)/W1189</f>
        <v>6.4</v>
      </c>
      <c r="AC1189" s="3">
        <f>W1189*12.0107+X1189*1.00784+Y1189*15.999+Z1189*14.0067</f>
        <v>72.147580000000005</v>
      </c>
      <c r="AD1189" s="24">
        <v>36.1</v>
      </c>
      <c r="AE1189" s="3" t="s">
        <v>321</v>
      </c>
      <c r="AF1189" s="2" t="s">
        <v>79</v>
      </c>
      <c r="AG1189" s="25" t="str">
        <f>IF(AD1189&gt;37,"Proton symporter", "Diffusion")</f>
        <v>Diffusion</v>
      </c>
      <c r="AH1189" s="3" t="s">
        <v>338</v>
      </c>
    </row>
    <row r="1190" spans="1:34" hidden="1" x14ac:dyDescent="0.2">
      <c r="A1190" s="8" t="s">
        <v>350</v>
      </c>
      <c r="B1190" s="17" t="s">
        <v>64</v>
      </c>
      <c r="C1190" t="s">
        <v>352</v>
      </c>
      <c r="D1190" s="13" t="s">
        <v>51</v>
      </c>
      <c r="E1190" t="s">
        <v>279</v>
      </c>
      <c r="F1190" t="s">
        <v>280</v>
      </c>
      <c r="G1190">
        <v>-10</v>
      </c>
      <c r="H1190">
        <v>0</v>
      </c>
      <c r="I1190">
        <v>0</v>
      </c>
      <c r="J1190">
        <v>0.45</v>
      </c>
      <c r="K1190">
        <v>-10</v>
      </c>
      <c r="L1190">
        <v>0</v>
      </c>
      <c r="M1190">
        <v>0</v>
      </c>
      <c r="N1190">
        <v>0</v>
      </c>
      <c r="O1190" s="26">
        <v>1.18490566037735</v>
      </c>
      <c r="P1190"/>
      <c r="Q1190" s="26">
        <v>0.118490566037735</v>
      </c>
      <c r="R1190" s="26">
        <v>0.22223205933791801</v>
      </c>
      <c r="S1190" s="3" t="str">
        <f>VLOOKUP($E1190,'[1]Product Naming'!$A$1:$P$58,2)</f>
        <v>1-propanol-PW1</v>
      </c>
      <c r="T1190" s="3" t="str">
        <f>VLOOKUP($E1190,'[1]Product Naming'!$A$1:$P$58,3)</f>
        <v>1-Propanol (PW1)</v>
      </c>
      <c r="U1190" s="3" t="str">
        <f>VLOOKUP($E1190,'[1]Product Naming'!$A$1:$P$58,4)</f>
        <v>E-S</v>
      </c>
      <c r="V1190" s="3" t="str">
        <f>VLOOKUP($E1190,'[1]Product Naming'!$A$1:$P$58,5)</f>
        <v>C3H8O</v>
      </c>
      <c r="W1190" s="3">
        <f>VLOOKUP($E1190,'[1]Product Naming'!$A$1:$P$58,6)</f>
        <v>3</v>
      </c>
      <c r="X1190" s="3">
        <f>VLOOKUP($E1190,'[1]Product Naming'!$A$1:$P$58,7)</f>
        <v>8</v>
      </c>
      <c r="Y1190" s="3">
        <f>VLOOKUP($E1190,'[1]Product Naming'!$A$1:$P$58,8)</f>
        <v>1</v>
      </c>
      <c r="Z1190" s="3">
        <f>VLOOKUP($E1190,'[1]Product Naming'!$A$1:$P$58,9)</f>
        <v>0</v>
      </c>
      <c r="AA1190" s="3">
        <f>VLOOKUP($E1190,'[1]Product Naming'!$A$1:$P$58,10)</f>
        <v>0</v>
      </c>
      <c r="AB1190" s="3">
        <f>VLOOKUP($E1190,'[1]Product Naming'!$A$1:$P$58,11)</f>
        <v>6</v>
      </c>
      <c r="AC1190" s="3">
        <f>VLOOKUP($E1190,'[1]Product Naming'!$A$1:$P$58,12)</f>
        <v>60.093820000000001</v>
      </c>
      <c r="AD1190" s="3">
        <f>VLOOKUP($E1190,'[1]Product Naming'!$A$1:$P$58,13)</f>
        <v>97</v>
      </c>
      <c r="AE1190" s="3" t="str">
        <f>VLOOKUP($E1190,'[1]Product Naming'!$A$1:$P$58,14)</f>
        <v>Alcohol</v>
      </c>
      <c r="AF1190" s="3" t="str">
        <f>VLOOKUP($E1190,'[1]Product Naming'!$A$1:$P$58,15)</f>
        <v>Glyceraldehyde 3-P (--&gt;DHAP)</v>
      </c>
      <c r="AG1190" s="3" t="str">
        <f>VLOOKUP($E1190,'[1]Product Naming'!$A$1:$P$58,16)</f>
        <v>Proton symporter</v>
      </c>
      <c r="AH1190" s="3" t="str">
        <f>VLOOKUP($E1190,'[1]Product Naming'!$A$1:$Q$58,17)</f>
        <v>ppoh_c</v>
      </c>
    </row>
    <row r="1191" spans="1:34" hidden="1" x14ac:dyDescent="0.2">
      <c r="A1191" s="16" t="s">
        <v>63</v>
      </c>
      <c r="B1191" s="17" t="s">
        <v>64</v>
      </c>
      <c r="C1191" t="s">
        <v>72</v>
      </c>
      <c r="D1191" s="18" t="s">
        <v>66</v>
      </c>
      <c r="E1191" t="s">
        <v>273</v>
      </c>
      <c r="F1191" t="s">
        <v>274</v>
      </c>
      <c r="G1191">
        <v>-10</v>
      </c>
      <c r="H1191">
        <v>0</v>
      </c>
      <c r="I1191">
        <v>-10</v>
      </c>
      <c r="J1191">
        <v>0.45</v>
      </c>
      <c r="K1191">
        <v>-10</v>
      </c>
      <c r="L1191">
        <v>0</v>
      </c>
      <c r="M1191">
        <v>-10</v>
      </c>
      <c r="N1191">
        <v>1.4</v>
      </c>
      <c r="O1191">
        <v>1.4</v>
      </c>
      <c r="P1191"/>
      <c r="Q1191">
        <v>0.14000000000000001</v>
      </c>
      <c r="R1191">
        <v>0.221844535646498</v>
      </c>
      <c r="S1191" s="22" t="s">
        <v>273</v>
      </c>
      <c r="T1191" s="3" t="s">
        <v>275</v>
      </c>
      <c r="U1191" s="3" t="s">
        <v>41</v>
      </c>
      <c r="V1191" s="2" t="s">
        <v>276</v>
      </c>
      <c r="W1191" s="2">
        <v>3</v>
      </c>
      <c r="X1191" s="2">
        <v>12</v>
      </c>
      <c r="Y1191" s="2">
        <v>0</v>
      </c>
      <c r="Z1191" s="2">
        <v>2</v>
      </c>
      <c r="AA1191" s="2">
        <v>0</v>
      </c>
      <c r="AB1191" s="12">
        <f>(W1191*4+X1191*1+Y1191*-2+Z1191*-3)/W1191</f>
        <v>6</v>
      </c>
      <c r="AC1191" s="3">
        <f>W1191*12.0107+X1191*1.00784+Y1191*15.999+Z1191*14.0067</f>
        <v>76.139580000000009</v>
      </c>
      <c r="AD1191" s="12">
        <v>139.30000000000001</v>
      </c>
      <c r="AE1191" s="2" t="s">
        <v>277</v>
      </c>
      <c r="AF1191" s="2" t="s">
        <v>125</v>
      </c>
      <c r="AG1191" s="2" t="str">
        <f>IF(AD1191&gt;37,"Proton symporter", "Diffusion")</f>
        <v>Proton symporter</v>
      </c>
      <c r="AH1191" s="3" t="s">
        <v>278</v>
      </c>
    </row>
    <row r="1192" spans="1:34" hidden="1" x14ac:dyDescent="0.2">
      <c r="A1192" s="16" t="s">
        <v>63</v>
      </c>
      <c r="B1192" s="17" t="s">
        <v>64</v>
      </c>
      <c r="C1192" t="s">
        <v>65</v>
      </c>
      <c r="D1192" s="18" t="s">
        <v>66</v>
      </c>
      <c r="E1192" t="s">
        <v>300</v>
      </c>
      <c r="F1192" t="s">
        <v>301</v>
      </c>
      <c r="G1192">
        <v>-10</v>
      </c>
      <c r="H1192">
        <v>0</v>
      </c>
      <c r="I1192">
        <v>0</v>
      </c>
      <c r="J1192">
        <v>0.45</v>
      </c>
      <c r="K1192">
        <v>-10</v>
      </c>
      <c r="L1192">
        <v>0</v>
      </c>
      <c r="M1192">
        <v>0</v>
      </c>
      <c r="N1192">
        <v>6.6666666666666696</v>
      </c>
      <c r="O1192">
        <v>0.83333333333333304</v>
      </c>
      <c r="P1192"/>
      <c r="Q1192">
        <v>8.3333333333332996E-2</v>
      </c>
      <c r="R1192">
        <v>0.22051707723432101</v>
      </c>
      <c r="S1192" s="20" t="s">
        <v>300</v>
      </c>
      <c r="T1192" s="3" t="s">
        <v>302</v>
      </c>
      <c r="U1192" s="3" t="s">
        <v>106</v>
      </c>
      <c r="V1192" s="3" t="s">
        <v>303</v>
      </c>
      <c r="W1192" s="3">
        <v>4</v>
      </c>
      <c r="X1192" s="3">
        <v>10</v>
      </c>
      <c r="Y1192" s="3">
        <v>1</v>
      </c>
      <c r="Z1192" s="3">
        <v>0</v>
      </c>
      <c r="AA1192" s="3">
        <v>0</v>
      </c>
      <c r="AB1192" s="12">
        <f>(W1192*4+X1192*1+Y1192*-2+Z1192*-3)/W1192</f>
        <v>6</v>
      </c>
      <c r="AC1192" s="3">
        <f>W1192*12.0107+X1192*1.00784+Y1192*15.999+Z1192*14.0067</f>
        <v>74.120199999999997</v>
      </c>
      <c r="AD1192" s="12">
        <v>117.7</v>
      </c>
      <c r="AE1192" s="3" t="s">
        <v>262</v>
      </c>
      <c r="AF1192" s="2" t="s">
        <v>79</v>
      </c>
      <c r="AG1192" s="2" t="str">
        <f>IF(AD1192&gt;37,"Proton symporter", "Diffusion")</f>
        <v>Proton symporter</v>
      </c>
      <c r="AH1192" s="3" t="s">
        <v>304</v>
      </c>
    </row>
    <row r="1193" spans="1:34" hidden="1" x14ac:dyDescent="0.2">
      <c r="A1193" s="16" t="s">
        <v>63</v>
      </c>
      <c r="B1193" s="17" t="s">
        <v>64</v>
      </c>
      <c r="C1193" t="s">
        <v>65</v>
      </c>
      <c r="D1193" s="18" t="s">
        <v>66</v>
      </c>
      <c r="E1193" t="s">
        <v>305</v>
      </c>
      <c r="F1193" t="s">
        <v>301</v>
      </c>
      <c r="G1193">
        <v>-10</v>
      </c>
      <c r="H1193">
        <v>0</v>
      </c>
      <c r="I1193">
        <v>0</v>
      </c>
      <c r="J1193">
        <v>0.45</v>
      </c>
      <c r="K1193">
        <v>-10</v>
      </c>
      <c r="L1193">
        <v>0</v>
      </c>
      <c r="M1193">
        <v>0</v>
      </c>
      <c r="N1193">
        <v>6.6666666666666696</v>
      </c>
      <c r="O1193">
        <v>0.83333333333333304</v>
      </c>
      <c r="P1193"/>
      <c r="Q1193">
        <v>8.3333333333333301E-2</v>
      </c>
      <c r="R1193">
        <v>0.22051707723432101</v>
      </c>
      <c r="S1193" s="20" t="s">
        <v>305</v>
      </c>
      <c r="T1193" s="3" t="s">
        <v>306</v>
      </c>
      <c r="U1193" s="3" t="s">
        <v>106</v>
      </c>
      <c r="V1193" s="3" t="s">
        <v>303</v>
      </c>
      <c r="W1193" s="3">
        <v>4</v>
      </c>
      <c r="X1193" s="3">
        <v>10</v>
      </c>
      <c r="Y1193" s="3">
        <v>1</v>
      </c>
      <c r="Z1193" s="3">
        <v>0</v>
      </c>
      <c r="AA1193" s="3">
        <v>0</v>
      </c>
      <c r="AB1193" s="12">
        <f>(W1193*4+X1193*1+Y1193*-2+Z1193*-3)/W1193</f>
        <v>6</v>
      </c>
      <c r="AC1193" s="3">
        <f>W1193*12.0107+X1193*1.00784+Y1193*15.999+Z1193*14.0067</f>
        <v>74.120199999999997</v>
      </c>
      <c r="AD1193" s="12">
        <v>117.7</v>
      </c>
      <c r="AE1193" s="3" t="s">
        <v>262</v>
      </c>
      <c r="AF1193" s="3" t="s">
        <v>44</v>
      </c>
      <c r="AG1193" s="2" t="str">
        <f>IF(AD1193&gt;37,"Proton symporter", "Diffusion")</f>
        <v>Proton symporter</v>
      </c>
      <c r="AH1193" s="3" t="s">
        <v>304</v>
      </c>
    </row>
    <row r="1194" spans="1:34" hidden="1" x14ac:dyDescent="0.2">
      <c r="A1194" s="8" t="s">
        <v>34</v>
      </c>
      <c r="B1194" s="9" t="s">
        <v>35</v>
      </c>
      <c r="C1194" s="1" t="s">
        <v>47</v>
      </c>
      <c r="D1194" s="10" t="s">
        <v>37</v>
      </c>
      <c r="E1194" s="1" t="s">
        <v>348</v>
      </c>
      <c r="F1194" s="1" t="s">
        <v>344</v>
      </c>
      <c r="G1194" s="1">
        <v>-10</v>
      </c>
      <c r="H1194" s="1">
        <v>-20</v>
      </c>
      <c r="I1194" s="1" t="s">
        <v>40</v>
      </c>
      <c r="J1194" s="1">
        <v>3.15</v>
      </c>
      <c r="K1194" s="1">
        <v>-10</v>
      </c>
      <c r="L1194" s="1">
        <v>-9.7357142857142804</v>
      </c>
      <c r="M1194" s="1" t="s">
        <v>40</v>
      </c>
      <c r="N1194" s="1">
        <v>10.841428571428599</v>
      </c>
      <c r="O1194" s="1">
        <v>3.0528571428571398</v>
      </c>
      <c r="Q1194" s="1">
        <v>0.30528571428571399</v>
      </c>
      <c r="R1194" s="1">
        <v>0.216888986955905</v>
      </c>
      <c r="S1194" s="20" t="s">
        <v>348</v>
      </c>
      <c r="T1194" s="3" t="s">
        <v>349</v>
      </c>
      <c r="U1194" s="3" t="s">
        <v>106</v>
      </c>
      <c r="V1194" s="3" t="s">
        <v>346</v>
      </c>
      <c r="W1194" s="3">
        <v>3</v>
      </c>
      <c r="X1194" s="3">
        <v>8</v>
      </c>
      <c r="Y1194" s="3">
        <v>0</v>
      </c>
      <c r="Z1194" s="3">
        <v>0</v>
      </c>
      <c r="AA1194" s="3">
        <v>0</v>
      </c>
      <c r="AB1194" s="12">
        <f>(W1194*4+X1194*1+Y1194*-2+Z1194*-3)/W1194</f>
        <v>6.666666666666667</v>
      </c>
      <c r="AC1194" s="3">
        <f>W1194*12.0107+X1194*1.00784+Y1194*15.999+Z1194*14.0067</f>
        <v>44.094819999999999</v>
      </c>
      <c r="AD1194" s="24">
        <v>-42</v>
      </c>
      <c r="AE1194" s="3" t="s">
        <v>231</v>
      </c>
      <c r="AF1194" s="3" t="s">
        <v>44</v>
      </c>
      <c r="AG1194" s="25" t="str">
        <f>IF(AD1194&gt;37,"Proton symporter", "Diffusion")</f>
        <v>Diffusion</v>
      </c>
      <c r="AH1194" s="3" t="s">
        <v>347</v>
      </c>
    </row>
    <row r="1195" spans="1:34" hidden="1" x14ac:dyDescent="0.2">
      <c r="A1195" s="16" t="s">
        <v>63</v>
      </c>
      <c r="B1195" s="17" t="s">
        <v>64</v>
      </c>
      <c r="C1195" t="s">
        <v>73</v>
      </c>
      <c r="D1195" s="18" t="s">
        <v>66</v>
      </c>
      <c r="E1195" t="s">
        <v>244</v>
      </c>
      <c r="F1195" t="s">
        <v>245</v>
      </c>
      <c r="G1195">
        <v>-10</v>
      </c>
      <c r="H1195">
        <v>0</v>
      </c>
      <c r="I1195">
        <v>-20</v>
      </c>
      <c r="J1195">
        <v>0.45</v>
      </c>
      <c r="K1195">
        <v>-10</v>
      </c>
      <c r="L1195">
        <v>0</v>
      </c>
      <c r="M1195">
        <v>-18.8102564102564</v>
      </c>
      <c r="N1195">
        <v>0</v>
      </c>
      <c r="O1195">
        <v>1.18974358974359</v>
      </c>
      <c r="P1195"/>
      <c r="Q1195">
        <v>0.118974358974359</v>
      </c>
      <c r="R1195" s="19">
        <v>0.21517047303501399</v>
      </c>
      <c r="S1195" s="20" t="s">
        <v>246</v>
      </c>
      <c r="T1195" s="3" t="s">
        <v>247</v>
      </c>
      <c r="U1195" s="3" t="s">
        <v>106</v>
      </c>
      <c r="V1195" s="3" t="s">
        <v>238</v>
      </c>
      <c r="W1195" s="3">
        <v>4</v>
      </c>
      <c r="X1195" s="3">
        <v>10</v>
      </c>
      <c r="Y1195" s="3">
        <v>2</v>
      </c>
      <c r="Z1195" s="3">
        <v>0</v>
      </c>
      <c r="AA1195" s="3">
        <v>0</v>
      </c>
      <c r="AB1195" s="12">
        <f>(W1195*4+X1195*1+Y1195*-2+Z1195*-3)/W1195</f>
        <v>5.5</v>
      </c>
      <c r="AC1195" s="3">
        <f>W1195*12.0107+X1195*1.00784+Y1195*15.999+Z1195*14.0067</f>
        <v>90.119200000000006</v>
      </c>
      <c r="AD1195" s="12">
        <v>230</v>
      </c>
      <c r="AE1195" s="2" t="s">
        <v>220</v>
      </c>
      <c r="AF1195" s="3" t="s">
        <v>120</v>
      </c>
      <c r="AG1195" s="2" t="str">
        <f>IF(AD1195&gt;37,"Proton symporter", "Diffusion")</f>
        <v>Proton symporter</v>
      </c>
      <c r="AH1195" s="3" t="s">
        <v>248</v>
      </c>
    </row>
    <row r="1196" spans="1:34" hidden="1" x14ac:dyDescent="0.2">
      <c r="A1196" s="16" t="s">
        <v>63</v>
      </c>
      <c r="B1196" s="17" t="s">
        <v>64</v>
      </c>
      <c r="C1196" t="s">
        <v>71</v>
      </c>
      <c r="D1196" s="18" t="s">
        <v>66</v>
      </c>
      <c r="E1196" t="s">
        <v>286</v>
      </c>
      <c r="F1196" t="s">
        <v>280</v>
      </c>
      <c r="G1196">
        <v>-10</v>
      </c>
      <c r="H1196">
        <v>0</v>
      </c>
      <c r="I1196">
        <v>-5</v>
      </c>
      <c r="J1196">
        <v>0.45</v>
      </c>
      <c r="K1196">
        <v>-10</v>
      </c>
      <c r="L1196">
        <v>0</v>
      </c>
      <c r="M1196">
        <v>-5</v>
      </c>
      <c r="N1196">
        <v>5</v>
      </c>
      <c r="O1196">
        <v>1.6666666666666701</v>
      </c>
      <c r="P1196"/>
      <c r="Q1196">
        <v>0.16666666666666699</v>
      </c>
      <c r="R1196">
        <v>0.212919256683022</v>
      </c>
      <c r="S1196" s="20" t="s">
        <v>287</v>
      </c>
      <c r="T1196" s="3" t="s">
        <v>288</v>
      </c>
      <c r="U1196" s="3" t="s">
        <v>174</v>
      </c>
      <c r="V1196" s="3" t="s">
        <v>283</v>
      </c>
      <c r="W1196" s="3">
        <v>3</v>
      </c>
      <c r="X1196" s="3">
        <v>8</v>
      </c>
      <c r="Y1196" s="3">
        <v>1</v>
      </c>
      <c r="Z1196" s="3">
        <v>0</v>
      </c>
      <c r="AA1196" s="3">
        <v>0</v>
      </c>
      <c r="AB1196" s="12">
        <f>(W1196*4+X1196*1+Y1196*-2+Z1196*-3)/W1196</f>
        <v>6</v>
      </c>
      <c r="AC1196" s="3">
        <f>W1196*12.0107+X1196*1.00784+Y1196*15.999+Z1196*14.0067</f>
        <v>60.093820000000001</v>
      </c>
      <c r="AD1196" s="12">
        <v>97</v>
      </c>
      <c r="AE1196" s="2" t="s">
        <v>262</v>
      </c>
      <c r="AF1196" s="3" t="s">
        <v>44</v>
      </c>
      <c r="AG1196" s="2" t="str">
        <f>IF(AD1196&gt;37,"Proton symporter", "Diffusion")</f>
        <v>Proton symporter</v>
      </c>
      <c r="AH1196" s="3" t="s">
        <v>285</v>
      </c>
    </row>
    <row r="1197" spans="1:34" hidden="1" x14ac:dyDescent="0.2">
      <c r="A1197" s="16" t="s">
        <v>63</v>
      </c>
      <c r="B1197" s="17" t="s">
        <v>64</v>
      </c>
      <c r="C1197" t="s">
        <v>71</v>
      </c>
      <c r="D1197" s="18" t="s">
        <v>66</v>
      </c>
      <c r="E1197" t="s">
        <v>307</v>
      </c>
      <c r="F1197" t="s">
        <v>308</v>
      </c>
      <c r="G1197">
        <v>-10</v>
      </c>
      <c r="H1197">
        <v>0</v>
      </c>
      <c r="I1197">
        <v>-5</v>
      </c>
      <c r="J1197">
        <v>0.45</v>
      </c>
      <c r="K1197">
        <v>-10</v>
      </c>
      <c r="L1197">
        <v>0</v>
      </c>
      <c r="M1197">
        <v>-5</v>
      </c>
      <c r="N1197">
        <v>5</v>
      </c>
      <c r="O1197">
        <v>1.6666666666666701</v>
      </c>
      <c r="P1197"/>
      <c r="Q1197">
        <v>0.16666666666666699</v>
      </c>
      <c r="R1197">
        <v>0.212919256683022</v>
      </c>
      <c r="S1197" s="11" t="s">
        <v>307</v>
      </c>
      <c r="T1197" s="2" t="s">
        <v>307</v>
      </c>
      <c r="U1197" s="3" t="s">
        <v>41</v>
      </c>
      <c r="V1197" s="2" t="s">
        <v>283</v>
      </c>
      <c r="W1197" s="2">
        <v>3</v>
      </c>
      <c r="X1197" s="2">
        <v>8</v>
      </c>
      <c r="Y1197" s="2">
        <v>1</v>
      </c>
      <c r="Z1197" s="2">
        <v>0</v>
      </c>
      <c r="AA1197" s="2">
        <v>0</v>
      </c>
      <c r="AB1197" s="12">
        <f>(W1197*4+X1197*1+Y1197*-2+Z1197*-3)/W1197</f>
        <v>6</v>
      </c>
      <c r="AC1197" s="3">
        <f>W1197*12.0107+X1197*1.00784+Y1197*15.999+Z1197*14.0067</f>
        <v>60.093820000000001</v>
      </c>
      <c r="AD1197" s="12">
        <v>82.5</v>
      </c>
      <c r="AE1197" s="2" t="s">
        <v>262</v>
      </c>
      <c r="AF1197" s="2" t="s">
        <v>79</v>
      </c>
      <c r="AG1197" s="2" t="str">
        <f>IF(AD1197&gt;37,"Proton symporter", "Diffusion")</f>
        <v>Proton symporter</v>
      </c>
      <c r="AH1197" s="3" t="s">
        <v>309</v>
      </c>
    </row>
    <row r="1198" spans="1:34" hidden="1" x14ac:dyDescent="0.2">
      <c r="A1198" s="8" t="s">
        <v>34</v>
      </c>
      <c r="B1198" s="9" t="s">
        <v>35</v>
      </c>
      <c r="C1198" s="1" t="s">
        <v>57</v>
      </c>
      <c r="D1198" s="10" t="s">
        <v>37</v>
      </c>
      <c r="E1198" s="1" t="s">
        <v>343</v>
      </c>
      <c r="F1198" s="1" t="s">
        <v>344</v>
      </c>
      <c r="G1198" s="1">
        <v>-10</v>
      </c>
      <c r="H1198" s="1">
        <v>-20</v>
      </c>
      <c r="I1198" s="1" t="s">
        <v>40</v>
      </c>
      <c r="J1198" s="1">
        <v>3.15</v>
      </c>
      <c r="K1198" s="1">
        <v>-10</v>
      </c>
      <c r="L1198" s="1">
        <v>-5.59765625</v>
      </c>
      <c r="M1198" s="1" t="s">
        <v>40</v>
      </c>
      <c r="N1198" s="1">
        <v>11.358593750000001</v>
      </c>
      <c r="O1198" s="1">
        <v>2.8804687499999999</v>
      </c>
      <c r="Q1198" s="1">
        <v>0.28804687499999998</v>
      </c>
      <c r="R1198" s="1">
        <v>0.21150627963577401</v>
      </c>
      <c r="S1198" s="20" t="s">
        <v>343</v>
      </c>
      <c r="T1198" s="3" t="s">
        <v>345</v>
      </c>
      <c r="U1198" s="3" t="s">
        <v>106</v>
      </c>
      <c r="V1198" s="3" t="s">
        <v>346</v>
      </c>
      <c r="W1198" s="3">
        <v>3</v>
      </c>
      <c r="X1198" s="3">
        <v>8</v>
      </c>
      <c r="Y1198" s="3">
        <v>0</v>
      </c>
      <c r="Z1198" s="3">
        <v>0</v>
      </c>
      <c r="AA1198" s="3">
        <v>0</v>
      </c>
      <c r="AB1198" s="12">
        <f>(W1198*4+X1198*1+Y1198*-2+Z1198*-3)/W1198</f>
        <v>6.666666666666667</v>
      </c>
      <c r="AC1198" s="3">
        <f>W1198*12.0107+X1198*1.00784+Y1198*15.999+Z1198*14.0067</f>
        <v>44.094819999999999</v>
      </c>
      <c r="AD1198" s="24">
        <v>-42</v>
      </c>
      <c r="AE1198" s="3" t="s">
        <v>231</v>
      </c>
      <c r="AF1198" s="2" t="s">
        <v>79</v>
      </c>
      <c r="AG1198" s="25" t="str">
        <f>IF(AD1198&gt;37,"Proton symporter", "Diffusion")</f>
        <v>Diffusion</v>
      </c>
      <c r="AH1198" s="3" t="s">
        <v>347</v>
      </c>
    </row>
    <row r="1199" spans="1:34" hidden="1" x14ac:dyDescent="0.2">
      <c r="A1199" s="8" t="s">
        <v>350</v>
      </c>
      <c r="B1199" s="17" t="s">
        <v>64</v>
      </c>
      <c r="C1199" t="s">
        <v>354</v>
      </c>
      <c r="D1199" s="13" t="s">
        <v>51</v>
      </c>
      <c r="E1199" t="s">
        <v>268</v>
      </c>
      <c r="F1199" t="s">
        <v>269</v>
      </c>
      <c r="G1199">
        <v>-10</v>
      </c>
      <c r="H1199">
        <v>0</v>
      </c>
      <c r="I1199">
        <v>0</v>
      </c>
      <c r="J1199">
        <v>0.45</v>
      </c>
      <c r="K1199">
        <v>-10</v>
      </c>
      <c r="L1199">
        <v>0</v>
      </c>
      <c r="M1199" s="26">
        <v>0.98723404255319402</v>
      </c>
      <c r="N1199">
        <v>0</v>
      </c>
      <c r="O1199" s="26">
        <v>0.49361702127659501</v>
      </c>
      <c r="P1199"/>
      <c r="Q1199">
        <v>4.9361702127659501E-2</v>
      </c>
      <c r="R1199" s="26">
        <v>0.21118830550475701</v>
      </c>
      <c r="S1199" s="3" t="str">
        <f>VLOOKUP($E1199,'[1]Product Naming'!$A$1:$P$58,2)</f>
        <v>Limonene</v>
      </c>
      <c r="T1199" s="3" t="str">
        <f>VLOOKUP($E1199,'[1]Product Naming'!$A$1:$P$58,3)</f>
        <v>Limonene</v>
      </c>
      <c r="U1199" s="3" t="str">
        <f>VLOOKUP($E1199,'[1]Product Naming'!$A$1:$P$58,4)</f>
        <v>E</v>
      </c>
      <c r="V1199" s="3" t="str">
        <f>VLOOKUP($E1199,'[1]Product Naming'!$A$1:$P$58,5)</f>
        <v>C10H16</v>
      </c>
      <c r="W1199" s="3">
        <f>VLOOKUP($E1199,'[1]Product Naming'!$A$1:$P$58,6)</f>
        <v>10</v>
      </c>
      <c r="X1199" s="3">
        <f>VLOOKUP($E1199,'[1]Product Naming'!$A$1:$P$58,7)</f>
        <v>16</v>
      </c>
      <c r="Y1199" s="3">
        <f>VLOOKUP($E1199,'[1]Product Naming'!$A$1:$P$58,8)</f>
        <v>0</v>
      </c>
      <c r="Z1199" s="3">
        <f>VLOOKUP($E1199,'[1]Product Naming'!$A$1:$P$58,9)</f>
        <v>0</v>
      </c>
      <c r="AA1199" s="3">
        <f>VLOOKUP($E1199,'[1]Product Naming'!$A$1:$P$58,10)</f>
        <v>0</v>
      </c>
      <c r="AB1199" s="3">
        <f>VLOOKUP($E1199,'[1]Product Naming'!$A$1:$P$58,11)</f>
        <v>5.6</v>
      </c>
      <c r="AC1199" s="3">
        <f>VLOOKUP($E1199,'[1]Product Naming'!$A$1:$P$58,12)</f>
        <v>136.23244</v>
      </c>
      <c r="AD1199" s="3">
        <f>VLOOKUP($E1199,'[1]Product Naming'!$A$1:$P$58,13)</f>
        <v>176</v>
      </c>
      <c r="AE1199" s="3" t="str">
        <f>VLOOKUP($E1199,'[1]Product Naming'!$A$1:$P$58,14)</f>
        <v>Isoprenoid; Aromatic (Cycloalkane)</v>
      </c>
      <c r="AF1199" s="3" t="str">
        <f>VLOOKUP($E1199,'[1]Product Naming'!$A$1:$P$58,15)</f>
        <v>Acetyl-CoA</v>
      </c>
      <c r="AG1199" s="3" t="str">
        <f>VLOOKUP($E1199,'[1]Product Naming'!$A$1:$P$58,16)</f>
        <v>Proton symporter</v>
      </c>
      <c r="AH1199" s="3" t="str">
        <f>VLOOKUP($E1199,'[1]Product Naming'!$A$1:$Q$58,17)</f>
        <v>limnen_c</v>
      </c>
    </row>
    <row r="1200" spans="1:34" hidden="1" x14ac:dyDescent="0.2">
      <c r="A1200" s="16" t="s">
        <v>63</v>
      </c>
      <c r="B1200" s="17" t="s">
        <v>64</v>
      </c>
      <c r="C1200" t="s">
        <v>69</v>
      </c>
      <c r="D1200" s="18" t="s">
        <v>66</v>
      </c>
      <c r="E1200" t="s">
        <v>268</v>
      </c>
      <c r="F1200" t="s">
        <v>269</v>
      </c>
      <c r="G1200">
        <v>-10</v>
      </c>
      <c r="H1200">
        <v>0</v>
      </c>
      <c r="I1200">
        <v>-20</v>
      </c>
      <c r="J1200">
        <v>0.45</v>
      </c>
      <c r="K1200">
        <v>-10</v>
      </c>
      <c r="L1200">
        <v>0</v>
      </c>
      <c r="M1200">
        <v>-19.012765957446799</v>
      </c>
      <c r="N1200">
        <v>0</v>
      </c>
      <c r="O1200">
        <v>0.49361702127659401</v>
      </c>
      <c r="P1200"/>
      <c r="Q1200">
        <v>4.9361702127659397E-2</v>
      </c>
      <c r="R1200" s="19">
        <v>0.21113164636041101</v>
      </c>
      <c r="S1200" s="3" t="s">
        <v>268</v>
      </c>
      <c r="T1200" s="3" t="s">
        <v>268</v>
      </c>
      <c r="U1200" s="3" t="s">
        <v>106</v>
      </c>
      <c r="V1200" s="3" t="s">
        <v>270</v>
      </c>
      <c r="W1200" s="3">
        <v>10</v>
      </c>
      <c r="X1200" s="3">
        <v>16</v>
      </c>
      <c r="Y1200" s="3">
        <v>0</v>
      </c>
      <c r="Z1200" s="3">
        <v>0</v>
      </c>
      <c r="AA1200" s="3">
        <v>0</v>
      </c>
      <c r="AB1200" s="12">
        <f>(W1200*4+X1200*1+Y1200*-2+Z1200*-3)/W1200</f>
        <v>5.6</v>
      </c>
      <c r="AC1200" s="3">
        <f>W1200*12.0107+X1200*1.00784+Y1200*15.999+Z1200*14.0067</f>
        <v>136.23244</v>
      </c>
      <c r="AD1200" s="12">
        <v>176</v>
      </c>
      <c r="AE1200" s="3" t="s">
        <v>271</v>
      </c>
      <c r="AF1200" s="3" t="s">
        <v>79</v>
      </c>
      <c r="AG1200" s="2" t="str">
        <f>IF(AD1200&gt;37,"Proton symporter", "Diffusion")</f>
        <v>Proton symporter</v>
      </c>
      <c r="AH1200" s="3" t="s">
        <v>272</v>
      </c>
    </row>
    <row r="1201" spans="1:34" hidden="1" x14ac:dyDescent="0.2">
      <c r="A1201" s="16" t="s">
        <v>63</v>
      </c>
      <c r="B1201" s="17" t="s">
        <v>64</v>
      </c>
      <c r="C1201" t="s">
        <v>65</v>
      </c>
      <c r="D1201" s="18" t="s">
        <v>66</v>
      </c>
      <c r="E1201" t="s">
        <v>289</v>
      </c>
      <c r="F1201" t="s">
        <v>290</v>
      </c>
      <c r="G1201">
        <v>-10</v>
      </c>
      <c r="H1201">
        <v>0</v>
      </c>
      <c r="I1201">
        <v>0</v>
      </c>
      <c r="J1201">
        <v>0.45</v>
      </c>
      <c r="K1201">
        <v>-10</v>
      </c>
      <c r="L1201">
        <v>0</v>
      </c>
      <c r="M1201">
        <v>0</v>
      </c>
      <c r="N1201">
        <v>6.6666666666666696</v>
      </c>
      <c r="O1201">
        <v>0.66666666666666696</v>
      </c>
      <c r="P1201"/>
      <c r="Q1201">
        <v>6.6666666666666999E-2</v>
      </c>
      <c r="R1201">
        <v>0.209797881708913</v>
      </c>
      <c r="S1201" s="11" t="s">
        <v>289</v>
      </c>
      <c r="T1201" s="2" t="s">
        <v>291</v>
      </c>
      <c r="U1201" s="3" t="s">
        <v>41</v>
      </c>
      <c r="V1201" s="2" t="s">
        <v>292</v>
      </c>
      <c r="W1201" s="2">
        <v>5</v>
      </c>
      <c r="X1201" s="2">
        <v>12</v>
      </c>
      <c r="Y1201" s="2">
        <v>1</v>
      </c>
      <c r="Z1201" s="2">
        <v>0</v>
      </c>
      <c r="AA1201" s="2">
        <v>0</v>
      </c>
      <c r="AB1201" s="12">
        <f>(W1201*4+X1201*1+Y1201*-2+Z1201*-3)/W1201</f>
        <v>6</v>
      </c>
      <c r="AC1201" s="3">
        <f>W1201*12.0107+X1201*1.00784+Y1201*15.999+Z1201*14.0067</f>
        <v>88.14658</v>
      </c>
      <c r="AD1201" s="12">
        <v>129</v>
      </c>
      <c r="AE1201" s="2" t="s">
        <v>262</v>
      </c>
      <c r="AF1201" s="2" t="s">
        <v>293</v>
      </c>
      <c r="AG1201" s="2" t="str">
        <f>IF(AD1201&gt;37,"Proton symporter", "Diffusion")</f>
        <v>Proton symporter</v>
      </c>
      <c r="AH1201" s="3" t="s">
        <v>294</v>
      </c>
    </row>
    <row r="1202" spans="1:34" hidden="1" x14ac:dyDescent="0.2">
      <c r="A1202" s="8" t="s">
        <v>350</v>
      </c>
      <c r="B1202" s="17" t="s">
        <v>64</v>
      </c>
      <c r="C1202" t="s">
        <v>354</v>
      </c>
      <c r="D1202" s="13" t="s">
        <v>51</v>
      </c>
      <c r="E1202" t="s">
        <v>146</v>
      </c>
      <c r="F1202" t="s">
        <v>147</v>
      </c>
      <c r="G1202">
        <v>-10</v>
      </c>
      <c r="H1202">
        <v>0</v>
      </c>
      <c r="I1202">
        <v>0</v>
      </c>
      <c r="J1202">
        <v>0.45</v>
      </c>
      <c r="K1202">
        <v>-10</v>
      </c>
      <c r="L1202">
        <v>0</v>
      </c>
      <c r="M1202">
        <v>3.2278260869565099</v>
      </c>
      <c r="N1202">
        <v>0</v>
      </c>
      <c r="O1202" s="26">
        <v>0.40347826086956001</v>
      </c>
      <c r="P1202"/>
      <c r="Q1202">
        <v>4.0347826086956001E-2</v>
      </c>
      <c r="R1202" s="26">
        <v>0.209703890922396</v>
      </c>
      <c r="S1202" s="3" t="str">
        <f>VLOOKUP($E1202,'[1]Product Naming'!$A$1:$P$58,2)</f>
        <v>Coumaric acid</v>
      </c>
      <c r="T1202" s="3" t="str">
        <f>VLOOKUP($E1202,'[1]Product Naming'!$A$1:$P$58,3)</f>
        <v>Coumaric acid</v>
      </c>
      <c r="U1202" s="3" t="str">
        <f>VLOOKUP($E1202,'[1]Product Naming'!$A$1:$P$58,4)</f>
        <v>E</v>
      </c>
      <c r="V1202" s="3" t="str">
        <f>VLOOKUP($E1202,'[1]Product Naming'!$A$1:$P$58,5)</f>
        <v>C9H7O3</v>
      </c>
      <c r="W1202" s="3">
        <f>VLOOKUP($E1202,'[1]Product Naming'!$A$1:$P$58,6)</f>
        <v>9</v>
      </c>
      <c r="X1202" s="3">
        <f>VLOOKUP($E1202,'[1]Product Naming'!$A$1:$P$58,7)</f>
        <v>7</v>
      </c>
      <c r="Y1202" s="3">
        <f>VLOOKUP($E1202,'[1]Product Naming'!$A$1:$P$58,8)</f>
        <v>3</v>
      </c>
      <c r="Z1202" s="3">
        <f>VLOOKUP($E1202,'[1]Product Naming'!$A$1:$P$58,9)</f>
        <v>0</v>
      </c>
      <c r="AA1202" s="3">
        <f>VLOOKUP($E1202,'[1]Product Naming'!$A$1:$P$58,10)</f>
        <v>-1</v>
      </c>
      <c r="AB1202" s="3">
        <f>VLOOKUP($E1202,'[1]Product Naming'!$A$1:$P$58,11)</f>
        <v>4.1111111111111107</v>
      </c>
      <c r="AC1202" s="3">
        <f>VLOOKUP($E1202,'[1]Product Naming'!$A$1:$P$58,12)</f>
        <v>163.14818</v>
      </c>
      <c r="AD1202" s="3">
        <f>VLOOKUP($E1202,'[1]Product Naming'!$A$1:$P$58,13)</f>
        <v>346</v>
      </c>
      <c r="AE1202" s="3" t="str">
        <f>VLOOKUP($E1202,'[1]Product Naming'!$A$1:$P$58,14)</f>
        <v>Aromatic + Alcohol + Carboxylate</v>
      </c>
      <c r="AF1202" s="3" t="str">
        <f>VLOOKUP($E1202,'[1]Product Naming'!$A$1:$P$58,15)</f>
        <v>E4P + L-glutamate</v>
      </c>
      <c r="AG1202" s="3" t="str">
        <f>VLOOKUP($E1202,'[1]Product Naming'!$A$1:$P$58,16)</f>
        <v>Proton symporter</v>
      </c>
      <c r="AH1202" s="3" t="str">
        <f>VLOOKUP($E1202,'[1]Product Naming'!$A$1:$Q$58,17)</f>
        <v>T4hcinnm_c</v>
      </c>
    </row>
    <row r="1203" spans="1:34" hidden="1" x14ac:dyDescent="0.2">
      <c r="A1203" s="8" t="s">
        <v>350</v>
      </c>
      <c r="B1203" s="17" t="s">
        <v>64</v>
      </c>
      <c r="C1203" t="s">
        <v>354</v>
      </c>
      <c r="D1203" s="13" t="s">
        <v>51</v>
      </c>
      <c r="E1203" t="s">
        <v>254</v>
      </c>
      <c r="F1203" t="s">
        <v>255</v>
      </c>
      <c r="G1203">
        <v>-10</v>
      </c>
      <c r="H1203">
        <v>0</v>
      </c>
      <c r="I1203">
        <v>0</v>
      </c>
      <c r="J1203">
        <v>0.45</v>
      </c>
      <c r="K1203">
        <v>-10</v>
      </c>
      <c r="L1203">
        <v>0</v>
      </c>
      <c r="M1203" s="26">
        <v>0.98028169014085598</v>
      </c>
      <c r="N1203">
        <v>0</v>
      </c>
      <c r="O1203" s="26">
        <v>0.32676056338028098</v>
      </c>
      <c r="P1203"/>
      <c r="Q1203" s="26">
        <v>3.2676056338028101E-2</v>
      </c>
      <c r="R1203" s="26">
        <v>0.20969183388850601</v>
      </c>
      <c r="S1203" s="3" t="str">
        <f>VLOOKUP($E1203,'[1]Product Naming'!$A$1:$P$58,2)</f>
        <v>Farnesene</v>
      </c>
      <c r="T1203" s="3" t="str">
        <f>VLOOKUP($E1203,'[1]Product Naming'!$A$1:$P$58,3)</f>
        <v>Farnesene</v>
      </c>
      <c r="U1203" s="3" t="str">
        <f>VLOOKUP($E1203,'[1]Product Naming'!$A$1:$P$58,4)</f>
        <v>A</v>
      </c>
      <c r="V1203" s="3" t="str">
        <f>VLOOKUP($E1203,'[1]Product Naming'!$A$1:$P$58,5)</f>
        <v>C15H24</v>
      </c>
      <c r="W1203" s="3">
        <f>VLOOKUP($E1203,'[1]Product Naming'!$A$1:$P$58,6)</f>
        <v>15</v>
      </c>
      <c r="X1203" s="3">
        <f>VLOOKUP($E1203,'[1]Product Naming'!$A$1:$P$58,7)</f>
        <v>24</v>
      </c>
      <c r="Y1203" s="3">
        <f>VLOOKUP($E1203,'[1]Product Naming'!$A$1:$P$58,8)</f>
        <v>0</v>
      </c>
      <c r="Z1203" s="3">
        <f>VLOOKUP($E1203,'[1]Product Naming'!$A$1:$P$58,9)</f>
        <v>0</v>
      </c>
      <c r="AA1203" s="3">
        <f>VLOOKUP($E1203,'[1]Product Naming'!$A$1:$P$58,10)</f>
        <v>0</v>
      </c>
      <c r="AB1203" s="3">
        <f>VLOOKUP($E1203,'[1]Product Naming'!$A$1:$P$58,11)</f>
        <v>5.6</v>
      </c>
      <c r="AC1203" s="3">
        <f>VLOOKUP($E1203,'[1]Product Naming'!$A$1:$P$58,12)</f>
        <v>204.34866000000002</v>
      </c>
      <c r="AD1203" s="3" t="str">
        <f>VLOOKUP($E1203,'[1]Product Naming'!$A$1:$P$58,13)</f>
        <v>260 (A)/272 (B)</v>
      </c>
      <c r="AE1203" s="3" t="str">
        <f>VLOOKUP($E1203,'[1]Product Naming'!$A$1:$P$58,14)</f>
        <v>Hydrocarbon</v>
      </c>
      <c r="AF1203" s="3" t="str">
        <f>VLOOKUP($E1203,'[1]Product Naming'!$A$1:$P$58,15)</f>
        <v>Acetyl-CoA</v>
      </c>
      <c r="AG1203" s="3" t="str">
        <f>VLOOKUP($E1203,'[1]Product Naming'!$A$1:$P$58,16)</f>
        <v>Proton symporter</v>
      </c>
      <c r="AH1203" s="3" t="str">
        <f>VLOOKUP($E1203,'[1]Product Naming'!$A$1:$Q$58,17)</f>
        <v>frene_c</v>
      </c>
    </row>
    <row r="1204" spans="1:34" hidden="1" x14ac:dyDescent="0.2">
      <c r="A1204" s="16" t="s">
        <v>63</v>
      </c>
      <c r="B1204" s="17" t="s">
        <v>64</v>
      </c>
      <c r="C1204" t="s">
        <v>69</v>
      </c>
      <c r="D1204" s="18" t="s">
        <v>66</v>
      </c>
      <c r="E1204" t="s">
        <v>146</v>
      </c>
      <c r="F1204" t="s">
        <v>147</v>
      </c>
      <c r="G1204">
        <v>-10</v>
      </c>
      <c r="H1204">
        <v>0</v>
      </c>
      <c r="I1204">
        <v>-20</v>
      </c>
      <c r="J1204">
        <v>0.45</v>
      </c>
      <c r="K1204">
        <v>-10</v>
      </c>
      <c r="L1204">
        <v>0</v>
      </c>
      <c r="M1204">
        <v>-16.772173913043499</v>
      </c>
      <c r="N1204">
        <v>0</v>
      </c>
      <c r="O1204">
        <v>0.40347826086956501</v>
      </c>
      <c r="P1204"/>
      <c r="Q1204">
        <v>4.0347826086956501E-2</v>
      </c>
      <c r="R1204" s="19">
        <v>0.20965280490497301</v>
      </c>
      <c r="S1204" s="20" t="s">
        <v>148</v>
      </c>
      <c r="T1204" s="3" t="s">
        <v>148</v>
      </c>
      <c r="U1204" s="3" t="s">
        <v>106</v>
      </c>
      <c r="V1204" s="3" t="s">
        <v>149</v>
      </c>
      <c r="W1204" s="3">
        <v>9</v>
      </c>
      <c r="X1204" s="3">
        <v>7</v>
      </c>
      <c r="Y1204" s="3">
        <v>3</v>
      </c>
      <c r="Z1204" s="3">
        <v>0</v>
      </c>
      <c r="AA1204" s="3">
        <v>-1</v>
      </c>
      <c r="AB1204" s="12">
        <f>(W1204*4+X1204*1+Y1204*-2+Z1204*-3)/W1204</f>
        <v>4.1111111111111107</v>
      </c>
      <c r="AC1204" s="3">
        <f>W1204*12.0107+X1204*1.00784+Y1204*15.999+Z1204*14.0067</f>
        <v>163.14818</v>
      </c>
      <c r="AD1204" s="12">
        <v>346</v>
      </c>
      <c r="AE1204" s="22" t="s">
        <v>139</v>
      </c>
      <c r="AF1204" s="2" t="s">
        <v>150</v>
      </c>
      <c r="AG1204" s="2" t="str">
        <f>IF(AD1204&gt;37,"Proton symporter", "Diffusion")</f>
        <v>Proton symporter</v>
      </c>
      <c r="AH1204" s="3" t="s">
        <v>151</v>
      </c>
    </row>
    <row r="1205" spans="1:34" hidden="1" x14ac:dyDescent="0.2">
      <c r="A1205" s="16" t="s">
        <v>63</v>
      </c>
      <c r="B1205" s="17" t="s">
        <v>64</v>
      </c>
      <c r="C1205" t="s">
        <v>69</v>
      </c>
      <c r="D1205" s="18" t="s">
        <v>66</v>
      </c>
      <c r="E1205" t="s">
        <v>254</v>
      </c>
      <c r="F1205" t="s">
        <v>255</v>
      </c>
      <c r="G1205">
        <v>-10</v>
      </c>
      <c r="H1205">
        <v>0</v>
      </c>
      <c r="I1205">
        <v>-20</v>
      </c>
      <c r="J1205">
        <v>0.45</v>
      </c>
      <c r="K1205">
        <v>-10</v>
      </c>
      <c r="L1205">
        <v>0</v>
      </c>
      <c r="M1205">
        <v>-19.019718309859101</v>
      </c>
      <c r="N1205">
        <v>0</v>
      </c>
      <c r="O1205">
        <v>0.32676056338028098</v>
      </c>
      <c r="P1205"/>
      <c r="Q1205">
        <v>3.2676056338028101E-2</v>
      </c>
      <c r="R1205" s="19">
        <v>0.20963556040112999</v>
      </c>
      <c r="S1205" s="11" t="s">
        <v>254</v>
      </c>
      <c r="T1205" s="2" t="s">
        <v>254</v>
      </c>
      <c r="U1205" s="3" t="s">
        <v>41</v>
      </c>
      <c r="V1205" s="2" t="s">
        <v>256</v>
      </c>
      <c r="W1205" s="2">
        <v>15</v>
      </c>
      <c r="X1205" s="2">
        <v>24</v>
      </c>
      <c r="Y1205" s="2">
        <v>0</v>
      </c>
      <c r="Z1205" s="2">
        <v>0</v>
      </c>
      <c r="AA1205" s="2">
        <v>0</v>
      </c>
      <c r="AB1205" s="12">
        <f>(W1205*4+X1205*1+Y1205*-2+Z1205*-3)/W1205+0.01</f>
        <v>5.6099999999999994</v>
      </c>
      <c r="AC1205" s="3">
        <f>W1205*12.0107+X1205*1.00784+Y1205*15.999+Z1205*14.0067</f>
        <v>204.34866000000002</v>
      </c>
      <c r="AD1205" s="12" t="s">
        <v>257</v>
      </c>
      <c r="AE1205" s="2" t="s">
        <v>231</v>
      </c>
      <c r="AF1205" s="2" t="s">
        <v>79</v>
      </c>
      <c r="AG1205" s="2" t="str">
        <f>IF(AD1205&gt;37,"Proton symporter", "Diffusion")</f>
        <v>Proton symporter</v>
      </c>
      <c r="AH1205" s="3" t="s">
        <v>258</v>
      </c>
    </row>
    <row r="1206" spans="1:34" hidden="1" x14ac:dyDescent="0.2">
      <c r="A1206" s="8" t="s">
        <v>34</v>
      </c>
      <c r="B1206" s="9" t="s">
        <v>35</v>
      </c>
      <c r="C1206" s="1" t="s">
        <v>58</v>
      </c>
      <c r="D1206" s="10" t="s">
        <v>37</v>
      </c>
      <c r="E1206" s="1" t="s">
        <v>348</v>
      </c>
      <c r="F1206" s="1" t="s">
        <v>344</v>
      </c>
      <c r="G1206" s="1">
        <v>-10</v>
      </c>
      <c r="H1206" s="1">
        <v>-20</v>
      </c>
      <c r="I1206" s="1" t="s">
        <v>40</v>
      </c>
      <c r="J1206" s="1">
        <v>3.15</v>
      </c>
      <c r="K1206" s="1">
        <v>-10</v>
      </c>
      <c r="L1206" s="1">
        <v>-5.7515923566879001</v>
      </c>
      <c r="M1206" s="1" t="s">
        <v>40</v>
      </c>
      <c r="N1206" s="1">
        <v>11.4509554140127</v>
      </c>
      <c r="O1206" s="1">
        <v>2.84968152866242</v>
      </c>
      <c r="Q1206" s="1">
        <v>0.284968152866242</v>
      </c>
      <c r="R1206" s="1">
        <v>0.20924564388146</v>
      </c>
      <c r="S1206" s="20" t="s">
        <v>348</v>
      </c>
      <c r="T1206" s="3" t="s">
        <v>349</v>
      </c>
      <c r="U1206" s="3" t="s">
        <v>106</v>
      </c>
      <c r="V1206" s="3" t="s">
        <v>346</v>
      </c>
      <c r="W1206" s="3">
        <v>3</v>
      </c>
      <c r="X1206" s="3">
        <v>8</v>
      </c>
      <c r="Y1206" s="3">
        <v>0</v>
      </c>
      <c r="Z1206" s="3">
        <v>0</v>
      </c>
      <c r="AA1206" s="3">
        <v>0</v>
      </c>
      <c r="AB1206" s="12">
        <f>(W1206*4+X1206*1+Y1206*-2+Z1206*-3)/W1206</f>
        <v>6.666666666666667</v>
      </c>
      <c r="AC1206" s="3">
        <f>W1206*12.0107+X1206*1.00784+Y1206*15.999+Z1206*14.0067</f>
        <v>44.094819999999999</v>
      </c>
      <c r="AD1206" s="24">
        <v>-42</v>
      </c>
      <c r="AE1206" s="3" t="s">
        <v>231</v>
      </c>
      <c r="AF1206" s="3" t="s">
        <v>44</v>
      </c>
      <c r="AG1206" s="25" t="str">
        <f>IF(AD1206&gt;37,"Proton symporter", "Diffusion")</f>
        <v>Diffusion</v>
      </c>
      <c r="AH1206" s="3" t="s">
        <v>347</v>
      </c>
    </row>
    <row r="1207" spans="1:34" hidden="1" x14ac:dyDescent="0.2">
      <c r="A1207" s="8" t="s">
        <v>350</v>
      </c>
      <c r="B1207" s="17" t="s">
        <v>64</v>
      </c>
      <c r="C1207" t="s">
        <v>353</v>
      </c>
      <c r="D1207" s="13" t="s">
        <v>51</v>
      </c>
      <c r="E1207" t="s">
        <v>161</v>
      </c>
      <c r="F1207" t="s">
        <v>162</v>
      </c>
      <c r="G1207">
        <v>-10</v>
      </c>
      <c r="H1207">
        <v>0</v>
      </c>
      <c r="I1207">
        <v>0</v>
      </c>
      <c r="J1207">
        <v>0.45</v>
      </c>
      <c r="K1207">
        <v>-10</v>
      </c>
      <c r="L1207">
        <v>0</v>
      </c>
      <c r="M1207" s="26">
        <v>2.9564032697547602</v>
      </c>
      <c r="N1207">
        <v>0</v>
      </c>
      <c r="O1207" s="26">
        <v>0.59128065395095297</v>
      </c>
      <c r="P1207"/>
      <c r="Q1207">
        <v>5.9128065395095297E-2</v>
      </c>
      <c r="R1207" s="26">
        <v>0.20704519565068799</v>
      </c>
      <c r="S1207" s="3" t="str">
        <f>VLOOKUP($E1207,'[1]Product Naming'!$A$1:$P$58,2)</f>
        <v>Catechol</v>
      </c>
      <c r="T1207" s="3" t="str">
        <f>VLOOKUP($E1207,'[1]Product Naming'!$A$1:$P$58,3)</f>
        <v>Catechol</v>
      </c>
      <c r="U1207" s="3" t="str">
        <f>VLOOKUP($E1207,'[1]Product Naming'!$A$1:$P$58,4)</f>
        <v>E</v>
      </c>
      <c r="V1207" s="3" t="str">
        <f>VLOOKUP($E1207,'[1]Product Naming'!$A$1:$P$58,5)</f>
        <v>C6H6O2</v>
      </c>
      <c r="W1207" s="3">
        <f>VLOOKUP($E1207,'[1]Product Naming'!$A$1:$P$58,6)</f>
        <v>6</v>
      </c>
      <c r="X1207" s="3">
        <f>VLOOKUP($E1207,'[1]Product Naming'!$A$1:$P$58,7)</f>
        <v>6</v>
      </c>
      <c r="Y1207" s="3">
        <f>VLOOKUP($E1207,'[1]Product Naming'!$A$1:$P$58,8)</f>
        <v>2</v>
      </c>
      <c r="Z1207" s="3">
        <f>VLOOKUP($E1207,'[1]Product Naming'!$A$1:$P$58,9)</f>
        <v>0</v>
      </c>
      <c r="AA1207" s="3">
        <f>VLOOKUP($E1207,'[1]Product Naming'!$A$1:$P$58,10)</f>
        <v>0</v>
      </c>
      <c r="AB1207" s="3">
        <f>VLOOKUP($E1207,'[1]Product Naming'!$A$1:$P$58,11)</f>
        <v>4.333333333333333</v>
      </c>
      <c r="AC1207" s="3">
        <f>VLOOKUP($E1207,'[1]Product Naming'!$A$1:$P$58,12)</f>
        <v>110.10924</v>
      </c>
      <c r="AD1207" s="3">
        <f>VLOOKUP($E1207,'[1]Product Naming'!$A$1:$P$58,13)</f>
        <v>245</v>
      </c>
      <c r="AE1207" s="3" t="str">
        <f>VLOOKUP($E1207,'[1]Product Naming'!$A$1:$P$58,14)</f>
        <v>Aromatic + Diol</v>
      </c>
      <c r="AF1207" s="3" t="str">
        <f>VLOOKUP($E1207,'[1]Product Naming'!$A$1:$P$58,15)</f>
        <v>Glyceraldehyde 3-P</v>
      </c>
      <c r="AG1207" s="3" t="str">
        <f>VLOOKUP($E1207,'[1]Product Naming'!$A$1:$P$58,16)</f>
        <v>Proton symporter</v>
      </c>
      <c r="AH1207" s="3" t="str">
        <f>VLOOKUP($E1207,'[1]Product Naming'!$A$1:$Q$58,17)</f>
        <v>catechol_c</v>
      </c>
    </row>
    <row r="1208" spans="1:34" hidden="1" x14ac:dyDescent="0.2">
      <c r="A1208" s="8" t="s">
        <v>350</v>
      </c>
      <c r="B1208" s="17" t="s">
        <v>64</v>
      </c>
      <c r="C1208" t="s">
        <v>354</v>
      </c>
      <c r="D1208" s="13" t="s">
        <v>51</v>
      </c>
      <c r="E1208" t="s">
        <v>264</v>
      </c>
      <c r="F1208" t="s">
        <v>265</v>
      </c>
      <c r="G1208">
        <v>-10</v>
      </c>
      <c r="H1208">
        <v>0</v>
      </c>
      <c r="I1208">
        <v>0</v>
      </c>
      <c r="J1208">
        <v>0.45</v>
      </c>
      <c r="K1208">
        <v>-10</v>
      </c>
      <c r="L1208">
        <v>0</v>
      </c>
      <c r="M1208" s="26">
        <v>0.966666666666677</v>
      </c>
      <c r="N1208">
        <v>0</v>
      </c>
      <c r="O1208" s="26">
        <v>0.96666666666666601</v>
      </c>
      <c r="P1208"/>
      <c r="Q1208">
        <v>9.6666666666666595E-2</v>
      </c>
      <c r="R1208" s="26">
        <v>0.20676162520381799</v>
      </c>
      <c r="S1208" s="3" t="str">
        <f>VLOOKUP($E1208,'[1]Product Naming'!$A$1:$P$58,2)</f>
        <v>Isoprene</v>
      </c>
      <c r="T1208" s="3" t="str">
        <f>VLOOKUP($E1208,'[1]Product Naming'!$A$1:$P$58,3)</f>
        <v>Isoprene</v>
      </c>
      <c r="U1208" s="3" t="str">
        <f>VLOOKUP($E1208,'[1]Product Naming'!$A$1:$P$58,4)</f>
        <v>E</v>
      </c>
      <c r="V1208" s="3" t="str">
        <f>VLOOKUP($E1208,'[1]Product Naming'!$A$1:$P$58,5)</f>
        <v>C5H8</v>
      </c>
      <c r="W1208" s="3">
        <f>VLOOKUP($E1208,'[1]Product Naming'!$A$1:$P$58,6)</f>
        <v>5</v>
      </c>
      <c r="X1208" s="3">
        <f>VLOOKUP($E1208,'[1]Product Naming'!$A$1:$P$58,7)</f>
        <v>8</v>
      </c>
      <c r="Y1208" s="3">
        <f>VLOOKUP($E1208,'[1]Product Naming'!$A$1:$P$58,8)</f>
        <v>0</v>
      </c>
      <c r="Z1208" s="3">
        <f>VLOOKUP($E1208,'[1]Product Naming'!$A$1:$P$58,9)</f>
        <v>0</v>
      </c>
      <c r="AA1208" s="3">
        <f>VLOOKUP($E1208,'[1]Product Naming'!$A$1:$P$58,10)</f>
        <v>0</v>
      </c>
      <c r="AB1208" s="3">
        <f>VLOOKUP($E1208,'[1]Product Naming'!$A$1:$P$58,11)</f>
        <v>5.6</v>
      </c>
      <c r="AC1208" s="3">
        <f>VLOOKUP($E1208,'[1]Product Naming'!$A$1:$P$58,12)</f>
        <v>68.116219999999998</v>
      </c>
      <c r="AD1208" s="3">
        <f>VLOOKUP($E1208,'[1]Product Naming'!$A$1:$P$58,13)</f>
        <v>34.07</v>
      </c>
      <c r="AE1208" s="3" t="str">
        <f>VLOOKUP($E1208,'[1]Product Naming'!$A$1:$P$58,14)</f>
        <v>Hydrocarbon</v>
      </c>
      <c r="AF1208" s="3" t="str">
        <f>VLOOKUP($E1208,'[1]Product Naming'!$A$1:$P$58,15)</f>
        <v>Acetyl-CoA</v>
      </c>
      <c r="AG1208" s="3" t="str">
        <f>VLOOKUP($E1208,'[1]Product Naming'!$A$1:$P$58,16)</f>
        <v>Diffusion</v>
      </c>
      <c r="AH1208" s="3" t="str">
        <f>VLOOKUP($E1208,'[1]Product Naming'!$A$1:$Q$58,17)</f>
        <v>iprene_c</v>
      </c>
    </row>
    <row r="1209" spans="1:34" hidden="1" x14ac:dyDescent="0.2">
      <c r="A1209" s="16" t="s">
        <v>63</v>
      </c>
      <c r="B1209" s="17" t="s">
        <v>64</v>
      </c>
      <c r="C1209" t="s">
        <v>69</v>
      </c>
      <c r="D1209" s="18" t="s">
        <v>66</v>
      </c>
      <c r="E1209" t="s">
        <v>264</v>
      </c>
      <c r="F1209" t="s">
        <v>265</v>
      </c>
      <c r="G1209">
        <v>-10</v>
      </c>
      <c r="H1209">
        <v>0</v>
      </c>
      <c r="I1209">
        <v>-20</v>
      </c>
      <c r="J1209">
        <v>0.45</v>
      </c>
      <c r="K1209">
        <v>-10</v>
      </c>
      <c r="L1209">
        <v>0</v>
      </c>
      <c r="M1209">
        <v>-19.033333333333299</v>
      </c>
      <c r="N1209">
        <v>0</v>
      </c>
      <c r="O1209">
        <v>0.96666666666666701</v>
      </c>
      <c r="P1209"/>
      <c r="Q1209">
        <v>9.6666666666666706E-2</v>
      </c>
      <c r="R1209" s="19">
        <v>0.20670610751724999</v>
      </c>
      <c r="S1209" s="20" t="s">
        <v>264</v>
      </c>
      <c r="T1209" s="3" t="s">
        <v>264</v>
      </c>
      <c r="U1209" s="3" t="s">
        <v>106</v>
      </c>
      <c r="V1209" s="3" t="s">
        <v>266</v>
      </c>
      <c r="W1209" s="3">
        <v>5</v>
      </c>
      <c r="X1209" s="3">
        <v>8</v>
      </c>
      <c r="Y1209" s="3">
        <v>0</v>
      </c>
      <c r="Z1209" s="3">
        <v>0</v>
      </c>
      <c r="AA1209" s="3">
        <v>0</v>
      </c>
      <c r="AB1209" s="12">
        <f>(W1209*4+X1209*1+Y1209*-2+Z1209*-3)/W1209</f>
        <v>5.6</v>
      </c>
      <c r="AC1209" s="3">
        <f>W1209*12.0107+X1209*1.00784+Y1209*15.999+Z1209*14.0067</f>
        <v>68.116219999999998</v>
      </c>
      <c r="AD1209" s="24">
        <v>34.07</v>
      </c>
      <c r="AE1209" s="3" t="s">
        <v>231</v>
      </c>
      <c r="AF1209" s="3" t="s">
        <v>79</v>
      </c>
      <c r="AG1209" s="25" t="str">
        <f>IF(AD1209&gt;37,"Proton symporter", "Diffusion")</f>
        <v>Diffusion</v>
      </c>
      <c r="AH1209" s="3" t="s">
        <v>267</v>
      </c>
    </row>
    <row r="1210" spans="1:34" x14ac:dyDescent="0.2">
      <c r="A1210" s="16" t="s">
        <v>63</v>
      </c>
      <c r="B1210" s="17" t="s">
        <v>64</v>
      </c>
      <c r="C1210" t="s">
        <v>70</v>
      </c>
      <c r="D1210" s="18" t="s">
        <v>66</v>
      </c>
      <c r="E1210" t="s">
        <v>216</v>
      </c>
      <c r="F1210" t="s">
        <v>217</v>
      </c>
      <c r="G1210">
        <v>-10</v>
      </c>
      <c r="H1210">
        <v>0</v>
      </c>
      <c r="I1210">
        <v>0</v>
      </c>
      <c r="J1210">
        <v>0.45</v>
      </c>
      <c r="K1210">
        <v>-10</v>
      </c>
      <c r="L1210">
        <v>0</v>
      </c>
      <c r="M1210">
        <v>0</v>
      </c>
      <c r="N1210">
        <v>6.25</v>
      </c>
      <c r="O1210">
        <v>1.25</v>
      </c>
      <c r="P1210"/>
      <c r="Q1210">
        <v>0.125</v>
      </c>
      <c r="R1210">
        <v>0.20664099840102901</v>
      </c>
      <c r="S1210" s="11" t="s">
        <v>216</v>
      </c>
      <c r="T1210" s="2" t="s">
        <v>218</v>
      </c>
      <c r="U1210" s="3" t="s">
        <v>41</v>
      </c>
      <c r="V1210" s="2" t="s">
        <v>219</v>
      </c>
      <c r="W1210" s="2">
        <v>3</v>
      </c>
      <c r="X1210" s="2">
        <v>8</v>
      </c>
      <c r="Y1210" s="2">
        <v>2</v>
      </c>
      <c r="Z1210" s="2">
        <v>0</v>
      </c>
      <c r="AA1210" s="2">
        <v>0</v>
      </c>
      <c r="AB1210" s="12">
        <f>(W1210*4+X1210*1+Y1210*-2+Z1210*-3)/W1210</f>
        <v>5.333333333333333</v>
      </c>
      <c r="AC1210" s="3">
        <f>W1210*12.0107+X1210*1.00784+Y1210*15.999+Z1210*14.0067</f>
        <v>76.092820000000003</v>
      </c>
      <c r="AD1210" s="12">
        <v>213</v>
      </c>
      <c r="AE1210" s="2" t="s">
        <v>220</v>
      </c>
      <c r="AF1210" s="2" t="s">
        <v>98</v>
      </c>
      <c r="AG1210" s="2" t="str">
        <f>IF(AD1210&gt;37,"Proton symporter", "Diffusion")</f>
        <v>Proton symporter</v>
      </c>
      <c r="AH1210" s="3" t="s">
        <v>221</v>
      </c>
    </row>
    <row r="1211" spans="1:34" hidden="1" x14ac:dyDescent="0.2">
      <c r="A1211" s="8" t="s">
        <v>34</v>
      </c>
      <c r="B1211" s="9" t="s">
        <v>35</v>
      </c>
      <c r="C1211" s="1" t="s">
        <v>61</v>
      </c>
      <c r="D1211" s="13" t="s">
        <v>51</v>
      </c>
      <c r="E1211" s="1" t="s">
        <v>348</v>
      </c>
      <c r="F1211" s="1" t="s">
        <v>344</v>
      </c>
      <c r="G1211" s="1">
        <v>-10</v>
      </c>
      <c r="H1211" s="1">
        <v>-20</v>
      </c>
      <c r="I1211" s="1" t="s">
        <v>40</v>
      </c>
      <c r="J1211" s="1">
        <v>3.15</v>
      </c>
      <c r="K1211" s="1">
        <v>-10</v>
      </c>
      <c r="L1211" s="1">
        <v>-7.6083333333333396</v>
      </c>
      <c r="M1211" s="1" t="s">
        <v>40</v>
      </c>
      <c r="N1211" s="1">
        <v>5.5650000000000102</v>
      </c>
      <c r="O1211" s="1">
        <v>1.4783333333333399</v>
      </c>
      <c r="Q1211" s="1">
        <v>0.14783333333333301</v>
      </c>
      <c r="R1211" s="1">
        <v>0.20344783297847599</v>
      </c>
      <c r="S1211" s="20" t="s">
        <v>348</v>
      </c>
      <c r="T1211" s="3" t="s">
        <v>349</v>
      </c>
      <c r="U1211" s="3" t="s">
        <v>106</v>
      </c>
      <c r="V1211" s="3" t="s">
        <v>346</v>
      </c>
      <c r="W1211" s="3">
        <v>3</v>
      </c>
      <c r="X1211" s="3">
        <v>8</v>
      </c>
      <c r="Y1211" s="3">
        <v>0</v>
      </c>
      <c r="Z1211" s="3">
        <v>0</v>
      </c>
      <c r="AA1211" s="3">
        <v>0</v>
      </c>
      <c r="AB1211" s="12">
        <f>(W1211*4+X1211*1+Y1211*-2+Z1211*-3)/W1211</f>
        <v>6.666666666666667</v>
      </c>
      <c r="AC1211" s="3">
        <f>W1211*12.0107+X1211*1.00784+Y1211*15.999+Z1211*14.0067</f>
        <v>44.094819999999999</v>
      </c>
      <c r="AD1211" s="24">
        <v>-42</v>
      </c>
      <c r="AE1211" s="3" t="s">
        <v>231</v>
      </c>
      <c r="AF1211" s="3" t="s">
        <v>44</v>
      </c>
      <c r="AG1211" s="25" t="str">
        <f>IF(AD1211&gt;37,"Proton symporter", "Diffusion")</f>
        <v>Diffusion</v>
      </c>
      <c r="AH1211" s="3" t="s">
        <v>347</v>
      </c>
    </row>
    <row r="1212" spans="1:34" hidden="1" x14ac:dyDescent="0.2">
      <c r="A1212" s="16" t="s">
        <v>63</v>
      </c>
      <c r="B1212" s="17" t="s">
        <v>64</v>
      </c>
      <c r="C1212" t="s">
        <v>67</v>
      </c>
      <c r="D1212" s="18" t="s">
        <v>66</v>
      </c>
      <c r="E1212" t="s">
        <v>166</v>
      </c>
      <c r="F1212" t="s">
        <v>167</v>
      </c>
      <c r="G1212">
        <v>-10</v>
      </c>
      <c r="H1212">
        <v>0</v>
      </c>
      <c r="I1212">
        <v>-5</v>
      </c>
      <c r="J1212">
        <v>0.45</v>
      </c>
      <c r="K1212">
        <v>-10</v>
      </c>
      <c r="L1212">
        <v>0</v>
      </c>
      <c r="M1212">
        <v>-5</v>
      </c>
      <c r="N1212">
        <v>2.84</v>
      </c>
      <c r="O1212">
        <v>0.68000000000000105</v>
      </c>
      <c r="P1212"/>
      <c r="Q1212">
        <v>6.8000000000000102E-2</v>
      </c>
      <c r="R1212">
        <v>0.20172202343211601</v>
      </c>
      <c r="S1212" s="11" t="s">
        <v>166</v>
      </c>
      <c r="T1212" s="2" t="s">
        <v>168</v>
      </c>
      <c r="U1212" s="3" t="s">
        <v>41</v>
      </c>
      <c r="V1212" s="2" t="s">
        <v>169</v>
      </c>
      <c r="W1212" s="2">
        <v>4</v>
      </c>
      <c r="X1212" s="2">
        <v>6</v>
      </c>
      <c r="Y1212" s="2">
        <v>2</v>
      </c>
      <c r="Z1212" s="2">
        <v>0</v>
      </c>
      <c r="AA1212" s="2">
        <v>0</v>
      </c>
      <c r="AB1212" s="12">
        <f>(W1212*4+X1212*1+Y1212*-2+Z1212*-3)/W1212</f>
        <v>4.5</v>
      </c>
      <c r="AC1212" s="3">
        <f>W1212*12.0107+X1212*1.00784+Y1212*15.999+Z1212*14.0067</f>
        <v>86.08784</v>
      </c>
      <c r="AD1212" s="12">
        <v>204</v>
      </c>
      <c r="AE1212" s="2" t="s">
        <v>170</v>
      </c>
      <c r="AF1212" s="2" t="s">
        <v>120</v>
      </c>
      <c r="AG1212" s="2" t="str">
        <f>IF(AD1212&gt;37,"Proton symporter", "Diffusion")</f>
        <v>Proton symporter</v>
      </c>
      <c r="AH1212" s="3" t="s">
        <v>171</v>
      </c>
    </row>
    <row r="1213" spans="1:34" hidden="1" x14ac:dyDescent="0.2">
      <c r="A1213" s="16" t="s">
        <v>63</v>
      </c>
      <c r="B1213" s="17" t="s">
        <v>64</v>
      </c>
      <c r="C1213" t="s">
        <v>65</v>
      </c>
      <c r="D1213" s="18" t="s">
        <v>66</v>
      </c>
      <c r="E1213" t="s">
        <v>295</v>
      </c>
      <c r="F1213" t="s">
        <v>296</v>
      </c>
      <c r="G1213">
        <v>-10</v>
      </c>
      <c r="H1213">
        <v>0</v>
      </c>
      <c r="I1213">
        <v>0</v>
      </c>
      <c r="J1213">
        <v>0.45</v>
      </c>
      <c r="K1213">
        <v>-10</v>
      </c>
      <c r="L1213">
        <v>0</v>
      </c>
      <c r="M1213">
        <v>0</v>
      </c>
      <c r="N1213">
        <v>6.6461538461538501</v>
      </c>
      <c r="O1213">
        <v>0.54871794871794899</v>
      </c>
      <c r="P1213"/>
      <c r="Q1213">
        <v>5.4871794871794999E-2</v>
      </c>
      <c r="R1213">
        <v>0.20015757595730499</v>
      </c>
      <c r="S1213" s="11" t="s">
        <v>295</v>
      </c>
      <c r="T1213" s="2" t="s">
        <v>297</v>
      </c>
      <c r="U1213" s="3" t="s">
        <v>41</v>
      </c>
      <c r="V1213" s="2" t="s">
        <v>298</v>
      </c>
      <c r="W1213" s="2">
        <v>6</v>
      </c>
      <c r="X1213" s="2">
        <v>14</v>
      </c>
      <c r="Y1213" s="2">
        <v>1</v>
      </c>
      <c r="Z1213" s="2">
        <v>0</v>
      </c>
      <c r="AA1213" s="2">
        <v>0</v>
      </c>
      <c r="AB1213" s="12">
        <f>(W1213*4+X1213*1+Y1213*-2+Z1213*-3)/W1213</f>
        <v>6</v>
      </c>
      <c r="AC1213" s="3">
        <f>W1213*12.0107+X1213*1.00784+Y1213*15.999+Z1213*14.0067</f>
        <v>102.17295999999999</v>
      </c>
      <c r="AD1213" s="12">
        <v>153</v>
      </c>
      <c r="AE1213" s="2" t="s">
        <v>262</v>
      </c>
      <c r="AF1213" s="2" t="s">
        <v>44</v>
      </c>
      <c r="AG1213" s="2" t="str">
        <f>IF(AD1213&gt;37,"Proton symporter", "Diffusion")</f>
        <v>Proton symporter</v>
      </c>
      <c r="AH1213" s="3" t="s">
        <v>299</v>
      </c>
    </row>
    <row r="1214" spans="1:34" hidden="1" x14ac:dyDescent="0.2">
      <c r="A1214" s="8" t="s">
        <v>350</v>
      </c>
      <c r="B1214" s="17" t="s">
        <v>64</v>
      </c>
      <c r="C1214" t="s">
        <v>353</v>
      </c>
      <c r="D1214" s="13" t="s">
        <v>51</v>
      </c>
      <c r="E1214" t="s">
        <v>268</v>
      </c>
      <c r="F1214" t="s">
        <v>269</v>
      </c>
      <c r="G1214">
        <v>-10</v>
      </c>
      <c r="H1214">
        <v>0</v>
      </c>
      <c r="I1214">
        <v>0</v>
      </c>
      <c r="J1214">
        <v>0.45</v>
      </c>
      <c r="K1214">
        <v>-10</v>
      </c>
      <c r="L1214">
        <v>0</v>
      </c>
      <c r="M1214" s="26">
        <v>0.92933618843683097</v>
      </c>
      <c r="N1214">
        <v>0</v>
      </c>
      <c r="O1214" s="26">
        <v>0.46466809421841498</v>
      </c>
      <c r="P1214"/>
      <c r="Q1214" s="26">
        <v>4.6466809421841497E-2</v>
      </c>
      <c r="R1214">
        <v>0.198729995858166</v>
      </c>
      <c r="S1214" s="3" t="str">
        <f>VLOOKUP($E1214,'[1]Product Naming'!$A$1:$P$58,2)</f>
        <v>Limonene</v>
      </c>
      <c r="T1214" s="3" t="str">
        <f>VLOOKUP($E1214,'[1]Product Naming'!$A$1:$P$58,3)</f>
        <v>Limonene</v>
      </c>
      <c r="U1214" s="3" t="str">
        <f>VLOOKUP($E1214,'[1]Product Naming'!$A$1:$P$58,4)</f>
        <v>E</v>
      </c>
      <c r="V1214" s="3" t="str">
        <f>VLOOKUP($E1214,'[1]Product Naming'!$A$1:$P$58,5)</f>
        <v>C10H16</v>
      </c>
      <c r="W1214" s="3">
        <f>VLOOKUP($E1214,'[1]Product Naming'!$A$1:$P$58,6)</f>
        <v>10</v>
      </c>
      <c r="X1214" s="3">
        <f>VLOOKUP($E1214,'[1]Product Naming'!$A$1:$P$58,7)</f>
        <v>16</v>
      </c>
      <c r="Y1214" s="3">
        <f>VLOOKUP($E1214,'[1]Product Naming'!$A$1:$P$58,8)</f>
        <v>0</v>
      </c>
      <c r="Z1214" s="3">
        <f>VLOOKUP($E1214,'[1]Product Naming'!$A$1:$P$58,9)</f>
        <v>0</v>
      </c>
      <c r="AA1214" s="3">
        <f>VLOOKUP($E1214,'[1]Product Naming'!$A$1:$P$58,10)</f>
        <v>0</v>
      </c>
      <c r="AB1214" s="3">
        <f>VLOOKUP($E1214,'[1]Product Naming'!$A$1:$P$58,11)</f>
        <v>5.6</v>
      </c>
      <c r="AC1214" s="3">
        <f>VLOOKUP($E1214,'[1]Product Naming'!$A$1:$P$58,12)</f>
        <v>136.23244</v>
      </c>
      <c r="AD1214" s="3">
        <f>VLOOKUP($E1214,'[1]Product Naming'!$A$1:$P$58,13)</f>
        <v>176</v>
      </c>
      <c r="AE1214" s="3" t="str">
        <f>VLOOKUP($E1214,'[1]Product Naming'!$A$1:$P$58,14)</f>
        <v>Isoprenoid; Aromatic (Cycloalkane)</v>
      </c>
      <c r="AF1214" s="3" t="str">
        <f>VLOOKUP($E1214,'[1]Product Naming'!$A$1:$P$58,15)</f>
        <v>Acetyl-CoA</v>
      </c>
      <c r="AG1214" s="3" t="str">
        <f>VLOOKUP($E1214,'[1]Product Naming'!$A$1:$P$58,16)</f>
        <v>Proton symporter</v>
      </c>
      <c r="AH1214" s="3" t="str">
        <f>VLOOKUP($E1214,'[1]Product Naming'!$A$1:$Q$58,17)</f>
        <v>limnen_c</v>
      </c>
    </row>
    <row r="1215" spans="1:34" hidden="1" x14ac:dyDescent="0.2">
      <c r="A1215" s="16" t="s">
        <v>63</v>
      </c>
      <c r="B1215" s="17" t="s">
        <v>64</v>
      </c>
      <c r="C1215" t="s">
        <v>72</v>
      </c>
      <c r="D1215" s="18" t="s">
        <v>66</v>
      </c>
      <c r="E1215" t="s">
        <v>295</v>
      </c>
      <c r="F1215" t="s">
        <v>296</v>
      </c>
      <c r="G1215">
        <v>-10</v>
      </c>
      <c r="H1215">
        <v>0</v>
      </c>
      <c r="I1215">
        <v>-10</v>
      </c>
      <c r="J1215">
        <v>0.45</v>
      </c>
      <c r="K1215">
        <v>-10</v>
      </c>
      <c r="L1215">
        <v>0</v>
      </c>
      <c r="M1215">
        <v>-10</v>
      </c>
      <c r="N1215">
        <v>2.8</v>
      </c>
      <c r="O1215">
        <v>0.93333333333333302</v>
      </c>
      <c r="P1215"/>
      <c r="Q1215">
        <v>9.3333333333333005E-2</v>
      </c>
      <c r="R1215">
        <v>0.19846456439457</v>
      </c>
      <c r="S1215" s="11" t="s">
        <v>295</v>
      </c>
      <c r="T1215" s="2" t="s">
        <v>297</v>
      </c>
      <c r="U1215" s="3" t="s">
        <v>41</v>
      </c>
      <c r="V1215" s="2" t="s">
        <v>298</v>
      </c>
      <c r="W1215" s="2">
        <v>6</v>
      </c>
      <c r="X1215" s="2">
        <v>14</v>
      </c>
      <c r="Y1215" s="2">
        <v>1</v>
      </c>
      <c r="Z1215" s="2">
        <v>0</v>
      </c>
      <c r="AA1215" s="2">
        <v>0</v>
      </c>
      <c r="AB1215" s="12">
        <f>(W1215*4+X1215*1+Y1215*-2+Z1215*-3)/W1215</f>
        <v>6</v>
      </c>
      <c r="AC1215" s="3">
        <f>W1215*12.0107+X1215*1.00784+Y1215*15.999+Z1215*14.0067</f>
        <v>102.17295999999999</v>
      </c>
      <c r="AD1215" s="12">
        <v>153</v>
      </c>
      <c r="AE1215" s="2" t="s">
        <v>262</v>
      </c>
      <c r="AF1215" s="2" t="s">
        <v>44</v>
      </c>
      <c r="AG1215" s="2" t="str">
        <f>IF(AD1215&gt;37,"Proton symporter", "Diffusion")</f>
        <v>Proton symporter</v>
      </c>
      <c r="AH1215" s="3" t="s">
        <v>299</v>
      </c>
    </row>
    <row r="1216" spans="1:34" hidden="1" x14ac:dyDescent="0.2">
      <c r="A1216" s="8" t="s">
        <v>350</v>
      </c>
      <c r="B1216" s="17" t="s">
        <v>64</v>
      </c>
      <c r="C1216" t="s">
        <v>353</v>
      </c>
      <c r="D1216" s="13" t="s">
        <v>51</v>
      </c>
      <c r="E1216" t="s">
        <v>254</v>
      </c>
      <c r="F1216" t="s">
        <v>255</v>
      </c>
      <c r="G1216">
        <v>-10</v>
      </c>
      <c r="H1216">
        <v>0</v>
      </c>
      <c r="I1216">
        <v>0</v>
      </c>
      <c r="J1216">
        <v>0.45</v>
      </c>
      <c r="K1216">
        <v>-10</v>
      </c>
      <c r="L1216">
        <v>0</v>
      </c>
      <c r="M1216" s="26">
        <v>0.92274982282069096</v>
      </c>
      <c r="N1216">
        <v>0</v>
      </c>
      <c r="O1216" s="26">
        <v>0.30758327427356402</v>
      </c>
      <c r="P1216"/>
      <c r="Q1216" s="26">
        <v>3.0758327427356399E-2</v>
      </c>
      <c r="R1216" s="26">
        <v>0.197313337210657</v>
      </c>
      <c r="S1216" s="3" t="str">
        <f>VLOOKUP($E1216,'[1]Product Naming'!$A$1:$P$58,2)</f>
        <v>Farnesene</v>
      </c>
      <c r="T1216" s="3" t="str">
        <f>VLOOKUP($E1216,'[1]Product Naming'!$A$1:$P$58,3)</f>
        <v>Farnesene</v>
      </c>
      <c r="U1216" s="3" t="str">
        <f>VLOOKUP($E1216,'[1]Product Naming'!$A$1:$P$58,4)</f>
        <v>A</v>
      </c>
      <c r="V1216" s="3" t="str">
        <f>VLOOKUP($E1216,'[1]Product Naming'!$A$1:$P$58,5)</f>
        <v>C15H24</v>
      </c>
      <c r="W1216" s="3">
        <f>VLOOKUP($E1216,'[1]Product Naming'!$A$1:$P$58,6)</f>
        <v>15</v>
      </c>
      <c r="X1216" s="3">
        <f>VLOOKUP($E1216,'[1]Product Naming'!$A$1:$P$58,7)</f>
        <v>24</v>
      </c>
      <c r="Y1216" s="3">
        <f>VLOOKUP($E1216,'[1]Product Naming'!$A$1:$P$58,8)</f>
        <v>0</v>
      </c>
      <c r="Z1216" s="3">
        <f>VLOOKUP($E1216,'[1]Product Naming'!$A$1:$P$58,9)</f>
        <v>0</v>
      </c>
      <c r="AA1216" s="3">
        <f>VLOOKUP($E1216,'[1]Product Naming'!$A$1:$P$58,10)</f>
        <v>0</v>
      </c>
      <c r="AB1216" s="3">
        <f>VLOOKUP($E1216,'[1]Product Naming'!$A$1:$P$58,11)</f>
        <v>5.6</v>
      </c>
      <c r="AC1216" s="3">
        <f>VLOOKUP($E1216,'[1]Product Naming'!$A$1:$P$58,12)</f>
        <v>204.34866000000002</v>
      </c>
      <c r="AD1216" s="3" t="str">
        <f>VLOOKUP($E1216,'[1]Product Naming'!$A$1:$P$58,13)</f>
        <v>260 (A)/272 (B)</v>
      </c>
      <c r="AE1216" s="3" t="str">
        <f>VLOOKUP($E1216,'[1]Product Naming'!$A$1:$P$58,14)</f>
        <v>Hydrocarbon</v>
      </c>
      <c r="AF1216" s="3" t="str">
        <f>VLOOKUP($E1216,'[1]Product Naming'!$A$1:$P$58,15)</f>
        <v>Acetyl-CoA</v>
      </c>
      <c r="AG1216" s="3" t="str">
        <f>VLOOKUP($E1216,'[1]Product Naming'!$A$1:$P$58,16)</f>
        <v>Proton symporter</v>
      </c>
      <c r="AH1216" s="3" t="str">
        <f>VLOOKUP($E1216,'[1]Product Naming'!$A$1:$Q$58,17)</f>
        <v>frene_c</v>
      </c>
    </row>
    <row r="1217" spans="1:34" hidden="1" x14ac:dyDescent="0.2">
      <c r="A1217" s="16" t="s">
        <v>63</v>
      </c>
      <c r="B1217" s="17" t="s">
        <v>64</v>
      </c>
      <c r="C1217" t="s">
        <v>71</v>
      </c>
      <c r="D1217" s="18" t="s">
        <v>66</v>
      </c>
      <c r="E1217" t="s">
        <v>300</v>
      </c>
      <c r="F1217" t="s">
        <v>301</v>
      </c>
      <c r="G1217">
        <v>-10</v>
      </c>
      <c r="H1217">
        <v>0</v>
      </c>
      <c r="I1217">
        <v>-5</v>
      </c>
      <c r="J1217">
        <v>0.45</v>
      </c>
      <c r="K1217">
        <v>-10</v>
      </c>
      <c r="L1217">
        <v>0</v>
      </c>
      <c r="M1217">
        <v>-5</v>
      </c>
      <c r="N1217">
        <v>5</v>
      </c>
      <c r="O1217">
        <v>1.25</v>
      </c>
      <c r="P1217"/>
      <c r="Q1217">
        <v>0.125</v>
      </c>
      <c r="R1217">
        <v>0.19696224032517301</v>
      </c>
      <c r="S1217" s="20" t="s">
        <v>300</v>
      </c>
      <c r="T1217" s="3" t="s">
        <v>302</v>
      </c>
      <c r="U1217" s="3" t="s">
        <v>106</v>
      </c>
      <c r="V1217" s="3" t="s">
        <v>303</v>
      </c>
      <c r="W1217" s="3">
        <v>4</v>
      </c>
      <c r="X1217" s="3">
        <v>10</v>
      </c>
      <c r="Y1217" s="3">
        <v>1</v>
      </c>
      <c r="Z1217" s="3">
        <v>0</v>
      </c>
      <c r="AA1217" s="3">
        <v>0</v>
      </c>
      <c r="AB1217" s="12">
        <f>(W1217*4+X1217*1+Y1217*-2+Z1217*-3)/W1217</f>
        <v>6</v>
      </c>
      <c r="AC1217" s="3">
        <f>W1217*12.0107+X1217*1.00784+Y1217*15.999+Z1217*14.0067</f>
        <v>74.120199999999997</v>
      </c>
      <c r="AD1217" s="12">
        <v>117.7</v>
      </c>
      <c r="AE1217" s="3" t="s">
        <v>262</v>
      </c>
      <c r="AF1217" s="2" t="s">
        <v>79</v>
      </c>
      <c r="AG1217" s="2" t="str">
        <f>IF(AD1217&gt;37,"Proton symporter", "Diffusion")</f>
        <v>Proton symporter</v>
      </c>
      <c r="AH1217" s="3" t="s">
        <v>304</v>
      </c>
    </row>
    <row r="1218" spans="1:34" hidden="1" x14ac:dyDescent="0.2">
      <c r="A1218" s="16" t="s">
        <v>63</v>
      </c>
      <c r="B1218" s="17" t="s">
        <v>64</v>
      </c>
      <c r="C1218" t="s">
        <v>71</v>
      </c>
      <c r="D1218" s="18" t="s">
        <v>66</v>
      </c>
      <c r="E1218" t="s">
        <v>305</v>
      </c>
      <c r="F1218" t="s">
        <v>301</v>
      </c>
      <c r="G1218">
        <v>-10</v>
      </c>
      <c r="H1218">
        <v>0</v>
      </c>
      <c r="I1218">
        <v>-5</v>
      </c>
      <c r="J1218">
        <v>0.45</v>
      </c>
      <c r="K1218">
        <v>-10</v>
      </c>
      <c r="L1218">
        <v>0</v>
      </c>
      <c r="M1218">
        <v>-5</v>
      </c>
      <c r="N1218">
        <v>5</v>
      </c>
      <c r="O1218">
        <v>1.25</v>
      </c>
      <c r="P1218"/>
      <c r="Q1218">
        <v>0.125</v>
      </c>
      <c r="R1218">
        <v>0.19696224032517301</v>
      </c>
      <c r="S1218" s="20" t="s">
        <v>305</v>
      </c>
      <c r="T1218" s="3" t="s">
        <v>306</v>
      </c>
      <c r="U1218" s="3" t="s">
        <v>106</v>
      </c>
      <c r="V1218" s="3" t="s">
        <v>303</v>
      </c>
      <c r="W1218" s="3">
        <v>4</v>
      </c>
      <c r="X1218" s="3">
        <v>10</v>
      </c>
      <c r="Y1218" s="3">
        <v>1</v>
      </c>
      <c r="Z1218" s="3">
        <v>0</v>
      </c>
      <c r="AA1218" s="3">
        <v>0</v>
      </c>
      <c r="AB1218" s="12">
        <f>(W1218*4+X1218*1+Y1218*-2+Z1218*-3)/W1218</f>
        <v>6</v>
      </c>
      <c r="AC1218" s="3">
        <f>W1218*12.0107+X1218*1.00784+Y1218*15.999+Z1218*14.0067</f>
        <v>74.120199999999997</v>
      </c>
      <c r="AD1218" s="12">
        <v>117.7</v>
      </c>
      <c r="AE1218" s="3" t="s">
        <v>262</v>
      </c>
      <c r="AF1218" s="3" t="s">
        <v>44</v>
      </c>
      <c r="AG1218" s="2" t="str">
        <f>IF(AD1218&gt;37,"Proton symporter", "Diffusion")</f>
        <v>Proton symporter</v>
      </c>
      <c r="AH1218" s="3" t="s">
        <v>304</v>
      </c>
    </row>
    <row r="1219" spans="1:34" hidden="1" x14ac:dyDescent="0.2">
      <c r="A1219" s="16" t="s">
        <v>63</v>
      </c>
      <c r="B1219" s="17" t="s">
        <v>64</v>
      </c>
      <c r="C1219" t="s">
        <v>68</v>
      </c>
      <c r="D1219" s="18" t="s">
        <v>66</v>
      </c>
      <c r="E1219" t="s">
        <v>161</v>
      </c>
      <c r="F1219" t="s">
        <v>162</v>
      </c>
      <c r="G1219">
        <v>-10</v>
      </c>
      <c r="H1219">
        <v>0</v>
      </c>
      <c r="I1219">
        <v>-10</v>
      </c>
      <c r="J1219">
        <v>0.45</v>
      </c>
      <c r="K1219">
        <v>-10</v>
      </c>
      <c r="L1219">
        <v>0</v>
      </c>
      <c r="M1219">
        <v>-10</v>
      </c>
      <c r="N1219">
        <v>0.26569343065693501</v>
      </c>
      <c r="O1219">
        <v>0.53138686131386903</v>
      </c>
      <c r="P1219"/>
      <c r="Q1219">
        <v>5.3138686131386899E-2</v>
      </c>
      <c r="R1219">
        <v>0.19484050431320499</v>
      </c>
      <c r="S1219" s="20" t="s">
        <v>161</v>
      </c>
      <c r="T1219" s="3" t="s">
        <v>161</v>
      </c>
      <c r="U1219" s="3" t="s">
        <v>106</v>
      </c>
      <c r="V1219" s="20" t="s">
        <v>163</v>
      </c>
      <c r="W1219" s="3">
        <v>6</v>
      </c>
      <c r="X1219" s="3">
        <v>6</v>
      </c>
      <c r="Y1219" s="3">
        <v>2</v>
      </c>
      <c r="Z1219" s="3">
        <v>0</v>
      </c>
      <c r="AA1219" s="3">
        <v>0</v>
      </c>
      <c r="AB1219" s="12">
        <f>(W1219*4+X1219*1+Y1219*-2+Z1219*-3)/W1219</f>
        <v>4.333333333333333</v>
      </c>
      <c r="AC1219" s="3">
        <f>W1219*12.0107+X1219*1.00784+Y1219*15.999+Z1219*14.0067</f>
        <v>110.10924</v>
      </c>
      <c r="AD1219" s="12">
        <v>245</v>
      </c>
      <c r="AE1219" s="3" t="s">
        <v>164</v>
      </c>
      <c r="AF1219" s="2" t="s">
        <v>98</v>
      </c>
      <c r="AG1219" s="2" t="str">
        <f>IF(AD1219&gt;37,"Proton symporter", "Diffusion")</f>
        <v>Proton symporter</v>
      </c>
      <c r="AH1219" s="3" t="s">
        <v>165</v>
      </c>
    </row>
    <row r="1220" spans="1:34" hidden="1" x14ac:dyDescent="0.2">
      <c r="A1220" s="8" t="s">
        <v>350</v>
      </c>
      <c r="B1220" s="17" t="s">
        <v>64</v>
      </c>
      <c r="C1220" t="s">
        <v>353</v>
      </c>
      <c r="D1220" s="13" t="s">
        <v>51</v>
      </c>
      <c r="E1220" t="s">
        <v>146</v>
      </c>
      <c r="F1220" t="s">
        <v>147</v>
      </c>
      <c r="G1220">
        <v>-10</v>
      </c>
      <c r="H1220">
        <v>0</v>
      </c>
      <c r="I1220">
        <v>0</v>
      </c>
      <c r="J1220">
        <v>0.45</v>
      </c>
      <c r="K1220">
        <v>-10</v>
      </c>
      <c r="L1220">
        <v>0</v>
      </c>
      <c r="M1220" s="26">
        <v>3.00086430423509</v>
      </c>
      <c r="N1220">
        <v>0</v>
      </c>
      <c r="O1220" s="26">
        <v>0.37510803802938603</v>
      </c>
      <c r="P1220"/>
      <c r="Q1220">
        <v>3.75108038029386E-2</v>
      </c>
      <c r="R1220">
        <v>0.19467498015609799</v>
      </c>
      <c r="S1220" s="3" t="str">
        <f>VLOOKUP($E1220,'[1]Product Naming'!$A$1:$P$58,2)</f>
        <v>Coumaric acid</v>
      </c>
      <c r="T1220" s="3" t="str">
        <f>VLOOKUP($E1220,'[1]Product Naming'!$A$1:$P$58,3)</f>
        <v>Coumaric acid</v>
      </c>
      <c r="U1220" s="3" t="str">
        <f>VLOOKUP($E1220,'[1]Product Naming'!$A$1:$P$58,4)</f>
        <v>E</v>
      </c>
      <c r="V1220" s="3" t="str">
        <f>VLOOKUP($E1220,'[1]Product Naming'!$A$1:$P$58,5)</f>
        <v>C9H7O3</v>
      </c>
      <c r="W1220" s="3">
        <f>VLOOKUP($E1220,'[1]Product Naming'!$A$1:$P$58,6)</f>
        <v>9</v>
      </c>
      <c r="X1220" s="3">
        <f>VLOOKUP($E1220,'[1]Product Naming'!$A$1:$P$58,7)</f>
        <v>7</v>
      </c>
      <c r="Y1220" s="3">
        <f>VLOOKUP($E1220,'[1]Product Naming'!$A$1:$P$58,8)</f>
        <v>3</v>
      </c>
      <c r="Z1220" s="3">
        <f>VLOOKUP($E1220,'[1]Product Naming'!$A$1:$P$58,9)</f>
        <v>0</v>
      </c>
      <c r="AA1220" s="3">
        <f>VLOOKUP($E1220,'[1]Product Naming'!$A$1:$P$58,10)</f>
        <v>-1</v>
      </c>
      <c r="AB1220" s="3">
        <f>VLOOKUP($E1220,'[1]Product Naming'!$A$1:$P$58,11)</f>
        <v>4.1111111111111107</v>
      </c>
      <c r="AC1220" s="3">
        <f>VLOOKUP($E1220,'[1]Product Naming'!$A$1:$P$58,12)</f>
        <v>163.14818</v>
      </c>
      <c r="AD1220" s="3">
        <f>VLOOKUP($E1220,'[1]Product Naming'!$A$1:$P$58,13)</f>
        <v>346</v>
      </c>
      <c r="AE1220" s="3" t="str">
        <f>VLOOKUP($E1220,'[1]Product Naming'!$A$1:$P$58,14)</f>
        <v>Aromatic + Alcohol + Carboxylate</v>
      </c>
      <c r="AF1220" s="3" t="str">
        <f>VLOOKUP($E1220,'[1]Product Naming'!$A$1:$P$58,15)</f>
        <v>E4P + L-glutamate</v>
      </c>
      <c r="AG1220" s="3" t="str">
        <f>VLOOKUP($E1220,'[1]Product Naming'!$A$1:$P$58,16)</f>
        <v>Proton symporter</v>
      </c>
      <c r="AH1220" s="3" t="str">
        <f>VLOOKUP($E1220,'[1]Product Naming'!$A$1:$Q$58,17)</f>
        <v>T4hcinnm_c</v>
      </c>
    </row>
    <row r="1221" spans="1:34" hidden="1" x14ac:dyDescent="0.2">
      <c r="A1221" s="8" t="s">
        <v>350</v>
      </c>
      <c r="B1221" s="17" t="s">
        <v>64</v>
      </c>
      <c r="C1221" t="s">
        <v>353</v>
      </c>
      <c r="D1221" s="13" t="s">
        <v>51</v>
      </c>
      <c r="E1221" t="s">
        <v>264</v>
      </c>
      <c r="F1221" t="s">
        <v>265</v>
      </c>
      <c r="G1221">
        <v>-10</v>
      </c>
      <c r="H1221">
        <v>0</v>
      </c>
      <c r="I1221">
        <v>0</v>
      </c>
      <c r="J1221">
        <v>0.45</v>
      </c>
      <c r="K1221">
        <v>-10</v>
      </c>
      <c r="L1221">
        <v>0</v>
      </c>
      <c r="M1221" s="26">
        <v>0.90985324947589397</v>
      </c>
      <c r="N1221">
        <v>0</v>
      </c>
      <c r="O1221" s="26">
        <v>0.90985324947588997</v>
      </c>
      <c r="P1221"/>
      <c r="Q1221">
        <v>9.0985324947589E-2</v>
      </c>
      <c r="R1221" s="26">
        <v>0.19453976060035699</v>
      </c>
      <c r="S1221" s="3" t="str">
        <f>VLOOKUP($E1221,'[1]Product Naming'!$A$1:$P$58,2)</f>
        <v>Isoprene</v>
      </c>
      <c r="T1221" s="3" t="str">
        <f>VLOOKUP($E1221,'[1]Product Naming'!$A$1:$P$58,3)</f>
        <v>Isoprene</v>
      </c>
      <c r="U1221" s="3" t="str">
        <f>VLOOKUP($E1221,'[1]Product Naming'!$A$1:$P$58,4)</f>
        <v>E</v>
      </c>
      <c r="V1221" s="3" t="str">
        <f>VLOOKUP($E1221,'[1]Product Naming'!$A$1:$P$58,5)</f>
        <v>C5H8</v>
      </c>
      <c r="W1221" s="3">
        <f>VLOOKUP($E1221,'[1]Product Naming'!$A$1:$P$58,6)</f>
        <v>5</v>
      </c>
      <c r="X1221" s="3">
        <f>VLOOKUP($E1221,'[1]Product Naming'!$A$1:$P$58,7)</f>
        <v>8</v>
      </c>
      <c r="Y1221" s="3">
        <f>VLOOKUP($E1221,'[1]Product Naming'!$A$1:$P$58,8)</f>
        <v>0</v>
      </c>
      <c r="Z1221" s="3">
        <f>VLOOKUP($E1221,'[1]Product Naming'!$A$1:$P$58,9)</f>
        <v>0</v>
      </c>
      <c r="AA1221" s="3">
        <f>VLOOKUP($E1221,'[1]Product Naming'!$A$1:$P$58,10)</f>
        <v>0</v>
      </c>
      <c r="AB1221" s="3">
        <f>VLOOKUP($E1221,'[1]Product Naming'!$A$1:$P$58,11)</f>
        <v>5.6</v>
      </c>
      <c r="AC1221" s="3">
        <f>VLOOKUP($E1221,'[1]Product Naming'!$A$1:$P$58,12)</f>
        <v>68.116219999999998</v>
      </c>
      <c r="AD1221" s="3">
        <f>VLOOKUP($E1221,'[1]Product Naming'!$A$1:$P$58,13)</f>
        <v>34.07</v>
      </c>
      <c r="AE1221" s="3" t="str">
        <f>VLOOKUP($E1221,'[1]Product Naming'!$A$1:$P$58,14)</f>
        <v>Hydrocarbon</v>
      </c>
      <c r="AF1221" s="3" t="str">
        <f>VLOOKUP($E1221,'[1]Product Naming'!$A$1:$P$58,15)</f>
        <v>Acetyl-CoA</v>
      </c>
      <c r="AG1221" s="3" t="str">
        <f>VLOOKUP($E1221,'[1]Product Naming'!$A$1:$P$58,16)</f>
        <v>Diffusion</v>
      </c>
      <c r="AH1221" s="3" t="str">
        <f>VLOOKUP($E1221,'[1]Product Naming'!$A$1:$Q$58,17)</f>
        <v>iprene_c</v>
      </c>
    </row>
    <row r="1222" spans="1:34" hidden="1" x14ac:dyDescent="0.2">
      <c r="A1222" s="16" t="s">
        <v>63</v>
      </c>
      <c r="B1222" s="17" t="s">
        <v>64</v>
      </c>
      <c r="C1222" t="s">
        <v>68</v>
      </c>
      <c r="D1222" s="18" t="s">
        <v>66</v>
      </c>
      <c r="E1222" t="s">
        <v>339</v>
      </c>
      <c r="F1222" t="s">
        <v>340</v>
      </c>
      <c r="G1222">
        <v>-10</v>
      </c>
      <c r="H1222">
        <v>0</v>
      </c>
      <c r="I1222">
        <v>-10</v>
      </c>
      <c r="J1222">
        <v>0.45</v>
      </c>
      <c r="K1222">
        <v>-10</v>
      </c>
      <c r="L1222">
        <v>0</v>
      </c>
      <c r="M1222">
        <v>-10</v>
      </c>
      <c r="N1222">
        <v>2.4931506849314999</v>
      </c>
      <c r="O1222">
        <v>0.99726027397260197</v>
      </c>
      <c r="P1222"/>
      <c r="Q1222">
        <v>9.9726027397259998E-2</v>
      </c>
      <c r="R1222">
        <v>0.19301353258613499</v>
      </c>
      <c r="S1222" s="11" t="s">
        <v>339</v>
      </c>
      <c r="T1222" s="2" t="s">
        <v>339</v>
      </c>
      <c r="U1222" s="3" t="s">
        <v>106</v>
      </c>
      <c r="V1222" s="2" t="s">
        <v>341</v>
      </c>
      <c r="W1222" s="2">
        <v>4</v>
      </c>
      <c r="X1222" s="2">
        <v>10</v>
      </c>
      <c r="Y1222" s="2">
        <v>0</v>
      </c>
      <c r="Z1222" s="2">
        <v>0</v>
      </c>
      <c r="AA1222" s="2">
        <v>0</v>
      </c>
      <c r="AB1222" s="12">
        <f>(W1222*4+X1222*1+Y1222*-2+Z1222*-3)/W1222</f>
        <v>6.5</v>
      </c>
      <c r="AC1222" s="3">
        <f>W1222*12.0107+X1222*1.00784+Y1222*15.999+Z1222*14.0067</f>
        <v>58.121200000000002</v>
      </c>
      <c r="AD1222" s="24">
        <v>-1</v>
      </c>
      <c r="AE1222" s="3" t="s">
        <v>321</v>
      </c>
      <c r="AF1222" s="2" t="s">
        <v>313</v>
      </c>
      <c r="AG1222" s="25" t="str">
        <f>IF(AD1222&gt;37,"Proton symporter", "Diffusion")</f>
        <v>Diffusion</v>
      </c>
      <c r="AH1222" s="3" t="s">
        <v>342</v>
      </c>
    </row>
    <row r="1223" spans="1:34" hidden="1" x14ac:dyDescent="0.2">
      <c r="A1223" s="16" t="s">
        <v>63</v>
      </c>
      <c r="B1223" s="17" t="s">
        <v>64</v>
      </c>
      <c r="C1223" t="s">
        <v>70</v>
      </c>
      <c r="D1223" s="18" t="s">
        <v>66</v>
      </c>
      <c r="E1223" t="s">
        <v>205</v>
      </c>
      <c r="F1223" t="s">
        <v>206</v>
      </c>
      <c r="G1223">
        <v>-10</v>
      </c>
      <c r="H1223">
        <v>0</v>
      </c>
      <c r="I1223">
        <v>0</v>
      </c>
      <c r="J1223">
        <v>0.45</v>
      </c>
      <c r="K1223">
        <v>-10</v>
      </c>
      <c r="L1223">
        <v>0</v>
      </c>
      <c r="M1223">
        <v>0</v>
      </c>
      <c r="N1223">
        <v>6</v>
      </c>
      <c r="O1223">
        <v>1</v>
      </c>
      <c r="P1223"/>
      <c r="Q1223">
        <v>0.1</v>
      </c>
      <c r="R1223">
        <v>0.191406225559205</v>
      </c>
      <c r="S1223" s="20" t="s">
        <v>205</v>
      </c>
      <c r="T1223" s="3" t="s">
        <v>207</v>
      </c>
      <c r="U1223" s="3" t="s">
        <v>106</v>
      </c>
      <c r="V1223" s="3" t="s">
        <v>208</v>
      </c>
      <c r="W1223" s="3">
        <v>4</v>
      </c>
      <c r="X1223" s="3">
        <v>8</v>
      </c>
      <c r="Y1223" s="3">
        <v>2</v>
      </c>
      <c r="Z1223" s="3">
        <v>0</v>
      </c>
      <c r="AA1223" s="3">
        <v>0</v>
      </c>
      <c r="AB1223" s="12">
        <f>(W1223*4+X1223*1+Y1223*-2+Z1223*-3)/W1223</f>
        <v>5</v>
      </c>
      <c r="AC1223" s="3">
        <f>W1223*12.0107+X1223*1.00784+Y1223*15.999+Z1223*14.0067</f>
        <v>88.103520000000003</v>
      </c>
      <c r="AD1223" s="12">
        <v>77.099999999999994</v>
      </c>
      <c r="AE1223" s="3" t="s">
        <v>209</v>
      </c>
      <c r="AF1223" s="3" t="s">
        <v>79</v>
      </c>
      <c r="AG1223" s="2" t="str">
        <f>IF(AD1223&gt;37,"Proton symporter", "Diffusion")</f>
        <v>Proton symporter</v>
      </c>
      <c r="AH1223" s="3" t="s">
        <v>210</v>
      </c>
    </row>
    <row r="1224" spans="1:34" hidden="1" x14ac:dyDescent="0.2">
      <c r="A1224" s="16" t="s">
        <v>63</v>
      </c>
      <c r="B1224" s="17" t="s">
        <v>64</v>
      </c>
      <c r="C1224" t="s">
        <v>72</v>
      </c>
      <c r="D1224" s="18" t="s">
        <v>66</v>
      </c>
      <c r="E1224" t="s">
        <v>318</v>
      </c>
      <c r="F1224" t="s">
        <v>319</v>
      </c>
      <c r="G1224">
        <v>-10</v>
      </c>
      <c r="H1224">
        <v>0</v>
      </c>
      <c r="I1224">
        <v>-10</v>
      </c>
      <c r="J1224">
        <v>0.45</v>
      </c>
      <c r="K1224">
        <v>-10</v>
      </c>
      <c r="L1224">
        <v>0</v>
      </c>
      <c r="M1224">
        <v>-10</v>
      </c>
      <c r="N1224">
        <v>3.5714285714285698</v>
      </c>
      <c r="O1224">
        <v>0.71428571428571397</v>
      </c>
      <c r="P1224"/>
      <c r="Q1224">
        <v>7.1428571428571397E-2</v>
      </c>
      <c r="R1224">
        <v>0.190655816370703</v>
      </c>
      <c r="S1224" s="20" t="s">
        <v>318</v>
      </c>
      <c r="T1224" s="3" t="s">
        <v>318</v>
      </c>
      <c r="U1224" s="3" t="s">
        <v>106</v>
      </c>
      <c r="V1224" s="3" t="s">
        <v>320</v>
      </c>
      <c r="W1224" s="3">
        <v>9</v>
      </c>
      <c r="X1224" s="3">
        <v>20</v>
      </c>
      <c r="Y1224" s="3">
        <v>0</v>
      </c>
      <c r="Z1224" s="3">
        <v>0</v>
      </c>
      <c r="AA1224" s="3">
        <v>0</v>
      </c>
      <c r="AB1224" s="12">
        <f>(W1224*4+X1224*1+Y1224*-2+Z1224*-3)/W1224</f>
        <v>6.2222222222222223</v>
      </c>
      <c r="AC1224" s="3">
        <f>W1224*12.0107+X1224*1.00784+Y1224*15.999+Z1224*14.0067</f>
        <v>128.25309999999999</v>
      </c>
      <c r="AD1224" s="12">
        <v>151</v>
      </c>
      <c r="AE1224" s="3" t="s">
        <v>321</v>
      </c>
      <c r="AF1224" s="2" t="s">
        <v>79</v>
      </c>
      <c r="AG1224" s="2" t="str">
        <f>IF(AD1224&gt;37,"Proton symporter", "Diffusion")</f>
        <v>Proton symporter</v>
      </c>
      <c r="AH1224" s="3" t="s">
        <v>322</v>
      </c>
    </row>
    <row r="1225" spans="1:34" hidden="1" x14ac:dyDescent="0.2">
      <c r="A1225" s="16" t="s">
        <v>63</v>
      </c>
      <c r="B1225" s="17" t="s">
        <v>64</v>
      </c>
      <c r="C1225" t="s">
        <v>72</v>
      </c>
      <c r="D1225" s="18" t="s">
        <v>66</v>
      </c>
      <c r="E1225" t="s">
        <v>323</v>
      </c>
      <c r="F1225" t="s">
        <v>324</v>
      </c>
      <c r="G1225">
        <v>-10</v>
      </c>
      <c r="H1225">
        <v>0</v>
      </c>
      <c r="I1225">
        <v>-10</v>
      </c>
      <c r="J1225">
        <v>0.45</v>
      </c>
      <c r="K1225">
        <v>-10</v>
      </c>
      <c r="L1225">
        <v>0</v>
      </c>
      <c r="M1225">
        <v>-10</v>
      </c>
      <c r="N1225">
        <v>3.5999999999999899</v>
      </c>
      <c r="O1225">
        <v>0.79999999999999805</v>
      </c>
      <c r="P1225"/>
      <c r="Q1225">
        <v>7.9999999999999793E-2</v>
      </c>
      <c r="R1225">
        <v>0.190181345942526</v>
      </c>
      <c r="S1225" s="11" t="s">
        <v>323</v>
      </c>
      <c r="T1225" s="2" t="s">
        <v>323</v>
      </c>
      <c r="U1225" s="3" t="s">
        <v>106</v>
      </c>
      <c r="V1225" s="2" t="s">
        <v>325</v>
      </c>
      <c r="W1225" s="2">
        <v>8</v>
      </c>
      <c r="X1225" s="2">
        <v>18</v>
      </c>
      <c r="Y1225" s="2">
        <v>0</v>
      </c>
      <c r="Z1225" s="2">
        <v>0</v>
      </c>
      <c r="AA1225" s="2">
        <v>0</v>
      </c>
      <c r="AB1225" s="12">
        <f>(W1225*4+X1225*1+Y1225*-2+Z1225*-3)/W1225</f>
        <v>6.25</v>
      </c>
      <c r="AC1225" s="3">
        <f>W1225*12.0107+X1225*1.00784+Y1225*15.999+Z1225*14.0067</f>
        <v>114.22672</v>
      </c>
      <c r="AD1225" s="12">
        <v>126</v>
      </c>
      <c r="AE1225" s="3" t="s">
        <v>321</v>
      </c>
      <c r="AF1225" s="2" t="s">
        <v>313</v>
      </c>
      <c r="AG1225" s="2" t="str">
        <f>IF(AD1225&gt;37,"Proton symporter", "Diffusion")</f>
        <v>Proton symporter</v>
      </c>
      <c r="AH1225" s="3" t="s">
        <v>326</v>
      </c>
    </row>
    <row r="1226" spans="1:34" hidden="1" x14ac:dyDescent="0.2">
      <c r="A1226" s="8" t="s">
        <v>350</v>
      </c>
      <c r="B1226" s="17" t="s">
        <v>64</v>
      </c>
      <c r="C1226" t="s">
        <v>352</v>
      </c>
      <c r="D1226" s="13" t="s">
        <v>51</v>
      </c>
      <c r="E1226" t="s">
        <v>166</v>
      </c>
      <c r="F1226" t="s">
        <v>167</v>
      </c>
      <c r="G1226">
        <v>-10</v>
      </c>
      <c r="H1226">
        <v>0</v>
      </c>
      <c r="I1226">
        <v>0</v>
      </c>
      <c r="J1226">
        <v>0.45</v>
      </c>
      <c r="K1226">
        <v>-10</v>
      </c>
      <c r="L1226">
        <v>0</v>
      </c>
      <c r="M1226" s="26">
        <v>2.0933333333333302</v>
      </c>
      <c r="N1226">
        <v>0</v>
      </c>
      <c r="O1226" s="26">
        <v>0.69777777777777705</v>
      </c>
      <c r="P1226"/>
      <c r="Q1226">
        <v>6.97777777777778E-2</v>
      </c>
      <c r="R1226" s="26">
        <v>0.189981018050036</v>
      </c>
      <c r="S1226" s="3" t="str">
        <f>VLOOKUP($E1226,'[1]Product Naming'!$A$1:$P$58,2)</f>
        <v>GammaButyrolactone</v>
      </c>
      <c r="T1226" s="3" t="str">
        <f>VLOOKUP($E1226,'[1]Product Naming'!$A$1:$P$58,3)</f>
        <v>Gamma butyrolactone</v>
      </c>
      <c r="U1226" s="3" t="str">
        <f>VLOOKUP($E1226,'[1]Product Naming'!$A$1:$P$58,4)</f>
        <v>A</v>
      </c>
      <c r="V1226" s="3" t="str">
        <f>VLOOKUP($E1226,'[1]Product Naming'!$A$1:$P$58,5)</f>
        <v>C4H6O2</v>
      </c>
      <c r="W1226" s="3">
        <f>VLOOKUP($E1226,'[1]Product Naming'!$A$1:$P$58,6)</f>
        <v>4</v>
      </c>
      <c r="X1226" s="3">
        <f>VLOOKUP($E1226,'[1]Product Naming'!$A$1:$P$58,7)</f>
        <v>6</v>
      </c>
      <c r="Y1226" s="3">
        <f>VLOOKUP($E1226,'[1]Product Naming'!$A$1:$P$58,8)</f>
        <v>2</v>
      </c>
      <c r="Z1226" s="3">
        <f>VLOOKUP($E1226,'[1]Product Naming'!$A$1:$P$58,9)</f>
        <v>0</v>
      </c>
      <c r="AA1226" s="3">
        <f>VLOOKUP($E1226,'[1]Product Naming'!$A$1:$P$58,10)</f>
        <v>0</v>
      </c>
      <c r="AB1226" s="3">
        <f>VLOOKUP($E1226,'[1]Product Naming'!$A$1:$P$58,11)</f>
        <v>4.5</v>
      </c>
      <c r="AC1226" s="3">
        <f>VLOOKUP($E1226,'[1]Product Naming'!$A$1:$P$58,12)</f>
        <v>86.08784</v>
      </c>
      <c r="AD1226" s="3">
        <f>VLOOKUP($E1226,'[1]Product Naming'!$A$1:$P$58,13)</f>
        <v>204</v>
      </c>
      <c r="AE1226" s="3" t="str">
        <f>VLOOKUP($E1226,'[1]Product Naming'!$A$1:$P$58,14)</f>
        <v>Lactone (cyclic ester)</v>
      </c>
      <c r="AF1226" s="3" t="str">
        <f>VLOOKUP($E1226,'[1]Product Naming'!$A$1:$P$58,15)</f>
        <v>aKG</v>
      </c>
      <c r="AG1226" s="3" t="str">
        <f>VLOOKUP($E1226,'[1]Product Naming'!$A$1:$P$58,16)</f>
        <v>Proton symporter</v>
      </c>
      <c r="AH1226" s="3" t="str">
        <f>VLOOKUP($E1226,'[1]Product Naming'!$A$1:$Q$58,17)</f>
        <v>gblt_c</v>
      </c>
    </row>
    <row r="1227" spans="1:34" hidden="1" x14ac:dyDescent="0.2">
      <c r="A1227" s="16" t="s">
        <v>63</v>
      </c>
      <c r="B1227" s="17" t="s">
        <v>64</v>
      </c>
      <c r="C1227" t="s">
        <v>65</v>
      </c>
      <c r="D1227" s="18" t="s">
        <v>66</v>
      </c>
      <c r="E1227" t="s">
        <v>310</v>
      </c>
      <c r="F1227" t="s">
        <v>311</v>
      </c>
      <c r="G1227">
        <v>-10</v>
      </c>
      <c r="H1227">
        <v>0</v>
      </c>
      <c r="I1227">
        <v>0</v>
      </c>
      <c r="J1227">
        <v>0.45</v>
      </c>
      <c r="K1227">
        <v>-10</v>
      </c>
      <c r="L1227">
        <v>0</v>
      </c>
      <c r="M1227">
        <v>0</v>
      </c>
      <c r="N1227">
        <v>6.5070422535211296</v>
      </c>
      <c r="O1227">
        <v>0.60281690140845101</v>
      </c>
      <c r="P1227"/>
      <c r="Q1227">
        <v>6.0281690140845098E-2</v>
      </c>
      <c r="R1227">
        <v>0.189704563460736</v>
      </c>
      <c r="S1227" s="20" t="s">
        <v>310</v>
      </c>
      <c r="T1227" s="3" t="s">
        <v>312</v>
      </c>
      <c r="U1227" s="3" t="s">
        <v>106</v>
      </c>
      <c r="V1227" s="3" t="s">
        <v>292</v>
      </c>
      <c r="W1227" s="3">
        <v>5</v>
      </c>
      <c r="X1227" s="3">
        <v>12</v>
      </c>
      <c r="Y1227" s="3">
        <v>1</v>
      </c>
      <c r="Z1227" s="3">
        <v>0</v>
      </c>
      <c r="AA1227" s="3">
        <v>0</v>
      </c>
      <c r="AB1227" s="12">
        <f>(W1227*4+X1227*1+Y1227*-2+Z1227*-3)/W1227</f>
        <v>6</v>
      </c>
      <c r="AC1227" s="3">
        <f>W1227*12.0107+X1227*1.00784+Y1227*15.999+Z1227*14.0067</f>
        <v>88.14658</v>
      </c>
      <c r="AD1227" s="12">
        <v>138</v>
      </c>
      <c r="AE1227" s="3" t="s">
        <v>262</v>
      </c>
      <c r="AF1227" s="2" t="s">
        <v>313</v>
      </c>
      <c r="AG1227" s="2" t="str">
        <f>IF(AD1227&gt;37,"Proton symporter", "Diffusion")</f>
        <v>Proton symporter</v>
      </c>
      <c r="AH1227" s="3" t="s">
        <v>314</v>
      </c>
    </row>
    <row r="1228" spans="1:34" hidden="1" x14ac:dyDescent="0.2">
      <c r="A1228" s="16" t="s">
        <v>63</v>
      </c>
      <c r="B1228" s="17" t="s">
        <v>64</v>
      </c>
      <c r="C1228" t="s">
        <v>65</v>
      </c>
      <c r="D1228" s="18" t="s">
        <v>66</v>
      </c>
      <c r="E1228" t="s">
        <v>315</v>
      </c>
      <c r="F1228" t="s">
        <v>311</v>
      </c>
      <c r="G1228">
        <v>-10</v>
      </c>
      <c r="H1228">
        <v>0</v>
      </c>
      <c r="I1228">
        <v>0</v>
      </c>
      <c r="J1228">
        <v>0.45</v>
      </c>
      <c r="K1228">
        <v>-10</v>
      </c>
      <c r="L1228">
        <v>0</v>
      </c>
      <c r="M1228">
        <v>0</v>
      </c>
      <c r="N1228">
        <v>6.5070422535211296</v>
      </c>
      <c r="O1228">
        <v>0.60281690140845101</v>
      </c>
      <c r="P1228"/>
      <c r="Q1228">
        <v>6.0281690140845098E-2</v>
      </c>
      <c r="R1228">
        <v>0.189704563460736</v>
      </c>
      <c r="S1228" s="20" t="s">
        <v>315</v>
      </c>
      <c r="T1228" s="3" t="s">
        <v>316</v>
      </c>
      <c r="U1228" s="3" t="s">
        <v>106</v>
      </c>
      <c r="V1228" s="3" t="s">
        <v>292</v>
      </c>
      <c r="W1228" s="3">
        <v>5</v>
      </c>
      <c r="X1228" s="3">
        <v>12</v>
      </c>
      <c r="Y1228" s="3">
        <v>1</v>
      </c>
      <c r="Z1228" s="3">
        <v>0</v>
      </c>
      <c r="AA1228" s="3">
        <v>0</v>
      </c>
      <c r="AB1228" s="12">
        <f>(W1228*4+X1228*1+Y1228*-2+Z1228*-3)/W1228</f>
        <v>6</v>
      </c>
      <c r="AC1228" s="3">
        <f>W1228*12.0107+X1228*1.00784+Y1228*15.999+Z1228*14.0067</f>
        <v>88.14658</v>
      </c>
      <c r="AD1228" s="12">
        <v>138</v>
      </c>
      <c r="AE1228" s="3" t="s">
        <v>262</v>
      </c>
      <c r="AF1228" s="3" t="s">
        <v>44</v>
      </c>
      <c r="AG1228" s="2" t="str">
        <f>IF(AD1228&gt;37,"Proton symporter", "Diffusion")</f>
        <v>Proton symporter</v>
      </c>
      <c r="AH1228" s="3" t="s">
        <v>314</v>
      </c>
    </row>
    <row r="1229" spans="1:34" hidden="1" x14ac:dyDescent="0.2">
      <c r="A1229" s="16" t="s">
        <v>63</v>
      </c>
      <c r="B1229" s="17" t="s">
        <v>64</v>
      </c>
      <c r="C1229" t="s">
        <v>72</v>
      </c>
      <c r="D1229" s="18" t="s">
        <v>66</v>
      </c>
      <c r="E1229" t="s">
        <v>327</v>
      </c>
      <c r="F1229" t="s">
        <v>328</v>
      </c>
      <c r="G1229">
        <v>-10</v>
      </c>
      <c r="H1229">
        <v>0</v>
      </c>
      <c r="I1229">
        <v>-10</v>
      </c>
      <c r="J1229">
        <v>0.45</v>
      </c>
      <c r="K1229">
        <v>-10</v>
      </c>
      <c r="L1229">
        <v>0</v>
      </c>
      <c r="M1229">
        <v>-10</v>
      </c>
      <c r="N1229">
        <v>3.63636363636363</v>
      </c>
      <c r="O1229">
        <v>0.90909090909090895</v>
      </c>
      <c r="P1229"/>
      <c r="Q1229">
        <v>9.0909090909090898E-2</v>
      </c>
      <c r="R1229">
        <v>0.189577474488483</v>
      </c>
      <c r="S1229" s="20" t="s">
        <v>327</v>
      </c>
      <c r="T1229" s="3" t="s">
        <v>327</v>
      </c>
      <c r="U1229" s="3" t="s">
        <v>106</v>
      </c>
      <c r="V1229" s="3" t="s">
        <v>329</v>
      </c>
      <c r="W1229" s="3">
        <v>7</v>
      </c>
      <c r="X1229" s="3">
        <v>16</v>
      </c>
      <c r="Y1229" s="3">
        <v>0</v>
      </c>
      <c r="Z1229" s="3">
        <v>0</v>
      </c>
      <c r="AA1229" s="3">
        <v>0</v>
      </c>
      <c r="AB1229" s="12">
        <f>(W1229*4+X1229*1+Y1229*-2+Z1229*-3)/W1229</f>
        <v>6.2857142857142856</v>
      </c>
      <c r="AC1229" s="3">
        <f>W1229*12.0107+X1229*1.00784+Y1229*15.999+Z1229*14.0067</f>
        <v>100.20034</v>
      </c>
      <c r="AD1229" s="3">
        <v>98</v>
      </c>
      <c r="AE1229" s="3" t="s">
        <v>321</v>
      </c>
      <c r="AF1229" s="2" t="s">
        <v>79</v>
      </c>
      <c r="AG1229" s="2" t="str">
        <f>IF(AD1229&gt;37,"Proton symporter", "Diffusion")</f>
        <v>Proton symporter</v>
      </c>
      <c r="AH1229" s="3" t="s">
        <v>330</v>
      </c>
    </row>
    <row r="1230" spans="1:34" hidden="1" x14ac:dyDescent="0.2">
      <c r="A1230" s="16" t="s">
        <v>63</v>
      </c>
      <c r="B1230" s="17" t="s">
        <v>64</v>
      </c>
      <c r="C1230" t="s">
        <v>70</v>
      </c>
      <c r="D1230" s="18" t="s">
        <v>66</v>
      </c>
      <c r="E1230" t="s">
        <v>182</v>
      </c>
      <c r="F1230" t="s">
        <v>183</v>
      </c>
      <c r="G1230">
        <v>-10</v>
      </c>
      <c r="H1230">
        <v>0</v>
      </c>
      <c r="I1230">
        <v>0</v>
      </c>
      <c r="J1230">
        <v>0.45</v>
      </c>
      <c r="K1230">
        <v>-10</v>
      </c>
      <c r="L1230">
        <v>0</v>
      </c>
      <c r="M1230">
        <v>0</v>
      </c>
      <c r="N1230">
        <v>6</v>
      </c>
      <c r="O1230">
        <v>1</v>
      </c>
      <c r="P1230"/>
      <c r="Q1230">
        <v>0.1</v>
      </c>
      <c r="R1230">
        <v>0.189216677963745</v>
      </c>
      <c r="S1230" s="11" t="s">
        <v>182</v>
      </c>
      <c r="T1230" s="2" t="s">
        <v>182</v>
      </c>
      <c r="U1230" s="3" t="s">
        <v>41</v>
      </c>
      <c r="V1230" s="2" t="s">
        <v>184</v>
      </c>
      <c r="W1230" s="2">
        <v>4</v>
      </c>
      <c r="X1230" s="2">
        <v>7</v>
      </c>
      <c r="Y1230" s="2">
        <v>2</v>
      </c>
      <c r="Z1230" s="2">
        <v>0</v>
      </c>
      <c r="AA1230" s="2">
        <v>0</v>
      </c>
      <c r="AB1230" s="12">
        <f>(W1230*4+X1230*1+Y1230*-2+Z1230*-3)/W1230</f>
        <v>4.75</v>
      </c>
      <c r="AC1230" s="3">
        <f>W1230*12.0107+X1230*1.00784+Y1230*15.999+Z1230*14.0067</f>
        <v>87.095680000000002</v>
      </c>
      <c r="AD1230" s="12">
        <v>163.5</v>
      </c>
      <c r="AE1230" s="2" t="s">
        <v>131</v>
      </c>
      <c r="AF1230" s="2" t="s">
        <v>79</v>
      </c>
      <c r="AG1230" s="2" t="str">
        <f>IF(AD1230&gt;37,"Proton symporter", "Diffusion")</f>
        <v>Proton symporter</v>
      </c>
      <c r="AH1230" s="3" t="s">
        <v>185</v>
      </c>
    </row>
    <row r="1231" spans="1:34" hidden="1" x14ac:dyDescent="0.2">
      <c r="A1231" s="16" t="s">
        <v>63</v>
      </c>
      <c r="B1231" s="17" t="s">
        <v>64</v>
      </c>
      <c r="C1231" t="s">
        <v>70</v>
      </c>
      <c r="D1231" s="18" t="s">
        <v>66</v>
      </c>
      <c r="E1231" t="s">
        <v>186</v>
      </c>
      <c r="F1231" t="s">
        <v>187</v>
      </c>
      <c r="G1231">
        <v>-10</v>
      </c>
      <c r="H1231">
        <v>0</v>
      </c>
      <c r="I1231">
        <v>0</v>
      </c>
      <c r="J1231">
        <v>0.45</v>
      </c>
      <c r="K1231">
        <v>-10</v>
      </c>
      <c r="L1231">
        <v>0</v>
      </c>
      <c r="M1231">
        <v>0</v>
      </c>
      <c r="N1231">
        <v>6</v>
      </c>
      <c r="O1231">
        <v>1</v>
      </c>
      <c r="P1231"/>
      <c r="Q1231">
        <v>0.1</v>
      </c>
      <c r="R1231">
        <v>0.189216677963745</v>
      </c>
      <c r="S1231" s="11" t="s">
        <v>186</v>
      </c>
      <c r="T1231" s="2" t="s">
        <v>186</v>
      </c>
      <c r="U1231" s="3" t="s">
        <v>41</v>
      </c>
      <c r="V1231" s="2" t="s">
        <v>184</v>
      </c>
      <c r="W1231" s="2">
        <v>4</v>
      </c>
      <c r="X1231" s="2">
        <v>7</v>
      </c>
      <c r="Y1231" s="2">
        <v>2</v>
      </c>
      <c r="Z1231" s="2">
        <v>0</v>
      </c>
      <c r="AA1231" s="2">
        <v>0</v>
      </c>
      <c r="AB1231" s="12">
        <f>(W1231*4+X1231*1+Y1231*-2+Z1231*-3)/W1231</f>
        <v>4.75</v>
      </c>
      <c r="AC1231" s="3">
        <f>W1231*12.0107+X1231*1.00784+Y1231*15.999+Z1231*14.0067</f>
        <v>87.095680000000002</v>
      </c>
      <c r="AD1231" s="12">
        <v>155</v>
      </c>
      <c r="AE1231" s="2" t="s">
        <v>131</v>
      </c>
      <c r="AF1231" s="2" t="s">
        <v>135</v>
      </c>
      <c r="AG1231" s="2" t="str">
        <f>IF(AD1231&gt;37,"Proton symporter", "Diffusion")</f>
        <v>Proton symporter</v>
      </c>
      <c r="AH1231" s="3" t="s">
        <v>188</v>
      </c>
    </row>
    <row r="1232" spans="1:34" hidden="1" x14ac:dyDescent="0.2">
      <c r="A1232" s="16" t="s">
        <v>63</v>
      </c>
      <c r="B1232" s="17" t="s">
        <v>64</v>
      </c>
      <c r="C1232" t="s">
        <v>72</v>
      </c>
      <c r="D1232" s="18" t="s">
        <v>66</v>
      </c>
      <c r="E1232" t="s">
        <v>331</v>
      </c>
      <c r="F1232" t="s">
        <v>332</v>
      </c>
      <c r="G1232">
        <v>-10</v>
      </c>
      <c r="H1232">
        <v>0</v>
      </c>
      <c r="I1232">
        <v>-10</v>
      </c>
      <c r="J1232">
        <v>0.45</v>
      </c>
      <c r="K1232">
        <v>-10</v>
      </c>
      <c r="L1232">
        <v>0</v>
      </c>
      <c r="M1232">
        <v>-10</v>
      </c>
      <c r="N1232">
        <v>3.6842105263157898</v>
      </c>
      <c r="O1232">
        <v>1.0526315789473699</v>
      </c>
      <c r="P1232"/>
      <c r="Q1232">
        <v>0.105263157894737</v>
      </c>
      <c r="R1232">
        <v>0.18878290678579501</v>
      </c>
      <c r="S1232" s="11" t="s">
        <v>331</v>
      </c>
      <c r="T1232" s="2" t="s">
        <v>331</v>
      </c>
      <c r="U1232" s="3" t="s">
        <v>106</v>
      </c>
      <c r="V1232" s="3" t="s">
        <v>333</v>
      </c>
      <c r="W1232" s="2">
        <v>6</v>
      </c>
      <c r="X1232" s="2">
        <v>14</v>
      </c>
      <c r="Y1232" s="2">
        <v>0</v>
      </c>
      <c r="Z1232" s="2">
        <v>0</v>
      </c>
      <c r="AA1232" s="2">
        <v>0</v>
      </c>
      <c r="AB1232" s="12">
        <f>(W1232*4+X1232*1+Y1232*-2+Z1232*-3)/W1232</f>
        <v>6.333333333333333</v>
      </c>
      <c r="AC1232" s="3">
        <f>W1232*12.0107+X1232*1.00784+Y1232*15.999+Z1232*14.0067</f>
        <v>86.173959999999994</v>
      </c>
      <c r="AD1232" s="12">
        <v>69</v>
      </c>
      <c r="AE1232" s="3" t="s">
        <v>321</v>
      </c>
      <c r="AF1232" s="2" t="s">
        <v>313</v>
      </c>
      <c r="AG1232" s="2" t="str">
        <f>IF(AD1232&gt;37,"Proton symporter", "Diffusion")</f>
        <v>Proton symporter</v>
      </c>
      <c r="AH1232" s="3" t="s">
        <v>334</v>
      </c>
    </row>
    <row r="1233" spans="1:34" hidden="1" x14ac:dyDescent="0.2">
      <c r="A1233" s="8" t="s">
        <v>34</v>
      </c>
      <c r="B1233" s="9" t="s">
        <v>35</v>
      </c>
      <c r="C1233" s="1" t="s">
        <v>46</v>
      </c>
      <c r="D1233" s="10" t="s">
        <v>37</v>
      </c>
      <c r="E1233" s="1" t="s">
        <v>348</v>
      </c>
      <c r="F1233" s="1" t="s">
        <v>344</v>
      </c>
      <c r="G1233" s="1">
        <v>-10</v>
      </c>
      <c r="H1233" s="1">
        <v>-20</v>
      </c>
      <c r="I1233" s="1" t="s">
        <v>40</v>
      </c>
      <c r="J1233" s="1">
        <v>3.15</v>
      </c>
      <c r="K1233" s="1">
        <v>-10</v>
      </c>
      <c r="L1233" s="1">
        <v>-7.3823529411764701</v>
      </c>
      <c r="M1233" s="1" t="s">
        <v>40</v>
      </c>
      <c r="N1233" s="1">
        <v>12.4294117647059</v>
      </c>
      <c r="O1233" s="1">
        <v>2.5235294117647098</v>
      </c>
      <c r="Q1233" s="1">
        <v>0.252352941176471</v>
      </c>
      <c r="R1233" s="1">
        <v>0.188463875391784</v>
      </c>
      <c r="S1233" s="20" t="s">
        <v>348</v>
      </c>
      <c r="T1233" s="3" t="s">
        <v>349</v>
      </c>
      <c r="U1233" s="3" t="s">
        <v>106</v>
      </c>
      <c r="V1233" s="3" t="s">
        <v>346</v>
      </c>
      <c r="W1233" s="3">
        <v>3</v>
      </c>
      <c r="X1233" s="3">
        <v>8</v>
      </c>
      <c r="Y1233" s="3">
        <v>0</v>
      </c>
      <c r="Z1233" s="3">
        <v>0</v>
      </c>
      <c r="AA1233" s="3">
        <v>0</v>
      </c>
      <c r="AB1233" s="12">
        <f>(W1233*4+X1233*1+Y1233*-2+Z1233*-3)/W1233</f>
        <v>6.666666666666667</v>
      </c>
      <c r="AC1233" s="3">
        <f>W1233*12.0107+X1233*1.00784+Y1233*15.999+Z1233*14.0067</f>
        <v>44.094819999999999</v>
      </c>
      <c r="AD1233" s="24">
        <v>-42</v>
      </c>
      <c r="AE1233" s="3" t="s">
        <v>231</v>
      </c>
      <c r="AF1233" s="3" t="s">
        <v>44</v>
      </c>
      <c r="AG1233" s="25" t="str">
        <f>IF(AD1233&gt;37,"Proton symporter", "Diffusion")</f>
        <v>Diffusion</v>
      </c>
      <c r="AH1233" s="3" t="s">
        <v>347</v>
      </c>
    </row>
    <row r="1234" spans="1:34" hidden="1" x14ac:dyDescent="0.2">
      <c r="A1234" s="16" t="s">
        <v>63</v>
      </c>
      <c r="B1234" s="17" t="s">
        <v>64</v>
      </c>
      <c r="C1234" t="s">
        <v>72</v>
      </c>
      <c r="D1234" s="18" t="s">
        <v>66</v>
      </c>
      <c r="E1234" t="s">
        <v>310</v>
      </c>
      <c r="F1234" t="s">
        <v>311</v>
      </c>
      <c r="G1234">
        <v>-10</v>
      </c>
      <c r="H1234">
        <v>0</v>
      </c>
      <c r="I1234">
        <v>-10</v>
      </c>
      <c r="J1234">
        <v>0.45</v>
      </c>
      <c r="K1234">
        <v>-10</v>
      </c>
      <c r="L1234">
        <v>0</v>
      </c>
      <c r="M1234">
        <v>-10</v>
      </c>
      <c r="N1234">
        <v>2.5633802816901499</v>
      </c>
      <c r="O1234">
        <v>1.0253521126760601</v>
      </c>
      <c r="P1234"/>
      <c r="Q1234">
        <v>0.10253521126760599</v>
      </c>
      <c r="R1234">
        <v>0.18809996759217401</v>
      </c>
      <c r="S1234" s="20" t="s">
        <v>310</v>
      </c>
      <c r="T1234" s="3" t="s">
        <v>312</v>
      </c>
      <c r="U1234" s="3" t="s">
        <v>106</v>
      </c>
      <c r="V1234" s="3" t="s">
        <v>292</v>
      </c>
      <c r="W1234" s="3">
        <v>5</v>
      </c>
      <c r="X1234" s="3">
        <v>12</v>
      </c>
      <c r="Y1234" s="3">
        <v>1</v>
      </c>
      <c r="Z1234" s="3">
        <v>0</v>
      </c>
      <c r="AA1234" s="3">
        <v>0</v>
      </c>
      <c r="AB1234" s="12">
        <f>(W1234*4+X1234*1+Y1234*-2+Z1234*-3)/W1234</f>
        <v>6</v>
      </c>
      <c r="AC1234" s="3">
        <f>W1234*12.0107+X1234*1.00784+Y1234*15.999+Z1234*14.0067</f>
        <v>88.14658</v>
      </c>
      <c r="AD1234" s="12">
        <v>138</v>
      </c>
      <c r="AE1234" s="3" t="s">
        <v>262</v>
      </c>
      <c r="AF1234" s="2" t="s">
        <v>313</v>
      </c>
      <c r="AG1234" s="2" t="str">
        <f>IF(AD1234&gt;37,"Proton symporter", "Diffusion")</f>
        <v>Proton symporter</v>
      </c>
      <c r="AH1234" s="3" t="s">
        <v>314</v>
      </c>
    </row>
    <row r="1235" spans="1:34" hidden="1" x14ac:dyDescent="0.2">
      <c r="A1235" s="16" t="s">
        <v>63</v>
      </c>
      <c r="B1235" s="17" t="s">
        <v>64</v>
      </c>
      <c r="C1235" t="s">
        <v>72</v>
      </c>
      <c r="D1235" s="18" t="s">
        <v>66</v>
      </c>
      <c r="E1235" t="s">
        <v>315</v>
      </c>
      <c r="F1235" t="s">
        <v>311</v>
      </c>
      <c r="G1235">
        <v>-10</v>
      </c>
      <c r="H1235">
        <v>0</v>
      </c>
      <c r="I1235">
        <v>-10</v>
      </c>
      <c r="J1235">
        <v>0.45</v>
      </c>
      <c r="K1235">
        <v>-10</v>
      </c>
      <c r="L1235">
        <v>0</v>
      </c>
      <c r="M1235">
        <v>-10</v>
      </c>
      <c r="N1235">
        <v>2.5633802816901401</v>
      </c>
      <c r="O1235">
        <v>1.0253521126760601</v>
      </c>
      <c r="P1235"/>
      <c r="Q1235">
        <v>0.10253521126760599</v>
      </c>
      <c r="R1235">
        <v>0.18809996759217301</v>
      </c>
      <c r="S1235" s="20" t="s">
        <v>315</v>
      </c>
      <c r="T1235" s="3" t="s">
        <v>316</v>
      </c>
      <c r="U1235" s="3" t="s">
        <v>106</v>
      </c>
      <c r="V1235" s="3" t="s">
        <v>292</v>
      </c>
      <c r="W1235" s="3">
        <v>5</v>
      </c>
      <c r="X1235" s="3">
        <v>12</v>
      </c>
      <c r="Y1235" s="3">
        <v>1</v>
      </c>
      <c r="Z1235" s="3">
        <v>0</v>
      </c>
      <c r="AA1235" s="3">
        <v>0</v>
      </c>
      <c r="AB1235" s="12">
        <f>(W1235*4+X1235*1+Y1235*-2+Z1235*-3)/W1235</f>
        <v>6</v>
      </c>
      <c r="AC1235" s="3">
        <f>W1235*12.0107+X1235*1.00784+Y1235*15.999+Z1235*14.0067</f>
        <v>88.14658</v>
      </c>
      <c r="AD1235" s="12">
        <v>138</v>
      </c>
      <c r="AE1235" s="3" t="s">
        <v>262</v>
      </c>
      <c r="AF1235" s="3" t="s">
        <v>44</v>
      </c>
      <c r="AG1235" s="2" t="str">
        <f>IF(AD1235&gt;37,"Proton symporter", "Diffusion")</f>
        <v>Proton symporter</v>
      </c>
      <c r="AH1235" s="3" t="s">
        <v>314</v>
      </c>
    </row>
    <row r="1236" spans="1:34" hidden="1" x14ac:dyDescent="0.2">
      <c r="A1236" s="8" t="s">
        <v>350</v>
      </c>
      <c r="B1236" s="17" t="s">
        <v>64</v>
      </c>
      <c r="C1236" t="s">
        <v>351</v>
      </c>
      <c r="D1236" s="13" t="s">
        <v>51</v>
      </c>
      <c r="E1236" t="s">
        <v>315</v>
      </c>
      <c r="F1236" t="s">
        <v>311</v>
      </c>
      <c r="G1236">
        <v>-10</v>
      </c>
      <c r="H1236">
        <v>0</v>
      </c>
      <c r="I1236">
        <v>0</v>
      </c>
      <c r="J1236">
        <v>0.45</v>
      </c>
      <c r="K1236">
        <v>-10</v>
      </c>
      <c r="L1236">
        <v>0</v>
      </c>
      <c r="M1236">
        <v>0</v>
      </c>
      <c r="N1236">
        <v>0</v>
      </c>
      <c r="O1236">
        <v>0.68333333333332702</v>
      </c>
      <c r="P1236"/>
      <c r="Q1236">
        <v>6.8333333333332705E-2</v>
      </c>
      <c r="R1236" s="26">
        <v>0.18798846334463501</v>
      </c>
      <c r="S1236" s="3" t="str">
        <f>VLOOKUP($E1236,'[1]Product Naming'!$A$1:$P$58,2)</f>
        <v>Pentanol-PW2</v>
      </c>
      <c r="T1236" s="3" t="str">
        <f>VLOOKUP($E1236,'[1]Product Naming'!$A$1:$P$58,3)</f>
        <v>Pentanol (PW2)</v>
      </c>
      <c r="U1236" s="3" t="str">
        <f>VLOOKUP($E1236,'[1]Product Naming'!$A$1:$P$58,4)</f>
        <v>E</v>
      </c>
      <c r="V1236" s="3" t="str">
        <f>VLOOKUP($E1236,'[1]Product Naming'!$A$1:$P$58,5)</f>
        <v>C5H12O</v>
      </c>
      <c r="W1236" s="3">
        <f>VLOOKUP($E1236,'[1]Product Naming'!$A$1:$P$58,6)</f>
        <v>5</v>
      </c>
      <c r="X1236" s="3">
        <f>VLOOKUP($E1236,'[1]Product Naming'!$A$1:$P$58,7)</f>
        <v>12</v>
      </c>
      <c r="Y1236" s="3">
        <f>VLOOKUP($E1236,'[1]Product Naming'!$A$1:$P$58,8)</f>
        <v>1</v>
      </c>
      <c r="Z1236" s="3">
        <f>VLOOKUP($E1236,'[1]Product Naming'!$A$1:$P$58,9)</f>
        <v>0</v>
      </c>
      <c r="AA1236" s="3">
        <f>VLOOKUP($E1236,'[1]Product Naming'!$A$1:$P$58,10)</f>
        <v>0</v>
      </c>
      <c r="AB1236" s="3">
        <f>VLOOKUP($E1236,'[1]Product Naming'!$A$1:$P$58,11)</f>
        <v>6</v>
      </c>
      <c r="AC1236" s="3">
        <f>VLOOKUP($E1236,'[1]Product Naming'!$A$1:$P$58,12)</f>
        <v>88.14658</v>
      </c>
      <c r="AD1236" s="3">
        <f>VLOOKUP($E1236,'[1]Product Naming'!$A$1:$P$58,13)</f>
        <v>138</v>
      </c>
      <c r="AE1236" s="3" t="str">
        <f>VLOOKUP($E1236,'[1]Product Naming'!$A$1:$P$58,14)</f>
        <v>Alcohol</v>
      </c>
      <c r="AF1236" s="3" t="str">
        <f>VLOOKUP($E1236,'[1]Product Naming'!$A$1:$P$58,15)</f>
        <v>Oxaloacetate</v>
      </c>
      <c r="AG1236" s="3" t="str">
        <f>VLOOKUP($E1236,'[1]Product Naming'!$A$1:$P$58,16)</f>
        <v>Proton symporter</v>
      </c>
      <c r="AH1236" s="3" t="str">
        <f>VLOOKUP($E1236,'[1]Product Naming'!$A$1:$Q$58,17)</f>
        <v>pentoh_c</v>
      </c>
    </row>
    <row r="1237" spans="1:34" hidden="1" x14ac:dyDescent="0.2">
      <c r="A1237" s="16" t="s">
        <v>63</v>
      </c>
      <c r="B1237" s="17" t="s">
        <v>64</v>
      </c>
      <c r="C1237" t="s">
        <v>72</v>
      </c>
      <c r="D1237" s="18" t="s">
        <v>66</v>
      </c>
      <c r="E1237" t="s">
        <v>335</v>
      </c>
      <c r="F1237" t="s">
        <v>336</v>
      </c>
      <c r="G1237">
        <v>-10</v>
      </c>
      <c r="H1237">
        <v>0</v>
      </c>
      <c r="I1237">
        <v>-10</v>
      </c>
      <c r="J1237">
        <v>0.45</v>
      </c>
      <c r="K1237">
        <v>-10</v>
      </c>
      <c r="L1237">
        <v>0</v>
      </c>
      <c r="M1237">
        <v>-10</v>
      </c>
      <c r="N1237">
        <v>3.75</v>
      </c>
      <c r="O1237">
        <v>1.25</v>
      </c>
      <c r="P1237"/>
      <c r="Q1237">
        <v>0.125</v>
      </c>
      <c r="R1237">
        <v>0.187690376194599</v>
      </c>
      <c r="S1237" s="11" t="s">
        <v>335</v>
      </c>
      <c r="T1237" s="2" t="s">
        <v>335</v>
      </c>
      <c r="U1237" s="3" t="s">
        <v>106</v>
      </c>
      <c r="V1237" s="2" t="s">
        <v>337</v>
      </c>
      <c r="W1237" s="2">
        <v>5</v>
      </c>
      <c r="X1237" s="2">
        <v>12</v>
      </c>
      <c r="Y1237" s="2">
        <v>0</v>
      </c>
      <c r="Z1237" s="2">
        <v>0</v>
      </c>
      <c r="AA1237" s="2">
        <v>0</v>
      </c>
      <c r="AB1237" s="12">
        <f>(W1237*4+X1237*1+Y1237*-2+Z1237*-3)/W1237</f>
        <v>6.4</v>
      </c>
      <c r="AC1237" s="3">
        <f>W1237*12.0107+X1237*1.00784+Y1237*15.999+Z1237*14.0067</f>
        <v>72.147580000000005</v>
      </c>
      <c r="AD1237" s="24">
        <v>36.1</v>
      </c>
      <c r="AE1237" s="3" t="s">
        <v>321</v>
      </c>
      <c r="AF1237" s="2" t="s">
        <v>79</v>
      </c>
      <c r="AG1237" s="25" t="str">
        <f>IF(AD1237&gt;37,"Proton symporter", "Diffusion")</f>
        <v>Diffusion</v>
      </c>
      <c r="AH1237" s="3" t="s">
        <v>338</v>
      </c>
    </row>
    <row r="1238" spans="1:34" hidden="1" x14ac:dyDescent="0.2">
      <c r="A1238" s="16" t="s">
        <v>63</v>
      </c>
      <c r="B1238" s="17" t="s">
        <v>64</v>
      </c>
      <c r="C1238" t="s">
        <v>71</v>
      </c>
      <c r="D1238" s="18" t="s">
        <v>66</v>
      </c>
      <c r="E1238" t="s">
        <v>289</v>
      </c>
      <c r="F1238" t="s">
        <v>290</v>
      </c>
      <c r="G1238">
        <v>-10</v>
      </c>
      <c r="H1238">
        <v>0</v>
      </c>
      <c r="I1238">
        <v>-5</v>
      </c>
      <c r="J1238">
        <v>0.45</v>
      </c>
      <c r="K1238">
        <v>-10</v>
      </c>
      <c r="L1238">
        <v>0</v>
      </c>
      <c r="M1238">
        <v>-5</v>
      </c>
      <c r="N1238">
        <v>5</v>
      </c>
      <c r="O1238">
        <v>1</v>
      </c>
      <c r="P1238"/>
      <c r="Q1238">
        <v>0.1</v>
      </c>
      <c r="R1238">
        <v>0.18738803051046399</v>
      </c>
      <c r="S1238" s="11" t="s">
        <v>289</v>
      </c>
      <c r="T1238" s="2" t="s">
        <v>291</v>
      </c>
      <c r="U1238" s="3" t="s">
        <v>41</v>
      </c>
      <c r="V1238" s="2" t="s">
        <v>292</v>
      </c>
      <c r="W1238" s="2">
        <v>5</v>
      </c>
      <c r="X1238" s="2">
        <v>12</v>
      </c>
      <c r="Y1238" s="2">
        <v>1</v>
      </c>
      <c r="Z1238" s="2">
        <v>0</v>
      </c>
      <c r="AA1238" s="2">
        <v>0</v>
      </c>
      <c r="AB1238" s="12">
        <f>(W1238*4+X1238*1+Y1238*-2+Z1238*-3)/W1238</f>
        <v>6</v>
      </c>
      <c r="AC1238" s="3">
        <f>W1238*12.0107+X1238*1.00784+Y1238*15.999+Z1238*14.0067</f>
        <v>88.14658</v>
      </c>
      <c r="AD1238" s="12">
        <v>129</v>
      </c>
      <c r="AE1238" s="2" t="s">
        <v>262</v>
      </c>
      <c r="AF1238" s="2" t="s">
        <v>293</v>
      </c>
      <c r="AG1238" s="2" t="str">
        <f>IF(AD1238&gt;37,"Proton symporter", "Diffusion")</f>
        <v>Proton symporter</v>
      </c>
      <c r="AH1238" s="3" t="s">
        <v>294</v>
      </c>
    </row>
    <row r="1239" spans="1:34" hidden="1" x14ac:dyDescent="0.2">
      <c r="A1239" s="16" t="s">
        <v>63</v>
      </c>
      <c r="B1239" s="17" t="s">
        <v>64</v>
      </c>
      <c r="C1239" t="s">
        <v>68</v>
      </c>
      <c r="D1239" s="18" t="s">
        <v>66</v>
      </c>
      <c r="E1239" t="s">
        <v>146</v>
      </c>
      <c r="F1239" t="s">
        <v>147</v>
      </c>
      <c r="G1239">
        <v>-10</v>
      </c>
      <c r="H1239">
        <v>0</v>
      </c>
      <c r="I1239">
        <v>-10</v>
      </c>
      <c r="J1239">
        <v>0.45</v>
      </c>
      <c r="K1239">
        <v>-10</v>
      </c>
      <c r="L1239">
        <v>0</v>
      </c>
      <c r="M1239">
        <v>-10</v>
      </c>
      <c r="N1239">
        <v>0.16930232558139699</v>
      </c>
      <c r="O1239">
        <v>0.33860465116278998</v>
      </c>
      <c r="P1239"/>
      <c r="Q1239">
        <v>3.3860465116279097E-2</v>
      </c>
      <c r="R1239">
        <v>0.183958483439041</v>
      </c>
      <c r="S1239" s="20" t="s">
        <v>148</v>
      </c>
      <c r="T1239" s="3" t="s">
        <v>148</v>
      </c>
      <c r="U1239" s="3" t="s">
        <v>106</v>
      </c>
      <c r="V1239" s="3" t="s">
        <v>149</v>
      </c>
      <c r="W1239" s="3">
        <v>9</v>
      </c>
      <c r="X1239" s="3">
        <v>7</v>
      </c>
      <c r="Y1239" s="3">
        <v>3</v>
      </c>
      <c r="Z1239" s="3">
        <v>0</v>
      </c>
      <c r="AA1239" s="3">
        <v>-1</v>
      </c>
      <c r="AB1239" s="12">
        <f>(W1239*4+X1239*1+Y1239*-2+Z1239*-3)/W1239</f>
        <v>4.1111111111111107</v>
      </c>
      <c r="AC1239" s="3">
        <f>W1239*12.0107+X1239*1.00784+Y1239*15.999+Z1239*14.0067</f>
        <v>163.14818</v>
      </c>
      <c r="AD1239" s="12">
        <v>346</v>
      </c>
      <c r="AE1239" s="22" t="s">
        <v>139</v>
      </c>
      <c r="AF1239" s="2" t="s">
        <v>150</v>
      </c>
      <c r="AG1239" s="2" t="str">
        <f>IF(AD1239&gt;37,"Proton symporter", "Diffusion")</f>
        <v>Proton symporter</v>
      </c>
      <c r="AH1239" s="3" t="s">
        <v>151</v>
      </c>
    </row>
    <row r="1240" spans="1:34" hidden="1" x14ac:dyDescent="0.2">
      <c r="A1240" s="8" t="s">
        <v>350</v>
      </c>
      <c r="B1240" s="17" t="s">
        <v>64</v>
      </c>
      <c r="C1240" t="s">
        <v>352</v>
      </c>
      <c r="D1240" s="13" t="s">
        <v>51</v>
      </c>
      <c r="E1240" t="s">
        <v>339</v>
      </c>
      <c r="F1240" t="s">
        <v>340</v>
      </c>
      <c r="G1240">
        <v>-10</v>
      </c>
      <c r="H1240">
        <v>0</v>
      </c>
      <c r="I1240">
        <v>0</v>
      </c>
      <c r="J1240">
        <v>0.45</v>
      </c>
      <c r="K1240">
        <v>-10</v>
      </c>
      <c r="L1240">
        <v>0</v>
      </c>
      <c r="M1240">
        <v>0</v>
      </c>
      <c r="N1240">
        <v>0</v>
      </c>
      <c r="O1240" s="26">
        <v>1.0129032258064401</v>
      </c>
      <c r="P1240"/>
      <c r="Q1240" s="26">
        <v>0.10129032258064399</v>
      </c>
      <c r="R1240" s="26">
        <v>0.183736589762453</v>
      </c>
      <c r="S1240" s="3" t="str">
        <f>VLOOKUP($E1240,'[1]Product Naming'!$A$1:$P$58,2)</f>
        <v>Butane</v>
      </c>
      <c r="T1240" s="3" t="str">
        <f>VLOOKUP($E1240,'[1]Product Naming'!$A$1:$P$58,3)</f>
        <v>Butane</v>
      </c>
      <c r="U1240" s="3" t="str">
        <f>VLOOKUP($E1240,'[1]Product Naming'!$A$1:$P$58,4)</f>
        <v>E</v>
      </c>
      <c r="V1240" s="3" t="str">
        <f>VLOOKUP($E1240,'[1]Product Naming'!$A$1:$P$58,5)</f>
        <v>C4H10</v>
      </c>
      <c r="W1240" s="3">
        <f>VLOOKUP($E1240,'[1]Product Naming'!$A$1:$P$58,6)</f>
        <v>4</v>
      </c>
      <c r="X1240" s="3">
        <f>VLOOKUP($E1240,'[1]Product Naming'!$A$1:$P$58,7)</f>
        <v>10</v>
      </c>
      <c r="Y1240" s="3">
        <f>VLOOKUP($E1240,'[1]Product Naming'!$A$1:$P$58,8)</f>
        <v>0</v>
      </c>
      <c r="Z1240" s="3">
        <f>VLOOKUP($E1240,'[1]Product Naming'!$A$1:$P$58,9)</f>
        <v>0</v>
      </c>
      <c r="AA1240" s="3">
        <f>VLOOKUP($E1240,'[1]Product Naming'!$A$1:$P$58,10)</f>
        <v>0</v>
      </c>
      <c r="AB1240" s="3">
        <f>VLOOKUP($E1240,'[1]Product Naming'!$A$1:$P$58,11)</f>
        <v>6.5</v>
      </c>
      <c r="AC1240" s="3">
        <f>VLOOKUP($E1240,'[1]Product Naming'!$A$1:$P$58,12)</f>
        <v>58.121200000000002</v>
      </c>
      <c r="AD1240" s="3">
        <f>VLOOKUP($E1240,'[1]Product Naming'!$A$1:$P$58,13)</f>
        <v>-1</v>
      </c>
      <c r="AE1240" s="3" t="str">
        <f>VLOOKUP($E1240,'[1]Product Naming'!$A$1:$P$58,14)</f>
        <v>Hydrocarbon (alkane)</v>
      </c>
      <c r="AF1240" s="3" t="str">
        <f>VLOOKUP($E1240,'[1]Product Naming'!$A$1:$P$58,15)</f>
        <v>Acetyl-CoA + Succinyl-CoA</v>
      </c>
      <c r="AG1240" s="3" t="str">
        <f>VLOOKUP($E1240,'[1]Product Naming'!$A$1:$P$58,16)</f>
        <v>Diffusion</v>
      </c>
      <c r="AH1240" s="3" t="str">
        <f>VLOOKUP($E1240,'[1]Product Naming'!$A$1:$Q$58,17)</f>
        <v>butn_c</v>
      </c>
    </row>
    <row r="1241" spans="1:34" hidden="1" x14ac:dyDescent="0.2">
      <c r="A1241" s="16" t="s">
        <v>63</v>
      </c>
      <c r="B1241" s="17" t="s">
        <v>64</v>
      </c>
      <c r="C1241" t="s">
        <v>72</v>
      </c>
      <c r="D1241" s="18" t="s">
        <v>66</v>
      </c>
      <c r="E1241" t="s">
        <v>343</v>
      </c>
      <c r="F1241" t="s">
        <v>344</v>
      </c>
      <c r="G1241">
        <v>-10</v>
      </c>
      <c r="H1241">
        <v>0</v>
      </c>
      <c r="I1241">
        <v>-10</v>
      </c>
      <c r="J1241">
        <v>0.45</v>
      </c>
      <c r="K1241">
        <v>-10</v>
      </c>
      <c r="L1241">
        <v>0</v>
      </c>
      <c r="M1241">
        <v>-10</v>
      </c>
      <c r="N1241">
        <v>4</v>
      </c>
      <c r="O1241">
        <v>2</v>
      </c>
      <c r="P1241"/>
      <c r="Q1241">
        <v>0.2</v>
      </c>
      <c r="R1241">
        <v>0.18353875994805399</v>
      </c>
      <c r="S1241" s="20" t="s">
        <v>343</v>
      </c>
      <c r="T1241" s="3" t="s">
        <v>345</v>
      </c>
      <c r="U1241" s="3" t="s">
        <v>106</v>
      </c>
      <c r="V1241" s="3" t="s">
        <v>346</v>
      </c>
      <c r="W1241" s="3">
        <v>3</v>
      </c>
      <c r="X1241" s="3">
        <v>8</v>
      </c>
      <c r="Y1241" s="3">
        <v>0</v>
      </c>
      <c r="Z1241" s="3">
        <v>0</v>
      </c>
      <c r="AA1241" s="3">
        <v>0</v>
      </c>
      <c r="AB1241" s="12">
        <f>(W1241*4+X1241*1+Y1241*-2+Z1241*-3)/W1241</f>
        <v>6.666666666666667</v>
      </c>
      <c r="AC1241" s="3">
        <f>W1241*12.0107+X1241*1.00784+Y1241*15.999+Z1241*14.0067</f>
        <v>44.094819999999999</v>
      </c>
      <c r="AD1241" s="24">
        <v>-42</v>
      </c>
      <c r="AE1241" s="3" t="s">
        <v>231</v>
      </c>
      <c r="AF1241" s="2" t="s">
        <v>79</v>
      </c>
      <c r="AG1241" s="25" t="str">
        <f>IF(AD1241&gt;37,"Proton symporter", "Diffusion")</f>
        <v>Diffusion</v>
      </c>
      <c r="AH1241" s="3" t="s">
        <v>347</v>
      </c>
    </row>
    <row r="1242" spans="1:34" hidden="1" x14ac:dyDescent="0.2">
      <c r="A1242" s="16" t="s">
        <v>63</v>
      </c>
      <c r="B1242" s="17" t="s">
        <v>64</v>
      </c>
      <c r="C1242" t="s">
        <v>71</v>
      </c>
      <c r="D1242" s="18" t="s">
        <v>66</v>
      </c>
      <c r="E1242" t="s">
        <v>273</v>
      </c>
      <c r="F1242" t="s">
        <v>274</v>
      </c>
      <c r="G1242">
        <v>-10</v>
      </c>
      <c r="H1242">
        <v>0</v>
      </c>
      <c r="I1242">
        <v>-5</v>
      </c>
      <c r="J1242">
        <v>0.45</v>
      </c>
      <c r="K1242">
        <v>-10</v>
      </c>
      <c r="L1242">
        <v>0</v>
      </c>
      <c r="M1242">
        <v>-5</v>
      </c>
      <c r="N1242">
        <v>3.6115384615384598</v>
      </c>
      <c r="O1242">
        <v>1.11153846153846</v>
      </c>
      <c r="P1242"/>
      <c r="Q1242">
        <v>0.11115384615384601</v>
      </c>
      <c r="R1242">
        <v>0.17991664813345501</v>
      </c>
      <c r="S1242" s="22" t="s">
        <v>273</v>
      </c>
      <c r="T1242" s="3" t="s">
        <v>275</v>
      </c>
      <c r="U1242" s="3" t="s">
        <v>41</v>
      </c>
      <c r="V1242" s="2" t="s">
        <v>276</v>
      </c>
      <c r="W1242" s="2">
        <v>3</v>
      </c>
      <c r="X1242" s="2">
        <v>12</v>
      </c>
      <c r="Y1242" s="2">
        <v>0</v>
      </c>
      <c r="Z1242" s="2">
        <v>2</v>
      </c>
      <c r="AA1242" s="2">
        <v>0</v>
      </c>
      <c r="AB1242" s="12">
        <f>(W1242*4+X1242*1+Y1242*-2+Z1242*-3)/W1242</f>
        <v>6</v>
      </c>
      <c r="AC1242" s="3">
        <f>W1242*12.0107+X1242*1.00784+Y1242*15.999+Z1242*14.0067</f>
        <v>76.139580000000009</v>
      </c>
      <c r="AD1242" s="12">
        <v>139.30000000000001</v>
      </c>
      <c r="AE1242" s="2" t="s">
        <v>277</v>
      </c>
      <c r="AF1242" s="2" t="s">
        <v>125</v>
      </c>
      <c r="AG1242" s="2" t="str">
        <f>IF(AD1242&gt;37,"Proton symporter", "Diffusion")</f>
        <v>Proton symporter</v>
      </c>
      <c r="AH1242" s="3" t="s">
        <v>278</v>
      </c>
    </row>
    <row r="1243" spans="1:34" hidden="1" x14ac:dyDescent="0.2">
      <c r="A1243" s="16" t="s">
        <v>63</v>
      </c>
      <c r="B1243" s="17" t="s">
        <v>64</v>
      </c>
      <c r="C1243" t="s">
        <v>73</v>
      </c>
      <c r="D1243" s="18" t="s">
        <v>66</v>
      </c>
      <c r="E1243" t="s">
        <v>166</v>
      </c>
      <c r="F1243" t="s">
        <v>167</v>
      </c>
      <c r="G1243">
        <v>-10</v>
      </c>
      <c r="H1243">
        <v>0</v>
      </c>
      <c r="I1243">
        <v>-20</v>
      </c>
      <c r="J1243">
        <v>0.45</v>
      </c>
      <c r="K1243">
        <v>-10</v>
      </c>
      <c r="L1243">
        <v>0</v>
      </c>
      <c r="M1243">
        <v>-16.906666666666698</v>
      </c>
      <c r="N1243">
        <v>0</v>
      </c>
      <c r="O1243">
        <v>1.03111111111111</v>
      </c>
      <c r="P1243"/>
      <c r="Q1243">
        <v>0.103111111111111</v>
      </c>
      <c r="R1243" s="19">
        <v>0.179524451517902</v>
      </c>
      <c r="S1243" s="11" t="s">
        <v>166</v>
      </c>
      <c r="T1243" s="2" t="s">
        <v>168</v>
      </c>
      <c r="U1243" s="3" t="s">
        <v>41</v>
      </c>
      <c r="V1243" s="2" t="s">
        <v>169</v>
      </c>
      <c r="W1243" s="2">
        <v>4</v>
      </c>
      <c r="X1243" s="2">
        <v>6</v>
      </c>
      <c r="Y1243" s="2">
        <v>2</v>
      </c>
      <c r="Z1243" s="2">
        <v>0</v>
      </c>
      <c r="AA1243" s="2">
        <v>0</v>
      </c>
      <c r="AB1243" s="12">
        <f>(W1243*4+X1243*1+Y1243*-2+Z1243*-3)/W1243</f>
        <v>4.5</v>
      </c>
      <c r="AC1243" s="3">
        <f>W1243*12.0107+X1243*1.00784+Y1243*15.999+Z1243*14.0067</f>
        <v>86.08784</v>
      </c>
      <c r="AD1243" s="12">
        <v>204</v>
      </c>
      <c r="AE1243" s="2" t="s">
        <v>170</v>
      </c>
      <c r="AF1243" s="2" t="s">
        <v>120</v>
      </c>
      <c r="AG1243" s="2" t="str">
        <f>IF(AD1243&gt;37,"Proton symporter", "Diffusion")</f>
        <v>Proton symporter</v>
      </c>
      <c r="AH1243" s="3" t="s">
        <v>171</v>
      </c>
    </row>
    <row r="1244" spans="1:34" hidden="1" x14ac:dyDescent="0.2">
      <c r="A1244" s="16" t="s">
        <v>63</v>
      </c>
      <c r="B1244" s="17" t="s">
        <v>64</v>
      </c>
      <c r="C1244" t="s">
        <v>70</v>
      </c>
      <c r="D1244" s="18" t="s">
        <v>66</v>
      </c>
      <c r="E1244" t="s">
        <v>240</v>
      </c>
      <c r="F1244" t="s">
        <v>235</v>
      </c>
      <c r="G1244">
        <v>-10</v>
      </c>
      <c r="H1244">
        <v>0</v>
      </c>
      <c r="I1244">
        <v>0</v>
      </c>
      <c r="J1244">
        <v>0.45</v>
      </c>
      <c r="K1244">
        <v>-10</v>
      </c>
      <c r="L1244">
        <v>0</v>
      </c>
      <c r="M1244">
        <v>0</v>
      </c>
      <c r="N1244">
        <v>6.3636363636363598</v>
      </c>
      <c r="O1244">
        <v>0.90909090909090895</v>
      </c>
      <c r="P1244"/>
      <c r="Q1244">
        <v>9.0909090909090995E-2</v>
      </c>
      <c r="R1244">
        <v>0.17798665522738699</v>
      </c>
      <c r="S1244" s="20" t="s">
        <v>241</v>
      </c>
      <c r="T1244" s="3" t="s">
        <v>242</v>
      </c>
      <c r="U1244" s="3" t="s">
        <v>106</v>
      </c>
      <c r="V1244" s="3" t="s">
        <v>238</v>
      </c>
      <c r="W1244" s="3">
        <v>4</v>
      </c>
      <c r="X1244" s="3">
        <v>10</v>
      </c>
      <c r="Y1244" s="3">
        <v>2</v>
      </c>
      <c r="Z1244" s="3">
        <v>0</v>
      </c>
      <c r="AA1244" s="3">
        <v>0</v>
      </c>
      <c r="AB1244" s="12">
        <f>(W1244*4+X1244*1+Y1244*-2+Z1244*-3)/W1244</f>
        <v>5.5</v>
      </c>
      <c r="AC1244" s="3">
        <f>W1244*12.0107+X1244*1.00784+Y1244*15.999+Z1244*14.0067</f>
        <v>90.119200000000006</v>
      </c>
      <c r="AD1244" s="12">
        <v>207</v>
      </c>
      <c r="AE1244" s="2" t="s">
        <v>220</v>
      </c>
      <c r="AF1244" s="3" t="s">
        <v>243</v>
      </c>
      <c r="AG1244" s="2" t="str">
        <f>IF(AD1244&gt;37,"Proton symporter", "Diffusion")</f>
        <v>Proton symporter</v>
      </c>
      <c r="AH1244" s="3" t="s">
        <v>239</v>
      </c>
    </row>
    <row r="1245" spans="1:34" hidden="1" x14ac:dyDescent="0.2">
      <c r="A1245" s="16" t="s">
        <v>63</v>
      </c>
      <c r="B1245" s="17" t="s">
        <v>64</v>
      </c>
      <c r="C1245" t="s">
        <v>70</v>
      </c>
      <c r="D1245" s="18" t="s">
        <v>66</v>
      </c>
      <c r="E1245" t="s">
        <v>249</v>
      </c>
      <c r="F1245" t="s">
        <v>250</v>
      </c>
      <c r="G1245">
        <v>-10</v>
      </c>
      <c r="H1245">
        <v>0</v>
      </c>
      <c r="I1245">
        <v>0</v>
      </c>
      <c r="J1245">
        <v>0.45</v>
      </c>
      <c r="K1245">
        <v>-10</v>
      </c>
      <c r="L1245">
        <v>0</v>
      </c>
      <c r="M1245">
        <v>0</v>
      </c>
      <c r="N1245">
        <v>6.3636363636363598</v>
      </c>
      <c r="O1245">
        <v>0.90909090909090895</v>
      </c>
      <c r="P1245"/>
      <c r="Q1245">
        <v>9.0909090909090995E-2</v>
      </c>
      <c r="R1245">
        <v>0.17798665522738699</v>
      </c>
      <c r="S1245" s="20" t="s">
        <v>251</v>
      </c>
      <c r="T1245" s="3" t="s">
        <v>252</v>
      </c>
      <c r="U1245" s="3" t="s">
        <v>106</v>
      </c>
      <c r="V1245" s="3" t="s">
        <v>238</v>
      </c>
      <c r="W1245" s="3">
        <v>4</v>
      </c>
      <c r="X1245" s="3">
        <v>10</v>
      </c>
      <c r="Y1245" s="3">
        <v>2</v>
      </c>
      <c r="Z1245" s="3">
        <v>0</v>
      </c>
      <c r="AA1245" s="3">
        <v>0</v>
      </c>
      <c r="AB1245" s="12">
        <f>(W1245*4+X1245*1+Y1245*-2+Z1245*-3)/W1245</f>
        <v>5.5</v>
      </c>
      <c r="AC1245" s="3">
        <f>W1245*12.0107+X1245*1.00784+Y1245*15.999+Z1245*14.0067</f>
        <v>90.119200000000006</v>
      </c>
      <c r="AD1245" s="12">
        <v>177</v>
      </c>
      <c r="AE1245" s="3" t="s">
        <v>220</v>
      </c>
      <c r="AF1245" s="3" t="s">
        <v>135</v>
      </c>
      <c r="AG1245" s="2" t="str">
        <f>IF(AD1245&gt;37,"Proton symporter", "Diffusion")</f>
        <v>Proton symporter</v>
      </c>
      <c r="AH1245" s="3" t="s">
        <v>253</v>
      </c>
    </row>
    <row r="1246" spans="1:34" hidden="1" x14ac:dyDescent="0.2">
      <c r="A1246" s="16" t="s">
        <v>63</v>
      </c>
      <c r="B1246" s="17" t="s">
        <v>64</v>
      </c>
      <c r="C1246" t="s">
        <v>70</v>
      </c>
      <c r="D1246" s="18" t="s">
        <v>66</v>
      </c>
      <c r="E1246" t="s">
        <v>234</v>
      </c>
      <c r="F1246" t="s">
        <v>235</v>
      </c>
      <c r="G1246">
        <v>-10</v>
      </c>
      <c r="H1246">
        <v>0</v>
      </c>
      <c r="I1246">
        <v>0</v>
      </c>
      <c r="J1246">
        <v>0.45</v>
      </c>
      <c r="K1246">
        <v>-10</v>
      </c>
      <c r="L1246">
        <v>0</v>
      </c>
      <c r="M1246">
        <v>0</v>
      </c>
      <c r="N1246">
        <v>6.3636363636363598</v>
      </c>
      <c r="O1246">
        <v>0.90909090909090895</v>
      </c>
      <c r="P1246"/>
      <c r="Q1246">
        <v>9.0909090909090995E-2</v>
      </c>
      <c r="R1246">
        <v>0.17798510852606</v>
      </c>
      <c r="S1246" s="20" t="s">
        <v>236</v>
      </c>
      <c r="T1246" s="3" t="s">
        <v>237</v>
      </c>
      <c r="U1246" s="3" t="s">
        <v>106</v>
      </c>
      <c r="V1246" s="3" t="s">
        <v>238</v>
      </c>
      <c r="W1246" s="3">
        <v>4</v>
      </c>
      <c r="X1246" s="3">
        <v>10</v>
      </c>
      <c r="Y1246" s="3">
        <v>2</v>
      </c>
      <c r="Z1246" s="3">
        <v>0</v>
      </c>
      <c r="AA1246" s="3">
        <v>0</v>
      </c>
      <c r="AB1246" s="12">
        <f>(W1246*4+X1246*1+Y1246*-2+Z1246*-3)/W1246</f>
        <v>5.5</v>
      </c>
      <c r="AC1246" s="3">
        <f>W1246*12.0107+X1246*1.00784+Y1246*15.999+Z1246*14.0067</f>
        <v>90.119200000000006</v>
      </c>
      <c r="AD1246" s="12">
        <v>207</v>
      </c>
      <c r="AE1246" s="2" t="s">
        <v>220</v>
      </c>
      <c r="AF1246" s="3" t="s">
        <v>79</v>
      </c>
      <c r="AG1246" s="2" t="str">
        <f>IF(AD1246&gt;37,"Proton symporter", "Diffusion")</f>
        <v>Proton symporter</v>
      </c>
      <c r="AH1246" s="3" t="s">
        <v>239</v>
      </c>
    </row>
    <row r="1247" spans="1:34" hidden="1" x14ac:dyDescent="0.2">
      <c r="A1247" s="8" t="s">
        <v>368</v>
      </c>
      <c r="B1247" s="17" t="s">
        <v>64</v>
      </c>
      <c r="C1247" t="s">
        <v>369</v>
      </c>
      <c r="D1247" s="18" t="s">
        <v>66</v>
      </c>
      <c r="E1247" t="s">
        <v>273</v>
      </c>
      <c r="F1247" t="s">
        <v>274</v>
      </c>
      <c r="G1247">
        <v>-10</v>
      </c>
      <c r="H1247">
        <v>0</v>
      </c>
      <c r="I1247">
        <v>-20</v>
      </c>
      <c r="J1247">
        <v>0.45</v>
      </c>
      <c r="K1247">
        <v>-8.9846153846153793</v>
      </c>
      <c r="L1247">
        <v>0</v>
      </c>
      <c r="M1247">
        <v>-20</v>
      </c>
      <c r="N1247">
        <v>-8.9846153846153793</v>
      </c>
      <c r="O1247">
        <v>1.01538461538461</v>
      </c>
      <c r="P1247"/>
      <c r="Q1247">
        <v>0.11301369863013699</v>
      </c>
      <c r="R1247">
        <v>0.177427396598622</v>
      </c>
      <c r="S1247" s="1" t="str">
        <f>VLOOKUP($E1247,'[1]Product Naming'!$A$1:$P$58,2)</f>
        <v>1-3-Diaminopropane</v>
      </c>
      <c r="T1247" s="1" t="str">
        <f>VLOOKUP($E1247,'[1]Product Naming'!$A$1:$P$58,3)</f>
        <v>1,3-Diaminopropane</v>
      </c>
      <c r="U1247" s="1" t="str">
        <f>VLOOKUP($E1247,'[1]Product Naming'!$A$1:$P$58,4)</f>
        <v>A</v>
      </c>
      <c r="V1247" s="1" t="str">
        <f>VLOOKUP($E1247,'[1]Product Naming'!$A$1:$P$58,5)</f>
        <v>C3H12N2</v>
      </c>
      <c r="W1247" s="1">
        <f>VLOOKUP($E1247,'[1]Product Naming'!$A$1:$P$58,6)</f>
        <v>3</v>
      </c>
      <c r="X1247" s="1">
        <f>VLOOKUP($E1247,'[1]Product Naming'!$A$1:$P$58,7)</f>
        <v>12</v>
      </c>
      <c r="Y1247" s="1">
        <f>VLOOKUP($E1247,'[1]Product Naming'!$A$1:$P$58,8)</f>
        <v>0</v>
      </c>
      <c r="Z1247" s="1">
        <f>VLOOKUP($E1247,'[1]Product Naming'!$A$1:$P$58,9)</f>
        <v>2</v>
      </c>
      <c r="AA1247" s="1">
        <f>VLOOKUP($E1247,'[1]Product Naming'!$A$1:$P$58,10)</f>
        <v>2</v>
      </c>
      <c r="AB1247" s="27">
        <f>VLOOKUP($E1247,'[1]Product Naming'!$A$1:$P$58,11)</f>
        <v>6</v>
      </c>
      <c r="AC1247" s="3">
        <f>VLOOKUP($E1247,'[1]Product Naming'!$A$1:$P$58,12)</f>
        <v>76.139580000000009</v>
      </c>
      <c r="AD1247" s="1">
        <f>VLOOKUP($E1247,'[1]Product Naming'!$A$1:$P$58,13)</f>
        <v>139.30000000000001</v>
      </c>
      <c r="AE1247" s="1" t="str">
        <f>VLOOKUP($E1247,'[1]Product Naming'!$A$1:$P$58,14)</f>
        <v>Diamine</v>
      </c>
      <c r="AF1247" s="1" t="str">
        <f>VLOOKUP($E1247,'[1]Product Naming'!$A$1:$P$58,15)</f>
        <v>Oxaloacetate + aKG</v>
      </c>
      <c r="AG1247" s="28" t="str">
        <f>VLOOKUP($E1247,'[1]Product Naming'!$A$1:$P$58,16)</f>
        <v>Proton symporter</v>
      </c>
      <c r="AH1247" s="3" t="str">
        <f>VLOOKUP($E1247,'[1]Product Naming'!$A$1:$Q$58,17)</f>
        <v>13dampp_c</v>
      </c>
    </row>
    <row r="1248" spans="1:34" hidden="1" x14ac:dyDescent="0.2">
      <c r="A1248" s="8" t="s">
        <v>368</v>
      </c>
      <c r="B1248" s="17" t="s">
        <v>64</v>
      </c>
      <c r="C1248" t="s">
        <v>369</v>
      </c>
      <c r="D1248" s="18" t="s">
        <v>66</v>
      </c>
      <c r="E1248" t="s">
        <v>295</v>
      </c>
      <c r="F1248" t="s">
        <v>296</v>
      </c>
      <c r="G1248">
        <v>-10</v>
      </c>
      <c r="H1248">
        <v>0</v>
      </c>
      <c r="I1248">
        <v>-20</v>
      </c>
      <c r="J1248">
        <v>0.45</v>
      </c>
      <c r="K1248">
        <v>-7.9692307692307702</v>
      </c>
      <c r="L1248">
        <v>0</v>
      </c>
      <c r="M1248">
        <v>-20</v>
      </c>
      <c r="N1248">
        <v>-7.9692307692307702</v>
      </c>
      <c r="O1248">
        <v>0.67692307692307596</v>
      </c>
      <c r="P1248"/>
      <c r="Q1248">
        <v>8.49420849420848E-2</v>
      </c>
      <c r="R1248">
        <v>0.176867329347178</v>
      </c>
      <c r="S1248" s="1" t="str">
        <f>VLOOKUP($E1248,'[1]Product Naming'!$A$1:$P$58,2)</f>
        <v>3-Methyl-1-Pentanol</v>
      </c>
      <c r="T1248" s="1" t="str">
        <f>VLOOKUP($E1248,'[1]Product Naming'!$A$1:$P$58,3)</f>
        <v>3-Methyl-1-pentanol</v>
      </c>
      <c r="U1248" s="1" t="str">
        <f>VLOOKUP($E1248,'[1]Product Naming'!$A$1:$P$58,4)</f>
        <v>A</v>
      </c>
      <c r="V1248" s="1" t="str">
        <f>VLOOKUP($E1248,'[1]Product Naming'!$A$1:$P$58,5)</f>
        <v>C6H14O</v>
      </c>
      <c r="W1248" s="1">
        <f>VLOOKUP($E1248,'[1]Product Naming'!$A$1:$P$58,6)</f>
        <v>6</v>
      </c>
      <c r="X1248" s="1">
        <f>VLOOKUP($E1248,'[1]Product Naming'!$A$1:$P$58,7)</f>
        <v>14</v>
      </c>
      <c r="Y1248" s="1">
        <f>VLOOKUP($E1248,'[1]Product Naming'!$A$1:$P$58,8)</f>
        <v>1</v>
      </c>
      <c r="Z1248" s="1">
        <f>VLOOKUP($E1248,'[1]Product Naming'!$A$1:$P$58,9)</f>
        <v>0</v>
      </c>
      <c r="AA1248" s="1">
        <f>VLOOKUP($E1248,'[1]Product Naming'!$A$1:$P$58,10)</f>
        <v>0</v>
      </c>
      <c r="AB1248" s="27">
        <f>VLOOKUP($E1248,'[1]Product Naming'!$A$1:$P$58,11)</f>
        <v>6</v>
      </c>
      <c r="AC1248" s="3">
        <f>VLOOKUP($E1248,'[1]Product Naming'!$A$1:$P$58,12)</f>
        <v>102.17295999999999</v>
      </c>
      <c r="AD1248" s="1">
        <f>VLOOKUP($E1248,'[1]Product Naming'!$A$1:$P$58,13)</f>
        <v>153</v>
      </c>
      <c r="AE1248" s="1" t="str">
        <f>VLOOKUP($E1248,'[1]Product Naming'!$A$1:$P$58,14)</f>
        <v>Alcohol</v>
      </c>
      <c r="AF1248" s="1" t="str">
        <f>VLOOKUP($E1248,'[1]Product Naming'!$A$1:$P$58,15)</f>
        <v>Oxaloacetate</v>
      </c>
      <c r="AG1248" s="28" t="str">
        <f>VLOOKUP($E1248,'[1]Product Naming'!$A$1:$P$58,16)</f>
        <v>Proton symporter</v>
      </c>
      <c r="AH1248" s="3" t="str">
        <f>VLOOKUP($E1248,'[1]Product Naming'!$A$1:$Q$58,17)</f>
        <v>3mptoh_c</v>
      </c>
    </row>
    <row r="1249" spans="1:34" hidden="1" x14ac:dyDescent="0.2">
      <c r="A1249" s="16" t="s">
        <v>63</v>
      </c>
      <c r="B1249" s="17" t="s">
        <v>64</v>
      </c>
      <c r="C1249" t="s">
        <v>72</v>
      </c>
      <c r="D1249" s="18" t="s">
        <v>66</v>
      </c>
      <c r="E1249" t="s">
        <v>348</v>
      </c>
      <c r="F1249" t="s">
        <v>344</v>
      </c>
      <c r="G1249">
        <v>-10</v>
      </c>
      <c r="H1249">
        <v>0</v>
      </c>
      <c r="I1249">
        <v>-10</v>
      </c>
      <c r="J1249">
        <v>0.45</v>
      </c>
      <c r="K1249">
        <v>-10</v>
      </c>
      <c r="L1249">
        <v>0</v>
      </c>
      <c r="M1249">
        <v>-10</v>
      </c>
      <c r="N1249">
        <v>3.8315789473684201</v>
      </c>
      <c r="O1249">
        <v>1.91578947368421</v>
      </c>
      <c r="P1249"/>
      <c r="Q1249">
        <v>0.19157894736842099</v>
      </c>
      <c r="R1249">
        <v>0.17581081216076699</v>
      </c>
      <c r="S1249" s="20" t="s">
        <v>348</v>
      </c>
      <c r="T1249" s="3" t="s">
        <v>349</v>
      </c>
      <c r="U1249" s="3" t="s">
        <v>106</v>
      </c>
      <c r="V1249" s="3" t="s">
        <v>346</v>
      </c>
      <c r="W1249" s="3">
        <v>3</v>
      </c>
      <c r="X1249" s="3">
        <v>8</v>
      </c>
      <c r="Y1249" s="3">
        <v>0</v>
      </c>
      <c r="Z1249" s="3">
        <v>0</v>
      </c>
      <c r="AA1249" s="3">
        <v>0</v>
      </c>
      <c r="AB1249" s="12">
        <f>(W1249*4+X1249*1+Y1249*-2+Z1249*-3)/W1249</f>
        <v>6.666666666666667</v>
      </c>
      <c r="AC1249" s="3">
        <f>W1249*12.0107+X1249*1.00784+Y1249*15.999+Z1249*14.0067</f>
        <v>44.094819999999999</v>
      </c>
      <c r="AD1249" s="24">
        <v>-42</v>
      </c>
      <c r="AE1249" s="3" t="s">
        <v>231</v>
      </c>
      <c r="AF1249" s="3" t="s">
        <v>44</v>
      </c>
      <c r="AG1249" s="25" t="str">
        <f>IF(AD1249&gt;37,"Proton symporter", "Diffusion")</f>
        <v>Diffusion</v>
      </c>
      <c r="AH1249" s="3" t="s">
        <v>347</v>
      </c>
    </row>
    <row r="1250" spans="1:34" hidden="1" x14ac:dyDescent="0.2">
      <c r="A1250" s="8" t="s">
        <v>34</v>
      </c>
      <c r="B1250" s="9" t="s">
        <v>35</v>
      </c>
      <c r="C1250" s="1" t="s">
        <v>57</v>
      </c>
      <c r="D1250" s="10" t="s">
        <v>37</v>
      </c>
      <c r="E1250" s="1" t="s">
        <v>348</v>
      </c>
      <c r="F1250" s="1" t="s">
        <v>344</v>
      </c>
      <c r="G1250" s="1">
        <v>-10</v>
      </c>
      <c r="H1250" s="1">
        <v>-20</v>
      </c>
      <c r="I1250" s="1" t="s">
        <v>40</v>
      </c>
      <c r="J1250" s="1">
        <v>3.15</v>
      </c>
      <c r="K1250" s="1">
        <v>-10</v>
      </c>
      <c r="L1250" s="1">
        <v>-8.0292207792207808</v>
      </c>
      <c r="M1250" s="1" t="s">
        <v>40</v>
      </c>
      <c r="N1250" s="1">
        <v>12.8175324675325</v>
      </c>
      <c r="O1250" s="1">
        <v>2.3941558441558399</v>
      </c>
      <c r="Q1250" s="1">
        <v>0.239415584415584</v>
      </c>
      <c r="R1250" s="1">
        <v>0.17579742722973399</v>
      </c>
      <c r="S1250" s="20" t="s">
        <v>348</v>
      </c>
      <c r="T1250" s="3" t="s">
        <v>349</v>
      </c>
      <c r="U1250" s="3" t="s">
        <v>106</v>
      </c>
      <c r="V1250" s="3" t="s">
        <v>346</v>
      </c>
      <c r="W1250" s="3">
        <v>3</v>
      </c>
      <c r="X1250" s="3">
        <v>8</v>
      </c>
      <c r="Y1250" s="3">
        <v>0</v>
      </c>
      <c r="Z1250" s="3">
        <v>0</v>
      </c>
      <c r="AA1250" s="3">
        <v>0</v>
      </c>
      <c r="AB1250" s="12">
        <f>(W1250*4+X1250*1+Y1250*-2+Z1250*-3)/W1250</f>
        <v>6.666666666666667</v>
      </c>
      <c r="AC1250" s="3">
        <f>W1250*12.0107+X1250*1.00784+Y1250*15.999+Z1250*14.0067</f>
        <v>44.094819999999999</v>
      </c>
      <c r="AD1250" s="24">
        <v>-42</v>
      </c>
      <c r="AE1250" s="3" t="s">
        <v>231</v>
      </c>
      <c r="AF1250" s="3" t="s">
        <v>44</v>
      </c>
      <c r="AG1250" s="25" t="str">
        <f>IF(AD1250&gt;37,"Proton symporter", "Diffusion")</f>
        <v>Diffusion</v>
      </c>
      <c r="AH1250" s="3" t="s">
        <v>347</v>
      </c>
    </row>
    <row r="1251" spans="1:34" hidden="1" x14ac:dyDescent="0.2">
      <c r="A1251" s="16" t="s">
        <v>63</v>
      </c>
      <c r="B1251" s="17" t="s">
        <v>64</v>
      </c>
      <c r="C1251" t="s">
        <v>70</v>
      </c>
      <c r="D1251" s="18" t="s">
        <v>66</v>
      </c>
      <c r="E1251" t="s">
        <v>194</v>
      </c>
      <c r="F1251" t="s">
        <v>195</v>
      </c>
      <c r="G1251">
        <v>-10</v>
      </c>
      <c r="H1251">
        <v>0</v>
      </c>
      <c r="I1251">
        <v>0</v>
      </c>
      <c r="J1251">
        <v>0.45</v>
      </c>
      <c r="K1251">
        <v>-10</v>
      </c>
      <c r="L1251">
        <v>0</v>
      </c>
      <c r="M1251">
        <v>0</v>
      </c>
      <c r="N1251">
        <v>5.5487179487179503</v>
      </c>
      <c r="O1251">
        <v>0.54871794871794899</v>
      </c>
      <c r="P1251"/>
      <c r="Q1251">
        <v>5.4871794871794902E-2</v>
      </c>
      <c r="R1251">
        <v>0.17546872179908299</v>
      </c>
      <c r="S1251" s="3" t="s">
        <v>194</v>
      </c>
      <c r="T1251" s="2" t="s">
        <v>196</v>
      </c>
      <c r="U1251" s="3" t="s">
        <v>35</v>
      </c>
      <c r="V1251" s="3" t="s">
        <v>197</v>
      </c>
      <c r="W1251" s="3">
        <v>6</v>
      </c>
      <c r="X1251" s="3">
        <v>15</v>
      </c>
      <c r="Y1251" s="3">
        <v>2</v>
      </c>
      <c r="Z1251" s="3">
        <v>2</v>
      </c>
      <c r="AA1251" s="3">
        <v>1</v>
      </c>
      <c r="AB1251" s="12">
        <f>(W1251*4+X1251*1+Y1251*-2+Z1251*-3)/W1251</f>
        <v>4.833333333333333</v>
      </c>
      <c r="AC1251" s="3">
        <f>W1251*12.0107+X1251*1.00784+Y1251*15.999+Z1251*14.0067</f>
        <v>147.19319999999999</v>
      </c>
      <c r="AD1251" s="12" t="s">
        <v>40</v>
      </c>
      <c r="AE1251" s="3" t="s">
        <v>119</v>
      </c>
      <c r="AF1251" s="3" t="s">
        <v>44</v>
      </c>
      <c r="AG1251" s="2" t="s">
        <v>80</v>
      </c>
      <c r="AH1251" s="2" t="s">
        <v>198</v>
      </c>
    </row>
    <row r="1252" spans="1:34" hidden="1" x14ac:dyDescent="0.2">
      <c r="A1252" s="16" t="s">
        <v>63</v>
      </c>
      <c r="B1252" s="17" t="s">
        <v>64</v>
      </c>
      <c r="C1252" t="s">
        <v>65</v>
      </c>
      <c r="D1252" s="18" t="s">
        <v>66</v>
      </c>
      <c r="E1252" t="s">
        <v>244</v>
      </c>
      <c r="F1252" t="s">
        <v>245</v>
      </c>
      <c r="G1252">
        <v>-10</v>
      </c>
      <c r="H1252">
        <v>0</v>
      </c>
      <c r="I1252">
        <v>0</v>
      </c>
      <c r="J1252">
        <v>0.45</v>
      </c>
      <c r="K1252">
        <v>-10</v>
      </c>
      <c r="L1252">
        <v>0</v>
      </c>
      <c r="M1252">
        <v>0</v>
      </c>
      <c r="N1252">
        <v>5.8126582278481003</v>
      </c>
      <c r="O1252">
        <v>0.54177215189873396</v>
      </c>
      <c r="P1252"/>
      <c r="Q1252">
        <v>5.4177215189873E-2</v>
      </c>
      <c r="R1252">
        <v>0.17430943559940201</v>
      </c>
      <c r="S1252" s="20" t="s">
        <v>246</v>
      </c>
      <c r="T1252" s="3" t="s">
        <v>247</v>
      </c>
      <c r="U1252" s="3" t="s">
        <v>106</v>
      </c>
      <c r="V1252" s="3" t="s">
        <v>238</v>
      </c>
      <c r="W1252" s="3">
        <v>4</v>
      </c>
      <c r="X1252" s="3">
        <v>10</v>
      </c>
      <c r="Y1252" s="3">
        <v>2</v>
      </c>
      <c r="Z1252" s="3">
        <v>0</v>
      </c>
      <c r="AA1252" s="3">
        <v>0</v>
      </c>
      <c r="AB1252" s="12">
        <f>(W1252*4+X1252*1+Y1252*-2+Z1252*-3)/W1252</f>
        <v>5.5</v>
      </c>
      <c r="AC1252" s="3">
        <f>W1252*12.0107+X1252*1.00784+Y1252*15.999+Z1252*14.0067</f>
        <v>90.119200000000006</v>
      </c>
      <c r="AD1252" s="12">
        <v>230</v>
      </c>
      <c r="AE1252" s="2" t="s">
        <v>220</v>
      </c>
      <c r="AF1252" s="3" t="s">
        <v>120</v>
      </c>
      <c r="AG1252" s="2" t="str">
        <f>IF(AD1252&gt;37,"Proton symporter", "Diffusion")</f>
        <v>Proton symporter</v>
      </c>
      <c r="AH1252" s="3" t="s">
        <v>248</v>
      </c>
    </row>
    <row r="1253" spans="1:34" hidden="1" x14ac:dyDescent="0.2">
      <c r="A1253" s="16" t="s">
        <v>63</v>
      </c>
      <c r="B1253" s="17" t="s">
        <v>64</v>
      </c>
      <c r="C1253" t="s">
        <v>65</v>
      </c>
      <c r="D1253" s="18" t="s">
        <v>66</v>
      </c>
      <c r="E1253" t="s">
        <v>279</v>
      </c>
      <c r="F1253" t="s">
        <v>280</v>
      </c>
      <c r="G1253">
        <v>-10</v>
      </c>
      <c r="H1253">
        <v>0</v>
      </c>
      <c r="I1253">
        <v>0</v>
      </c>
      <c r="J1253">
        <v>0.45</v>
      </c>
      <c r="K1253">
        <v>-10</v>
      </c>
      <c r="L1253">
        <v>0</v>
      </c>
      <c r="M1253">
        <v>0</v>
      </c>
      <c r="N1253">
        <v>6.2113207547169802</v>
      </c>
      <c r="O1253">
        <v>0.80754716981132102</v>
      </c>
      <c r="P1253"/>
      <c r="Q1253">
        <v>8.0754716981131999E-2</v>
      </c>
      <c r="R1253">
        <v>0.17325453146787201</v>
      </c>
      <c r="S1253" s="20" t="s">
        <v>281</v>
      </c>
      <c r="T1253" s="3" t="s">
        <v>282</v>
      </c>
      <c r="U1253" s="3" t="s">
        <v>174</v>
      </c>
      <c r="V1253" s="3" t="s">
        <v>283</v>
      </c>
      <c r="W1253" s="3">
        <v>3</v>
      </c>
      <c r="X1253" s="3">
        <v>8</v>
      </c>
      <c r="Y1253" s="3">
        <v>1</v>
      </c>
      <c r="Z1253" s="3">
        <v>0</v>
      </c>
      <c r="AA1253" s="3">
        <v>0</v>
      </c>
      <c r="AB1253" s="12">
        <f>(W1253*4+X1253*1+Y1253*-2+Z1253*-3)/W1253</f>
        <v>6</v>
      </c>
      <c r="AC1253" s="3">
        <f>W1253*12.0107+X1253*1.00784+Y1253*15.999+Z1253*14.0067</f>
        <v>60.093820000000001</v>
      </c>
      <c r="AD1253" s="12">
        <v>97</v>
      </c>
      <c r="AE1253" s="2" t="s">
        <v>262</v>
      </c>
      <c r="AF1253" s="2" t="s">
        <v>284</v>
      </c>
      <c r="AG1253" s="2" t="str">
        <f>IF(AD1253&gt;37,"Proton symporter", "Diffusion")</f>
        <v>Proton symporter</v>
      </c>
      <c r="AH1253" s="3" t="s">
        <v>285</v>
      </c>
    </row>
    <row r="1254" spans="1:34" hidden="1" x14ac:dyDescent="0.2">
      <c r="A1254" s="16" t="s">
        <v>63</v>
      </c>
      <c r="B1254" s="17" t="s">
        <v>64</v>
      </c>
      <c r="C1254" t="s">
        <v>72</v>
      </c>
      <c r="D1254" s="18" t="s">
        <v>66</v>
      </c>
      <c r="E1254" t="s">
        <v>244</v>
      </c>
      <c r="F1254" t="s">
        <v>245</v>
      </c>
      <c r="G1254">
        <v>-10</v>
      </c>
      <c r="H1254">
        <v>0</v>
      </c>
      <c r="I1254">
        <v>-10</v>
      </c>
      <c r="J1254">
        <v>0.45</v>
      </c>
      <c r="K1254">
        <v>-10</v>
      </c>
      <c r="L1254">
        <v>0</v>
      </c>
      <c r="M1254">
        <v>-10</v>
      </c>
      <c r="N1254">
        <v>1.38227848101266</v>
      </c>
      <c r="O1254">
        <v>0.92151898734177196</v>
      </c>
      <c r="P1254"/>
      <c r="Q1254">
        <v>9.2151898734177007E-2</v>
      </c>
      <c r="R1254">
        <v>0.17283505778206401</v>
      </c>
      <c r="S1254" s="20" t="s">
        <v>246</v>
      </c>
      <c r="T1254" s="3" t="s">
        <v>247</v>
      </c>
      <c r="U1254" s="3" t="s">
        <v>106</v>
      </c>
      <c r="V1254" s="3" t="s">
        <v>238</v>
      </c>
      <c r="W1254" s="3">
        <v>4</v>
      </c>
      <c r="X1254" s="3">
        <v>10</v>
      </c>
      <c r="Y1254" s="3">
        <v>2</v>
      </c>
      <c r="Z1254" s="3">
        <v>0</v>
      </c>
      <c r="AA1254" s="3">
        <v>0</v>
      </c>
      <c r="AB1254" s="12">
        <f>(W1254*4+X1254*1+Y1254*-2+Z1254*-3)/W1254</f>
        <v>5.5</v>
      </c>
      <c r="AC1254" s="3">
        <f>W1254*12.0107+X1254*1.00784+Y1254*15.999+Z1254*14.0067</f>
        <v>90.119200000000006</v>
      </c>
      <c r="AD1254" s="12">
        <v>230</v>
      </c>
      <c r="AE1254" s="2" t="s">
        <v>220</v>
      </c>
      <c r="AF1254" s="3" t="s">
        <v>120</v>
      </c>
      <c r="AG1254" s="2" t="str">
        <f>IF(AD1254&gt;37,"Proton symporter", "Diffusion")</f>
        <v>Proton symporter</v>
      </c>
      <c r="AH1254" s="3" t="s">
        <v>248</v>
      </c>
    </row>
    <row r="1255" spans="1:34" hidden="1" x14ac:dyDescent="0.2">
      <c r="A1255" s="16" t="s">
        <v>63</v>
      </c>
      <c r="B1255" s="17" t="s">
        <v>64</v>
      </c>
      <c r="C1255" t="s">
        <v>68</v>
      </c>
      <c r="D1255" s="18" t="s">
        <v>66</v>
      </c>
      <c r="E1255" t="s">
        <v>268</v>
      </c>
      <c r="F1255" t="s">
        <v>269</v>
      </c>
      <c r="G1255">
        <v>-10</v>
      </c>
      <c r="H1255">
        <v>0</v>
      </c>
      <c r="I1255">
        <v>-10</v>
      </c>
      <c r="J1255">
        <v>0.45</v>
      </c>
      <c r="K1255">
        <v>-10</v>
      </c>
      <c r="L1255">
        <v>0</v>
      </c>
      <c r="M1255">
        <v>-10</v>
      </c>
      <c r="N1255">
        <v>1.5166666666666699</v>
      </c>
      <c r="O1255">
        <v>0.37916666666666599</v>
      </c>
      <c r="P1255"/>
      <c r="Q1255">
        <v>3.7916666666666599E-2</v>
      </c>
      <c r="R1255">
        <v>0.17201065656565601</v>
      </c>
      <c r="S1255" s="3" t="s">
        <v>268</v>
      </c>
      <c r="T1255" s="3" t="s">
        <v>268</v>
      </c>
      <c r="U1255" s="3" t="s">
        <v>106</v>
      </c>
      <c r="V1255" s="3" t="s">
        <v>270</v>
      </c>
      <c r="W1255" s="3">
        <v>10</v>
      </c>
      <c r="X1255" s="3">
        <v>16</v>
      </c>
      <c r="Y1255" s="3">
        <v>0</v>
      </c>
      <c r="Z1255" s="3">
        <v>0</v>
      </c>
      <c r="AA1255" s="3">
        <v>0</v>
      </c>
      <c r="AB1255" s="12">
        <f>(W1255*4+X1255*1+Y1255*-2+Z1255*-3)/W1255</f>
        <v>5.6</v>
      </c>
      <c r="AC1255" s="3">
        <f>W1255*12.0107+X1255*1.00784+Y1255*15.999+Z1255*14.0067</f>
        <v>136.23244</v>
      </c>
      <c r="AD1255" s="12">
        <v>176</v>
      </c>
      <c r="AE1255" s="3" t="s">
        <v>271</v>
      </c>
      <c r="AF1255" s="3" t="s">
        <v>79</v>
      </c>
      <c r="AG1255" s="2" t="str">
        <f>IF(AD1255&gt;37,"Proton symporter", "Diffusion")</f>
        <v>Proton symporter</v>
      </c>
      <c r="AH1255" s="3" t="s">
        <v>272</v>
      </c>
    </row>
    <row r="1256" spans="1:34" hidden="1" x14ac:dyDescent="0.2">
      <c r="A1256" s="16" t="s">
        <v>63</v>
      </c>
      <c r="B1256" s="17" t="s">
        <v>64</v>
      </c>
      <c r="C1256" t="s">
        <v>72</v>
      </c>
      <c r="D1256" s="18" t="s">
        <v>66</v>
      </c>
      <c r="E1256" t="s">
        <v>279</v>
      </c>
      <c r="F1256" t="s">
        <v>280</v>
      </c>
      <c r="G1256">
        <v>-10</v>
      </c>
      <c r="H1256">
        <v>0</v>
      </c>
      <c r="I1256">
        <v>-10</v>
      </c>
      <c r="J1256">
        <v>0.45</v>
      </c>
      <c r="K1256">
        <v>-10</v>
      </c>
      <c r="L1256">
        <v>0</v>
      </c>
      <c r="M1256">
        <v>-10</v>
      </c>
      <c r="N1256">
        <v>2.0603773584905598</v>
      </c>
      <c r="O1256">
        <v>1.3735849056603799</v>
      </c>
      <c r="P1256"/>
      <c r="Q1256">
        <v>0.13735849056603799</v>
      </c>
      <c r="R1256">
        <v>0.17178907644490601</v>
      </c>
      <c r="S1256" s="20" t="s">
        <v>281</v>
      </c>
      <c r="T1256" s="3" t="s">
        <v>282</v>
      </c>
      <c r="U1256" s="3" t="s">
        <v>174</v>
      </c>
      <c r="V1256" s="3" t="s">
        <v>283</v>
      </c>
      <c r="W1256" s="3">
        <v>3</v>
      </c>
      <c r="X1256" s="3">
        <v>8</v>
      </c>
      <c r="Y1256" s="3">
        <v>1</v>
      </c>
      <c r="Z1256" s="3">
        <v>0</v>
      </c>
      <c r="AA1256" s="3">
        <v>0</v>
      </c>
      <c r="AB1256" s="12">
        <f>(W1256*4+X1256*1+Y1256*-2+Z1256*-3)/W1256</f>
        <v>6</v>
      </c>
      <c r="AC1256" s="3">
        <f>W1256*12.0107+X1256*1.00784+Y1256*15.999+Z1256*14.0067</f>
        <v>60.093820000000001</v>
      </c>
      <c r="AD1256" s="12">
        <v>97</v>
      </c>
      <c r="AE1256" s="2" t="s">
        <v>262</v>
      </c>
      <c r="AF1256" s="2" t="s">
        <v>284</v>
      </c>
      <c r="AG1256" s="2" t="str">
        <f>IF(AD1256&gt;37,"Proton symporter", "Diffusion")</f>
        <v>Proton symporter</v>
      </c>
      <c r="AH1256" s="3" t="s">
        <v>285</v>
      </c>
    </row>
    <row r="1257" spans="1:34" hidden="1" x14ac:dyDescent="0.2">
      <c r="A1257" s="16" t="s">
        <v>63</v>
      </c>
      <c r="B1257" s="17" t="s">
        <v>64</v>
      </c>
      <c r="C1257" t="s">
        <v>68</v>
      </c>
      <c r="D1257" s="18" t="s">
        <v>66</v>
      </c>
      <c r="E1257" t="s">
        <v>254</v>
      </c>
      <c r="F1257" t="s">
        <v>255</v>
      </c>
      <c r="G1257">
        <v>-10</v>
      </c>
      <c r="H1257">
        <v>0</v>
      </c>
      <c r="I1257">
        <v>-10</v>
      </c>
      <c r="J1257">
        <v>0.45</v>
      </c>
      <c r="K1257">
        <v>-10</v>
      </c>
      <c r="L1257">
        <v>0</v>
      </c>
      <c r="M1257">
        <v>-10</v>
      </c>
      <c r="N1257">
        <v>1.5062068965517199</v>
      </c>
      <c r="O1257">
        <v>0.25103448275862</v>
      </c>
      <c r="P1257"/>
      <c r="Q1257">
        <v>2.5103448275862E-2</v>
      </c>
      <c r="R1257">
        <v>0.17082437617554799</v>
      </c>
      <c r="S1257" s="11" t="s">
        <v>254</v>
      </c>
      <c r="T1257" s="2" t="s">
        <v>254</v>
      </c>
      <c r="U1257" s="3" t="s">
        <v>41</v>
      </c>
      <c r="V1257" s="2" t="s">
        <v>256</v>
      </c>
      <c r="W1257" s="2">
        <v>15</v>
      </c>
      <c r="X1257" s="2">
        <v>24</v>
      </c>
      <c r="Y1257" s="2">
        <v>0</v>
      </c>
      <c r="Z1257" s="2">
        <v>0</v>
      </c>
      <c r="AA1257" s="2">
        <v>0</v>
      </c>
      <c r="AB1257" s="12">
        <f>(W1257*4+X1257*1+Y1257*-2+Z1257*-3)/W1257+0.01</f>
        <v>5.6099999999999994</v>
      </c>
      <c r="AC1257" s="3">
        <f>W1257*12.0107+X1257*1.00784+Y1257*15.999+Z1257*14.0067</f>
        <v>204.34866000000002</v>
      </c>
      <c r="AD1257" s="12" t="s">
        <v>257</v>
      </c>
      <c r="AE1257" s="2" t="s">
        <v>231</v>
      </c>
      <c r="AF1257" s="2" t="s">
        <v>79</v>
      </c>
      <c r="AG1257" s="2" t="str">
        <f>IF(AD1257&gt;37,"Proton symporter", "Diffusion")</f>
        <v>Proton symporter</v>
      </c>
      <c r="AH1257" s="3" t="s">
        <v>258</v>
      </c>
    </row>
    <row r="1258" spans="1:34" hidden="1" x14ac:dyDescent="0.2">
      <c r="A1258" s="16" t="s">
        <v>63</v>
      </c>
      <c r="B1258" s="17" t="s">
        <v>64</v>
      </c>
      <c r="C1258" t="s">
        <v>68</v>
      </c>
      <c r="D1258" s="18" t="s">
        <v>66</v>
      </c>
      <c r="E1258" t="s">
        <v>264</v>
      </c>
      <c r="F1258" t="s">
        <v>265</v>
      </c>
      <c r="G1258">
        <v>-10</v>
      </c>
      <c r="H1258">
        <v>0</v>
      </c>
      <c r="I1258">
        <v>-10</v>
      </c>
      <c r="J1258">
        <v>0.45</v>
      </c>
      <c r="K1258">
        <v>-10</v>
      </c>
      <c r="L1258">
        <v>0</v>
      </c>
      <c r="M1258">
        <v>-10</v>
      </c>
      <c r="N1258">
        <v>1.48571428571429</v>
      </c>
      <c r="O1258">
        <v>0.74285714285714399</v>
      </c>
      <c r="P1258"/>
      <c r="Q1258">
        <v>7.4285714285714399E-2</v>
      </c>
      <c r="R1258">
        <v>0.168500235003092</v>
      </c>
      <c r="S1258" s="20" t="s">
        <v>264</v>
      </c>
      <c r="T1258" s="3" t="s">
        <v>264</v>
      </c>
      <c r="U1258" s="3" t="s">
        <v>106</v>
      </c>
      <c r="V1258" s="3" t="s">
        <v>266</v>
      </c>
      <c r="W1258" s="3">
        <v>5</v>
      </c>
      <c r="X1258" s="3">
        <v>8</v>
      </c>
      <c r="Y1258" s="3">
        <v>0</v>
      </c>
      <c r="Z1258" s="3">
        <v>0</v>
      </c>
      <c r="AA1258" s="3">
        <v>0</v>
      </c>
      <c r="AB1258" s="12">
        <f>(W1258*4+X1258*1+Y1258*-2+Z1258*-3)/W1258</f>
        <v>5.6</v>
      </c>
      <c r="AC1258" s="3">
        <f>W1258*12.0107+X1258*1.00784+Y1258*15.999+Z1258*14.0067</f>
        <v>68.116219999999998</v>
      </c>
      <c r="AD1258" s="24">
        <v>34.07</v>
      </c>
      <c r="AE1258" s="3" t="s">
        <v>231</v>
      </c>
      <c r="AF1258" s="3" t="s">
        <v>79</v>
      </c>
      <c r="AG1258" s="25" t="str">
        <f>IF(AD1258&gt;37,"Proton symporter", "Diffusion")</f>
        <v>Diffusion</v>
      </c>
      <c r="AH1258" s="3" t="s">
        <v>267</v>
      </c>
    </row>
    <row r="1259" spans="1:34" hidden="1" x14ac:dyDescent="0.2">
      <c r="A1259" s="8" t="s">
        <v>368</v>
      </c>
      <c r="B1259" s="17" t="s">
        <v>64</v>
      </c>
      <c r="C1259" t="s">
        <v>369</v>
      </c>
      <c r="D1259" s="18" t="s">
        <v>66</v>
      </c>
      <c r="E1259" t="s">
        <v>310</v>
      </c>
      <c r="F1259" t="s">
        <v>311</v>
      </c>
      <c r="G1259">
        <v>-10</v>
      </c>
      <c r="H1259">
        <v>0</v>
      </c>
      <c r="I1259">
        <v>-20</v>
      </c>
      <c r="J1259">
        <v>0.45</v>
      </c>
      <c r="K1259">
        <v>-8.1408450704225306</v>
      </c>
      <c r="L1259">
        <v>0</v>
      </c>
      <c r="M1259">
        <v>-20</v>
      </c>
      <c r="N1259">
        <v>-8.1408450704225306</v>
      </c>
      <c r="O1259">
        <v>0.74366197183098404</v>
      </c>
      <c r="P1259"/>
      <c r="Q1259">
        <v>9.1349480968857893E-2</v>
      </c>
      <c r="R1259">
        <v>0.16445431790957701</v>
      </c>
      <c r="S1259" s="1" t="str">
        <f>VLOOKUP($E1259,'[1]Product Naming'!$A$1:$P$58,2)</f>
        <v>Pentanol-PW1</v>
      </c>
      <c r="T1259" s="1" t="str">
        <f>VLOOKUP($E1259,'[1]Product Naming'!$A$1:$P$58,3)</f>
        <v>Pentanol (PW1)</v>
      </c>
      <c r="U1259" s="1" t="str">
        <f>VLOOKUP($E1259,'[1]Product Naming'!$A$1:$P$58,4)</f>
        <v>E</v>
      </c>
      <c r="V1259" s="1" t="str">
        <f>VLOOKUP($E1259,'[1]Product Naming'!$A$1:$P$58,5)</f>
        <v>C5H12O</v>
      </c>
      <c r="W1259" s="1">
        <f>VLOOKUP($E1259,'[1]Product Naming'!$A$1:$P$58,6)</f>
        <v>5</v>
      </c>
      <c r="X1259" s="1">
        <f>VLOOKUP($E1259,'[1]Product Naming'!$A$1:$P$58,7)</f>
        <v>12</v>
      </c>
      <c r="Y1259" s="1">
        <f>VLOOKUP($E1259,'[1]Product Naming'!$A$1:$P$58,8)</f>
        <v>1</v>
      </c>
      <c r="Z1259" s="1">
        <f>VLOOKUP($E1259,'[1]Product Naming'!$A$1:$P$58,9)</f>
        <v>0</v>
      </c>
      <c r="AA1259" s="1">
        <f>VLOOKUP($E1259,'[1]Product Naming'!$A$1:$P$58,10)</f>
        <v>0</v>
      </c>
      <c r="AB1259" s="27">
        <f>VLOOKUP($E1259,'[1]Product Naming'!$A$1:$P$58,11)</f>
        <v>6</v>
      </c>
      <c r="AC1259" s="3">
        <f>VLOOKUP($E1259,'[1]Product Naming'!$A$1:$P$58,12)</f>
        <v>88.14658</v>
      </c>
      <c r="AD1259" s="1">
        <f>VLOOKUP($E1259,'[1]Product Naming'!$A$1:$P$58,13)</f>
        <v>138</v>
      </c>
      <c r="AE1259" s="1" t="str">
        <f>VLOOKUP($E1259,'[1]Product Naming'!$A$1:$P$58,14)</f>
        <v>Alcohol</v>
      </c>
      <c r="AF1259" s="1" t="str">
        <f>VLOOKUP($E1259,'[1]Product Naming'!$A$1:$P$58,15)</f>
        <v>Acetyl-CoA + Succinyl-CoA</v>
      </c>
      <c r="AG1259" s="28" t="str">
        <f>VLOOKUP($E1259,'[1]Product Naming'!$A$1:$P$58,16)</f>
        <v>Proton symporter</v>
      </c>
      <c r="AH1259" s="3" t="str">
        <f>VLOOKUP($E1259,'[1]Product Naming'!$A$1:$Q$58,17)</f>
        <v>pentoh_c</v>
      </c>
    </row>
    <row r="1260" spans="1:34" hidden="1" x14ac:dyDescent="0.2">
      <c r="A1260" s="8" t="s">
        <v>368</v>
      </c>
      <c r="B1260" s="17" t="s">
        <v>64</v>
      </c>
      <c r="C1260" t="s">
        <v>369</v>
      </c>
      <c r="D1260" s="18" t="s">
        <v>66</v>
      </c>
      <c r="E1260" t="s">
        <v>315</v>
      </c>
      <c r="F1260" t="s">
        <v>311</v>
      </c>
      <c r="G1260">
        <v>-10</v>
      </c>
      <c r="H1260">
        <v>0</v>
      </c>
      <c r="I1260">
        <v>-20</v>
      </c>
      <c r="J1260">
        <v>0.45</v>
      </c>
      <c r="K1260">
        <v>-8.1408450704225306</v>
      </c>
      <c r="L1260">
        <v>0</v>
      </c>
      <c r="M1260">
        <v>-20</v>
      </c>
      <c r="N1260">
        <v>-8.1408450704225306</v>
      </c>
      <c r="O1260">
        <v>0.74366197183098504</v>
      </c>
      <c r="P1260"/>
      <c r="Q1260">
        <v>9.1349480968858005E-2</v>
      </c>
      <c r="R1260">
        <v>0.16445431790957701</v>
      </c>
      <c r="S1260" s="1" t="str">
        <f>VLOOKUP($E1260,'[1]Product Naming'!$A$1:$P$58,2)</f>
        <v>Pentanol-PW2</v>
      </c>
      <c r="T1260" s="1" t="str">
        <f>VLOOKUP($E1260,'[1]Product Naming'!$A$1:$P$58,3)</f>
        <v>Pentanol (PW2)</v>
      </c>
      <c r="U1260" s="1" t="str">
        <f>VLOOKUP($E1260,'[1]Product Naming'!$A$1:$P$58,4)</f>
        <v>E</v>
      </c>
      <c r="V1260" s="1" t="str">
        <f>VLOOKUP($E1260,'[1]Product Naming'!$A$1:$P$58,5)</f>
        <v>C5H12O</v>
      </c>
      <c r="W1260" s="1">
        <f>VLOOKUP($E1260,'[1]Product Naming'!$A$1:$P$58,6)</f>
        <v>5</v>
      </c>
      <c r="X1260" s="1">
        <f>VLOOKUP($E1260,'[1]Product Naming'!$A$1:$P$58,7)</f>
        <v>12</v>
      </c>
      <c r="Y1260" s="1">
        <f>VLOOKUP($E1260,'[1]Product Naming'!$A$1:$P$58,8)</f>
        <v>1</v>
      </c>
      <c r="Z1260" s="1">
        <f>VLOOKUP($E1260,'[1]Product Naming'!$A$1:$P$58,9)</f>
        <v>0</v>
      </c>
      <c r="AA1260" s="1">
        <f>VLOOKUP($E1260,'[1]Product Naming'!$A$1:$P$58,10)</f>
        <v>0</v>
      </c>
      <c r="AB1260" s="27">
        <f>VLOOKUP($E1260,'[1]Product Naming'!$A$1:$P$58,11)</f>
        <v>6</v>
      </c>
      <c r="AC1260" s="3">
        <f>VLOOKUP($E1260,'[1]Product Naming'!$A$1:$P$58,12)</f>
        <v>88.14658</v>
      </c>
      <c r="AD1260" s="1">
        <f>VLOOKUP($E1260,'[1]Product Naming'!$A$1:$P$58,13)</f>
        <v>138</v>
      </c>
      <c r="AE1260" s="1" t="str">
        <f>VLOOKUP($E1260,'[1]Product Naming'!$A$1:$P$58,14)</f>
        <v>Alcohol</v>
      </c>
      <c r="AF1260" s="1" t="str">
        <f>VLOOKUP($E1260,'[1]Product Naming'!$A$1:$P$58,15)</f>
        <v>Oxaloacetate</v>
      </c>
      <c r="AG1260" s="28" t="str">
        <f>VLOOKUP($E1260,'[1]Product Naming'!$A$1:$P$58,16)</f>
        <v>Proton symporter</v>
      </c>
      <c r="AH1260" s="3" t="str">
        <f>VLOOKUP($E1260,'[1]Product Naming'!$A$1:$Q$58,17)</f>
        <v>pentoh_c</v>
      </c>
    </row>
    <row r="1261" spans="1:34" hidden="1" x14ac:dyDescent="0.2">
      <c r="A1261" s="16" t="s">
        <v>63</v>
      </c>
      <c r="B1261" s="17" t="s">
        <v>64</v>
      </c>
      <c r="C1261" t="s">
        <v>65</v>
      </c>
      <c r="D1261" s="18" t="s">
        <v>66</v>
      </c>
      <c r="E1261" t="s">
        <v>318</v>
      </c>
      <c r="F1261" t="s">
        <v>319</v>
      </c>
      <c r="G1261">
        <v>-10</v>
      </c>
      <c r="H1261">
        <v>0</v>
      </c>
      <c r="I1261">
        <v>0</v>
      </c>
      <c r="J1261">
        <v>0.45</v>
      </c>
      <c r="K1261">
        <v>-10</v>
      </c>
      <c r="L1261">
        <v>0</v>
      </c>
      <c r="M1261">
        <v>0</v>
      </c>
      <c r="N1261">
        <v>6.7857142857142803</v>
      </c>
      <c r="O1261">
        <v>0.35714285714285698</v>
      </c>
      <c r="P1261"/>
      <c r="Q1261">
        <v>3.5714285714285698E-2</v>
      </c>
      <c r="R1261">
        <v>0.16352973427857401</v>
      </c>
      <c r="S1261" s="20" t="s">
        <v>318</v>
      </c>
      <c r="T1261" s="3" t="s">
        <v>318</v>
      </c>
      <c r="U1261" s="3" t="s">
        <v>106</v>
      </c>
      <c r="V1261" s="3" t="s">
        <v>320</v>
      </c>
      <c r="W1261" s="3">
        <v>9</v>
      </c>
      <c r="X1261" s="3">
        <v>20</v>
      </c>
      <c r="Y1261" s="3">
        <v>0</v>
      </c>
      <c r="Z1261" s="3">
        <v>0</v>
      </c>
      <c r="AA1261" s="3">
        <v>0</v>
      </c>
      <c r="AB1261" s="12">
        <f>(W1261*4+X1261*1+Y1261*-2+Z1261*-3)/W1261</f>
        <v>6.2222222222222223</v>
      </c>
      <c r="AC1261" s="3">
        <f>W1261*12.0107+X1261*1.00784+Y1261*15.999+Z1261*14.0067</f>
        <v>128.25309999999999</v>
      </c>
      <c r="AD1261" s="12">
        <v>151</v>
      </c>
      <c r="AE1261" s="3" t="s">
        <v>321</v>
      </c>
      <c r="AF1261" s="2" t="s">
        <v>79</v>
      </c>
      <c r="AG1261" s="2" t="str">
        <f>IF(AD1261&gt;37,"Proton symporter", "Diffusion")</f>
        <v>Proton symporter</v>
      </c>
      <c r="AH1261" s="3" t="s">
        <v>322</v>
      </c>
    </row>
    <row r="1262" spans="1:34" hidden="1" x14ac:dyDescent="0.2">
      <c r="A1262" s="16" t="s">
        <v>63</v>
      </c>
      <c r="B1262" s="17" t="s">
        <v>64</v>
      </c>
      <c r="C1262" t="s">
        <v>65</v>
      </c>
      <c r="D1262" s="18" t="s">
        <v>66</v>
      </c>
      <c r="E1262" t="s">
        <v>323</v>
      </c>
      <c r="F1262" t="s">
        <v>324</v>
      </c>
      <c r="G1262">
        <v>-10</v>
      </c>
      <c r="H1262">
        <v>0</v>
      </c>
      <c r="I1262">
        <v>0</v>
      </c>
      <c r="J1262">
        <v>0.45</v>
      </c>
      <c r="K1262">
        <v>-10</v>
      </c>
      <c r="L1262">
        <v>0</v>
      </c>
      <c r="M1262">
        <v>0</v>
      </c>
      <c r="N1262">
        <v>6.8</v>
      </c>
      <c r="O1262">
        <v>0.4</v>
      </c>
      <c r="P1262"/>
      <c r="Q1262">
        <v>0.04</v>
      </c>
      <c r="R1262">
        <v>0.16312277043912901</v>
      </c>
      <c r="S1262" s="11" t="s">
        <v>323</v>
      </c>
      <c r="T1262" s="2" t="s">
        <v>323</v>
      </c>
      <c r="U1262" s="3" t="s">
        <v>106</v>
      </c>
      <c r="V1262" s="2" t="s">
        <v>325</v>
      </c>
      <c r="W1262" s="2">
        <v>8</v>
      </c>
      <c r="X1262" s="2">
        <v>18</v>
      </c>
      <c r="Y1262" s="2">
        <v>0</v>
      </c>
      <c r="Z1262" s="2">
        <v>0</v>
      </c>
      <c r="AA1262" s="2">
        <v>0</v>
      </c>
      <c r="AB1262" s="12">
        <f>(W1262*4+X1262*1+Y1262*-2+Z1262*-3)/W1262</f>
        <v>6.25</v>
      </c>
      <c r="AC1262" s="3">
        <f>W1262*12.0107+X1262*1.00784+Y1262*15.999+Z1262*14.0067</f>
        <v>114.22672</v>
      </c>
      <c r="AD1262" s="12">
        <v>126</v>
      </c>
      <c r="AE1262" s="3" t="s">
        <v>321</v>
      </c>
      <c r="AF1262" s="2" t="s">
        <v>313</v>
      </c>
      <c r="AG1262" s="2" t="str">
        <f>IF(AD1262&gt;37,"Proton symporter", "Diffusion")</f>
        <v>Proton symporter</v>
      </c>
      <c r="AH1262" s="3" t="s">
        <v>326</v>
      </c>
    </row>
    <row r="1263" spans="1:34" hidden="1" x14ac:dyDescent="0.2">
      <c r="A1263" s="16" t="s">
        <v>63</v>
      </c>
      <c r="B1263" s="17" t="s">
        <v>64</v>
      </c>
      <c r="C1263" t="s">
        <v>65</v>
      </c>
      <c r="D1263" s="18" t="s">
        <v>66</v>
      </c>
      <c r="E1263" t="s">
        <v>327</v>
      </c>
      <c r="F1263" t="s">
        <v>328</v>
      </c>
      <c r="G1263">
        <v>-10</v>
      </c>
      <c r="H1263">
        <v>0</v>
      </c>
      <c r="I1263">
        <v>0</v>
      </c>
      <c r="J1263">
        <v>0.45</v>
      </c>
      <c r="K1263">
        <v>-10</v>
      </c>
      <c r="L1263">
        <v>0</v>
      </c>
      <c r="M1263">
        <v>0</v>
      </c>
      <c r="N1263">
        <v>6.8181818181818201</v>
      </c>
      <c r="O1263">
        <v>0.45454545454545398</v>
      </c>
      <c r="P1263"/>
      <c r="Q1263">
        <v>4.54545454545454E-2</v>
      </c>
      <c r="R1263">
        <v>0.16260481646165301</v>
      </c>
      <c r="S1263" s="20" t="s">
        <v>327</v>
      </c>
      <c r="T1263" s="3" t="s">
        <v>327</v>
      </c>
      <c r="U1263" s="3" t="s">
        <v>106</v>
      </c>
      <c r="V1263" s="3" t="s">
        <v>329</v>
      </c>
      <c r="W1263" s="3">
        <v>7</v>
      </c>
      <c r="X1263" s="3">
        <v>16</v>
      </c>
      <c r="Y1263" s="3">
        <v>0</v>
      </c>
      <c r="Z1263" s="3">
        <v>0</v>
      </c>
      <c r="AA1263" s="3">
        <v>0</v>
      </c>
      <c r="AB1263" s="12">
        <f>(W1263*4+X1263*1+Y1263*-2+Z1263*-3)/W1263</f>
        <v>6.2857142857142856</v>
      </c>
      <c r="AC1263" s="3">
        <f>W1263*12.0107+X1263*1.00784+Y1263*15.999+Z1263*14.0067</f>
        <v>100.20034</v>
      </c>
      <c r="AD1263" s="3">
        <v>98</v>
      </c>
      <c r="AE1263" s="3" t="s">
        <v>321</v>
      </c>
      <c r="AF1263" s="2" t="s">
        <v>79</v>
      </c>
      <c r="AG1263" s="2" t="str">
        <f>IF(AD1263&gt;37,"Proton symporter", "Diffusion")</f>
        <v>Proton symporter</v>
      </c>
      <c r="AH1263" s="3" t="s">
        <v>330</v>
      </c>
    </row>
    <row r="1264" spans="1:34" hidden="1" x14ac:dyDescent="0.2">
      <c r="A1264" s="16" t="s">
        <v>63</v>
      </c>
      <c r="B1264" s="17" t="s">
        <v>64</v>
      </c>
      <c r="C1264" t="s">
        <v>65</v>
      </c>
      <c r="D1264" s="18" t="s">
        <v>66</v>
      </c>
      <c r="E1264" t="s">
        <v>331</v>
      </c>
      <c r="F1264" t="s">
        <v>332</v>
      </c>
      <c r="G1264">
        <v>-10</v>
      </c>
      <c r="H1264">
        <v>0</v>
      </c>
      <c r="I1264">
        <v>0</v>
      </c>
      <c r="J1264">
        <v>0.45</v>
      </c>
      <c r="K1264">
        <v>-10</v>
      </c>
      <c r="L1264">
        <v>0</v>
      </c>
      <c r="M1264">
        <v>0</v>
      </c>
      <c r="N1264">
        <v>6.8421052631579</v>
      </c>
      <c r="O1264">
        <v>0.52631578947368396</v>
      </c>
      <c r="P1264"/>
      <c r="Q1264">
        <v>5.2631578947368397E-2</v>
      </c>
      <c r="R1264">
        <v>0.161923298070238</v>
      </c>
      <c r="S1264" s="11" t="s">
        <v>331</v>
      </c>
      <c r="T1264" s="2" t="s">
        <v>331</v>
      </c>
      <c r="U1264" s="3" t="s">
        <v>106</v>
      </c>
      <c r="V1264" s="3" t="s">
        <v>333</v>
      </c>
      <c r="W1264" s="2">
        <v>6</v>
      </c>
      <c r="X1264" s="2">
        <v>14</v>
      </c>
      <c r="Y1264" s="2">
        <v>0</v>
      </c>
      <c r="Z1264" s="2">
        <v>0</v>
      </c>
      <c r="AA1264" s="2">
        <v>0</v>
      </c>
      <c r="AB1264" s="12">
        <f>(W1264*4+X1264*1+Y1264*-2+Z1264*-3)/W1264</f>
        <v>6.333333333333333</v>
      </c>
      <c r="AC1264" s="3">
        <f>W1264*12.0107+X1264*1.00784+Y1264*15.999+Z1264*14.0067</f>
        <v>86.173959999999994</v>
      </c>
      <c r="AD1264" s="12">
        <v>69</v>
      </c>
      <c r="AE1264" s="3" t="s">
        <v>321</v>
      </c>
      <c r="AF1264" s="2" t="s">
        <v>313</v>
      </c>
      <c r="AG1264" s="2" t="str">
        <f>IF(AD1264&gt;37,"Proton symporter", "Diffusion")</f>
        <v>Proton symporter</v>
      </c>
      <c r="AH1264" s="3" t="s">
        <v>334</v>
      </c>
    </row>
    <row r="1265" spans="1:34" hidden="1" x14ac:dyDescent="0.2">
      <c r="A1265" s="8" t="s">
        <v>350</v>
      </c>
      <c r="B1265" s="17" t="s">
        <v>64</v>
      </c>
      <c r="C1265" t="s">
        <v>354</v>
      </c>
      <c r="D1265" s="13" t="s">
        <v>51</v>
      </c>
      <c r="E1265" t="s">
        <v>178</v>
      </c>
      <c r="F1265" t="s">
        <v>179</v>
      </c>
      <c r="G1265">
        <v>-10</v>
      </c>
      <c r="H1265">
        <v>0</v>
      </c>
      <c r="I1265">
        <v>0</v>
      </c>
      <c r="J1265">
        <v>0.45</v>
      </c>
      <c r="K1265">
        <v>-10</v>
      </c>
      <c r="L1265">
        <v>0</v>
      </c>
      <c r="M1265" s="26">
        <v>2.1284403669724701</v>
      </c>
      <c r="N1265">
        <v>0</v>
      </c>
      <c r="O1265" s="26">
        <v>0.42568807339449299</v>
      </c>
      <c r="P1265"/>
      <c r="Q1265">
        <v>4.2568807339449302E-2</v>
      </c>
      <c r="R1265" s="26">
        <v>0.16179088795529001</v>
      </c>
      <c r="S1265" s="3" t="str">
        <f>VLOOKUP($E1265,'[1]Product Naming'!$A$1:$P$58,2)</f>
        <v>4-Hydroxystyrene</v>
      </c>
      <c r="T1265" s="3" t="str">
        <f>VLOOKUP($E1265,'[1]Product Naming'!$A$1:$P$58,3)</f>
        <v>4-Hydroxystyrene</v>
      </c>
      <c r="U1265" s="3" t="str">
        <f>VLOOKUP($E1265,'[1]Product Naming'!$A$1:$P$58,4)</f>
        <v>E</v>
      </c>
      <c r="V1265" s="3" t="str">
        <f>VLOOKUP($E1265,'[1]Product Naming'!$A$1:$P$58,5)</f>
        <v>C8H8O</v>
      </c>
      <c r="W1265" s="3">
        <f>VLOOKUP($E1265,'[1]Product Naming'!$A$1:$P$58,6)</f>
        <v>8</v>
      </c>
      <c r="X1265" s="3">
        <f>VLOOKUP($E1265,'[1]Product Naming'!$A$1:$P$58,7)</f>
        <v>8</v>
      </c>
      <c r="Y1265" s="3">
        <f>VLOOKUP($E1265,'[1]Product Naming'!$A$1:$P$58,8)</f>
        <v>1</v>
      </c>
      <c r="Z1265" s="3">
        <f>VLOOKUP($E1265,'[1]Product Naming'!$A$1:$P$58,9)</f>
        <v>0</v>
      </c>
      <c r="AA1265" s="3">
        <f>VLOOKUP($E1265,'[1]Product Naming'!$A$1:$P$58,10)</f>
        <v>0</v>
      </c>
      <c r="AB1265" s="3">
        <f>VLOOKUP($E1265,'[1]Product Naming'!$A$1:$P$58,11)</f>
        <v>4.75</v>
      </c>
      <c r="AC1265" s="3">
        <f>VLOOKUP($E1265,'[1]Product Naming'!$A$1:$P$58,12)</f>
        <v>120.14731999999999</v>
      </c>
      <c r="AD1265" s="3">
        <f>VLOOKUP($E1265,'[1]Product Naming'!$A$1:$P$58,13)</f>
        <v>229</v>
      </c>
      <c r="AE1265" s="3" t="str">
        <f>VLOOKUP($E1265,'[1]Product Naming'!$A$1:$P$58,14)</f>
        <v>Aromatic + Alcohol</v>
      </c>
      <c r="AF1265" s="3" t="str">
        <f>VLOOKUP($E1265,'[1]Product Naming'!$A$1:$P$58,15)</f>
        <v>E4P + L-glutamate</v>
      </c>
      <c r="AG1265" s="3" t="str">
        <f>VLOOKUP($E1265,'[1]Product Naming'!$A$1:$P$58,16)</f>
        <v>Proton symporter</v>
      </c>
      <c r="AH1265" s="3" t="str">
        <f>VLOOKUP($E1265,'[1]Product Naming'!$A$1:$Q$58,17)</f>
        <v>4hxst_c</v>
      </c>
    </row>
    <row r="1266" spans="1:34" hidden="1" x14ac:dyDescent="0.2">
      <c r="A1266" s="16" t="s">
        <v>63</v>
      </c>
      <c r="B1266" s="17" t="s">
        <v>64</v>
      </c>
      <c r="C1266" t="s">
        <v>69</v>
      </c>
      <c r="D1266" s="18" t="s">
        <v>66</v>
      </c>
      <c r="E1266" t="s">
        <v>178</v>
      </c>
      <c r="F1266" t="s">
        <v>179</v>
      </c>
      <c r="G1266">
        <v>-10</v>
      </c>
      <c r="H1266">
        <v>0</v>
      </c>
      <c r="I1266">
        <v>-20</v>
      </c>
      <c r="J1266">
        <v>0.45</v>
      </c>
      <c r="K1266">
        <v>-10</v>
      </c>
      <c r="L1266">
        <v>0</v>
      </c>
      <c r="M1266">
        <v>-17.871559633027498</v>
      </c>
      <c r="N1266">
        <v>0</v>
      </c>
      <c r="O1266">
        <v>0.42568807339449599</v>
      </c>
      <c r="P1266"/>
      <c r="Q1266">
        <v>4.2568807339450003E-2</v>
      </c>
      <c r="R1266" s="19">
        <v>0.16174950075233999</v>
      </c>
      <c r="S1266" s="20" t="s">
        <v>178</v>
      </c>
      <c r="T1266" s="3" t="s">
        <v>178</v>
      </c>
      <c r="U1266" s="3" t="s">
        <v>106</v>
      </c>
      <c r="V1266" s="3" t="s">
        <v>180</v>
      </c>
      <c r="W1266" s="3">
        <v>8</v>
      </c>
      <c r="X1266" s="3">
        <v>8</v>
      </c>
      <c r="Y1266" s="3">
        <v>1</v>
      </c>
      <c r="Z1266" s="3">
        <v>0</v>
      </c>
      <c r="AA1266" s="3">
        <v>0</v>
      </c>
      <c r="AB1266" s="12">
        <f>(W1266*4+X1266*1+Y1266*-2+Z1266*-3)/W1266</f>
        <v>4.75</v>
      </c>
      <c r="AC1266" s="3">
        <f>W1266*12.0107+X1266*1.00784+Y1266*15.999+Z1266*14.0067</f>
        <v>120.14731999999999</v>
      </c>
      <c r="AD1266" s="12">
        <v>229</v>
      </c>
      <c r="AE1266" s="3" t="s">
        <v>176</v>
      </c>
      <c r="AF1266" s="2" t="s">
        <v>150</v>
      </c>
      <c r="AG1266" s="2" t="str">
        <f>IF(AD1266&gt;37,"Proton symporter", "Diffusion")</f>
        <v>Proton symporter</v>
      </c>
      <c r="AH1266" s="3" t="s">
        <v>181</v>
      </c>
    </row>
    <row r="1267" spans="1:34" hidden="1" x14ac:dyDescent="0.2">
      <c r="A1267" s="8" t="s">
        <v>350</v>
      </c>
      <c r="B1267" s="17" t="s">
        <v>64</v>
      </c>
      <c r="C1267" t="s">
        <v>351</v>
      </c>
      <c r="D1267" s="13" t="s">
        <v>51</v>
      </c>
      <c r="E1267" t="s">
        <v>348</v>
      </c>
      <c r="F1267" t="s">
        <v>344</v>
      </c>
      <c r="G1267">
        <v>-10</v>
      </c>
      <c r="H1267">
        <v>0</v>
      </c>
      <c r="I1267">
        <v>0</v>
      </c>
      <c r="J1267">
        <v>0.45</v>
      </c>
      <c r="K1267">
        <v>-10</v>
      </c>
      <c r="L1267">
        <v>0</v>
      </c>
      <c r="M1267">
        <v>0</v>
      </c>
      <c r="N1267">
        <v>0</v>
      </c>
      <c r="O1267" s="26">
        <v>1.1714285714285699</v>
      </c>
      <c r="P1267"/>
      <c r="Q1267" s="26">
        <v>0.11714285714285699</v>
      </c>
      <c r="R1267" s="26">
        <v>0.16121168275955899</v>
      </c>
      <c r="S1267" s="3" t="s">
        <v>348</v>
      </c>
      <c r="T1267" s="3" t="str">
        <f>VLOOKUP($E1267,'[1]Product Naming'!$A$1:$P$58,3)</f>
        <v>Propane (PW2)</v>
      </c>
      <c r="U1267" s="3" t="str">
        <f>VLOOKUP($E1267,'[1]Product Naming'!$A$1:$P$58,4)</f>
        <v>E</v>
      </c>
      <c r="V1267" s="3" t="str">
        <f>VLOOKUP($E1267,'[1]Product Naming'!$A$1:$P$58,5)</f>
        <v>C3H8</v>
      </c>
      <c r="W1267" s="3">
        <f>VLOOKUP($E1267,'[1]Product Naming'!$A$1:$P$58,6)</f>
        <v>3</v>
      </c>
      <c r="X1267" s="3">
        <f>VLOOKUP($E1267,'[1]Product Naming'!$A$1:$P$58,7)</f>
        <v>8</v>
      </c>
      <c r="Y1267" s="3">
        <f>VLOOKUP($E1267,'[1]Product Naming'!$A$1:$P$58,8)</f>
        <v>0</v>
      </c>
      <c r="Z1267" s="3">
        <f>VLOOKUP($E1267,'[1]Product Naming'!$A$1:$P$58,9)</f>
        <v>0</v>
      </c>
      <c r="AA1267" s="3">
        <f>VLOOKUP($E1267,'[1]Product Naming'!$A$1:$P$58,10)</f>
        <v>0</v>
      </c>
      <c r="AB1267" s="3">
        <f>VLOOKUP($E1267,'[1]Product Naming'!$A$1:$P$58,11)</f>
        <v>6.666666666666667</v>
      </c>
      <c r="AC1267" s="3">
        <f>VLOOKUP($E1267,'[1]Product Naming'!$A$1:$P$58,12)</f>
        <v>44.094819999999999</v>
      </c>
      <c r="AD1267" s="3">
        <f>VLOOKUP($E1267,'[1]Product Naming'!$A$1:$P$58,13)</f>
        <v>-42</v>
      </c>
      <c r="AE1267" s="3" t="str">
        <f>VLOOKUP($E1267,'[1]Product Naming'!$A$1:$P$58,14)</f>
        <v>Hydrocarbon</v>
      </c>
      <c r="AF1267" s="3" t="str">
        <f>VLOOKUP($E1267,'[1]Product Naming'!$A$1:$P$58,15)</f>
        <v>Oxaloacetate</v>
      </c>
      <c r="AG1267" s="3" t="str">
        <f>VLOOKUP($E1267,'[1]Product Naming'!$A$1:$P$58,16)</f>
        <v>Diffusion</v>
      </c>
      <c r="AH1267" s="3" t="str">
        <f>VLOOKUP($E1267,'[1]Product Naming'!$A$1:$Q$58,17)</f>
        <v>prop_c</v>
      </c>
    </row>
    <row r="1268" spans="1:34" hidden="1" x14ac:dyDescent="0.2">
      <c r="A1268" s="16" t="s">
        <v>63</v>
      </c>
      <c r="B1268" s="17" t="s">
        <v>64</v>
      </c>
      <c r="C1268" t="s">
        <v>65</v>
      </c>
      <c r="D1268" s="18" t="s">
        <v>66</v>
      </c>
      <c r="E1268" t="s">
        <v>335</v>
      </c>
      <c r="F1268" t="s">
        <v>336</v>
      </c>
      <c r="G1268">
        <v>-10</v>
      </c>
      <c r="H1268">
        <v>0</v>
      </c>
      <c r="I1268">
        <v>0</v>
      </c>
      <c r="J1268">
        <v>0.45</v>
      </c>
      <c r="K1268">
        <v>-10</v>
      </c>
      <c r="L1268">
        <v>0</v>
      </c>
      <c r="M1268">
        <v>0</v>
      </c>
      <c r="N1268">
        <v>6.875</v>
      </c>
      <c r="O1268">
        <v>0.625</v>
      </c>
      <c r="P1268"/>
      <c r="Q1268">
        <v>6.25E-2</v>
      </c>
      <c r="R1268">
        <v>0.16098621028204199</v>
      </c>
      <c r="S1268" s="11" t="s">
        <v>335</v>
      </c>
      <c r="T1268" s="2" t="s">
        <v>335</v>
      </c>
      <c r="U1268" s="3" t="s">
        <v>106</v>
      </c>
      <c r="V1268" s="2" t="s">
        <v>337</v>
      </c>
      <c r="W1268" s="2">
        <v>5</v>
      </c>
      <c r="X1268" s="2">
        <v>12</v>
      </c>
      <c r="Y1268" s="2">
        <v>0</v>
      </c>
      <c r="Z1268" s="2">
        <v>0</v>
      </c>
      <c r="AA1268" s="2">
        <v>0</v>
      </c>
      <c r="AB1268" s="12">
        <f>(W1268*4+X1268*1+Y1268*-2+Z1268*-3)/W1268</f>
        <v>6.4</v>
      </c>
      <c r="AC1268" s="3">
        <f>W1268*12.0107+X1268*1.00784+Y1268*15.999+Z1268*14.0067</f>
        <v>72.147580000000005</v>
      </c>
      <c r="AD1268" s="24">
        <v>36.1</v>
      </c>
      <c r="AE1268" s="3" t="s">
        <v>321</v>
      </c>
      <c r="AF1268" s="2" t="s">
        <v>79</v>
      </c>
      <c r="AG1268" s="25" t="str">
        <f>IF(AD1268&gt;37,"Proton symporter", "Diffusion")</f>
        <v>Diffusion</v>
      </c>
      <c r="AH1268" s="3" t="s">
        <v>338</v>
      </c>
    </row>
    <row r="1269" spans="1:34" hidden="1" x14ac:dyDescent="0.2">
      <c r="A1269" s="16" t="s">
        <v>63</v>
      </c>
      <c r="B1269" s="17" t="s">
        <v>64</v>
      </c>
      <c r="C1269" t="s">
        <v>71</v>
      </c>
      <c r="D1269" s="18" t="s">
        <v>66</v>
      </c>
      <c r="E1269" t="s">
        <v>295</v>
      </c>
      <c r="F1269" t="s">
        <v>296</v>
      </c>
      <c r="G1269">
        <v>-10</v>
      </c>
      <c r="H1269">
        <v>0</v>
      </c>
      <c r="I1269">
        <v>-5</v>
      </c>
      <c r="J1269">
        <v>0.45</v>
      </c>
      <c r="K1269">
        <v>-10</v>
      </c>
      <c r="L1269">
        <v>0</v>
      </c>
      <c r="M1269">
        <v>-5</v>
      </c>
      <c r="N1269">
        <v>4.7230769230769196</v>
      </c>
      <c r="O1269">
        <v>0.74102564102564095</v>
      </c>
      <c r="P1269"/>
      <c r="Q1269">
        <v>7.4102564102563995E-2</v>
      </c>
      <c r="R1269">
        <v>0.16095541454325099</v>
      </c>
      <c r="S1269" s="11" t="s">
        <v>295</v>
      </c>
      <c r="T1269" s="2" t="s">
        <v>297</v>
      </c>
      <c r="U1269" s="3" t="s">
        <v>41</v>
      </c>
      <c r="V1269" s="2" t="s">
        <v>298</v>
      </c>
      <c r="W1269" s="2">
        <v>6</v>
      </c>
      <c r="X1269" s="2">
        <v>14</v>
      </c>
      <c r="Y1269" s="2">
        <v>1</v>
      </c>
      <c r="Z1269" s="2">
        <v>0</v>
      </c>
      <c r="AA1269" s="2">
        <v>0</v>
      </c>
      <c r="AB1269" s="12">
        <f>(W1269*4+X1269*1+Y1269*-2+Z1269*-3)/W1269</f>
        <v>6</v>
      </c>
      <c r="AC1269" s="3">
        <f>W1269*12.0107+X1269*1.00784+Y1269*15.999+Z1269*14.0067</f>
        <v>102.17295999999999</v>
      </c>
      <c r="AD1269" s="12">
        <v>153</v>
      </c>
      <c r="AE1269" s="2" t="s">
        <v>262</v>
      </c>
      <c r="AF1269" s="2" t="s">
        <v>44</v>
      </c>
      <c r="AG1269" s="2" t="str">
        <f>IF(AD1269&gt;37,"Proton symporter", "Diffusion")</f>
        <v>Proton symporter</v>
      </c>
      <c r="AH1269" s="3" t="s">
        <v>299</v>
      </c>
    </row>
    <row r="1270" spans="1:34" hidden="1" x14ac:dyDescent="0.2">
      <c r="A1270" s="16" t="s">
        <v>63</v>
      </c>
      <c r="B1270" s="17" t="s">
        <v>64</v>
      </c>
      <c r="C1270" t="s">
        <v>67</v>
      </c>
      <c r="D1270" s="18" t="s">
        <v>66</v>
      </c>
      <c r="E1270" t="s">
        <v>161</v>
      </c>
      <c r="F1270" t="s">
        <v>162</v>
      </c>
      <c r="G1270">
        <v>-10</v>
      </c>
      <c r="H1270">
        <v>0</v>
      </c>
      <c r="I1270">
        <v>-5</v>
      </c>
      <c r="J1270">
        <v>0.45</v>
      </c>
      <c r="K1270">
        <v>-10</v>
      </c>
      <c r="L1270">
        <v>0</v>
      </c>
      <c r="M1270">
        <v>-5</v>
      </c>
      <c r="N1270">
        <v>2.7109489051094902</v>
      </c>
      <c r="O1270">
        <v>0.42189781021897799</v>
      </c>
      <c r="P1270"/>
      <c r="Q1270">
        <v>4.2189781021897799E-2</v>
      </c>
      <c r="R1270">
        <v>0.160078729293163</v>
      </c>
      <c r="S1270" s="20" t="s">
        <v>161</v>
      </c>
      <c r="T1270" s="3" t="s">
        <v>161</v>
      </c>
      <c r="U1270" s="3" t="s">
        <v>106</v>
      </c>
      <c r="V1270" s="20" t="s">
        <v>163</v>
      </c>
      <c r="W1270" s="3">
        <v>6</v>
      </c>
      <c r="X1270" s="3">
        <v>6</v>
      </c>
      <c r="Y1270" s="3">
        <v>2</v>
      </c>
      <c r="Z1270" s="3">
        <v>0</v>
      </c>
      <c r="AA1270" s="3">
        <v>0</v>
      </c>
      <c r="AB1270" s="12">
        <f>(W1270*4+X1270*1+Y1270*-2+Z1270*-3)/W1270</f>
        <v>4.333333333333333</v>
      </c>
      <c r="AC1270" s="3">
        <f>W1270*12.0107+X1270*1.00784+Y1270*15.999+Z1270*14.0067</f>
        <v>110.10924</v>
      </c>
      <c r="AD1270" s="12">
        <v>245</v>
      </c>
      <c r="AE1270" s="3" t="s">
        <v>164</v>
      </c>
      <c r="AF1270" s="2" t="s">
        <v>98</v>
      </c>
      <c r="AG1270" s="2" t="str">
        <f>IF(AD1270&gt;37,"Proton symporter", "Diffusion")</f>
        <v>Proton symporter</v>
      </c>
      <c r="AH1270" s="3" t="s">
        <v>165</v>
      </c>
    </row>
    <row r="1271" spans="1:34" hidden="1" x14ac:dyDescent="0.2">
      <c r="A1271" s="16" t="s">
        <v>63</v>
      </c>
      <c r="B1271" s="17" t="s">
        <v>64</v>
      </c>
      <c r="C1271" t="s">
        <v>67</v>
      </c>
      <c r="D1271" s="18" t="s">
        <v>66</v>
      </c>
      <c r="E1271" t="s">
        <v>339</v>
      </c>
      <c r="F1271" t="s">
        <v>340</v>
      </c>
      <c r="G1271">
        <v>-10</v>
      </c>
      <c r="H1271">
        <v>0</v>
      </c>
      <c r="I1271">
        <v>-5</v>
      </c>
      <c r="J1271">
        <v>0.45</v>
      </c>
      <c r="K1271">
        <v>-10</v>
      </c>
      <c r="L1271">
        <v>0</v>
      </c>
      <c r="M1271">
        <v>-5</v>
      </c>
      <c r="N1271">
        <v>4.4794520547945202</v>
      </c>
      <c r="O1271">
        <v>0.79178082191780697</v>
      </c>
      <c r="P1271"/>
      <c r="Q1271">
        <v>7.9178082191781005E-2</v>
      </c>
      <c r="R1271">
        <v>0.15857771022346401</v>
      </c>
      <c r="S1271" s="11" t="s">
        <v>339</v>
      </c>
      <c r="T1271" s="2" t="s">
        <v>339</v>
      </c>
      <c r="U1271" s="3" t="s">
        <v>106</v>
      </c>
      <c r="V1271" s="2" t="s">
        <v>341</v>
      </c>
      <c r="W1271" s="2">
        <v>4</v>
      </c>
      <c r="X1271" s="2">
        <v>10</v>
      </c>
      <c r="Y1271" s="2">
        <v>0</v>
      </c>
      <c r="Z1271" s="2">
        <v>0</v>
      </c>
      <c r="AA1271" s="2">
        <v>0</v>
      </c>
      <c r="AB1271" s="12">
        <f>(W1271*4+X1271*1+Y1271*-2+Z1271*-3)/W1271</f>
        <v>6.5</v>
      </c>
      <c r="AC1271" s="3">
        <f>W1271*12.0107+X1271*1.00784+Y1271*15.999+Z1271*14.0067</f>
        <v>58.121200000000002</v>
      </c>
      <c r="AD1271" s="24">
        <v>-1</v>
      </c>
      <c r="AE1271" s="3" t="s">
        <v>321</v>
      </c>
      <c r="AF1271" s="2" t="s">
        <v>313</v>
      </c>
      <c r="AG1271" s="25" t="str">
        <f>IF(AD1271&gt;37,"Proton symporter", "Diffusion")</f>
        <v>Diffusion</v>
      </c>
      <c r="AH1271" s="3" t="s">
        <v>342</v>
      </c>
    </row>
    <row r="1272" spans="1:34" hidden="1" x14ac:dyDescent="0.2">
      <c r="A1272" s="16" t="s">
        <v>63</v>
      </c>
      <c r="B1272" s="17" t="s">
        <v>64</v>
      </c>
      <c r="C1272" t="s">
        <v>73</v>
      </c>
      <c r="D1272" s="18" t="s">
        <v>66</v>
      </c>
      <c r="E1272" t="s">
        <v>339</v>
      </c>
      <c r="F1272" t="s">
        <v>340</v>
      </c>
      <c r="G1272">
        <v>-10</v>
      </c>
      <c r="H1272">
        <v>0</v>
      </c>
      <c r="I1272">
        <v>-20</v>
      </c>
      <c r="J1272">
        <v>0.45</v>
      </c>
      <c r="K1272">
        <v>-10</v>
      </c>
      <c r="L1272">
        <v>0</v>
      </c>
      <c r="M1272">
        <v>-20</v>
      </c>
      <c r="N1272">
        <v>0</v>
      </c>
      <c r="O1272">
        <v>1.3647058823529401</v>
      </c>
      <c r="P1272"/>
      <c r="Q1272">
        <v>0.13647058823529401</v>
      </c>
      <c r="R1272" s="19">
        <v>0.158414906190157</v>
      </c>
      <c r="S1272" s="11" t="s">
        <v>339</v>
      </c>
      <c r="T1272" s="2" t="s">
        <v>339</v>
      </c>
      <c r="U1272" s="3" t="s">
        <v>106</v>
      </c>
      <c r="V1272" s="2" t="s">
        <v>341</v>
      </c>
      <c r="W1272" s="2">
        <v>4</v>
      </c>
      <c r="X1272" s="2">
        <v>10</v>
      </c>
      <c r="Y1272" s="2">
        <v>0</v>
      </c>
      <c r="Z1272" s="2">
        <v>0</v>
      </c>
      <c r="AA1272" s="2">
        <v>0</v>
      </c>
      <c r="AB1272" s="12">
        <f>(W1272*4+X1272*1+Y1272*-2+Z1272*-3)/W1272</f>
        <v>6.5</v>
      </c>
      <c r="AC1272" s="3">
        <f>W1272*12.0107+X1272*1.00784+Y1272*15.999+Z1272*14.0067</f>
        <v>58.121200000000002</v>
      </c>
      <c r="AD1272" s="24">
        <v>-1</v>
      </c>
      <c r="AE1272" s="3" t="s">
        <v>321</v>
      </c>
      <c r="AF1272" s="2" t="s">
        <v>313</v>
      </c>
      <c r="AG1272" s="25" t="str">
        <f>IF(AD1272&gt;37,"Proton symporter", "Diffusion")</f>
        <v>Diffusion</v>
      </c>
      <c r="AH1272" s="3" t="s">
        <v>342</v>
      </c>
    </row>
    <row r="1273" spans="1:34" hidden="1" x14ac:dyDescent="0.2">
      <c r="A1273" s="16" t="s">
        <v>63</v>
      </c>
      <c r="B1273" s="17" t="s">
        <v>64</v>
      </c>
      <c r="C1273" t="s">
        <v>70</v>
      </c>
      <c r="D1273" s="18" t="s">
        <v>66</v>
      </c>
      <c r="E1273" t="s">
        <v>222</v>
      </c>
      <c r="F1273" t="s">
        <v>223</v>
      </c>
      <c r="G1273">
        <v>-10</v>
      </c>
      <c r="H1273">
        <v>0</v>
      </c>
      <c r="I1273">
        <v>0</v>
      </c>
      <c r="J1273">
        <v>0.45</v>
      </c>
      <c r="K1273">
        <v>-10</v>
      </c>
      <c r="L1273">
        <v>0</v>
      </c>
      <c r="M1273">
        <v>0</v>
      </c>
      <c r="N1273">
        <v>6.25</v>
      </c>
      <c r="O1273">
        <v>1.25</v>
      </c>
      <c r="P1273"/>
      <c r="Q1273">
        <v>0.125</v>
      </c>
      <c r="R1273">
        <v>0.15771954351113199</v>
      </c>
      <c r="S1273" s="11" t="s">
        <v>222</v>
      </c>
      <c r="T1273" s="2" t="s">
        <v>222</v>
      </c>
      <c r="U1273" s="3" t="s">
        <v>41</v>
      </c>
      <c r="V1273" s="2" t="s">
        <v>224</v>
      </c>
      <c r="W1273" s="2">
        <v>3</v>
      </c>
      <c r="X1273" s="2">
        <v>6</v>
      </c>
      <c r="Y1273" s="2">
        <v>1</v>
      </c>
      <c r="Z1273" s="2">
        <v>0</v>
      </c>
      <c r="AA1273" s="2">
        <v>0</v>
      </c>
      <c r="AB1273" s="12">
        <f>(W1273*4+X1273*1+Y1273*-2+Z1273*-3)/W1273</f>
        <v>5.333333333333333</v>
      </c>
      <c r="AC1273" s="3">
        <f>W1273*12.0107+X1273*1.00784+Y1273*15.999+Z1273*14.0067</f>
        <v>58.078140000000005</v>
      </c>
      <c r="AD1273" s="12">
        <v>56</v>
      </c>
      <c r="AE1273" s="2" t="s">
        <v>225</v>
      </c>
      <c r="AF1273" s="2" t="s">
        <v>79</v>
      </c>
      <c r="AG1273" s="2" t="str">
        <f>IF(AD1273&gt;37,"Proton symporter", "Diffusion")</f>
        <v>Proton symporter</v>
      </c>
      <c r="AH1273" s="3" t="s">
        <v>226</v>
      </c>
    </row>
    <row r="1274" spans="1:34" hidden="1" x14ac:dyDescent="0.2">
      <c r="A1274" s="8" t="s">
        <v>350</v>
      </c>
      <c r="B1274" s="17" t="s">
        <v>64</v>
      </c>
      <c r="C1274" t="s">
        <v>354</v>
      </c>
      <c r="D1274" s="13" t="s">
        <v>51</v>
      </c>
      <c r="E1274" t="s">
        <v>152</v>
      </c>
      <c r="F1274" t="s">
        <v>153</v>
      </c>
      <c r="G1274">
        <v>-10</v>
      </c>
      <c r="H1274">
        <v>0</v>
      </c>
      <c r="I1274">
        <v>0</v>
      </c>
      <c r="J1274">
        <v>0.45</v>
      </c>
      <c r="K1274">
        <v>-10</v>
      </c>
      <c r="L1274">
        <v>0</v>
      </c>
      <c r="M1274" s="26">
        <v>2.46371681415929</v>
      </c>
      <c r="N1274">
        <v>0</v>
      </c>
      <c r="O1274" s="26">
        <v>0.410619469026548</v>
      </c>
      <c r="P1274"/>
      <c r="Q1274">
        <v>4.10619469026548E-2</v>
      </c>
      <c r="R1274" s="26">
        <v>0.15765405617641501</v>
      </c>
      <c r="S1274" s="3" t="str">
        <f>VLOOKUP($E1274,'[1]Product Naming'!$A$1:$P$58,2)</f>
        <v>Benzoate-PW1</v>
      </c>
      <c r="T1274" s="3" t="str">
        <f>VLOOKUP($E1274,'[1]Product Naming'!$A$1:$P$58,3)</f>
        <v>Benzoate (PW1)</v>
      </c>
      <c r="U1274" s="3" t="str">
        <f>VLOOKUP($E1274,'[1]Product Naming'!$A$1:$P$58,4)</f>
        <v>A</v>
      </c>
      <c r="V1274" s="3" t="str">
        <f>VLOOKUP($E1274,'[1]Product Naming'!$A$1:$P$58,5)</f>
        <v>C7H5O2</v>
      </c>
      <c r="W1274" s="3">
        <f>VLOOKUP($E1274,'[1]Product Naming'!$A$1:$P$58,6)</f>
        <v>7</v>
      </c>
      <c r="X1274" s="3">
        <f>VLOOKUP($E1274,'[1]Product Naming'!$A$1:$P$58,7)</f>
        <v>5</v>
      </c>
      <c r="Y1274" s="3">
        <f>VLOOKUP($E1274,'[1]Product Naming'!$A$1:$P$58,8)</f>
        <v>2</v>
      </c>
      <c r="Z1274" s="3">
        <f>VLOOKUP($E1274,'[1]Product Naming'!$A$1:$P$58,9)</f>
        <v>0</v>
      </c>
      <c r="AA1274" s="3">
        <f>VLOOKUP($E1274,'[1]Product Naming'!$A$1:$P$58,10)</f>
        <v>-1</v>
      </c>
      <c r="AB1274" s="3">
        <f>VLOOKUP($E1274,'[1]Product Naming'!$A$1:$P$58,11)</f>
        <v>4.1428571428571432</v>
      </c>
      <c r="AC1274" s="3">
        <f>VLOOKUP($E1274,'[1]Product Naming'!$A$1:$P$58,12)</f>
        <v>121.1121</v>
      </c>
      <c r="AD1274" s="3">
        <f>VLOOKUP($E1274,'[1]Product Naming'!$A$1:$P$58,13)</f>
        <v>249.2</v>
      </c>
      <c r="AE1274" s="3" t="str">
        <f>VLOOKUP($E1274,'[1]Product Naming'!$A$1:$P$58,14)</f>
        <v>Aromatic + Carboxylate</v>
      </c>
      <c r="AF1274" s="3" t="str">
        <f>VLOOKUP($E1274,'[1]Product Naming'!$A$1:$P$58,15)</f>
        <v>E4P + aKG</v>
      </c>
      <c r="AG1274" s="3" t="str">
        <f>VLOOKUP($E1274,'[1]Product Naming'!$A$1:$P$58,16)</f>
        <v>Proton symporter</v>
      </c>
      <c r="AH1274" s="3" t="str">
        <f>VLOOKUP($E1274,'[1]Product Naming'!$A$1:$Q$58,17)</f>
        <v>bz_c</v>
      </c>
    </row>
    <row r="1275" spans="1:34" hidden="1" x14ac:dyDescent="0.2">
      <c r="A1275" s="16" t="s">
        <v>63</v>
      </c>
      <c r="B1275" s="17" t="s">
        <v>64</v>
      </c>
      <c r="C1275" t="s">
        <v>69</v>
      </c>
      <c r="D1275" s="18" t="s">
        <v>66</v>
      </c>
      <c r="E1275" t="s">
        <v>152</v>
      </c>
      <c r="F1275" t="s">
        <v>153</v>
      </c>
      <c r="G1275">
        <v>-10</v>
      </c>
      <c r="H1275">
        <v>0</v>
      </c>
      <c r="I1275">
        <v>-20</v>
      </c>
      <c r="J1275">
        <v>0.45</v>
      </c>
      <c r="K1275">
        <v>-10</v>
      </c>
      <c r="L1275">
        <v>0</v>
      </c>
      <c r="M1275">
        <v>-17.536283185840698</v>
      </c>
      <c r="N1275">
        <v>0</v>
      </c>
      <c r="O1275">
        <v>0.410619469026549</v>
      </c>
      <c r="P1275"/>
      <c r="Q1275">
        <v>4.1061946902655001E-2</v>
      </c>
      <c r="R1275" s="19">
        <v>0.15761431073402701</v>
      </c>
      <c r="S1275" s="11" t="s">
        <v>152</v>
      </c>
      <c r="T1275" s="2" t="s">
        <v>154</v>
      </c>
      <c r="U1275" s="3" t="s">
        <v>41</v>
      </c>
      <c r="V1275" s="2" t="s">
        <v>155</v>
      </c>
      <c r="W1275" s="2">
        <v>7</v>
      </c>
      <c r="X1275" s="2">
        <v>5</v>
      </c>
      <c r="Y1275" s="2">
        <v>2</v>
      </c>
      <c r="Z1275" s="2">
        <v>0</v>
      </c>
      <c r="AA1275" s="2">
        <v>0</v>
      </c>
      <c r="AB1275" s="12">
        <f>(W1275*4+X1275*1+Y1275*-2+Z1275*-3)/W1275</f>
        <v>4.1428571428571432</v>
      </c>
      <c r="AC1275" s="3">
        <f>W1275*12.0107+X1275*1.00784+Y1275*15.999+Z1275*14.0067</f>
        <v>121.1121</v>
      </c>
      <c r="AD1275" s="12">
        <v>249.2</v>
      </c>
      <c r="AE1275" s="2" t="s">
        <v>156</v>
      </c>
      <c r="AF1275" s="2" t="s">
        <v>157</v>
      </c>
      <c r="AG1275" s="2" t="str">
        <f>IF(AD1275&gt;37,"Proton symporter", "Diffusion")</f>
        <v>Proton symporter</v>
      </c>
      <c r="AH1275" s="3" t="s">
        <v>158</v>
      </c>
    </row>
    <row r="1276" spans="1:34" hidden="1" x14ac:dyDescent="0.2">
      <c r="A1276" s="16" t="s">
        <v>63</v>
      </c>
      <c r="B1276" s="17" t="s">
        <v>64</v>
      </c>
      <c r="C1276" t="s">
        <v>65</v>
      </c>
      <c r="D1276" s="18" t="s">
        <v>66</v>
      </c>
      <c r="E1276" t="s">
        <v>343</v>
      </c>
      <c r="F1276" t="s">
        <v>344</v>
      </c>
      <c r="G1276">
        <v>-10</v>
      </c>
      <c r="H1276">
        <v>0</v>
      </c>
      <c r="I1276">
        <v>0</v>
      </c>
      <c r="J1276">
        <v>0.45</v>
      </c>
      <c r="K1276">
        <v>-10</v>
      </c>
      <c r="L1276">
        <v>0</v>
      </c>
      <c r="M1276">
        <v>0</v>
      </c>
      <c r="N1276">
        <v>7</v>
      </c>
      <c r="O1276">
        <v>1</v>
      </c>
      <c r="P1276"/>
      <c r="Q1276">
        <v>0.1</v>
      </c>
      <c r="R1276">
        <v>0.15742527668689801</v>
      </c>
      <c r="S1276" s="20" t="s">
        <v>343</v>
      </c>
      <c r="T1276" s="3" t="s">
        <v>345</v>
      </c>
      <c r="U1276" s="3" t="s">
        <v>106</v>
      </c>
      <c r="V1276" s="3" t="s">
        <v>346</v>
      </c>
      <c r="W1276" s="3">
        <v>3</v>
      </c>
      <c r="X1276" s="3">
        <v>8</v>
      </c>
      <c r="Y1276" s="3">
        <v>0</v>
      </c>
      <c r="Z1276" s="3">
        <v>0</v>
      </c>
      <c r="AA1276" s="3">
        <v>0</v>
      </c>
      <c r="AB1276" s="12">
        <f>(W1276*4+X1276*1+Y1276*-2+Z1276*-3)/W1276</f>
        <v>6.666666666666667</v>
      </c>
      <c r="AC1276" s="3">
        <f>W1276*12.0107+X1276*1.00784+Y1276*15.999+Z1276*14.0067</f>
        <v>44.094819999999999</v>
      </c>
      <c r="AD1276" s="24">
        <v>-42</v>
      </c>
      <c r="AE1276" s="3" t="s">
        <v>231</v>
      </c>
      <c r="AF1276" s="2" t="s">
        <v>79</v>
      </c>
      <c r="AG1276" s="25" t="str">
        <f>IF(AD1276&gt;37,"Proton symporter", "Diffusion")</f>
        <v>Diffusion</v>
      </c>
      <c r="AH1276" s="3" t="s">
        <v>347</v>
      </c>
    </row>
    <row r="1277" spans="1:34" hidden="1" x14ac:dyDescent="0.2">
      <c r="A1277" s="16" t="s">
        <v>63</v>
      </c>
      <c r="B1277" s="17" t="s">
        <v>64</v>
      </c>
      <c r="C1277" t="s">
        <v>65</v>
      </c>
      <c r="D1277" s="18" t="s">
        <v>66</v>
      </c>
      <c r="E1277" t="s">
        <v>348</v>
      </c>
      <c r="F1277" t="s">
        <v>344</v>
      </c>
      <c r="G1277">
        <v>-10</v>
      </c>
      <c r="H1277">
        <v>0</v>
      </c>
      <c r="I1277">
        <v>0</v>
      </c>
      <c r="J1277">
        <v>0.45</v>
      </c>
      <c r="K1277">
        <v>-10</v>
      </c>
      <c r="L1277">
        <v>0</v>
      </c>
      <c r="M1277">
        <v>0</v>
      </c>
      <c r="N1277">
        <v>7</v>
      </c>
      <c r="O1277">
        <v>1</v>
      </c>
      <c r="P1277"/>
      <c r="Q1277">
        <v>0.1</v>
      </c>
      <c r="R1277">
        <v>0.15742527668689801</v>
      </c>
      <c r="S1277" s="20" t="s">
        <v>348</v>
      </c>
      <c r="T1277" s="3" t="s">
        <v>349</v>
      </c>
      <c r="U1277" s="3" t="s">
        <v>106</v>
      </c>
      <c r="V1277" s="3" t="s">
        <v>346</v>
      </c>
      <c r="W1277" s="3">
        <v>3</v>
      </c>
      <c r="X1277" s="3">
        <v>8</v>
      </c>
      <c r="Y1277" s="3">
        <v>0</v>
      </c>
      <c r="Z1277" s="3">
        <v>0</v>
      </c>
      <c r="AA1277" s="3">
        <v>0</v>
      </c>
      <c r="AB1277" s="12">
        <f>(W1277*4+X1277*1+Y1277*-2+Z1277*-3)/W1277</f>
        <v>6.666666666666667</v>
      </c>
      <c r="AC1277" s="3">
        <f>W1277*12.0107+X1277*1.00784+Y1277*15.999+Z1277*14.0067</f>
        <v>44.094819999999999</v>
      </c>
      <c r="AD1277" s="24">
        <v>-42</v>
      </c>
      <c r="AE1277" s="3" t="s">
        <v>231</v>
      </c>
      <c r="AF1277" s="3" t="s">
        <v>44</v>
      </c>
      <c r="AG1277" s="25" t="str">
        <f>IF(AD1277&gt;37,"Proton symporter", "Diffusion")</f>
        <v>Diffusion</v>
      </c>
      <c r="AH1277" s="3" t="s">
        <v>347</v>
      </c>
    </row>
    <row r="1278" spans="1:34" hidden="1" x14ac:dyDescent="0.2">
      <c r="A1278" s="16" t="s">
        <v>63</v>
      </c>
      <c r="B1278" s="17" t="s">
        <v>64</v>
      </c>
      <c r="C1278" t="s">
        <v>70</v>
      </c>
      <c r="D1278" s="18" t="s">
        <v>66</v>
      </c>
      <c r="E1278" t="s">
        <v>259</v>
      </c>
      <c r="F1278" t="s">
        <v>260</v>
      </c>
      <c r="G1278">
        <v>-10</v>
      </c>
      <c r="H1278">
        <v>0</v>
      </c>
      <c r="I1278">
        <v>0</v>
      </c>
      <c r="J1278">
        <v>0.45</v>
      </c>
      <c r="K1278">
        <v>-10</v>
      </c>
      <c r="L1278">
        <v>0</v>
      </c>
      <c r="M1278">
        <v>0</v>
      </c>
      <c r="N1278">
        <v>6.6666666666666599</v>
      </c>
      <c r="O1278">
        <v>0.83333333333333304</v>
      </c>
      <c r="P1278"/>
      <c r="Q1278">
        <v>8.3333333333333301E-2</v>
      </c>
      <c r="R1278">
        <v>0.15593389905625901</v>
      </c>
      <c r="S1278" s="20" t="s">
        <v>259</v>
      </c>
      <c r="T1278" s="3" t="s">
        <v>259</v>
      </c>
      <c r="U1278" s="3" t="s">
        <v>106</v>
      </c>
      <c r="V1278" s="3" t="s">
        <v>261</v>
      </c>
      <c r="W1278" s="3">
        <v>5</v>
      </c>
      <c r="X1278" s="3">
        <v>10</v>
      </c>
      <c r="Y1278" s="3">
        <v>1</v>
      </c>
      <c r="Z1278" s="3">
        <v>0</v>
      </c>
      <c r="AA1278" s="3">
        <v>0</v>
      </c>
      <c r="AB1278" s="12">
        <f>(W1278*4+X1278*1+Y1278*-2+Z1278*-3)/W1278+0.02</f>
        <v>5.6199999999999992</v>
      </c>
      <c r="AC1278" s="3">
        <f>W1278*12.0107+X1278*1.00784+Y1278*15.999+Z1278*14.0067</f>
        <v>86.130899999999997</v>
      </c>
      <c r="AD1278" s="12">
        <v>108</v>
      </c>
      <c r="AE1278" s="3" t="s">
        <v>262</v>
      </c>
      <c r="AF1278" s="3" t="s">
        <v>135</v>
      </c>
      <c r="AG1278" s="2" t="str">
        <f>IF(AD1278&gt;37,"Proton symporter", "Diffusion")</f>
        <v>Proton symporter</v>
      </c>
      <c r="AH1278" s="3" t="s">
        <v>263</v>
      </c>
    </row>
    <row r="1279" spans="1:34" hidden="1" x14ac:dyDescent="0.2">
      <c r="A1279" s="16" t="s">
        <v>63</v>
      </c>
      <c r="B1279" s="17" t="s">
        <v>64</v>
      </c>
      <c r="C1279" t="s">
        <v>65</v>
      </c>
      <c r="D1279" s="18" t="s">
        <v>66</v>
      </c>
      <c r="E1279" t="s">
        <v>166</v>
      </c>
      <c r="F1279" t="s">
        <v>167</v>
      </c>
      <c r="G1279">
        <v>-10</v>
      </c>
      <c r="H1279">
        <v>0</v>
      </c>
      <c r="I1279">
        <v>0</v>
      </c>
      <c r="J1279">
        <v>0.45</v>
      </c>
      <c r="K1279">
        <v>-10</v>
      </c>
      <c r="L1279">
        <v>0</v>
      </c>
      <c r="M1279">
        <v>0</v>
      </c>
      <c r="N1279">
        <v>5.2517647058823496</v>
      </c>
      <c r="O1279">
        <v>0.503529411764706</v>
      </c>
      <c r="P1279"/>
      <c r="Q1279">
        <v>5.03529411764706E-2</v>
      </c>
      <c r="R1279">
        <v>0.15475815578469901</v>
      </c>
      <c r="S1279" s="11" t="s">
        <v>166</v>
      </c>
      <c r="T1279" s="2" t="s">
        <v>168</v>
      </c>
      <c r="U1279" s="3" t="s">
        <v>41</v>
      </c>
      <c r="V1279" s="2" t="s">
        <v>169</v>
      </c>
      <c r="W1279" s="2">
        <v>4</v>
      </c>
      <c r="X1279" s="2">
        <v>6</v>
      </c>
      <c r="Y1279" s="2">
        <v>2</v>
      </c>
      <c r="Z1279" s="2">
        <v>0</v>
      </c>
      <c r="AA1279" s="2">
        <v>0</v>
      </c>
      <c r="AB1279" s="12">
        <f>(W1279*4+X1279*1+Y1279*-2+Z1279*-3)/W1279</f>
        <v>4.5</v>
      </c>
      <c r="AC1279" s="3">
        <f>W1279*12.0107+X1279*1.00784+Y1279*15.999+Z1279*14.0067</f>
        <v>86.08784</v>
      </c>
      <c r="AD1279" s="12">
        <v>204</v>
      </c>
      <c r="AE1279" s="2" t="s">
        <v>170</v>
      </c>
      <c r="AF1279" s="2" t="s">
        <v>120</v>
      </c>
      <c r="AG1279" s="2" t="str">
        <f>IF(AD1279&gt;37,"Proton symporter", "Diffusion")</f>
        <v>Proton symporter</v>
      </c>
      <c r="AH1279" s="3" t="s">
        <v>171</v>
      </c>
    </row>
    <row r="1280" spans="1:34" hidden="1" x14ac:dyDescent="0.2">
      <c r="A1280" s="16" t="s">
        <v>63</v>
      </c>
      <c r="B1280" s="17" t="s">
        <v>64</v>
      </c>
      <c r="C1280" t="s">
        <v>72</v>
      </c>
      <c r="D1280" s="18" t="s">
        <v>66</v>
      </c>
      <c r="E1280" t="s">
        <v>166</v>
      </c>
      <c r="F1280" t="s">
        <v>167</v>
      </c>
      <c r="G1280">
        <v>-10</v>
      </c>
      <c r="H1280">
        <v>0</v>
      </c>
      <c r="I1280">
        <v>-10</v>
      </c>
      <c r="J1280">
        <v>0.45</v>
      </c>
      <c r="K1280">
        <v>-10</v>
      </c>
      <c r="L1280">
        <v>0</v>
      </c>
      <c r="M1280">
        <v>-10</v>
      </c>
      <c r="N1280">
        <v>0.42823529411764899</v>
      </c>
      <c r="O1280">
        <v>0.85647058823529398</v>
      </c>
      <c r="P1280"/>
      <c r="Q1280">
        <v>8.5647058823529396E-2</v>
      </c>
      <c r="R1280">
        <v>0.15344915038773699</v>
      </c>
      <c r="S1280" s="11" t="s">
        <v>166</v>
      </c>
      <c r="T1280" s="2" t="s">
        <v>168</v>
      </c>
      <c r="U1280" s="3" t="s">
        <v>41</v>
      </c>
      <c r="V1280" s="2" t="s">
        <v>169</v>
      </c>
      <c r="W1280" s="2">
        <v>4</v>
      </c>
      <c r="X1280" s="2">
        <v>6</v>
      </c>
      <c r="Y1280" s="2">
        <v>2</v>
      </c>
      <c r="Z1280" s="2">
        <v>0</v>
      </c>
      <c r="AA1280" s="2">
        <v>0</v>
      </c>
      <c r="AB1280" s="12">
        <f>(W1280*4+X1280*1+Y1280*-2+Z1280*-3)/W1280</f>
        <v>4.5</v>
      </c>
      <c r="AC1280" s="3">
        <f>W1280*12.0107+X1280*1.00784+Y1280*15.999+Z1280*14.0067</f>
        <v>86.08784</v>
      </c>
      <c r="AD1280" s="12">
        <v>204</v>
      </c>
      <c r="AE1280" s="2" t="s">
        <v>170</v>
      </c>
      <c r="AF1280" s="2" t="s">
        <v>120</v>
      </c>
      <c r="AG1280" s="2" t="str">
        <f>IF(AD1280&gt;37,"Proton symporter", "Diffusion")</f>
        <v>Proton symporter</v>
      </c>
      <c r="AH1280" s="3" t="s">
        <v>171</v>
      </c>
    </row>
    <row r="1281" spans="1:34" hidden="1" x14ac:dyDescent="0.2">
      <c r="A1281" s="16" t="s">
        <v>63</v>
      </c>
      <c r="B1281" s="17" t="s">
        <v>64</v>
      </c>
      <c r="C1281" t="s">
        <v>71</v>
      </c>
      <c r="D1281" s="18" t="s">
        <v>66</v>
      </c>
      <c r="E1281" t="s">
        <v>310</v>
      </c>
      <c r="F1281" t="s">
        <v>311</v>
      </c>
      <c r="G1281">
        <v>-10</v>
      </c>
      <c r="H1281">
        <v>0</v>
      </c>
      <c r="I1281">
        <v>-5</v>
      </c>
      <c r="J1281">
        <v>0.45</v>
      </c>
      <c r="K1281">
        <v>-10</v>
      </c>
      <c r="L1281">
        <v>0</v>
      </c>
      <c r="M1281">
        <v>-5</v>
      </c>
      <c r="N1281">
        <v>4.5352112676056402</v>
      </c>
      <c r="O1281">
        <v>0.81408450704225399</v>
      </c>
      <c r="P1281"/>
      <c r="Q1281">
        <v>8.1408450704225394E-2</v>
      </c>
      <c r="R1281">
        <v>0.15254969244373001</v>
      </c>
      <c r="S1281" s="20" t="s">
        <v>310</v>
      </c>
      <c r="T1281" s="3" t="s">
        <v>312</v>
      </c>
      <c r="U1281" s="3" t="s">
        <v>106</v>
      </c>
      <c r="V1281" s="3" t="s">
        <v>292</v>
      </c>
      <c r="W1281" s="3">
        <v>5</v>
      </c>
      <c r="X1281" s="3">
        <v>12</v>
      </c>
      <c r="Y1281" s="3">
        <v>1</v>
      </c>
      <c r="Z1281" s="3">
        <v>0</v>
      </c>
      <c r="AA1281" s="3">
        <v>0</v>
      </c>
      <c r="AB1281" s="12">
        <f>(W1281*4+X1281*1+Y1281*-2+Z1281*-3)/W1281</f>
        <v>6</v>
      </c>
      <c r="AC1281" s="3">
        <f>W1281*12.0107+X1281*1.00784+Y1281*15.999+Z1281*14.0067</f>
        <v>88.14658</v>
      </c>
      <c r="AD1281" s="12">
        <v>138</v>
      </c>
      <c r="AE1281" s="3" t="s">
        <v>262</v>
      </c>
      <c r="AF1281" s="2" t="s">
        <v>313</v>
      </c>
      <c r="AG1281" s="2" t="str">
        <f>IF(AD1281&gt;37,"Proton symporter", "Diffusion")</f>
        <v>Proton symporter</v>
      </c>
      <c r="AH1281" s="3" t="s">
        <v>314</v>
      </c>
    </row>
    <row r="1282" spans="1:34" hidden="1" x14ac:dyDescent="0.2">
      <c r="A1282" s="16" t="s">
        <v>63</v>
      </c>
      <c r="B1282" s="17" t="s">
        <v>64</v>
      </c>
      <c r="C1282" t="s">
        <v>71</v>
      </c>
      <c r="D1282" s="18" t="s">
        <v>66</v>
      </c>
      <c r="E1282" t="s">
        <v>315</v>
      </c>
      <c r="F1282" t="s">
        <v>311</v>
      </c>
      <c r="G1282">
        <v>-10</v>
      </c>
      <c r="H1282">
        <v>0</v>
      </c>
      <c r="I1282">
        <v>-5</v>
      </c>
      <c r="J1282">
        <v>0.45</v>
      </c>
      <c r="K1282">
        <v>-10</v>
      </c>
      <c r="L1282">
        <v>0</v>
      </c>
      <c r="M1282">
        <v>-5</v>
      </c>
      <c r="N1282">
        <v>4.5352112676056304</v>
      </c>
      <c r="O1282">
        <v>0.81408450704225299</v>
      </c>
      <c r="P1282"/>
      <c r="Q1282">
        <v>8.1408450704225296E-2</v>
      </c>
      <c r="R1282">
        <v>0.15254969244372901</v>
      </c>
      <c r="S1282" s="20" t="s">
        <v>315</v>
      </c>
      <c r="T1282" s="3" t="s">
        <v>316</v>
      </c>
      <c r="U1282" s="3" t="s">
        <v>106</v>
      </c>
      <c r="V1282" s="3" t="s">
        <v>292</v>
      </c>
      <c r="W1282" s="3">
        <v>5</v>
      </c>
      <c r="X1282" s="3">
        <v>12</v>
      </c>
      <c r="Y1282" s="3">
        <v>1</v>
      </c>
      <c r="Z1282" s="3">
        <v>0</v>
      </c>
      <c r="AA1282" s="3">
        <v>0</v>
      </c>
      <c r="AB1282" s="12">
        <f>(W1282*4+X1282*1+Y1282*-2+Z1282*-3)/W1282</f>
        <v>6</v>
      </c>
      <c r="AC1282" s="3">
        <f>W1282*12.0107+X1282*1.00784+Y1282*15.999+Z1282*14.0067</f>
        <v>88.14658</v>
      </c>
      <c r="AD1282" s="12">
        <v>138</v>
      </c>
      <c r="AE1282" s="3" t="s">
        <v>262</v>
      </c>
      <c r="AF1282" s="3" t="s">
        <v>44</v>
      </c>
      <c r="AG1282" s="2" t="str">
        <f>IF(AD1282&gt;37,"Proton symporter", "Diffusion")</f>
        <v>Proton symporter</v>
      </c>
      <c r="AH1282" s="3" t="s">
        <v>314</v>
      </c>
    </row>
    <row r="1283" spans="1:34" hidden="1" x14ac:dyDescent="0.2">
      <c r="A1283" s="16" t="s">
        <v>63</v>
      </c>
      <c r="B1283" s="17" t="s">
        <v>64</v>
      </c>
      <c r="C1283" t="s">
        <v>67</v>
      </c>
      <c r="D1283" s="18" t="s">
        <v>66</v>
      </c>
      <c r="E1283" t="s">
        <v>146</v>
      </c>
      <c r="F1283" t="s">
        <v>147</v>
      </c>
      <c r="G1283">
        <v>-10</v>
      </c>
      <c r="H1283">
        <v>0</v>
      </c>
      <c r="I1283">
        <v>-5</v>
      </c>
      <c r="J1283">
        <v>0.45</v>
      </c>
      <c r="K1283">
        <v>-10</v>
      </c>
      <c r="L1283">
        <v>0</v>
      </c>
      <c r="M1283">
        <v>-5</v>
      </c>
      <c r="N1283">
        <v>2.63441860465116</v>
      </c>
      <c r="O1283">
        <v>0.26883720930232502</v>
      </c>
      <c r="P1283"/>
      <c r="Q1283">
        <v>2.6883720930232499E-2</v>
      </c>
      <c r="R1283">
        <v>0.15113818543746901</v>
      </c>
      <c r="S1283" s="20" t="s">
        <v>148</v>
      </c>
      <c r="T1283" s="3" t="s">
        <v>148</v>
      </c>
      <c r="U1283" s="3" t="s">
        <v>106</v>
      </c>
      <c r="V1283" s="3" t="s">
        <v>149</v>
      </c>
      <c r="W1283" s="3">
        <v>9</v>
      </c>
      <c r="X1283" s="3">
        <v>7</v>
      </c>
      <c r="Y1283" s="3">
        <v>3</v>
      </c>
      <c r="Z1283" s="3">
        <v>0</v>
      </c>
      <c r="AA1283" s="3">
        <v>-1</v>
      </c>
      <c r="AB1283" s="12">
        <f>(W1283*4+X1283*1+Y1283*-2+Z1283*-3)/W1283</f>
        <v>4.1111111111111107</v>
      </c>
      <c r="AC1283" s="3">
        <f>W1283*12.0107+X1283*1.00784+Y1283*15.999+Z1283*14.0067</f>
        <v>163.14818</v>
      </c>
      <c r="AD1283" s="12">
        <v>346</v>
      </c>
      <c r="AE1283" s="22" t="s">
        <v>139</v>
      </c>
      <c r="AF1283" s="2" t="s">
        <v>150</v>
      </c>
      <c r="AG1283" s="2" t="str">
        <f>IF(AD1283&gt;37,"Proton symporter", "Diffusion")</f>
        <v>Proton symporter</v>
      </c>
      <c r="AH1283" s="3" t="s">
        <v>151</v>
      </c>
    </row>
    <row r="1284" spans="1:34" hidden="1" x14ac:dyDescent="0.2">
      <c r="A1284" s="8" t="s">
        <v>350</v>
      </c>
      <c r="B1284" s="17" t="s">
        <v>64</v>
      </c>
      <c r="C1284" t="s">
        <v>353</v>
      </c>
      <c r="D1284" s="13" t="s">
        <v>51</v>
      </c>
      <c r="E1284" t="s">
        <v>178</v>
      </c>
      <c r="F1284" t="s">
        <v>179</v>
      </c>
      <c r="G1284">
        <v>-10</v>
      </c>
      <c r="H1284">
        <v>0</v>
      </c>
      <c r="I1284">
        <v>0</v>
      </c>
      <c r="J1284">
        <v>0.45</v>
      </c>
      <c r="K1284">
        <v>-10</v>
      </c>
      <c r="L1284">
        <v>0</v>
      </c>
      <c r="M1284" s="26">
        <v>1.9835466179159</v>
      </c>
      <c r="N1284">
        <v>0</v>
      </c>
      <c r="O1284" s="26">
        <v>0.39670932358318201</v>
      </c>
      <c r="P1284"/>
      <c r="Q1284">
        <v>3.9670932358318201E-2</v>
      </c>
      <c r="R1284" s="26">
        <v>0.15063776560770201</v>
      </c>
      <c r="S1284" s="3" t="str">
        <f>VLOOKUP($E1284,'[1]Product Naming'!$A$1:$P$58,2)</f>
        <v>4-Hydroxystyrene</v>
      </c>
      <c r="T1284" s="3" t="str">
        <f>VLOOKUP($E1284,'[1]Product Naming'!$A$1:$P$58,3)</f>
        <v>4-Hydroxystyrene</v>
      </c>
      <c r="U1284" s="3" t="str">
        <f>VLOOKUP($E1284,'[1]Product Naming'!$A$1:$P$58,4)</f>
        <v>E</v>
      </c>
      <c r="V1284" s="3" t="str">
        <f>VLOOKUP($E1284,'[1]Product Naming'!$A$1:$P$58,5)</f>
        <v>C8H8O</v>
      </c>
      <c r="W1284" s="3">
        <f>VLOOKUP($E1284,'[1]Product Naming'!$A$1:$P$58,6)</f>
        <v>8</v>
      </c>
      <c r="X1284" s="3">
        <f>VLOOKUP($E1284,'[1]Product Naming'!$A$1:$P$58,7)</f>
        <v>8</v>
      </c>
      <c r="Y1284" s="3">
        <f>VLOOKUP($E1284,'[1]Product Naming'!$A$1:$P$58,8)</f>
        <v>1</v>
      </c>
      <c r="Z1284" s="3">
        <f>VLOOKUP($E1284,'[1]Product Naming'!$A$1:$P$58,9)</f>
        <v>0</v>
      </c>
      <c r="AA1284" s="3">
        <f>VLOOKUP($E1284,'[1]Product Naming'!$A$1:$P$58,10)</f>
        <v>0</v>
      </c>
      <c r="AB1284" s="3">
        <f>VLOOKUP($E1284,'[1]Product Naming'!$A$1:$P$58,11)</f>
        <v>4.75</v>
      </c>
      <c r="AC1284" s="3">
        <f>VLOOKUP($E1284,'[1]Product Naming'!$A$1:$P$58,12)</f>
        <v>120.14731999999999</v>
      </c>
      <c r="AD1284" s="3">
        <f>VLOOKUP($E1284,'[1]Product Naming'!$A$1:$P$58,13)</f>
        <v>229</v>
      </c>
      <c r="AE1284" s="3" t="str">
        <f>VLOOKUP($E1284,'[1]Product Naming'!$A$1:$P$58,14)</f>
        <v>Aromatic + Alcohol</v>
      </c>
      <c r="AF1284" s="3" t="str">
        <f>VLOOKUP($E1284,'[1]Product Naming'!$A$1:$P$58,15)</f>
        <v>E4P + L-glutamate</v>
      </c>
      <c r="AG1284" s="3" t="str">
        <f>VLOOKUP($E1284,'[1]Product Naming'!$A$1:$P$58,16)</f>
        <v>Proton symporter</v>
      </c>
      <c r="AH1284" s="3" t="str">
        <f>VLOOKUP($E1284,'[1]Product Naming'!$A$1:$Q$58,17)</f>
        <v>4hxst_c</v>
      </c>
    </row>
    <row r="1285" spans="1:34" hidden="1" x14ac:dyDescent="0.2">
      <c r="A1285" s="8" t="s">
        <v>350</v>
      </c>
      <c r="B1285" s="17" t="s">
        <v>64</v>
      </c>
      <c r="C1285" t="s">
        <v>351</v>
      </c>
      <c r="D1285" s="13" t="s">
        <v>51</v>
      </c>
      <c r="E1285" t="s">
        <v>310</v>
      </c>
      <c r="F1285" t="s">
        <v>311</v>
      </c>
      <c r="G1285">
        <v>-10</v>
      </c>
      <c r="H1285">
        <v>0</v>
      </c>
      <c r="I1285">
        <v>0</v>
      </c>
      <c r="J1285">
        <v>0.45</v>
      </c>
      <c r="K1285">
        <v>-10</v>
      </c>
      <c r="L1285">
        <v>0</v>
      </c>
      <c r="M1285">
        <v>0</v>
      </c>
      <c r="N1285">
        <v>0</v>
      </c>
      <c r="O1285" s="26">
        <v>0.54666666666666397</v>
      </c>
      <c r="P1285"/>
      <c r="Q1285">
        <v>5.4666666666666398E-2</v>
      </c>
      <c r="R1285" s="26">
        <v>0.150390770675709</v>
      </c>
      <c r="S1285" s="3" t="str">
        <f>VLOOKUP($E1285,'[1]Product Naming'!$A$1:$P$58,2)</f>
        <v>Pentanol-PW1</v>
      </c>
      <c r="T1285" s="3" t="str">
        <f>VLOOKUP($E1285,'[1]Product Naming'!$A$1:$P$58,3)</f>
        <v>Pentanol (PW1)</v>
      </c>
      <c r="U1285" s="3" t="str">
        <f>VLOOKUP($E1285,'[1]Product Naming'!$A$1:$P$58,4)</f>
        <v>E</v>
      </c>
      <c r="V1285" s="3" t="str">
        <f>VLOOKUP($E1285,'[1]Product Naming'!$A$1:$P$58,5)</f>
        <v>C5H12O</v>
      </c>
      <c r="W1285" s="3">
        <f>VLOOKUP($E1285,'[1]Product Naming'!$A$1:$P$58,6)</f>
        <v>5</v>
      </c>
      <c r="X1285" s="3">
        <f>VLOOKUP($E1285,'[1]Product Naming'!$A$1:$P$58,7)</f>
        <v>12</v>
      </c>
      <c r="Y1285" s="3">
        <f>VLOOKUP($E1285,'[1]Product Naming'!$A$1:$P$58,8)</f>
        <v>1</v>
      </c>
      <c r="Z1285" s="3">
        <f>VLOOKUP($E1285,'[1]Product Naming'!$A$1:$P$58,9)</f>
        <v>0</v>
      </c>
      <c r="AA1285" s="3">
        <f>VLOOKUP($E1285,'[1]Product Naming'!$A$1:$P$58,10)</f>
        <v>0</v>
      </c>
      <c r="AB1285" s="3">
        <f>VLOOKUP($E1285,'[1]Product Naming'!$A$1:$P$58,11)</f>
        <v>6</v>
      </c>
      <c r="AC1285" s="3">
        <f>VLOOKUP($E1285,'[1]Product Naming'!$A$1:$P$58,12)</f>
        <v>88.14658</v>
      </c>
      <c r="AD1285" s="3">
        <f>VLOOKUP($E1285,'[1]Product Naming'!$A$1:$P$58,13)</f>
        <v>138</v>
      </c>
      <c r="AE1285" s="3" t="str">
        <f>VLOOKUP($E1285,'[1]Product Naming'!$A$1:$P$58,14)</f>
        <v>Alcohol</v>
      </c>
      <c r="AF1285" s="3" t="str">
        <f>VLOOKUP($E1285,'[1]Product Naming'!$A$1:$P$58,15)</f>
        <v>Acetyl-CoA + Succinyl-CoA</v>
      </c>
      <c r="AG1285" s="3" t="str">
        <f>VLOOKUP($E1285,'[1]Product Naming'!$A$1:$P$58,16)</f>
        <v>Proton symporter</v>
      </c>
      <c r="AH1285" s="3" t="str">
        <f>VLOOKUP($E1285,'[1]Product Naming'!$A$1:$Q$58,17)</f>
        <v>pentoh_c</v>
      </c>
    </row>
    <row r="1286" spans="1:34" hidden="1" x14ac:dyDescent="0.2">
      <c r="A1286" s="8" t="s">
        <v>350</v>
      </c>
      <c r="B1286" s="17" t="s">
        <v>64</v>
      </c>
      <c r="C1286" t="s">
        <v>352</v>
      </c>
      <c r="D1286" s="13" t="s">
        <v>51</v>
      </c>
      <c r="E1286" t="s">
        <v>268</v>
      </c>
      <c r="F1286" t="s">
        <v>269</v>
      </c>
      <c r="G1286">
        <v>-10</v>
      </c>
      <c r="H1286">
        <v>0</v>
      </c>
      <c r="I1286">
        <v>0</v>
      </c>
      <c r="J1286">
        <v>0.45</v>
      </c>
      <c r="K1286">
        <v>-10</v>
      </c>
      <c r="L1286">
        <v>0</v>
      </c>
      <c r="M1286" s="26">
        <v>0.69010989010988699</v>
      </c>
      <c r="N1286">
        <v>0</v>
      </c>
      <c r="O1286" s="26">
        <v>0.34505494505494499</v>
      </c>
      <c r="P1286"/>
      <c r="Q1286">
        <v>3.4505494505494498E-2</v>
      </c>
      <c r="R1286" s="26">
        <v>0.147350556632692</v>
      </c>
      <c r="S1286" s="3" t="str">
        <f>VLOOKUP($E1286,'[1]Product Naming'!$A$1:$P$58,2)</f>
        <v>Limonene</v>
      </c>
      <c r="T1286" s="3" t="str">
        <f>VLOOKUP($E1286,'[1]Product Naming'!$A$1:$P$58,3)</f>
        <v>Limonene</v>
      </c>
      <c r="U1286" s="3" t="str">
        <f>VLOOKUP($E1286,'[1]Product Naming'!$A$1:$P$58,4)</f>
        <v>E</v>
      </c>
      <c r="V1286" s="3" t="str">
        <f>VLOOKUP($E1286,'[1]Product Naming'!$A$1:$P$58,5)</f>
        <v>C10H16</v>
      </c>
      <c r="W1286" s="3">
        <f>VLOOKUP($E1286,'[1]Product Naming'!$A$1:$P$58,6)</f>
        <v>10</v>
      </c>
      <c r="X1286" s="3">
        <f>VLOOKUP($E1286,'[1]Product Naming'!$A$1:$P$58,7)</f>
        <v>16</v>
      </c>
      <c r="Y1286" s="3">
        <f>VLOOKUP($E1286,'[1]Product Naming'!$A$1:$P$58,8)</f>
        <v>0</v>
      </c>
      <c r="Z1286" s="3">
        <f>VLOOKUP($E1286,'[1]Product Naming'!$A$1:$P$58,9)</f>
        <v>0</v>
      </c>
      <c r="AA1286" s="3">
        <f>VLOOKUP($E1286,'[1]Product Naming'!$A$1:$P$58,10)</f>
        <v>0</v>
      </c>
      <c r="AB1286" s="3">
        <f>VLOOKUP($E1286,'[1]Product Naming'!$A$1:$P$58,11)</f>
        <v>5.6</v>
      </c>
      <c r="AC1286" s="3">
        <f>VLOOKUP($E1286,'[1]Product Naming'!$A$1:$P$58,12)</f>
        <v>136.23244</v>
      </c>
      <c r="AD1286" s="3">
        <f>VLOOKUP($E1286,'[1]Product Naming'!$A$1:$P$58,13)</f>
        <v>176</v>
      </c>
      <c r="AE1286" s="3" t="str">
        <f>VLOOKUP($E1286,'[1]Product Naming'!$A$1:$P$58,14)</f>
        <v>Isoprenoid; Aromatic (Cycloalkane)</v>
      </c>
      <c r="AF1286" s="3" t="str">
        <f>VLOOKUP($E1286,'[1]Product Naming'!$A$1:$P$58,15)</f>
        <v>Acetyl-CoA</v>
      </c>
      <c r="AG1286" s="3" t="str">
        <f>VLOOKUP($E1286,'[1]Product Naming'!$A$1:$P$58,16)</f>
        <v>Proton symporter</v>
      </c>
      <c r="AH1286" s="3" t="str">
        <f>VLOOKUP($E1286,'[1]Product Naming'!$A$1:$Q$58,17)</f>
        <v>limnen_c</v>
      </c>
    </row>
    <row r="1287" spans="1:34" hidden="1" x14ac:dyDescent="0.2">
      <c r="A1287" s="8" t="s">
        <v>350</v>
      </c>
      <c r="B1287" s="17" t="s">
        <v>64</v>
      </c>
      <c r="C1287" t="s">
        <v>354</v>
      </c>
      <c r="D1287" s="13" t="s">
        <v>51</v>
      </c>
      <c r="E1287" t="s">
        <v>159</v>
      </c>
      <c r="F1287" t="s">
        <v>153</v>
      </c>
      <c r="G1287">
        <v>-10</v>
      </c>
      <c r="H1287">
        <v>0</v>
      </c>
      <c r="I1287">
        <v>0</v>
      </c>
      <c r="J1287">
        <v>0.45</v>
      </c>
      <c r="K1287">
        <v>-10</v>
      </c>
      <c r="L1287">
        <v>0</v>
      </c>
      <c r="M1287" s="26">
        <v>2.30082644628098</v>
      </c>
      <c r="N1287">
        <v>0</v>
      </c>
      <c r="O1287" s="26">
        <v>0.38347107438016498</v>
      </c>
      <c r="P1287"/>
      <c r="Q1287" s="26">
        <v>3.8347107438016503E-2</v>
      </c>
      <c r="R1287" s="26">
        <v>0.14707753510781599</v>
      </c>
      <c r="S1287" s="3" t="str">
        <f>VLOOKUP($E1287,'[1]Product Naming'!$A$1:$P$58,2)</f>
        <v>Benzoate-PW2</v>
      </c>
      <c r="T1287" s="3" t="str">
        <f>VLOOKUP($E1287,'[1]Product Naming'!$A$1:$P$58,3)</f>
        <v>Benzoate (PW2)</v>
      </c>
      <c r="U1287" s="3" t="str">
        <f>VLOOKUP($E1287,'[1]Product Naming'!$A$1:$P$58,4)</f>
        <v>A</v>
      </c>
      <c r="V1287" s="3" t="str">
        <f>VLOOKUP($E1287,'[1]Product Naming'!$A$1:$P$58,5)</f>
        <v>C7H5O2</v>
      </c>
      <c r="W1287" s="3">
        <f>VLOOKUP($E1287,'[1]Product Naming'!$A$1:$P$58,6)</f>
        <v>7</v>
      </c>
      <c r="X1287" s="3">
        <f>VLOOKUP($E1287,'[1]Product Naming'!$A$1:$P$58,7)</f>
        <v>5</v>
      </c>
      <c r="Y1287" s="3">
        <f>VLOOKUP($E1287,'[1]Product Naming'!$A$1:$P$58,8)</f>
        <v>2</v>
      </c>
      <c r="Z1287" s="3">
        <f>VLOOKUP($E1287,'[1]Product Naming'!$A$1:$P$58,9)</f>
        <v>0</v>
      </c>
      <c r="AA1287" s="3">
        <f>VLOOKUP($E1287,'[1]Product Naming'!$A$1:$P$58,10)</f>
        <v>-1</v>
      </c>
      <c r="AB1287" s="3">
        <f>VLOOKUP($E1287,'[1]Product Naming'!$A$1:$P$58,11)</f>
        <v>4.1428571428571432</v>
      </c>
      <c r="AC1287" s="3">
        <f>VLOOKUP($E1287,'[1]Product Naming'!$A$1:$P$58,12)</f>
        <v>121.1121</v>
      </c>
      <c r="AD1287" s="3">
        <f>VLOOKUP($E1287,'[1]Product Naming'!$A$1:$P$58,13)</f>
        <v>249.2</v>
      </c>
      <c r="AE1287" s="3" t="str">
        <f>VLOOKUP($E1287,'[1]Product Naming'!$A$1:$P$58,14)</f>
        <v>Aromatic + Carboxylate</v>
      </c>
      <c r="AF1287" s="3" t="str">
        <f>VLOOKUP($E1287,'[1]Product Naming'!$A$1:$P$58,15)</f>
        <v>E4P + aKG</v>
      </c>
      <c r="AG1287" s="3" t="str">
        <f>VLOOKUP($E1287,'[1]Product Naming'!$A$1:$P$58,16)</f>
        <v>Proton symporter</v>
      </c>
      <c r="AH1287" s="3" t="str">
        <f>VLOOKUP($E1287,'[1]Product Naming'!$A$1:$Q$58,17)</f>
        <v>bz_c</v>
      </c>
    </row>
    <row r="1288" spans="1:34" hidden="1" x14ac:dyDescent="0.2">
      <c r="A1288" s="16" t="s">
        <v>63</v>
      </c>
      <c r="B1288" s="17" t="s">
        <v>64</v>
      </c>
      <c r="C1288" t="s">
        <v>69</v>
      </c>
      <c r="D1288" s="18" t="s">
        <v>66</v>
      </c>
      <c r="E1288" t="s">
        <v>159</v>
      </c>
      <c r="F1288" t="s">
        <v>153</v>
      </c>
      <c r="G1288">
        <v>-10</v>
      </c>
      <c r="H1288">
        <v>0</v>
      </c>
      <c r="I1288">
        <v>-20</v>
      </c>
      <c r="J1288">
        <v>0.45</v>
      </c>
      <c r="K1288">
        <v>-10</v>
      </c>
      <c r="L1288">
        <v>0</v>
      </c>
      <c r="M1288">
        <v>-17.699173553719</v>
      </c>
      <c r="N1288">
        <v>0</v>
      </c>
      <c r="O1288">
        <v>0.38347107438016398</v>
      </c>
      <c r="P1288"/>
      <c r="Q1288">
        <v>3.8347107438017003E-2</v>
      </c>
      <c r="R1288" s="19">
        <v>0.14704019128930901</v>
      </c>
      <c r="S1288" s="11" t="s">
        <v>159</v>
      </c>
      <c r="T1288" s="2" t="s">
        <v>160</v>
      </c>
      <c r="U1288" s="3" t="s">
        <v>41</v>
      </c>
      <c r="V1288" s="2" t="s">
        <v>155</v>
      </c>
      <c r="W1288" s="2">
        <v>7</v>
      </c>
      <c r="X1288" s="2">
        <v>5</v>
      </c>
      <c r="Y1288" s="2">
        <v>2</v>
      </c>
      <c r="Z1288" s="2">
        <v>0</v>
      </c>
      <c r="AA1288" s="2">
        <v>0</v>
      </c>
      <c r="AB1288" s="12">
        <f>(W1288*4+X1288*1+Y1288*-2+Z1288*-3)/W1288</f>
        <v>4.1428571428571432</v>
      </c>
      <c r="AC1288" s="3">
        <f>W1288*12.0107+X1288*1.00784+Y1288*15.999+Z1288*14.0067</f>
        <v>121.1121</v>
      </c>
      <c r="AD1288" s="12">
        <v>249.2</v>
      </c>
      <c r="AE1288" s="2" t="s">
        <v>156</v>
      </c>
      <c r="AF1288" s="2" t="s">
        <v>157</v>
      </c>
      <c r="AG1288" s="2" t="str">
        <f>IF(AD1288&gt;37,"Proton symporter", "Diffusion")</f>
        <v>Proton symporter</v>
      </c>
      <c r="AH1288" s="3" t="s">
        <v>158</v>
      </c>
    </row>
    <row r="1289" spans="1:34" hidden="1" x14ac:dyDescent="0.2">
      <c r="A1289" s="8" t="s">
        <v>350</v>
      </c>
      <c r="B1289" s="17" t="s">
        <v>64</v>
      </c>
      <c r="C1289" t="s">
        <v>353</v>
      </c>
      <c r="D1289" s="13" t="s">
        <v>51</v>
      </c>
      <c r="E1289" t="s">
        <v>152</v>
      </c>
      <c r="F1289" t="s">
        <v>153</v>
      </c>
      <c r="G1289">
        <v>-10</v>
      </c>
      <c r="H1289">
        <v>0</v>
      </c>
      <c r="I1289">
        <v>0</v>
      </c>
      <c r="J1289">
        <v>0.45</v>
      </c>
      <c r="K1289">
        <v>-10</v>
      </c>
      <c r="L1289">
        <v>0</v>
      </c>
      <c r="M1289" s="26">
        <v>2.29023746701845</v>
      </c>
      <c r="N1289">
        <v>0</v>
      </c>
      <c r="O1289" s="26">
        <v>0.38170624450307</v>
      </c>
      <c r="P1289"/>
      <c r="Q1289">
        <v>3.8170624450307E-2</v>
      </c>
      <c r="R1289" s="26">
        <v>0.146390750909353</v>
      </c>
      <c r="S1289" s="3" t="str">
        <f>VLOOKUP($E1289,'[1]Product Naming'!$A$1:$P$58,2)</f>
        <v>Benzoate-PW1</v>
      </c>
      <c r="T1289" s="3" t="str">
        <f>VLOOKUP($E1289,'[1]Product Naming'!$A$1:$P$58,3)</f>
        <v>Benzoate (PW1)</v>
      </c>
      <c r="U1289" s="3" t="str">
        <f>VLOOKUP($E1289,'[1]Product Naming'!$A$1:$P$58,4)</f>
        <v>A</v>
      </c>
      <c r="V1289" s="3" t="str">
        <f>VLOOKUP($E1289,'[1]Product Naming'!$A$1:$P$58,5)</f>
        <v>C7H5O2</v>
      </c>
      <c r="W1289" s="3">
        <f>VLOOKUP($E1289,'[1]Product Naming'!$A$1:$P$58,6)</f>
        <v>7</v>
      </c>
      <c r="X1289" s="3">
        <f>VLOOKUP($E1289,'[1]Product Naming'!$A$1:$P$58,7)</f>
        <v>5</v>
      </c>
      <c r="Y1289" s="3">
        <f>VLOOKUP($E1289,'[1]Product Naming'!$A$1:$P$58,8)</f>
        <v>2</v>
      </c>
      <c r="Z1289" s="3">
        <f>VLOOKUP($E1289,'[1]Product Naming'!$A$1:$P$58,9)</f>
        <v>0</v>
      </c>
      <c r="AA1289" s="3">
        <f>VLOOKUP($E1289,'[1]Product Naming'!$A$1:$P$58,10)</f>
        <v>-1</v>
      </c>
      <c r="AB1289" s="3">
        <f>VLOOKUP($E1289,'[1]Product Naming'!$A$1:$P$58,11)</f>
        <v>4.1428571428571432</v>
      </c>
      <c r="AC1289" s="3">
        <f>VLOOKUP($E1289,'[1]Product Naming'!$A$1:$P$58,12)</f>
        <v>121.1121</v>
      </c>
      <c r="AD1289" s="3">
        <f>VLOOKUP($E1289,'[1]Product Naming'!$A$1:$P$58,13)</f>
        <v>249.2</v>
      </c>
      <c r="AE1289" s="3" t="str">
        <f>VLOOKUP($E1289,'[1]Product Naming'!$A$1:$P$58,14)</f>
        <v>Aromatic + Carboxylate</v>
      </c>
      <c r="AF1289" s="3" t="str">
        <f>VLOOKUP($E1289,'[1]Product Naming'!$A$1:$P$58,15)</f>
        <v>E4P + aKG</v>
      </c>
      <c r="AG1289" s="3" t="str">
        <f>VLOOKUP($E1289,'[1]Product Naming'!$A$1:$P$58,16)</f>
        <v>Proton symporter</v>
      </c>
      <c r="AH1289" s="3" t="str">
        <f>VLOOKUP($E1289,'[1]Product Naming'!$A$1:$Q$58,17)</f>
        <v>bz_c</v>
      </c>
    </row>
    <row r="1290" spans="1:34" hidden="1" x14ac:dyDescent="0.2">
      <c r="A1290" s="8" t="s">
        <v>350</v>
      </c>
      <c r="B1290" s="17" t="s">
        <v>64</v>
      </c>
      <c r="C1290" t="s">
        <v>352</v>
      </c>
      <c r="D1290" s="13" t="s">
        <v>51</v>
      </c>
      <c r="E1290" t="s">
        <v>254</v>
      </c>
      <c r="F1290" t="s">
        <v>255</v>
      </c>
      <c r="G1290">
        <v>-10</v>
      </c>
      <c r="H1290">
        <v>0</v>
      </c>
      <c r="I1290">
        <v>0</v>
      </c>
      <c r="J1290">
        <v>0.45</v>
      </c>
      <c r="K1290">
        <v>-10</v>
      </c>
      <c r="L1290">
        <v>0</v>
      </c>
      <c r="M1290" s="26">
        <v>0.68509090909090797</v>
      </c>
      <c r="N1290">
        <v>0</v>
      </c>
      <c r="O1290" s="26">
        <v>0.22836363636363599</v>
      </c>
      <c r="P1290"/>
      <c r="Q1290" s="26">
        <v>2.2836363636363599E-2</v>
      </c>
      <c r="R1290" s="26">
        <v>0.14627427687196001</v>
      </c>
      <c r="S1290" s="3" t="str">
        <f>VLOOKUP($E1290,'[1]Product Naming'!$A$1:$P$58,2)</f>
        <v>Farnesene</v>
      </c>
      <c r="T1290" s="3" t="str">
        <f>VLOOKUP($E1290,'[1]Product Naming'!$A$1:$P$58,3)</f>
        <v>Farnesene</v>
      </c>
      <c r="U1290" s="3" t="str">
        <f>VLOOKUP($E1290,'[1]Product Naming'!$A$1:$P$58,4)</f>
        <v>A</v>
      </c>
      <c r="V1290" s="3" t="str">
        <f>VLOOKUP($E1290,'[1]Product Naming'!$A$1:$P$58,5)</f>
        <v>C15H24</v>
      </c>
      <c r="W1290" s="3">
        <f>VLOOKUP($E1290,'[1]Product Naming'!$A$1:$P$58,6)</f>
        <v>15</v>
      </c>
      <c r="X1290" s="3">
        <f>VLOOKUP($E1290,'[1]Product Naming'!$A$1:$P$58,7)</f>
        <v>24</v>
      </c>
      <c r="Y1290" s="3">
        <f>VLOOKUP($E1290,'[1]Product Naming'!$A$1:$P$58,8)</f>
        <v>0</v>
      </c>
      <c r="Z1290" s="3">
        <f>VLOOKUP($E1290,'[1]Product Naming'!$A$1:$P$58,9)</f>
        <v>0</v>
      </c>
      <c r="AA1290" s="3">
        <f>VLOOKUP($E1290,'[1]Product Naming'!$A$1:$P$58,10)</f>
        <v>0</v>
      </c>
      <c r="AB1290" s="3">
        <f>VLOOKUP($E1290,'[1]Product Naming'!$A$1:$P$58,11)</f>
        <v>5.6</v>
      </c>
      <c r="AC1290" s="3">
        <f>VLOOKUP($E1290,'[1]Product Naming'!$A$1:$P$58,12)</f>
        <v>204.34866000000002</v>
      </c>
      <c r="AD1290" s="3" t="str">
        <f>VLOOKUP($E1290,'[1]Product Naming'!$A$1:$P$58,13)</f>
        <v>260 (A)/272 (B)</v>
      </c>
      <c r="AE1290" s="3" t="str">
        <f>VLOOKUP($E1290,'[1]Product Naming'!$A$1:$P$58,14)</f>
        <v>Hydrocarbon</v>
      </c>
      <c r="AF1290" s="3" t="str">
        <f>VLOOKUP($E1290,'[1]Product Naming'!$A$1:$P$58,15)</f>
        <v>Acetyl-CoA</v>
      </c>
      <c r="AG1290" s="3" t="str">
        <f>VLOOKUP($E1290,'[1]Product Naming'!$A$1:$P$58,16)</f>
        <v>Proton symporter</v>
      </c>
      <c r="AH1290" s="3" t="str">
        <f>VLOOKUP($E1290,'[1]Product Naming'!$A$1:$Q$58,17)</f>
        <v>frene_c</v>
      </c>
    </row>
    <row r="1291" spans="1:34" hidden="1" x14ac:dyDescent="0.2">
      <c r="A1291" s="16" t="s">
        <v>63</v>
      </c>
      <c r="B1291" s="17" t="s">
        <v>64</v>
      </c>
      <c r="C1291" t="s">
        <v>71</v>
      </c>
      <c r="D1291" s="18" t="s">
        <v>66</v>
      </c>
      <c r="E1291" t="s">
        <v>318</v>
      </c>
      <c r="F1291" t="s">
        <v>319</v>
      </c>
      <c r="G1291">
        <v>-10</v>
      </c>
      <c r="H1291">
        <v>0</v>
      </c>
      <c r="I1291">
        <v>-5</v>
      </c>
      <c r="J1291">
        <v>0.45</v>
      </c>
      <c r="K1291">
        <v>-10</v>
      </c>
      <c r="L1291">
        <v>0</v>
      </c>
      <c r="M1291">
        <v>-5</v>
      </c>
      <c r="N1291">
        <v>5.1785714285714199</v>
      </c>
      <c r="O1291">
        <v>0.53571428571428503</v>
      </c>
      <c r="P1291"/>
      <c r="Q1291">
        <v>5.3571428571428499E-2</v>
      </c>
      <c r="R1291">
        <v>0.14606207930582499</v>
      </c>
      <c r="S1291" s="20" t="s">
        <v>318</v>
      </c>
      <c r="T1291" s="3" t="s">
        <v>318</v>
      </c>
      <c r="U1291" s="3" t="s">
        <v>106</v>
      </c>
      <c r="V1291" s="3" t="s">
        <v>320</v>
      </c>
      <c r="W1291" s="3">
        <v>9</v>
      </c>
      <c r="X1291" s="3">
        <v>20</v>
      </c>
      <c r="Y1291" s="3">
        <v>0</v>
      </c>
      <c r="Z1291" s="3">
        <v>0</v>
      </c>
      <c r="AA1291" s="3">
        <v>0</v>
      </c>
      <c r="AB1291" s="12">
        <f>(W1291*4+X1291*1+Y1291*-2+Z1291*-3)/W1291</f>
        <v>6.2222222222222223</v>
      </c>
      <c r="AC1291" s="3">
        <f>W1291*12.0107+X1291*1.00784+Y1291*15.999+Z1291*14.0067</f>
        <v>128.25309999999999</v>
      </c>
      <c r="AD1291" s="12">
        <v>151</v>
      </c>
      <c r="AE1291" s="3" t="s">
        <v>321</v>
      </c>
      <c r="AF1291" s="2" t="s">
        <v>79</v>
      </c>
      <c r="AG1291" s="2" t="str">
        <f>IF(AD1291&gt;37,"Proton symporter", "Diffusion")</f>
        <v>Proton symporter</v>
      </c>
      <c r="AH1291" s="3" t="s">
        <v>322</v>
      </c>
    </row>
    <row r="1292" spans="1:34" hidden="1" x14ac:dyDescent="0.2">
      <c r="A1292" s="8" t="s">
        <v>350</v>
      </c>
      <c r="B1292" s="17" t="s">
        <v>64</v>
      </c>
      <c r="C1292" t="s">
        <v>352</v>
      </c>
      <c r="D1292" s="13" t="s">
        <v>51</v>
      </c>
      <c r="E1292" t="s">
        <v>161</v>
      </c>
      <c r="F1292" t="s">
        <v>162</v>
      </c>
      <c r="G1292">
        <v>-10</v>
      </c>
      <c r="H1292">
        <v>0</v>
      </c>
      <c r="I1292">
        <v>0</v>
      </c>
      <c r="J1292">
        <v>0.45</v>
      </c>
      <c r="K1292">
        <v>-10</v>
      </c>
      <c r="L1292">
        <v>0</v>
      </c>
      <c r="M1292" s="26">
        <v>2.0933333333333302</v>
      </c>
      <c r="N1292">
        <v>0</v>
      </c>
      <c r="O1292" s="26">
        <v>0.41866666666666602</v>
      </c>
      <c r="P1292"/>
      <c r="Q1292">
        <v>4.1866666666666601E-2</v>
      </c>
      <c r="R1292" s="26">
        <v>0.14579526338620399</v>
      </c>
      <c r="S1292" s="3" t="str">
        <f>VLOOKUP($E1292,'[1]Product Naming'!$A$1:$P$58,2)</f>
        <v>Catechol</v>
      </c>
      <c r="T1292" s="3" t="str">
        <f>VLOOKUP($E1292,'[1]Product Naming'!$A$1:$P$58,3)</f>
        <v>Catechol</v>
      </c>
      <c r="U1292" s="3" t="str">
        <f>VLOOKUP($E1292,'[1]Product Naming'!$A$1:$P$58,4)</f>
        <v>E</v>
      </c>
      <c r="V1292" s="3" t="str">
        <f>VLOOKUP($E1292,'[1]Product Naming'!$A$1:$P$58,5)</f>
        <v>C6H6O2</v>
      </c>
      <c r="W1292" s="3">
        <f>VLOOKUP($E1292,'[1]Product Naming'!$A$1:$P$58,6)</f>
        <v>6</v>
      </c>
      <c r="X1292" s="3">
        <f>VLOOKUP($E1292,'[1]Product Naming'!$A$1:$P$58,7)</f>
        <v>6</v>
      </c>
      <c r="Y1292" s="3">
        <f>VLOOKUP($E1292,'[1]Product Naming'!$A$1:$P$58,8)</f>
        <v>2</v>
      </c>
      <c r="Z1292" s="3">
        <f>VLOOKUP($E1292,'[1]Product Naming'!$A$1:$P$58,9)</f>
        <v>0</v>
      </c>
      <c r="AA1292" s="3">
        <f>VLOOKUP($E1292,'[1]Product Naming'!$A$1:$P$58,10)</f>
        <v>0</v>
      </c>
      <c r="AB1292" s="3">
        <f>VLOOKUP($E1292,'[1]Product Naming'!$A$1:$P$58,11)</f>
        <v>4.333333333333333</v>
      </c>
      <c r="AC1292" s="3">
        <f>VLOOKUP($E1292,'[1]Product Naming'!$A$1:$P$58,12)</f>
        <v>110.10924</v>
      </c>
      <c r="AD1292" s="3">
        <f>VLOOKUP($E1292,'[1]Product Naming'!$A$1:$P$58,13)</f>
        <v>245</v>
      </c>
      <c r="AE1292" s="3" t="str">
        <f>VLOOKUP($E1292,'[1]Product Naming'!$A$1:$P$58,14)</f>
        <v>Aromatic + Diol</v>
      </c>
      <c r="AF1292" s="3" t="str">
        <f>VLOOKUP($E1292,'[1]Product Naming'!$A$1:$P$58,15)</f>
        <v>Glyceraldehyde 3-P</v>
      </c>
      <c r="AG1292" s="3" t="str">
        <f>VLOOKUP($E1292,'[1]Product Naming'!$A$1:$P$58,16)</f>
        <v>Proton symporter</v>
      </c>
      <c r="AH1292" s="3" t="str">
        <f>VLOOKUP($E1292,'[1]Product Naming'!$A$1:$Q$58,17)</f>
        <v>catechol_c</v>
      </c>
    </row>
    <row r="1293" spans="1:34" hidden="1" x14ac:dyDescent="0.2">
      <c r="A1293" s="16" t="s">
        <v>63</v>
      </c>
      <c r="B1293" s="17" t="s">
        <v>64</v>
      </c>
      <c r="C1293" t="s">
        <v>71</v>
      </c>
      <c r="D1293" s="18" t="s">
        <v>66</v>
      </c>
      <c r="E1293" t="s">
        <v>323</v>
      </c>
      <c r="F1293" t="s">
        <v>324</v>
      </c>
      <c r="G1293">
        <v>-10</v>
      </c>
      <c r="H1293">
        <v>0</v>
      </c>
      <c r="I1293">
        <v>-5</v>
      </c>
      <c r="J1293">
        <v>0.45</v>
      </c>
      <c r="K1293">
        <v>-10</v>
      </c>
      <c r="L1293">
        <v>0</v>
      </c>
      <c r="M1293">
        <v>-5</v>
      </c>
      <c r="N1293">
        <v>5.2</v>
      </c>
      <c r="O1293">
        <v>0.59999999999999798</v>
      </c>
      <c r="P1293"/>
      <c r="Q1293">
        <v>5.9999999999999797E-2</v>
      </c>
      <c r="R1293">
        <v>0.14569858587232801</v>
      </c>
      <c r="S1293" s="11" t="s">
        <v>323</v>
      </c>
      <c r="T1293" s="2" t="s">
        <v>323</v>
      </c>
      <c r="U1293" s="3" t="s">
        <v>106</v>
      </c>
      <c r="V1293" s="2" t="s">
        <v>325</v>
      </c>
      <c r="W1293" s="2">
        <v>8</v>
      </c>
      <c r="X1293" s="2">
        <v>18</v>
      </c>
      <c r="Y1293" s="2">
        <v>0</v>
      </c>
      <c r="Z1293" s="2">
        <v>0</v>
      </c>
      <c r="AA1293" s="2">
        <v>0</v>
      </c>
      <c r="AB1293" s="12">
        <f>(W1293*4+X1293*1+Y1293*-2+Z1293*-3)/W1293</f>
        <v>6.25</v>
      </c>
      <c r="AC1293" s="3">
        <f>W1293*12.0107+X1293*1.00784+Y1293*15.999+Z1293*14.0067</f>
        <v>114.22672</v>
      </c>
      <c r="AD1293" s="12">
        <v>126</v>
      </c>
      <c r="AE1293" s="3" t="s">
        <v>321</v>
      </c>
      <c r="AF1293" s="2" t="s">
        <v>313</v>
      </c>
      <c r="AG1293" s="2" t="str">
        <f>IF(AD1293&gt;37,"Proton symporter", "Diffusion")</f>
        <v>Proton symporter</v>
      </c>
      <c r="AH1293" s="3" t="s">
        <v>326</v>
      </c>
    </row>
    <row r="1294" spans="1:34" hidden="1" x14ac:dyDescent="0.2">
      <c r="A1294" s="16" t="s">
        <v>63</v>
      </c>
      <c r="B1294" s="17" t="s">
        <v>64</v>
      </c>
      <c r="C1294" t="s">
        <v>71</v>
      </c>
      <c r="D1294" s="18" t="s">
        <v>66</v>
      </c>
      <c r="E1294" t="s">
        <v>327</v>
      </c>
      <c r="F1294" t="s">
        <v>328</v>
      </c>
      <c r="G1294">
        <v>-10</v>
      </c>
      <c r="H1294">
        <v>0</v>
      </c>
      <c r="I1294">
        <v>-5</v>
      </c>
      <c r="J1294">
        <v>0.45</v>
      </c>
      <c r="K1294">
        <v>-10</v>
      </c>
      <c r="L1294">
        <v>0</v>
      </c>
      <c r="M1294">
        <v>-5</v>
      </c>
      <c r="N1294">
        <v>5.2272727272727302</v>
      </c>
      <c r="O1294">
        <v>0.68181818181818199</v>
      </c>
      <c r="P1294"/>
      <c r="Q1294">
        <v>6.8181818181818205E-2</v>
      </c>
      <c r="R1294">
        <v>0.145235957866061</v>
      </c>
      <c r="S1294" s="20" t="s">
        <v>327</v>
      </c>
      <c r="T1294" s="3" t="s">
        <v>327</v>
      </c>
      <c r="U1294" s="3" t="s">
        <v>106</v>
      </c>
      <c r="V1294" s="3" t="s">
        <v>329</v>
      </c>
      <c r="W1294" s="3">
        <v>7</v>
      </c>
      <c r="X1294" s="3">
        <v>16</v>
      </c>
      <c r="Y1294" s="3">
        <v>0</v>
      </c>
      <c r="Z1294" s="3">
        <v>0</v>
      </c>
      <c r="AA1294" s="3">
        <v>0</v>
      </c>
      <c r="AB1294" s="12">
        <f>(W1294*4+X1294*1+Y1294*-2+Z1294*-3)/W1294</f>
        <v>6.2857142857142856</v>
      </c>
      <c r="AC1294" s="3">
        <f>W1294*12.0107+X1294*1.00784+Y1294*15.999+Z1294*14.0067</f>
        <v>100.20034</v>
      </c>
      <c r="AD1294" s="3">
        <v>98</v>
      </c>
      <c r="AE1294" s="3" t="s">
        <v>321</v>
      </c>
      <c r="AF1294" s="2" t="s">
        <v>79</v>
      </c>
      <c r="AG1294" s="2" t="str">
        <f>IF(AD1294&gt;37,"Proton symporter", "Diffusion")</f>
        <v>Proton symporter</v>
      </c>
      <c r="AH1294" s="3" t="s">
        <v>330</v>
      </c>
    </row>
    <row r="1295" spans="1:34" hidden="1" x14ac:dyDescent="0.2">
      <c r="A1295" s="16" t="s">
        <v>63</v>
      </c>
      <c r="B1295" s="17" t="s">
        <v>64</v>
      </c>
      <c r="C1295" t="s">
        <v>70</v>
      </c>
      <c r="D1295" s="18" t="s">
        <v>66</v>
      </c>
      <c r="E1295" t="s">
        <v>286</v>
      </c>
      <c r="F1295" t="s">
        <v>280</v>
      </c>
      <c r="G1295">
        <v>-10</v>
      </c>
      <c r="H1295">
        <v>0</v>
      </c>
      <c r="I1295">
        <v>0</v>
      </c>
      <c r="J1295">
        <v>0.45</v>
      </c>
      <c r="K1295">
        <v>-10</v>
      </c>
      <c r="L1295">
        <v>0</v>
      </c>
      <c r="M1295">
        <v>0</v>
      </c>
      <c r="N1295">
        <v>6.6666666666666696</v>
      </c>
      <c r="O1295">
        <v>1.1111111111111101</v>
      </c>
      <c r="P1295"/>
      <c r="Q1295">
        <v>0.11111111111111099</v>
      </c>
      <c r="R1295">
        <v>0.14506081111091801</v>
      </c>
      <c r="S1295" s="20" t="s">
        <v>287</v>
      </c>
      <c r="T1295" s="3" t="s">
        <v>288</v>
      </c>
      <c r="U1295" s="3" t="s">
        <v>174</v>
      </c>
      <c r="V1295" s="3" t="s">
        <v>283</v>
      </c>
      <c r="W1295" s="3">
        <v>3</v>
      </c>
      <c r="X1295" s="3">
        <v>8</v>
      </c>
      <c r="Y1295" s="3">
        <v>1</v>
      </c>
      <c r="Z1295" s="3">
        <v>0</v>
      </c>
      <c r="AA1295" s="3">
        <v>0</v>
      </c>
      <c r="AB1295" s="12">
        <f>(W1295*4+X1295*1+Y1295*-2+Z1295*-3)/W1295</f>
        <v>6</v>
      </c>
      <c r="AC1295" s="3">
        <f>W1295*12.0107+X1295*1.00784+Y1295*15.999+Z1295*14.0067</f>
        <v>60.093820000000001</v>
      </c>
      <c r="AD1295" s="12">
        <v>97</v>
      </c>
      <c r="AE1295" s="2" t="s">
        <v>262</v>
      </c>
      <c r="AF1295" s="3" t="s">
        <v>44</v>
      </c>
      <c r="AG1295" s="2" t="str">
        <f>IF(AD1295&gt;37,"Proton symporter", "Diffusion")</f>
        <v>Proton symporter</v>
      </c>
      <c r="AH1295" s="3" t="s">
        <v>285</v>
      </c>
    </row>
    <row r="1296" spans="1:34" hidden="1" x14ac:dyDescent="0.2">
      <c r="A1296" s="16" t="s">
        <v>63</v>
      </c>
      <c r="B1296" s="17" t="s">
        <v>64</v>
      </c>
      <c r="C1296" t="s">
        <v>70</v>
      </c>
      <c r="D1296" s="18" t="s">
        <v>66</v>
      </c>
      <c r="E1296" t="s">
        <v>307</v>
      </c>
      <c r="F1296" t="s">
        <v>308</v>
      </c>
      <c r="G1296">
        <v>-10</v>
      </c>
      <c r="H1296">
        <v>0</v>
      </c>
      <c r="I1296">
        <v>0</v>
      </c>
      <c r="J1296">
        <v>0.45</v>
      </c>
      <c r="K1296">
        <v>-10</v>
      </c>
      <c r="L1296">
        <v>0</v>
      </c>
      <c r="M1296">
        <v>0</v>
      </c>
      <c r="N1296">
        <v>6.6666666666666696</v>
      </c>
      <c r="O1296">
        <v>1.1111111111111101</v>
      </c>
      <c r="P1296"/>
      <c r="Q1296">
        <v>0.11111111111111099</v>
      </c>
      <c r="R1296">
        <v>0.14506081111091801</v>
      </c>
      <c r="S1296" s="11" t="s">
        <v>307</v>
      </c>
      <c r="T1296" s="2" t="s">
        <v>307</v>
      </c>
      <c r="U1296" s="3" t="s">
        <v>41</v>
      </c>
      <c r="V1296" s="2" t="s">
        <v>283</v>
      </c>
      <c r="W1296" s="2">
        <v>3</v>
      </c>
      <c r="X1296" s="2">
        <v>8</v>
      </c>
      <c r="Y1296" s="2">
        <v>1</v>
      </c>
      <c r="Z1296" s="2">
        <v>0</v>
      </c>
      <c r="AA1296" s="2">
        <v>0</v>
      </c>
      <c r="AB1296" s="12">
        <f>(W1296*4+X1296*1+Y1296*-2+Z1296*-3)/W1296</f>
        <v>6</v>
      </c>
      <c r="AC1296" s="3">
        <f>W1296*12.0107+X1296*1.00784+Y1296*15.999+Z1296*14.0067</f>
        <v>60.093820000000001</v>
      </c>
      <c r="AD1296" s="12">
        <v>82.5</v>
      </c>
      <c r="AE1296" s="2" t="s">
        <v>262</v>
      </c>
      <c r="AF1296" s="2" t="s">
        <v>79</v>
      </c>
      <c r="AG1296" s="2" t="str">
        <f>IF(AD1296&gt;37,"Proton symporter", "Diffusion")</f>
        <v>Proton symporter</v>
      </c>
      <c r="AH1296" s="3" t="s">
        <v>309</v>
      </c>
    </row>
    <row r="1297" spans="1:34" hidden="1" x14ac:dyDescent="0.2">
      <c r="A1297" s="16" t="s">
        <v>63</v>
      </c>
      <c r="B1297" s="17" t="s">
        <v>64</v>
      </c>
      <c r="C1297" t="s">
        <v>71</v>
      </c>
      <c r="D1297" s="18" t="s">
        <v>66</v>
      </c>
      <c r="E1297" t="s">
        <v>331</v>
      </c>
      <c r="F1297" t="s">
        <v>332</v>
      </c>
      <c r="G1297">
        <v>-10</v>
      </c>
      <c r="H1297">
        <v>0</v>
      </c>
      <c r="I1297">
        <v>-5</v>
      </c>
      <c r="J1297">
        <v>0.45</v>
      </c>
      <c r="K1297">
        <v>-10</v>
      </c>
      <c r="L1297">
        <v>0</v>
      </c>
      <c r="M1297">
        <v>-5</v>
      </c>
      <c r="N1297">
        <v>5.2631578947368398</v>
      </c>
      <c r="O1297">
        <v>0.78947368421052599</v>
      </c>
      <c r="P1297"/>
      <c r="Q1297">
        <v>7.8947368421052599E-2</v>
      </c>
      <c r="R1297">
        <v>0.144627236805182</v>
      </c>
      <c r="S1297" s="11" t="s">
        <v>331</v>
      </c>
      <c r="T1297" s="2" t="s">
        <v>331</v>
      </c>
      <c r="U1297" s="3" t="s">
        <v>106</v>
      </c>
      <c r="V1297" s="3" t="s">
        <v>333</v>
      </c>
      <c r="W1297" s="2">
        <v>6</v>
      </c>
      <c r="X1297" s="2">
        <v>14</v>
      </c>
      <c r="Y1297" s="2">
        <v>0</v>
      </c>
      <c r="Z1297" s="2">
        <v>0</v>
      </c>
      <c r="AA1297" s="2">
        <v>0</v>
      </c>
      <c r="AB1297" s="12">
        <f>(W1297*4+X1297*1+Y1297*-2+Z1297*-3)/W1297</f>
        <v>6.333333333333333</v>
      </c>
      <c r="AC1297" s="3">
        <f>W1297*12.0107+X1297*1.00784+Y1297*15.999+Z1297*14.0067</f>
        <v>86.173959999999994</v>
      </c>
      <c r="AD1297" s="12">
        <v>69</v>
      </c>
      <c r="AE1297" s="3" t="s">
        <v>321</v>
      </c>
      <c r="AF1297" s="2" t="s">
        <v>313</v>
      </c>
      <c r="AG1297" s="2" t="str">
        <f>IF(AD1297&gt;37,"Proton symporter", "Diffusion")</f>
        <v>Proton symporter</v>
      </c>
      <c r="AH1297" s="3" t="s">
        <v>334</v>
      </c>
    </row>
    <row r="1298" spans="1:34" hidden="1" x14ac:dyDescent="0.2">
      <c r="A1298" s="8" t="s">
        <v>368</v>
      </c>
      <c r="B1298" s="17" t="s">
        <v>64</v>
      </c>
      <c r="C1298" t="s">
        <v>369</v>
      </c>
      <c r="D1298" s="18" t="s">
        <v>66</v>
      </c>
      <c r="E1298" t="s">
        <v>279</v>
      </c>
      <c r="F1298" t="s">
        <v>280</v>
      </c>
      <c r="G1298">
        <v>-10</v>
      </c>
      <c r="H1298">
        <v>0</v>
      </c>
      <c r="I1298">
        <v>-20</v>
      </c>
      <c r="J1298">
        <v>0.45</v>
      </c>
      <c r="K1298">
        <v>-8.5056603773585007</v>
      </c>
      <c r="L1298">
        <v>0</v>
      </c>
      <c r="M1298">
        <v>-20</v>
      </c>
      <c r="N1298">
        <v>-8.5056603773585007</v>
      </c>
      <c r="O1298">
        <v>0.99622641509433296</v>
      </c>
      <c r="P1298"/>
      <c r="Q1298">
        <v>0.11712511091392901</v>
      </c>
      <c r="R1298">
        <v>0.14437828773679301</v>
      </c>
      <c r="S1298" s="1" t="str">
        <f>VLOOKUP($E1298,'[1]Product Naming'!$A$1:$P$58,2)</f>
        <v>1-propanol-PW1</v>
      </c>
      <c r="T1298" s="1" t="str">
        <f>VLOOKUP($E1298,'[1]Product Naming'!$A$1:$P$58,3)</f>
        <v>1-Propanol (PW1)</v>
      </c>
      <c r="U1298" s="1" t="str">
        <f>VLOOKUP($E1298,'[1]Product Naming'!$A$1:$P$58,4)</f>
        <v>E-S</v>
      </c>
      <c r="V1298" s="1" t="str">
        <f>VLOOKUP($E1298,'[1]Product Naming'!$A$1:$P$58,5)</f>
        <v>C3H8O</v>
      </c>
      <c r="W1298" s="1">
        <f>VLOOKUP($E1298,'[1]Product Naming'!$A$1:$P$58,6)</f>
        <v>3</v>
      </c>
      <c r="X1298" s="1">
        <f>VLOOKUP($E1298,'[1]Product Naming'!$A$1:$P$58,7)</f>
        <v>8</v>
      </c>
      <c r="Y1298" s="1">
        <f>VLOOKUP($E1298,'[1]Product Naming'!$A$1:$P$58,8)</f>
        <v>1</v>
      </c>
      <c r="Z1298" s="1">
        <f>VLOOKUP($E1298,'[1]Product Naming'!$A$1:$P$58,9)</f>
        <v>0</v>
      </c>
      <c r="AA1298" s="1">
        <f>VLOOKUP($E1298,'[1]Product Naming'!$A$1:$P$58,10)</f>
        <v>0</v>
      </c>
      <c r="AB1298" s="27">
        <f>VLOOKUP($E1298,'[1]Product Naming'!$A$1:$P$58,11)</f>
        <v>6</v>
      </c>
      <c r="AC1298" s="3">
        <f>VLOOKUP($E1298,'[1]Product Naming'!$A$1:$P$58,12)</f>
        <v>60.093820000000001</v>
      </c>
      <c r="AD1298" s="1">
        <f>VLOOKUP($E1298,'[1]Product Naming'!$A$1:$P$58,13)</f>
        <v>97</v>
      </c>
      <c r="AE1298" s="1" t="str">
        <f>VLOOKUP($E1298,'[1]Product Naming'!$A$1:$P$58,14)</f>
        <v>Alcohol</v>
      </c>
      <c r="AF1298" s="1" t="str">
        <f>VLOOKUP($E1298,'[1]Product Naming'!$A$1:$P$58,15)</f>
        <v>Glyceraldehyde 3-P (--&gt;DHAP)</v>
      </c>
      <c r="AG1298" s="28" t="str">
        <f>VLOOKUP($E1298,'[1]Product Naming'!$A$1:$P$58,16)</f>
        <v>Proton symporter</v>
      </c>
      <c r="AH1298" s="3" t="str">
        <f>VLOOKUP($E1298,'[1]Product Naming'!$A$1:$Q$58,17)</f>
        <v>ppoh_c</v>
      </c>
    </row>
    <row r="1299" spans="1:34" hidden="1" x14ac:dyDescent="0.2">
      <c r="A1299" s="8" t="s">
        <v>350</v>
      </c>
      <c r="B1299" s="17" t="s">
        <v>64</v>
      </c>
      <c r="C1299" t="s">
        <v>352</v>
      </c>
      <c r="D1299" s="13" t="s">
        <v>51</v>
      </c>
      <c r="E1299" t="s">
        <v>264</v>
      </c>
      <c r="F1299" t="s">
        <v>265</v>
      </c>
      <c r="G1299">
        <v>-10</v>
      </c>
      <c r="H1299">
        <v>0</v>
      </c>
      <c r="I1299">
        <v>0</v>
      </c>
      <c r="J1299">
        <v>0.45</v>
      </c>
      <c r="K1299">
        <v>-10</v>
      </c>
      <c r="L1299">
        <v>0</v>
      </c>
      <c r="M1299">
        <v>0.67526881720429799</v>
      </c>
      <c r="N1299">
        <v>0</v>
      </c>
      <c r="O1299" s="26">
        <v>0.67526881720429999</v>
      </c>
      <c r="P1299"/>
      <c r="Q1299">
        <v>6.7526881720430004E-2</v>
      </c>
      <c r="R1299" s="26">
        <v>0.14416820647339201</v>
      </c>
      <c r="S1299" s="3" t="str">
        <f>VLOOKUP($E1299,'[1]Product Naming'!$A$1:$P$58,2)</f>
        <v>Isoprene</v>
      </c>
      <c r="T1299" s="3" t="str">
        <f>VLOOKUP($E1299,'[1]Product Naming'!$A$1:$P$58,3)</f>
        <v>Isoprene</v>
      </c>
      <c r="U1299" s="3" t="str">
        <f>VLOOKUP($E1299,'[1]Product Naming'!$A$1:$P$58,4)</f>
        <v>E</v>
      </c>
      <c r="V1299" s="3" t="str">
        <f>VLOOKUP($E1299,'[1]Product Naming'!$A$1:$P$58,5)</f>
        <v>C5H8</v>
      </c>
      <c r="W1299" s="3">
        <f>VLOOKUP($E1299,'[1]Product Naming'!$A$1:$P$58,6)</f>
        <v>5</v>
      </c>
      <c r="X1299" s="3">
        <f>VLOOKUP($E1299,'[1]Product Naming'!$A$1:$P$58,7)</f>
        <v>8</v>
      </c>
      <c r="Y1299" s="3">
        <f>VLOOKUP($E1299,'[1]Product Naming'!$A$1:$P$58,8)</f>
        <v>0</v>
      </c>
      <c r="Z1299" s="3">
        <f>VLOOKUP($E1299,'[1]Product Naming'!$A$1:$P$58,9)</f>
        <v>0</v>
      </c>
      <c r="AA1299" s="3">
        <f>VLOOKUP($E1299,'[1]Product Naming'!$A$1:$P$58,10)</f>
        <v>0</v>
      </c>
      <c r="AB1299" s="3">
        <f>VLOOKUP($E1299,'[1]Product Naming'!$A$1:$P$58,11)</f>
        <v>5.6</v>
      </c>
      <c r="AC1299" s="3">
        <f>VLOOKUP($E1299,'[1]Product Naming'!$A$1:$P$58,12)</f>
        <v>68.116219999999998</v>
      </c>
      <c r="AD1299" s="3">
        <f>VLOOKUP($E1299,'[1]Product Naming'!$A$1:$P$58,13)</f>
        <v>34.07</v>
      </c>
      <c r="AE1299" s="3" t="str">
        <f>VLOOKUP($E1299,'[1]Product Naming'!$A$1:$P$58,14)</f>
        <v>Hydrocarbon</v>
      </c>
      <c r="AF1299" s="3" t="str">
        <f>VLOOKUP($E1299,'[1]Product Naming'!$A$1:$P$58,15)</f>
        <v>Acetyl-CoA</v>
      </c>
      <c r="AG1299" s="3" t="str">
        <f>VLOOKUP($E1299,'[1]Product Naming'!$A$1:$P$58,16)</f>
        <v>Diffusion</v>
      </c>
      <c r="AH1299" s="3" t="str">
        <f>VLOOKUP($E1299,'[1]Product Naming'!$A$1:$Q$58,17)</f>
        <v>iprene_c</v>
      </c>
    </row>
    <row r="1300" spans="1:34" hidden="1" x14ac:dyDescent="0.2">
      <c r="A1300" s="8" t="s">
        <v>350</v>
      </c>
      <c r="B1300" s="17" t="s">
        <v>64</v>
      </c>
      <c r="C1300" t="s">
        <v>354</v>
      </c>
      <c r="D1300" s="13" t="s">
        <v>51</v>
      </c>
      <c r="E1300" t="s">
        <v>211</v>
      </c>
      <c r="F1300" t="s">
        <v>212</v>
      </c>
      <c r="G1300">
        <v>-10</v>
      </c>
      <c r="H1300">
        <v>0</v>
      </c>
      <c r="I1300">
        <v>0</v>
      </c>
      <c r="J1300">
        <v>0.45</v>
      </c>
      <c r="K1300">
        <v>-10</v>
      </c>
      <c r="L1300">
        <v>0</v>
      </c>
      <c r="M1300" s="26">
        <v>1.7509433962264001</v>
      </c>
      <c r="N1300">
        <v>0</v>
      </c>
      <c r="O1300">
        <v>0.43773584905660101</v>
      </c>
      <c r="P1300"/>
      <c r="Q1300">
        <v>4.37735849056601E-2</v>
      </c>
      <c r="R1300" s="26">
        <v>0.14386945482785901</v>
      </c>
      <c r="S1300" s="3" t="str">
        <f>VLOOKUP($E1300,'[1]Product Naming'!$A$1:$P$58,2)</f>
        <v>Styrene</v>
      </c>
      <c r="T1300" s="3" t="str">
        <f>VLOOKUP($E1300,'[1]Product Naming'!$A$1:$P$58,3)</f>
        <v>Styrene</v>
      </c>
      <c r="U1300" s="3" t="str">
        <f>VLOOKUP($E1300,'[1]Product Naming'!$A$1:$P$58,4)</f>
        <v>E-S</v>
      </c>
      <c r="V1300" s="3" t="str">
        <f>VLOOKUP($E1300,'[1]Product Naming'!$A$1:$P$58,5)</f>
        <v>C8H8</v>
      </c>
      <c r="W1300" s="3">
        <f>VLOOKUP($E1300,'[1]Product Naming'!$A$1:$P$58,6)</f>
        <v>8</v>
      </c>
      <c r="X1300" s="3">
        <f>VLOOKUP($E1300,'[1]Product Naming'!$A$1:$P$58,7)</f>
        <v>8</v>
      </c>
      <c r="Y1300" s="3">
        <f>VLOOKUP($E1300,'[1]Product Naming'!$A$1:$P$58,8)</f>
        <v>0</v>
      </c>
      <c r="Z1300" s="3">
        <f>VLOOKUP($E1300,'[1]Product Naming'!$A$1:$P$58,9)</f>
        <v>0</v>
      </c>
      <c r="AA1300" s="3">
        <f>VLOOKUP($E1300,'[1]Product Naming'!$A$1:$P$58,10)</f>
        <v>0</v>
      </c>
      <c r="AB1300" s="3">
        <f>VLOOKUP($E1300,'[1]Product Naming'!$A$1:$P$58,11)</f>
        <v>5</v>
      </c>
      <c r="AC1300" s="3">
        <f>VLOOKUP($E1300,'[1]Product Naming'!$A$1:$P$58,12)</f>
        <v>104.14832</v>
      </c>
      <c r="AD1300" s="3">
        <f>VLOOKUP($E1300,'[1]Product Naming'!$A$1:$P$58,13)</f>
        <v>145</v>
      </c>
      <c r="AE1300" s="3" t="str">
        <f>VLOOKUP($E1300,'[1]Product Naming'!$A$1:$P$58,14)</f>
        <v>Cycloalkane</v>
      </c>
      <c r="AF1300" s="3" t="str">
        <f>VLOOKUP($E1300,'[1]Product Naming'!$A$1:$P$58,15)</f>
        <v>E4P</v>
      </c>
      <c r="AG1300" s="3" t="str">
        <f>VLOOKUP($E1300,'[1]Product Naming'!$A$1:$P$58,16)</f>
        <v>Proton symporter</v>
      </c>
      <c r="AH1300" s="3" t="str">
        <f>VLOOKUP($E1300,'[1]Product Naming'!$A$1:$Q$58,17)</f>
        <v>styr_c</v>
      </c>
    </row>
    <row r="1301" spans="1:34" hidden="1" x14ac:dyDescent="0.2">
      <c r="A1301" s="16" t="s">
        <v>63</v>
      </c>
      <c r="B1301" s="17" t="s">
        <v>64</v>
      </c>
      <c r="C1301" t="s">
        <v>69</v>
      </c>
      <c r="D1301" s="18" t="s">
        <v>66</v>
      </c>
      <c r="E1301" t="s">
        <v>211</v>
      </c>
      <c r="F1301" t="s">
        <v>212</v>
      </c>
      <c r="G1301">
        <v>-10</v>
      </c>
      <c r="H1301">
        <v>0</v>
      </c>
      <c r="I1301">
        <v>-20</v>
      </c>
      <c r="J1301">
        <v>0.45</v>
      </c>
      <c r="K1301">
        <v>-10</v>
      </c>
      <c r="L1301">
        <v>0</v>
      </c>
      <c r="M1301">
        <v>-18.2490566037735</v>
      </c>
      <c r="N1301">
        <v>0</v>
      </c>
      <c r="O1301">
        <v>0.43773584905660401</v>
      </c>
      <c r="P1301"/>
      <c r="Q1301">
        <v>4.3773584905660398E-2</v>
      </c>
      <c r="R1301" s="19">
        <v>0.14383205520504599</v>
      </c>
      <c r="S1301" s="20" t="s">
        <v>211</v>
      </c>
      <c r="T1301" s="3" t="s">
        <v>211</v>
      </c>
      <c r="U1301" s="3" t="s">
        <v>174</v>
      </c>
      <c r="V1301" s="3" t="s">
        <v>213</v>
      </c>
      <c r="W1301" s="3">
        <v>8</v>
      </c>
      <c r="X1301" s="3">
        <v>8</v>
      </c>
      <c r="Y1301" s="3">
        <v>0</v>
      </c>
      <c r="Z1301" s="3">
        <v>0</v>
      </c>
      <c r="AA1301" s="3">
        <v>0</v>
      </c>
      <c r="AB1301" s="12">
        <f>(W1301*4+X1301*1+Y1301*-2+Z1301*-3)/W1301</f>
        <v>5</v>
      </c>
      <c r="AC1301" s="3">
        <f>W1301*12.0107+X1301*1.00784+Y1301*15.999+Z1301*14.0067</f>
        <v>104.14832</v>
      </c>
      <c r="AD1301" s="12">
        <v>145</v>
      </c>
      <c r="AE1301" s="3" t="s">
        <v>214</v>
      </c>
      <c r="AF1301" s="3" t="s">
        <v>203</v>
      </c>
      <c r="AG1301" s="2" t="str">
        <f>IF(AD1301&gt;37,"Proton symporter", "Diffusion")</f>
        <v>Proton symporter</v>
      </c>
      <c r="AH1301" s="3" t="s">
        <v>215</v>
      </c>
    </row>
    <row r="1302" spans="1:34" hidden="1" x14ac:dyDescent="0.2">
      <c r="A1302" s="16" t="s">
        <v>63</v>
      </c>
      <c r="B1302" s="17" t="s">
        <v>64</v>
      </c>
      <c r="C1302" t="s">
        <v>71</v>
      </c>
      <c r="D1302" s="18" t="s">
        <v>66</v>
      </c>
      <c r="E1302" t="s">
        <v>335</v>
      </c>
      <c r="F1302" t="s">
        <v>336</v>
      </c>
      <c r="G1302">
        <v>-10</v>
      </c>
      <c r="H1302">
        <v>0</v>
      </c>
      <c r="I1302">
        <v>-5</v>
      </c>
      <c r="J1302">
        <v>0.45</v>
      </c>
      <c r="K1302">
        <v>-10</v>
      </c>
      <c r="L1302">
        <v>0</v>
      </c>
      <c r="M1302">
        <v>-5</v>
      </c>
      <c r="N1302">
        <v>5.3125</v>
      </c>
      <c r="O1302">
        <v>0.9375</v>
      </c>
      <c r="P1302"/>
      <c r="Q1302">
        <v>9.375E-2</v>
      </c>
      <c r="R1302">
        <v>0.143790245346474</v>
      </c>
      <c r="S1302" s="11" t="s">
        <v>335</v>
      </c>
      <c r="T1302" s="2" t="s">
        <v>335</v>
      </c>
      <c r="U1302" s="3" t="s">
        <v>106</v>
      </c>
      <c r="V1302" s="2" t="s">
        <v>337</v>
      </c>
      <c r="W1302" s="2">
        <v>5</v>
      </c>
      <c r="X1302" s="2">
        <v>12</v>
      </c>
      <c r="Y1302" s="2">
        <v>0</v>
      </c>
      <c r="Z1302" s="2">
        <v>0</v>
      </c>
      <c r="AA1302" s="2">
        <v>0</v>
      </c>
      <c r="AB1302" s="12">
        <f>(W1302*4+X1302*1+Y1302*-2+Z1302*-3)/W1302</f>
        <v>6.4</v>
      </c>
      <c r="AC1302" s="3">
        <f>W1302*12.0107+X1302*1.00784+Y1302*15.999+Z1302*14.0067</f>
        <v>72.147580000000005</v>
      </c>
      <c r="AD1302" s="24">
        <v>36.1</v>
      </c>
      <c r="AE1302" s="3" t="s">
        <v>321</v>
      </c>
      <c r="AF1302" s="2" t="s">
        <v>79</v>
      </c>
      <c r="AG1302" s="25" t="str">
        <f>IF(AD1302&gt;37,"Proton symporter", "Diffusion")</f>
        <v>Diffusion</v>
      </c>
      <c r="AH1302" s="3" t="s">
        <v>338</v>
      </c>
    </row>
    <row r="1303" spans="1:34" hidden="1" x14ac:dyDescent="0.2">
      <c r="A1303" s="16" t="s">
        <v>63</v>
      </c>
      <c r="B1303" s="17" t="s">
        <v>64</v>
      </c>
      <c r="C1303" t="s">
        <v>73</v>
      </c>
      <c r="D1303" s="18" t="s">
        <v>66</v>
      </c>
      <c r="E1303" t="s">
        <v>161</v>
      </c>
      <c r="F1303" t="s">
        <v>162</v>
      </c>
      <c r="G1303">
        <v>-10</v>
      </c>
      <c r="H1303">
        <v>0</v>
      </c>
      <c r="I1303">
        <v>-20</v>
      </c>
      <c r="J1303">
        <v>0.45</v>
      </c>
      <c r="K1303">
        <v>-10</v>
      </c>
      <c r="L1303">
        <v>0</v>
      </c>
      <c r="M1303">
        <v>-16.821917808219201</v>
      </c>
      <c r="N1303">
        <v>0</v>
      </c>
      <c r="O1303">
        <v>0.63561643835616399</v>
      </c>
      <c r="P1303"/>
      <c r="Q1303">
        <v>6.3561643835616397E-2</v>
      </c>
      <c r="R1303" s="19">
        <v>0.14159424651201699</v>
      </c>
      <c r="S1303" s="20" t="s">
        <v>161</v>
      </c>
      <c r="T1303" s="3" t="s">
        <v>161</v>
      </c>
      <c r="U1303" s="3" t="s">
        <v>106</v>
      </c>
      <c r="V1303" s="20" t="s">
        <v>163</v>
      </c>
      <c r="W1303" s="3">
        <v>6</v>
      </c>
      <c r="X1303" s="3">
        <v>6</v>
      </c>
      <c r="Y1303" s="3">
        <v>2</v>
      </c>
      <c r="Z1303" s="3">
        <v>0</v>
      </c>
      <c r="AA1303" s="3">
        <v>0</v>
      </c>
      <c r="AB1303" s="12">
        <f>(W1303*4+X1303*1+Y1303*-2+Z1303*-3)/W1303</f>
        <v>4.333333333333333</v>
      </c>
      <c r="AC1303" s="3">
        <f>W1303*12.0107+X1303*1.00784+Y1303*15.999+Z1303*14.0067</f>
        <v>110.10924</v>
      </c>
      <c r="AD1303" s="12">
        <v>245</v>
      </c>
      <c r="AE1303" s="3" t="s">
        <v>164</v>
      </c>
      <c r="AF1303" s="2" t="s">
        <v>98</v>
      </c>
      <c r="AG1303" s="2" t="str">
        <f>IF(AD1303&gt;37,"Proton symporter", "Diffusion")</f>
        <v>Proton symporter</v>
      </c>
      <c r="AH1303" s="3" t="s">
        <v>165</v>
      </c>
    </row>
    <row r="1304" spans="1:34" hidden="1" x14ac:dyDescent="0.2">
      <c r="A1304" s="16" t="s">
        <v>63</v>
      </c>
      <c r="B1304" s="17" t="s">
        <v>64</v>
      </c>
      <c r="C1304" t="s">
        <v>67</v>
      </c>
      <c r="D1304" s="18" t="s">
        <v>66</v>
      </c>
      <c r="E1304" t="s">
        <v>268</v>
      </c>
      <c r="F1304" t="s">
        <v>269</v>
      </c>
      <c r="G1304">
        <v>-10</v>
      </c>
      <c r="H1304">
        <v>0</v>
      </c>
      <c r="I1304">
        <v>-5</v>
      </c>
      <c r="J1304">
        <v>0.45</v>
      </c>
      <c r="K1304">
        <v>-10</v>
      </c>
      <c r="L1304">
        <v>0</v>
      </c>
      <c r="M1304">
        <v>-5</v>
      </c>
      <c r="N1304">
        <v>3.7041666666666599</v>
      </c>
      <c r="O1304">
        <v>0.30104166666666798</v>
      </c>
      <c r="P1304"/>
      <c r="Q1304">
        <v>3.01041666666668E-2</v>
      </c>
      <c r="R1304">
        <v>0.141321987566047</v>
      </c>
      <c r="S1304" s="3" t="s">
        <v>268</v>
      </c>
      <c r="T1304" s="3" t="s">
        <v>268</v>
      </c>
      <c r="U1304" s="3" t="s">
        <v>106</v>
      </c>
      <c r="V1304" s="3" t="s">
        <v>270</v>
      </c>
      <c r="W1304" s="3">
        <v>10</v>
      </c>
      <c r="X1304" s="3">
        <v>16</v>
      </c>
      <c r="Y1304" s="3">
        <v>0</v>
      </c>
      <c r="Z1304" s="3">
        <v>0</v>
      </c>
      <c r="AA1304" s="3">
        <v>0</v>
      </c>
      <c r="AB1304" s="12">
        <f>(W1304*4+X1304*1+Y1304*-2+Z1304*-3)/W1304</f>
        <v>5.6</v>
      </c>
      <c r="AC1304" s="3">
        <f>W1304*12.0107+X1304*1.00784+Y1304*15.999+Z1304*14.0067</f>
        <v>136.23244</v>
      </c>
      <c r="AD1304" s="12">
        <v>176</v>
      </c>
      <c r="AE1304" s="3" t="s">
        <v>271</v>
      </c>
      <c r="AF1304" s="3" t="s">
        <v>79</v>
      </c>
      <c r="AG1304" s="2" t="str">
        <f>IF(AD1304&gt;37,"Proton symporter", "Diffusion")</f>
        <v>Proton symporter</v>
      </c>
      <c r="AH1304" s="3" t="s">
        <v>272</v>
      </c>
    </row>
    <row r="1305" spans="1:34" hidden="1" x14ac:dyDescent="0.2">
      <c r="A1305" s="8" t="s">
        <v>350</v>
      </c>
      <c r="B1305" s="17" t="s">
        <v>64</v>
      </c>
      <c r="C1305" t="s">
        <v>354</v>
      </c>
      <c r="D1305" s="13" t="s">
        <v>51</v>
      </c>
      <c r="E1305" t="s">
        <v>172</v>
      </c>
      <c r="F1305" t="s">
        <v>173</v>
      </c>
      <c r="G1305">
        <v>-10</v>
      </c>
      <c r="H1305">
        <v>0</v>
      </c>
      <c r="I1305">
        <v>0</v>
      </c>
      <c r="J1305">
        <v>0.45</v>
      </c>
      <c r="K1305">
        <v>-10</v>
      </c>
      <c r="L1305">
        <v>0</v>
      </c>
      <c r="M1305">
        <v>1.89387755102041</v>
      </c>
      <c r="N1305">
        <v>0</v>
      </c>
      <c r="O1305" s="26">
        <v>0.473469387755102</v>
      </c>
      <c r="P1305"/>
      <c r="Q1305" s="26">
        <v>4.7346938775510203E-2</v>
      </c>
      <c r="R1305" s="26">
        <v>0.14074342153533201</v>
      </c>
      <c r="S1305" s="3" t="str">
        <f>VLOOKUP($E1305,'[1]Product Naming'!$A$1:$P$58,2)</f>
        <v>Phenol</v>
      </c>
      <c r="T1305" s="3" t="str">
        <f>VLOOKUP($E1305,'[1]Product Naming'!$A$1:$P$58,3)</f>
        <v>Phenol</v>
      </c>
      <c r="U1305" s="3" t="str">
        <f>VLOOKUP($E1305,'[1]Product Naming'!$A$1:$P$58,4)</f>
        <v>E-S</v>
      </c>
      <c r="V1305" s="3" t="str">
        <f>VLOOKUP($E1305,'[1]Product Naming'!$A$1:$P$58,5)</f>
        <v>C6H6O</v>
      </c>
      <c r="W1305" s="3">
        <f>VLOOKUP($E1305,'[1]Product Naming'!$A$1:$P$58,6)</f>
        <v>6</v>
      </c>
      <c r="X1305" s="3">
        <f>VLOOKUP($E1305,'[1]Product Naming'!$A$1:$P$58,7)</f>
        <v>6</v>
      </c>
      <c r="Y1305" s="3">
        <f>VLOOKUP($E1305,'[1]Product Naming'!$A$1:$P$58,8)</f>
        <v>1</v>
      </c>
      <c r="Z1305" s="3">
        <f>VLOOKUP($E1305,'[1]Product Naming'!$A$1:$P$58,9)</f>
        <v>0</v>
      </c>
      <c r="AA1305" s="3">
        <f>VLOOKUP($E1305,'[1]Product Naming'!$A$1:$P$58,10)</f>
        <v>0</v>
      </c>
      <c r="AB1305" s="3">
        <f>VLOOKUP($E1305,'[1]Product Naming'!$A$1:$P$58,11)</f>
        <v>4.666666666666667</v>
      </c>
      <c r="AC1305" s="3">
        <f>VLOOKUP($E1305,'[1]Product Naming'!$A$1:$P$58,12)</f>
        <v>94.11023999999999</v>
      </c>
      <c r="AD1305" s="3">
        <f>VLOOKUP($E1305,'[1]Product Naming'!$A$1:$P$58,13)</f>
        <v>181.7</v>
      </c>
      <c r="AE1305" s="3" t="str">
        <f>VLOOKUP($E1305,'[1]Product Naming'!$A$1:$P$58,14)</f>
        <v>Aromatic + Alcohol</v>
      </c>
      <c r="AF1305" s="3" t="str">
        <f>VLOOKUP($E1305,'[1]Product Naming'!$A$1:$P$58,15)</f>
        <v>E4P + L-glutamate</v>
      </c>
      <c r="AG1305" s="3" t="str">
        <f>VLOOKUP($E1305,'[1]Product Naming'!$A$1:$P$58,16)</f>
        <v>Proton symporter</v>
      </c>
      <c r="AH1305" s="3" t="str">
        <f>VLOOKUP($E1305,'[1]Product Naming'!$A$1:$Q$58,17)</f>
        <v>phenol_c</v>
      </c>
    </row>
    <row r="1306" spans="1:34" hidden="1" x14ac:dyDescent="0.2">
      <c r="A1306" s="16" t="s">
        <v>63</v>
      </c>
      <c r="B1306" s="17" t="s">
        <v>64</v>
      </c>
      <c r="C1306" t="s">
        <v>69</v>
      </c>
      <c r="D1306" s="18" t="s">
        <v>66</v>
      </c>
      <c r="E1306" t="s">
        <v>172</v>
      </c>
      <c r="F1306" t="s">
        <v>173</v>
      </c>
      <c r="G1306">
        <v>-10</v>
      </c>
      <c r="H1306">
        <v>0</v>
      </c>
      <c r="I1306">
        <v>-20</v>
      </c>
      <c r="J1306">
        <v>0.45</v>
      </c>
      <c r="K1306">
        <v>-10</v>
      </c>
      <c r="L1306">
        <v>0</v>
      </c>
      <c r="M1306">
        <v>-18.106122448979601</v>
      </c>
      <c r="N1306">
        <v>0</v>
      </c>
      <c r="O1306">
        <v>0.473469387755102</v>
      </c>
      <c r="P1306"/>
      <c r="Q1306">
        <v>4.73469387755103E-2</v>
      </c>
      <c r="R1306" s="19">
        <v>0.140707055287077</v>
      </c>
      <c r="S1306" s="20" t="s">
        <v>172</v>
      </c>
      <c r="T1306" s="3" t="s">
        <v>172</v>
      </c>
      <c r="U1306" s="3" t="s">
        <v>174</v>
      </c>
      <c r="V1306" s="3" t="s">
        <v>175</v>
      </c>
      <c r="W1306" s="3">
        <v>6</v>
      </c>
      <c r="X1306" s="3">
        <v>6</v>
      </c>
      <c r="Y1306" s="3">
        <v>1</v>
      </c>
      <c r="Z1306" s="3">
        <v>0</v>
      </c>
      <c r="AA1306" s="3">
        <v>0</v>
      </c>
      <c r="AB1306" s="12">
        <f>(W1306*4+X1306*1+Y1306*-2+Z1306*-3)/W1306</f>
        <v>4.666666666666667</v>
      </c>
      <c r="AC1306" s="3">
        <f>W1306*12.0107+X1306*1.00784+Y1306*15.999+Z1306*14.0067</f>
        <v>94.11023999999999</v>
      </c>
      <c r="AD1306" s="12">
        <v>181.7</v>
      </c>
      <c r="AE1306" s="3" t="s">
        <v>176</v>
      </c>
      <c r="AF1306" s="2" t="s">
        <v>150</v>
      </c>
      <c r="AG1306" s="2" t="str">
        <f>IF(AD1306&gt;37,"Proton symporter", "Diffusion")</f>
        <v>Proton symporter</v>
      </c>
      <c r="AH1306" s="3" t="s">
        <v>177</v>
      </c>
    </row>
    <row r="1307" spans="1:34" hidden="1" x14ac:dyDescent="0.2">
      <c r="A1307" s="16" t="s">
        <v>63</v>
      </c>
      <c r="B1307" s="17" t="s">
        <v>64</v>
      </c>
      <c r="C1307" t="s">
        <v>71</v>
      </c>
      <c r="D1307" s="18" t="s">
        <v>66</v>
      </c>
      <c r="E1307" t="s">
        <v>343</v>
      </c>
      <c r="F1307" t="s">
        <v>344</v>
      </c>
      <c r="G1307">
        <v>-10</v>
      </c>
      <c r="H1307">
        <v>0</v>
      </c>
      <c r="I1307">
        <v>-5</v>
      </c>
      <c r="J1307">
        <v>0.45</v>
      </c>
      <c r="K1307">
        <v>-10</v>
      </c>
      <c r="L1307">
        <v>0</v>
      </c>
      <c r="M1307">
        <v>-5</v>
      </c>
      <c r="N1307">
        <v>5.5</v>
      </c>
      <c r="O1307">
        <v>1.5</v>
      </c>
      <c r="P1307"/>
      <c r="Q1307">
        <v>0.15</v>
      </c>
      <c r="R1307">
        <v>0.14060967780338299</v>
      </c>
      <c r="S1307" s="20" t="s">
        <v>343</v>
      </c>
      <c r="T1307" s="3" t="s">
        <v>345</v>
      </c>
      <c r="U1307" s="3" t="s">
        <v>106</v>
      </c>
      <c r="V1307" s="3" t="s">
        <v>346</v>
      </c>
      <c r="W1307" s="3">
        <v>3</v>
      </c>
      <c r="X1307" s="3">
        <v>8</v>
      </c>
      <c r="Y1307" s="3">
        <v>0</v>
      </c>
      <c r="Z1307" s="3">
        <v>0</v>
      </c>
      <c r="AA1307" s="3">
        <v>0</v>
      </c>
      <c r="AB1307" s="12">
        <f>(W1307*4+X1307*1+Y1307*-2+Z1307*-3)/W1307</f>
        <v>6.666666666666667</v>
      </c>
      <c r="AC1307" s="3">
        <f>W1307*12.0107+X1307*1.00784+Y1307*15.999+Z1307*14.0067</f>
        <v>44.094819999999999</v>
      </c>
      <c r="AD1307" s="24">
        <v>-42</v>
      </c>
      <c r="AE1307" s="3" t="s">
        <v>231</v>
      </c>
      <c r="AF1307" s="2" t="s">
        <v>79</v>
      </c>
      <c r="AG1307" s="25" t="str">
        <f>IF(AD1307&gt;37,"Proton symporter", "Diffusion")</f>
        <v>Diffusion</v>
      </c>
      <c r="AH1307" s="3" t="s">
        <v>347</v>
      </c>
    </row>
    <row r="1308" spans="1:34" hidden="1" x14ac:dyDescent="0.2">
      <c r="A1308" s="16" t="s">
        <v>63</v>
      </c>
      <c r="B1308" s="17" t="s">
        <v>64</v>
      </c>
      <c r="C1308" t="s">
        <v>71</v>
      </c>
      <c r="D1308" s="18" t="s">
        <v>66</v>
      </c>
      <c r="E1308" t="s">
        <v>348</v>
      </c>
      <c r="F1308" t="s">
        <v>344</v>
      </c>
      <c r="G1308">
        <v>-10</v>
      </c>
      <c r="H1308">
        <v>0</v>
      </c>
      <c r="I1308">
        <v>-5</v>
      </c>
      <c r="J1308">
        <v>0.45</v>
      </c>
      <c r="K1308">
        <v>-10</v>
      </c>
      <c r="L1308">
        <v>0</v>
      </c>
      <c r="M1308">
        <v>-5</v>
      </c>
      <c r="N1308">
        <v>5.5</v>
      </c>
      <c r="O1308">
        <v>1.5</v>
      </c>
      <c r="P1308"/>
      <c r="Q1308">
        <v>0.15</v>
      </c>
      <c r="R1308">
        <v>0.14060967780338299</v>
      </c>
      <c r="S1308" s="20" t="s">
        <v>348</v>
      </c>
      <c r="T1308" s="3" t="s">
        <v>349</v>
      </c>
      <c r="U1308" s="3" t="s">
        <v>106</v>
      </c>
      <c r="V1308" s="3" t="s">
        <v>346</v>
      </c>
      <c r="W1308" s="3">
        <v>3</v>
      </c>
      <c r="X1308" s="3">
        <v>8</v>
      </c>
      <c r="Y1308" s="3">
        <v>0</v>
      </c>
      <c r="Z1308" s="3">
        <v>0</v>
      </c>
      <c r="AA1308" s="3">
        <v>0</v>
      </c>
      <c r="AB1308" s="12">
        <f>(W1308*4+X1308*1+Y1308*-2+Z1308*-3)/W1308</f>
        <v>6.666666666666667</v>
      </c>
      <c r="AC1308" s="3">
        <f>W1308*12.0107+X1308*1.00784+Y1308*15.999+Z1308*14.0067</f>
        <v>44.094819999999999</v>
      </c>
      <c r="AD1308" s="24">
        <v>-42</v>
      </c>
      <c r="AE1308" s="3" t="s">
        <v>231</v>
      </c>
      <c r="AF1308" s="3" t="s">
        <v>44</v>
      </c>
      <c r="AG1308" s="25" t="str">
        <f>IF(AD1308&gt;37,"Proton symporter", "Diffusion")</f>
        <v>Diffusion</v>
      </c>
      <c r="AH1308" s="3" t="s">
        <v>347</v>
      </c>
    </row>
    <row r="1309" spans="1:34" hidden="1" x14ac:dyDescent="0.2">
      <c r="A1309" s="16" t="s">
        <v>63</v>
      </c>
      <c r="B1309" s="17" t="s">
        <v>64</v>
      </c>
      <c r="C1309" t="s">
        <v>67</v>
      </c>
      <c r="D1309" s="18" t="s">
        <v>66</v>
      </c>
      <c r="E1309" t="s">
        <v>254</v>
      </c>
      <c r="F1309" t="s">
        <v>255</v>
      </c>
      <c r="G1309">
        <v>-10</v>
      </c>
      <c r="H1309">
        <v>0</v>
      </c>
      <c r="I1309">
        <v>-5</v>
      </c>
      <c r="J1309">
        <v>0.45</v>
      </c>
      <c r="K1309">
        <v>-10</v>
      </c>
      <c r="L1309">
        <v>0</v>
      </c>
      <c r="M1309">
        <v>-5</v>
      </c>
      <c r="N1309">
        <v>3.6958620689655199</v>
      </c>
      <c r="O1309">
        <v>0.199310344827586</v>
      </c>
      <c r="P1309"/>
      <c r="Q1309">
        <v>1.9931034482758601E-2</v>
      </c>
      <c r="R1309">
        <v>0.14034735316903901</v>
      </c>
      <c r="S1309" s="11" t="s">
        <v>254</v>
      </c>
      <c r="T1309" s="2" t="s">
        <v>254</v>
      </c>
      <c r="U1309" s="3" t="s">
        <v>41</v>
      </c>
      <c r="V1309" s="2" t="s">
        <v>256</v>
      </c>
      <c r="W1309" s="2">
        <v>15</v>
      </c>
      <c r="X1309" s="2">
        <v>24</v>
      </c>
      <c r="Y1309" s="2">
        <v>0</v>
      </c>
      <c r="Z1309" s="2">
        <v>0</v>
      </c>
      <c r="AA1309" s="2">
        <v>0</v>
      </c>
      <c r="AB1309" s="12">
        <f>(W1309*4+X1309*1+Y1309*-2+Z1309*-3)/W1309+0.01</f>
        <v>5.6099999999999994</v>
      </c>
      <c r="AC1309" s="3">
        <f>W1309*12.0107+X1309*1.00784+Y1309*15.999+Z1309*14.0067</f>
        <v>204.34866000000002</v>
      </c>
      <c r="AD1309" s="12" t="s">
        <v>257</v>
      </c>
      <c r="AE1309" s="2" t="s">
        <v>231</v>
      </c>
      <c r="AF1309" s="2" t="s">
        <v>79</v>
      </c>
      <c r="AG1309" s="2" t="str">
        <f>IF(AD1309&gt;37,"Proton symporter", "Diffusion")</f>
        <v>Proton symporter</v>
      </c>
      <c r="AH1309" s="3" t="s">
        <v>258</v>
      </c>
    </row>
    <row r="1310" spans="1:34" hidden="1" x14ac:dyDescent="0.2">
      <c r="A1310" s="16" t="s">
        <v>63</v>
      </c>
      <c r="B1310" s="17" t="s">
        <v>64</v>
      </c>
      <c r="C1310" t="s">
        <v>71</v>
      </c>
      <c r="D1310" s="18" t="s">
        <v>66</v>
      </c>
      <c r="E1310" t="s">
        <v>244</v>
      </c>
      <c r="F1310" t="s">
        <v>245</v>
      </c>
      <c r="G1310">
        <v>-10</v>
      </c>
      <c r="H1310">
        <v>0</v>
      </c>
      <c r="I1310">
        <v>-5</v>
      </c>
      <c r="J1310">
        <v>0.45</v>
      </c>
      <c r="K1310">
        <v>-10</v>
      </c>
      <c r="L1310">
        <v>0</v>
      </c>
      <c r="M1310">
        <v>-5</v>
      </c>
      <c r="N1310">
        <v>3.5974683544303798</v>
      </c>
      <c r="O1310">
        <v>0.73164556962025296</v>
      </c>
      <c r="P1310"/>
      <c r="Q1310">
        <v>7.3164556962025007E-2</v>
      </c>
      <c r="R1310">
        <v>0.14016980037611201</v>
      </c>
      <c r="S1310" s="20" t="s">
        <v>246</v>
      </c>
      <c r="T1310" s="3" t="s">
        <v>247</v>
      </c>
      <c r="U1310" s="3" t="s">
        <v>106</v>
      </c>
      <c r="V1310" s="3" t="s">
        <v>238</v>
      </c>
      <c r="W1310" s="3">
        <v>4</v>
      </c>
      <c r="X1310" s="3">
        <v>10</v>
      </c>
      <c r="Y1310" s="3">
        <v>2</v>
      </c>
      <c r="Z1310" s="3">
        <v>0</v>
      </c>
      <c r="AA1310" s="3">
        <v>0</v>
      </c>
      <c r="AB1310" s="12">
        <f>(W1310*4+X1310*1+Y1310*-2+Z1310*-3)/W1310</f>
        <v>5.5</v>
      </c>
      <c r="AC1310" s="3">
        <f>W1310*12.0107+X1310*1.00784+Y1310*15.999+Z1310*14.0067</f>
        <v>90.119200000000006</v>
      </c>
      <c r="AD1310" s="12">
        <v>230</v>
      </c>
      <c r="AE1310" s="2" t="s">
        <v>220</v>
      </c>
      <c r="AF1310" s="3" t="s">
        <v>120</v>
      </c>
      <c r="AG1310" s="2" t="str">
        <f>IF(AD1310&gt;37,"Proton symporter", "Diffusion")</f>
        <v>Proton symporter</v>
      </c>
      <c r="AH1310" s="3" t="s">
        <v>248</v>
      </c>
    </row>
    <row r="1311" spans="1:34" hidden="1" x14ac:dyDescent="0.2">
      <c r="A1311" s="16" t="s">
        <v>63</v>
      </c>
      <c r="B1311" s="17" t="s">
        <v>64</v>
      </c>
      <c r="C1311" t="s">
        <v>71</v>
      </c>
      <c r="D1311" s="18" t="s">
        <v>66</v>
      </c>
      <c r="E1311" t="s">
        <v>279</v>
      </c>
      <c r="F1311" t="s">
        <v>280</v>
      </c>
      <c r="G1311">
        <v>-10</v>
      </c>
      <c r="H1311">
        <v>0</v>
      </c>
      <c r="I1311">
        <v>-5</v>
      </c>
      <c r="J1311">
        <v>0.45</v>
      </c>
      <c r="K1311">
        <v>-10</v>
      </c>
      <c r="L1311">
        <v>0</v>
      </c>
      <c r="M1311">
        <v>-5</v>
      </c>
      <c r="N1311">
        <v>4.13584905660377</v>
      </c>
      <c r="O1311">
        <v>1.0905660377358499</v>
      </c>
      <c r="P1311"/>
      <c r="Q1311">
        <v>0.109056603773585</v>
      </c>
      <c r="R1311">
        <v>0.13932150607107899</v>
      </c>
      <c r="S1311" s="20" t="s">
        <v>281</v>
      </c>
      <c r="T1311" s="3" t="s">
        <v>282</v>
      </c>
      <c r="U1311" s="3" t="s">
        <v>174</v>
      </c>
      <c r="V1311" s="3" t="s">
        <v>283</v>
      </c>
      <c r="W1311" s="3">
        <v>3</v>
      </c>
      <c r="X1311" s="3">
        <v>8</v>
      </c>
      <c r="Y1311" s="3">
        <v>1</v>
      </c>
      <c r="Z1311" s="3">
        <v>0</v>
      </c>
      <c r="AA1311" s="3">
        <v>0</v>
      </c>
      <c r="AB1311" s="12">
        <f>(W1311*4+X1311*1+Y1311*-2+Z1311*-3)/W1311</f>
        <v>6</v>
      </c>
      <c r="AC1311" s="3">
        <f>W1311*12.0107+X1311*1.00784+Y1311*15.999+Z1311*14.0067</f>
        <v>60.093820000000001</v>
      </c>
      <c r="AD1311" s="12">
        <v>97</v>
      </c>
      <c r="AE1311" s="2" t="s">
        <v>262</v>
      </c>
      <c r="AF1311" s="2" t="s">
        <v>284</v>
      </c>
      <c r="AG1311" s="2" t="str">
        <f>IF(AD1311&gt;37,"Proton symporter", "Diffusion")</f>
        <v>Proton symporter</v>
      </c>
      <c r="AH1311" s="3" t="s">
        <v>285</v>
      </c>
    </row>
    <row r="1312" spans="1:34" hidden="1" x14ac:dyDescent="0.2">
      <c r="A1312" s="16" t="s">
        <v>63</v>
      </c>
      <c r="B1312" s="17" t="s">
        <v>64</v>
      </c>
      <c r="C1312" t="s">
        <v>67</v>
      </c>
      <c r="D1312" s="18" t="s">
        <v>66</v>
      </c>
      <c r="E1312" t="s">
        <v>264</v>
      </c>
      <c r="F1312" t="s">
        <v>265</v>
      </c>
      <c r="G1312">
        <v>-10</v>
      </c>
      <c r="H1312">
        <v>0</v>
      </c>
      <c r="I1312">
        <v>-5</v>
      </c>
      <c r="J1312">
        <v>0.45</v>
      </c>
      <c r="K1312">
        <v>-10</v>
      </c>
      <c r="L1312">
        <v>0</v>
      </c>
      <c r="M1312">
        <v>-5</v>
      </c>
      <c r="N1312">
        <v>3.6795918367346898</v>
      </c>
      <c r="O1312">
        <v>0.58979591836734702</v>
      </c>
      <c r="P1312"/>
      <c r="Q1312">
        <v>5.8979591836734797E-2</v>
      </c>
      <c r="R1312">
        <v>0.13843786537082101</v>
      </c>
      <c r="S1312" s="20" t="s">
        <v>264</v>
      </c>
      <c r="T1312" s="3" t="s">
        <v>264</v>
      </c>
      <c r="U1312" s="3" t="s">
        <v>106</v>
      </c>
      <c r="V1312" s="3" t="s">
        <v>266</v>
      </c>
      <c r="W1312" s="3">
        <v>5</v>
      </c>
      <c r="X1312" s="3">
        <v>8</v>
      </c>
      <c r="Y1312" s="3">
        <v>0</v>
      </c>
      <c r="Z1312" s="3">
        <v>0</v>
      </c>
      <c r="AA1312" s="3">
        <v>0</v>
      </c>
      <c r="AB1312" s="12">
        <f>(W1312*4+X1312*1+Y1312*-2+Z1312*-3)/W1312</f>
        <v>5.6</v>
      </c>
      <c r="AC1312" s="3">
        <f>W1312*12.0107+X1312*1.00784+Y1312*15.999+Z1312*14.0067</f>
        <v>68.116219999999998</v>
      </c>
      <c r="AD1312" s="24">
        <v>34.07</v>
      </c>
      <c r="AE1312" s="3" t="s">
        <v>231</v>
      </c>
      <c r="AF1312" s="3" t="s">
        <v>79</v>
      </c>
      <c r="AG1312" s="25" t="str">
        <f>IF(AD1312&gt;37,"Proton symporter", "Diffusion")</f>
        <v>Diffusion</v>
      </c>
      <c r="AH1312" s="3" t="s">
        <v>267</v>
      </c>
    </row>
    <row r="1313" spans="1:34" hidden="1" x14ac:dyDescent="0.2">
      <c r="A1313" s="8" t="s">
        <v>368</v>
      </c>
      <c r="B1313" s="17" t="s">
        <v>64</v>
      </c>
      <c r="C1313" t="s">
        <v>369</v>
      </c>
      <c r="D1313" s="18" t="s">
        <v>66</v>
      </c>
      <c r="E1313" t="s">
        <v>244</v>
      </c>
      <c r="F1313" t="s">
        <v>245</v>
      </c>
      <c r="G1313">
        <v>-10</v>
      </c>
      <c r="H1313">
        <v>0</v>
      </c>
      <c r="I1313">
        <v>-20</v>
      </c>
      <c r="J1313">
        <v>0.45</v>
      </c>
      <c r="K1313">
        <v>-8.9974683544303709</v>
      </c>
      <c r="L1313">
        <v>0</v>
      </c>
      <c r="M1313">
        <v>-20</v>
      </c>
      <c r="N1313">
        <v>-8.9974683544303709</v>
      </c>
      <c r="O1313">
        <v>0.66835443037974795</v>
      </c>
      <c r="P1313"/>
      <c r="Q1313">
        <v>7.4282498593134696E-2</v>
      </c>
      <c r="R1313">
        <v>0.13805125441327701</v>
      </c>
      <c r="S1313" s="1" t="str">
        <f>VLOOKUP($E1313,'[1]Product Naming'!$A$1:$P$58,2)</f>
        <v>1-4-butanediol</v>
      </c>
      <c r="T1313" s="1" t="str">
        <f>VLOOKUP($E1313,'[1]Product Naming'!$A$1:$P$58,3)</f>
        <v>1,4-Butanediol</v>
      </c>
      <c r="U1313" s="1" t="str">
        <f>VLOOKUP($E1313,'[1]Product Naming'!$A$1:$P$58,4)</f>
        <v>E</v>
      </c>
      <c r="V1313" s="1" t="str">
        <f>VLOOKUP($E1313,'[1]Product Naming'!$A$1:$P$58,5)</f>
        <v>C4H10O2</v>
      </c>
      <c r="W1313" s="1">
        <f>VLOOKUP($E1313,'[1]Product Naming'!$A$1:$P$58,6)</f>
        <v>4</v>
      </c>
      <c r="X1313" s="1">
        <f>VLOOKUP($E1313,'[1]Product Naming'!$A$1:$P$58,7)</f>
        <v>10</v>
      </c>
      <c r="Y1313" s="1">
        <f>VLOOKUP($E1313,'[1]Product Naming'!$A$1:$P$58,8)</f>
        <v>2</v>
      </c>
      <c r="Z1313" s="1">
        <f>VLOOKUP($E1313,'[1]Product Naming'!$A$1:$P$58,9)</f>
        <v>0</v>
      </c>
      <c r="AA1313" s="1">
        <f>VLOOKUP($E1313,'[1]Product Naming'!$A$1:$P$58,10)</f>
        <v>0</v>
      </c>
      <c r="AB1313" s="27">
        <f>VLOOKUP($E1313,'[1]Product Naming'!$A$1:$P$58,11)</f>
        <v>5.5</v>
      </c>
      <c r="AC1313" s="3">
        <f>VLOOKUP($E1313,'[1]Product Naming'!$A$1:$P$58,12)</f>
        <v>90.119200000000006</v>
      </c>
      <c r="AD1313" s="1">
        <f>VLOOKUP($E1313,'[1]Product Naming'!$A$1:$P$58,13)</f>
        <v>230</v>
      </c>
      <c r="AE1313" s="1" t="str">
        <f>VLOOKUP($E1313,'[1]Product Naming'!$A$1:$P$58,14)</f>
        <v>Diol</v>
      </c>
      <c r="AF1313" s="1" t="str">
        <f>VLOOKUP($E1313,'[1]Product Naming'!$A$1:$P$58,15)</f>
        <v>aKG</v>
      </c>
      <c r="AG1313" s="28" t="str">
        <f>VLOOKUP($E1313,'[1]Product Naming'!$A$1:$P$58,16)</f>
        <v>Proton symporter</v>
      </c>
      <c r="AH1313" s="3" t="str">
        <f>VLOOKUP($E1313,'[1]Product Naming'!$A$1:$Q$58,17)</f>
        <v>14bdo_c</v>
      </c>
    </row>
    <row r="1314" spans="1:34" hidden="1" x14ac:dyDescent="0.2">
      <c r="A1314" s="16" t="s">
        <v>63</v>
      </c>
      <c r="B1314" s="17" t="s">
        <v>64</v>
      </c>
      <c r="C1314" t="s">
        <v>68</v>
      </c>
      <c r="D1314" s="18" t="s">
        <v>66</v>
      </c>
      <c r="E1314" t="s">
        <v>178</v>
      </c>
      <c r="F1314" t="s">
        <v>179</v>
      </c>
      <c r="G1314">
        <v>-10</v>
      </c>
      <c r="H1314">
        <v>0</v>
      </c>
      <c r="I1314">
        <v>-10</v>
      </c>
      <c r="J1314">
        <v>0.45</v>
      </c>
      <c r="K1314">
        <v>-10</v>
      </c>
      <c r="L1314">
        <v>0</v>
      </c>
      <c r="M1314">
        <v>-10</v>
      </c>
      <c r="N1314">
        <v>0.51753554502369803</v>
      </c>
      <c r="O1314">
        <v>0.34502369668246402</v>
      </c>
      <c r="P1314"/>
      <c r="Q1314">
        <v>3.4502369668246997E-2</v>
      </c>
      <c r="R1314">
        <v>0.13804086744219399</v>
      </c>
      <c r="S1314" s="20" t="s">
        <v>178</v>
      </c>
      <c r="T1314" s="3" t="s">
        <v>178</v>
      </c>
      <c r="U1314" s="3" t="s">
        <v>106</v>
      </c>
      <c r="V1314" s="3" t="s">
        <v>180</v>
      </c>
      <c r="W1314" s="3">
        <v>8</v>
      </c>
      <c r="X1314" s="3">
        <v>8</v>
      </c>
      <c r="Y1314" s="3">
        <v>1</v>
      </c>
      <c r="Z1314" s="3">
        <v>0</v>
      </c>
      <c r="AA1314" s="3">
        <v>0</v>
      </c>
      <c r="AB1314" s="12">
        <f>(W1314*4+X1314*1+Y1314*-2+Z1314*-3)/W1314</f>
        <v>4.75</v>
      </c>
      <c r="AC1314" s="3">
        <f>W1314*12.0107+X1314*1.00784+Y1314*15.999+Z1314*14.0067</f>
        <v>120.14731999999999</v>
      </c>
      <c r="AD1314" s="12">
        <v>229</v>
      </c>
      <c r="AE1314" s="3" t="s">
        <v>176</v>
      </c>
      <c r="AF1314" s="2" t="s">
        <v>150</v>
      </c>
      <c r="AG1314" s="2" t="str">
        <f>IF(AD1314&gt;37,"Proton symporter", "Diffusion")</f>
        <v>Proton symporter</v>
      </c>
      <c r="AH1314" s="3" t="s">
        <v>181</v>
      </c>
    </row>
    <row r="1315" spans="1:34" hidden="1" x14ac:dyDescent="0.2">
      <c r="A1315" s="8" t="s">
        <v>350</v>
      </c>
      <c r="B1315" s="17" t="s">
        <v>64</v>
      </c>
      <c r="C1315" t="s">
        <v>352</v>
      </c>
      <c r="D1315" s="13" t="s">
        <v>51</v>
      </c>
      <c r="E1315" t="s">
        <v>146</v>
      </c>
      <c r="F1315" t="s">
        <v>147</v>
      </c>
      <c r="G1315">
        <v>-10</v>
      </c>
      <c r="H1315">
        <v>0</v>
      </c>
      <c r="I1315">
        <v>0</v>
      </c>
      <c r="J1315">
        <v>0.45</v>
      </c>
      <c r="K1315">
        <v>-10</v>
      </c>
      <c r="L1315">
        <v>0</v>
      </c>
      <c r="M1315" s="26">
        <v>2.1198312236286898</v>
      </c>
      <c r="N1315">
        <v>0</v>
      </c>
      <c r="O1315" s="26">
        <v>0.264978902953587</v>
      </c>
      <c r="P1315"/>
      <c r="Q1315">
        <v>2.6497890295358699E-2</v>
      </c>
      <c r="R1315" s="26">
        <v>0.13674711592035199</v>
      </c>
      <c r="S1315" s="3" t="str">
        <f>VLOOKUP($E1315,'[1]Product Naming'!$A$1:$P$58,2)</f>
        <v>Coumaric acid</v>
      </c>
      <c r="T1315" s="3" t="str">
        <f>VLOOKUP($E1315,'[1]Product Naming'!$A$1:$P$58,3)</f>
        <v>Coumaric acid</v>
      </c>
      <c r="U1315" s="3" t="str">
        <f>VLOOKUP($E1315,'[1]Product Naming'!$A$1:$P$58,4)</f>
        <v>E</v>
      </c>
      <c r="V1315" s="3" t="str">
        <f>VLOOKUP($E1315,'[1]Product Naming'!$A$1:$P$58,5)</f>
        <v>C9H7O3</v>
      </c>
      <c r="W1315" s="3">
        <f>VLOOKUP($E1315,'[1]Product Naming'!$A$1:$P$58,6)</f>
        <v>9</v>
      </c>
      <c r="X1315" s="3">
        <f>VLOOKUP($E1315,'[1]Product Naming'!$A$1:$P$58,7)</f>
        <v>7</v>
      </c>
      <c r="Y1315" s="3">
        <f>VLOOKUP($E1315,'[1]Product Naming'!$A$1:$P$58,8)</f>
        <v>3</v>
      </c>
      <c r="Z1315" s="3">
        <f>VLOOKUP($E1315,'[1]Product Naming'!$A$1:$P$58,9)</f>
        <v>0</v>
      </c>
      <c r="AA1315" s="3">
        <f>VLOOKUP($E1315,'[1]Product Naming'!$A$1:$P$58,10)</f>
        <v>-1</v>
      </c>
      <c r="AB1315" s="3">
        <f>VLOOKUP($E1315,'[1]Product Naming'!$A$1:$P$58,11)</f>
        <v>4.1111111111111107</v>
      </c>
      <c r="AC1315" s="3">
        <f>VLOOKUP($E1315,'[1]Product Naming'!$A$1:$P$58,12)</f>
        <v>163.14818</v>
      </c>
      <c r="AD1315" s="3">
        <f>VLOOKUP($E1315,'[1]Product Naming'!$A$1:$P$58,13)</f>
        <v>346</v>
      </c>
      <c r="AE1315" s="3" t="str">
        <f>VLOOKUP($E1315,'[1]Product Naming'!$A$1:$P$58,14)</f>
        <v>Aromatic + Alcohol + Carboxylate</v>
      </c>
      <c r="AF1315" s="3" t="str">
        <f>VLOOKUP($E1315,'[1]Product Naming'!$A$1:$P$58,15)</f>
        <v>E4P + L-glutamate</v>
      </c>
      <c r="AG1315" s="3" t="str">
        <f>VLOOKUP($E1315,'[1]Product Naming'!$A$1:$P$58,16)</f>
        <v>Proton symporter</v>
      </c>
      <c r="AH1315" s="3" t="str">
        <f>VLOOKUP($E1315,'[1]Product Naming'!$A$1:$Q$58,17)</f>
        <v>T4hcinnm_c</v>
      </c>
    </row>
    <row r="1316" spans="1:34" hidden="1" x14ac:dyDescent="0.2">
      <c r="A1316" s="8" t="s">
        <v>350</v>
      </c>
      <c r="B1316" s="17" t="s">
        <v>64</v>
      </c>
      <c r="C1316" t="s">
        <v>353</v>
      </c>
      <c r="D1316" s="13" t="s">
        <v>51</v>
      </c>
      <c r="E1316" t="s">
        <v>159</v>
      </c>
      <c r="F1316" t="s">
        <v>153</v>
      </c>
      <c r="G1316">
        <v>-10</v>
      </c>
      <c r="H1316">
        <v>0</v>
      </c>
      <c r="I1316">
        <v>0</v>
      </c>
      <c r="J1316">
        <v>0.45</v>
      </c>
      <c r="K1316">
        <v>-10</v>
      </c>
      <c r="L1316">
        <v>0</v>
      </c>
      <c r="M1316" s="26">
        <v>2.1396877567789701</v>
      </c>
      <c r="N1316">
        <v>0</v>
      </c>
      <c r="O1316" s="26">
        <v>0.35661462612983202</v>
      </c>
      <c r="P1316"/>
      <c r="Q1316">
        <v>3.5661462612983197E-2</v>
      </c>
      <c r="R1316" s="26">
        <v>0.13663637332336101</v>
      </c>
      <c r="S1316" s="3" t="str">
        <f>VLOOKUP($E1316,'[1]Product Naming'!$A$1:$P$58,2)</f>
        <v>Benzoate-PW2</v>
      </c>
      <c r="T1316" s="3" t="str">
        <f>VLOOKUP($E1316,'[1]Product Naming'!$A$1:$P$58,3)</f>
        <v>Benzoate (PW2)</v>
      </c>
      <c r="U1316" s="3" t="str">
        <f>VLOOKUP($E1316,'[1]Product Naming'!$A$1:$P$58,4)</f>
        <v>A</v>
      </c>
      <c r="V1316" s="3" t="str">
        <f>VLOOKUP($E1316,'[1]Product Naming'!$A$1:$P$58,5)</f>
        <v>C7H5O2</v>
      </c>
      <c r="W1316" s="3">
        <f>VLOOKUP($E1316,'[1]Product Naming'!$A$1:$P$58,6)</f>
        <v>7</v>
      </c>
      <c r="X1316" s="3">
        <f>VLOOKUP($E1316,'[1]Product Naming'!$A$1:$P$58,7)</f>
        <v>5</v>
      </c>
      <c r="Y1316" s="3">
        <f>VLOOKUP($E1316,'[1]Product Naming'!$A$1:$P$58,8)</f>
        <v>2</v>
      </c>
      <c r="Z1316" s="3">
        <f>VLOOKUP($E1316,'[1]Product Naming'!$A$1:$P$58,9)</f>
        <v>0</v>
      </c>
      <c r="AA1316" s="3">
        <f>VLOOKUP($E1316,'[1]Product Naming'!$A$1:$P$58,10)</f>
        <v>-1</v>
      </c>
      <c r="AB1316" s="3">
        <f>VLOOKUP($E1316,'[1]Product Naming'!$A$1:$P$58,11)</f>
        <v>4.1428571428571432</v>
      </c>
      <c r="AC1316" s="3">
        <f>VLOOKUP($E1316,'[1]Product Naming'!$A$1:$P$58,12)</f>
        <v>121.1121</v>
      </c>
      <c r="AD1316" s="3">
        <f>VLOOKUP($E1316,'[1]Product Naming'!$A$1:$P$58,13)</f>
        <v>249.2</v>
      </c>
      <c r="AE1316" s="3" t="str">
        <f>VLOOKUP($E1316,'[1]Product Naming'!$A$1:$P$58,14)</f>
        <v>Aromatic + Carboxylate</v>
      </c>
      <c r="AF1316" s="3" t="str">
        <f>VLOOKUP($E1316,'[1]Product Naming'!$A$1:$P$58,15)</f>
        <v>E4P + aKG</v>
      </c>
      <c r="AG1316" s="3" t="str">
        <f>VLOOKUP($E1316,'[1]Product Naming'!$A$1:$P$58,16)</f>
        <v>Proton symporter</v>
      </c>
      <c r="AH1316" s="3" t="str">
        <f>VLOOKUP($E1316,'[1]Product Naming'!$A$1:$Q$58,17)</f>
        <v>bz_c</v>
      </c>
    </row>
    <row r="1317" spans="1:34" hidden="1" x14ac:dyDescent="0.2">
      <c r="A1317" s="16" t="s">
        <v>63</v>
      </c>
      <c r="B1317" s="17" t="s">
        <v>64</v>
      </c>
      <c r="C1317" t="s">
        <v>68</v>
      </c>
      <c r="D1317" s="18" t="s">
        <v>66</v>
      </c>
      <c r="E1317" t="s">
        <v>152</v>
      </c>
      <c r="F1317" t="s">
        <v>153</v>
      </c>
      <c r="G1317">
        <v>-10</v>
      </c>
      <c r="H1317">
        <v>0</v>
      </c>
      <c r="I1317">
        <v>-10</v>
      </c>
      <c r="J1317">
        <v>0.45</v>
      </c>
      <c r="K1317">
        <v>-10</v>
      </c>
      <c r="L1317">
        <v>0</v>
      </c>
      <c r="M1317">
        <v>-10</v>
      </c>
      <c r="N1317">
        <v>0.16930232558139699</v>
      </c>
      <c r="O1317">
        <v>0.33860465116279098</v>
      </c>
      <c r="P1317"/>
      <c r="Q1317">
        <v>3.3860465116279E-2</v>
      </c>
      <c r="R1317">
        <v>0.13656050739957701</v>
      </c>
      <c r="S1317" s="11" t="s">
        <v>152</v>
      </c>
      <c r="T1317" s="2" t="s">
        <v>154</v>
      </c>
      <c r="U1317" s="3" t="s">
        <v>41</v>
      </c>
      <c r="V1317" s="2" t="s">
        <v>155</v>
      </c>
      <c r="W1317" s="2">
        <v>7</v>
      </c>
      <c r="X1317" s="2">
        <v>5</v>
      </c>
      <c r="Y1317" s="2">
        <v>2</v>
      </c>
      <c r="Z1317" s="2">
        <v>0</v>
      </c>
      <c r="AA1317" s="2">
        <v>0</v>
      </c>
      <c r="AB1317" s="12">
        <f>(W1317*4+X1317*1+Y1317*-2+Z1317*-3)/W1317</f>
        <v>4.1428571428571432</v>
      </c>
      <c r="AC1317" s="3">
        <f>W1317*12.0107+X1317*1.00784+Y1317*15.999+Z1317*14.0067</f>
        <v>121.1121</v>
      </c>
      <c r="AD1317" s="12">
        <v>249.2</v>
      </c>
      <c r="AE1317" s="2" t="s">
        <v>156</v>
      </c>
      <c r="AF1317" s="2" t="s">
        <v>157</v>
      </c>
      <c r="AG1317" s="2" t="str">
        <f>IF(AD1317&gt;37,"Proton symporter", "Diffusion")</f>
        <v>Proton symporter</v>
      </c>
      <c r="AH1317" s="3" t="s">
        <v>158</v>
      </c>
    </row>
    <row r="1318" spans="1:34" hidden="1" x14ac:dyDescent="0.2">
      <c r="A1318" s="16" t="s">
        <v>63</v>
      </c>
      <c r="B1318" s="17" t="s">
        <v>64</v>
      </c>
      <c r="C1318" t="s">
        <v>70</v>
      </c>
      <c r="D1318" s="18" t="s">
        <v>66</v>
      </c>
      <c r="E1318" t="s">
        <v>273</v>
      </c>
      <c r="F1318" t="s">
        <v>274</v>
      </c>
      <c r="G1318">
        <v>-10</v>
      </c>
      <c r="H1318">
        <v>0</v>
      </c>
      <c r="I1318">
        <v>0</v>
      </c>
      <c r="J1318">
        <v>0.45</v>
      </c>
      <c r="K1318">
        <v>-10</v>
      </c>
      <c r="L1318">
        <v>0</v>
      </c>
      <c r="M1318">
        <v>0</v>
      </c>
      <c r="N1318">
        <v>5.8230769230769202</v>
      </c>
      <c r="O1318">
        <v>0.82307692307692304</v>
      </c>
      <c r="P1318"/>
      <c r="Q1318">
        <v>8.2307692307691999E-2</v>
      </c>
      <c r="R1318">
        <v>0.13614876347126501</v>
      </c>
      <c r="S1318" s="22" t="s">
        <v>273</v>
      </c>
      <c r="T1318" s="3" t="s">
        <v>275</v>
      </c>
      <c r="U1318" s="3" t="s">
        <v>41</v>
      </c>
      <c r="V1318" s="2" t="s">
        <v>276</v>
      </c>
      <c r="W1318" s="2">
        <v>3</v>
      </c>
      <c r="X1318" s="2">
        <v>12</v>
      </c>
      <c r="Y1318" s="2">
        <v>0</v>
      </c>
      <c r="Z1318" s="2">
        <v>2</v>
      </c>
      <c r="AA1318" s="2">
        <v>0</v>
      </c>
      <c r="AB1318" s="12">
        <f>(W1318*4+X1318*1+Y1318*-2+Z1318*-3)/W1318</f>
        <v>6</v>
      </c>
      <c r="AC1318" s="3">
        <f>W1318*12.0107+X1318*1.00784+Y1318*15.999+Z1318*14.0067</f>
        <v>76.139580000000009</v>
      </c>
      <c r="AD1318" s="12">
        <v>139.30000000000001</v>
      </c>
      <c r="AE1318" s="2" t="s">
        <v>277</v>
      </c>
      <c r="AF1318" s="2" t="s">
        <v>125</v>
      </c>
      <c r="AG1318" s="2" t="str">
        <f>IF(AD1318&gt;37,"Proton symporter", "Diffusion")</f>
        <v>Proton symporter</v>
      </c>
      <c r="AH1318" s="3" t="s">
        <v>278</v>
      </c>
    </row>
    <row r="1319" spans="1:34" hidden="1" x14ac:dyDescent="0.2">
      <c r="A1319" s="8" t="s">
        <v>350</v>
      </c>
      <c r="B1319" s="17" t="s">
        <v>64</v>
      </c>
      <c r="C1319" t="s">
        <v>351</v>
      </c>
      <c r="D1319" s="13" t="s">
        <v>51</v>
      </c>
      <c r="E1319" t="s">
        <v>273</v>
      </c>
      <c r="F1319" t="s">
        <v>274</v>
      </c>
      <c r="G1319">
        <v>-10</v>
      </c>
      <c r="H1319">
        <v>0</v>
      </c>
      <c r="I1319">
        <v>0</v>
      </c>
      <c r="J1319">
        <v>0.45</v>
      </c>
      <c r="K1319">
        <v>-10</v>
      </c>
      <c r="L1319">
        <v>0</v>
      </c>
      <c r="M1319" s="26">
        <v>0.56551724137931103</v>
      </c>
      <c r="N1319">
        <v>0</v>
      </c>
      <c r="O1319" s="26">
        <v>0.56551724137931003</v>
      </c>
      <c r="P1319"/>
      <c r="Q1319">
        <v>5.6551724137930998E-2</v>
      </c>
      <c r="R1319" s="26">
        <v>0.13486445793184701</v>
      </c>
      <c r="S1319" s="3" t="str">
        <f>VLOOKUP($E1319,'[1]Product Naming'!$A$1:$P$58,2)</f>
        <v>1-3-Diaminopropane</v>
      </c>
      <c r="T1319" s="3" t="str">
        <f>VLOOKUP($E1319,'[1]Product Naming'!$A$1:$P$58,3)</f>
        <v>1,3-Diaminopropane</v>
      </c>
      <c r="U1319" s="3" t="str">
        <f>VLOOKUP($E1319,'[1]Product Naming'!$A$1:$P$58,4)</f>
        <v>A</v>
      </c>
      <c r="V1319" s="3" t="str">
        <f>VLOOKUP($E1319,'[1]Product Naming'!$A$1:$P$58,5)</f>
        <v>C3H12N2</v>
      </c>
      <c r="W1319" s="3">
        <f>VLOOKUP($E1319,'[1]Product Naming'!$A$1:$P$58,6)</f>
        <v>3</v>
      </c>
      <c r="X1319" s="3">
        <f>VLOOKUP($E1319,'[1]Product Naming'!$A$1:$P$58,7)</f>
        <v>12</v>
      </c>
      <c r="Y1319" s="3">
        <f>VLOOKUP($E1319,'[1]Product Naming'!$A$1:$P$58,8)</f>
        <v>0</v>
      </c>
      <c r="Z1319" s="3">
        <f>VLOOKUP($E1319,'[1]Product Naming'!$A$1:$P$58,9)</f>
        <v>2</v>
      </c>
      <c r="AA1319" s="3">
        <f>VLOOKUP($E1319,'[1]Product Naming'!$A$1:$P$58,10)</f>
        <v>2</v>
      </c>
      <c r="AB1319" s="3">
        <f>VLOOKUP($E1319,'[1]Product Naming'!$A$1:$P$58,11)</f>
        <v>6</v>
      </c>
      <c r="AC1319" s="3">
        <f>VLOOKUP($E1319,'[1]Product Naming'!$A$1:$P$58,12)</f>
        <v>76.139580000000009</v>
      </c>
      <c r="AD1319" s="3">
        <f>VLOOKUP($E1319,'[1]Product Naming'!$A$1:$P$58,13)</f>
        <v>139.30000000000001</v>
      </c>
      <c r="AE1319" s="3" t="str">
        <f>VLOOKUP($E1319,'[1]Product Naming'!$A$1:$P$58,14)</f>
        <v>Diamine</v>
      </c>
      <c r="AF1319" s="3" t="str">
        <f>VLOOKUP($E1319,'[1]Product Naming'!$A$1:$P$58,15)</f>
        <v>Oxaloacetate + aKG</v>
      </c>
      <c r="AG1319" s="3" t="str">
        <f>VLOOKUP($E1319,'[1]Product Naming'!$A$1:$P$58,16)</f>
        <v>Proton symporter</v>
      </c>
      <c r="AH1319" s="3" t="str">
        <f>VLOOKUP($E1319,'[1]Product Naming'!$A$1:$Q$58,17)</f>
        <v>13dampp_c</v>
      </c>
    </row>
    <row r="1320" spans="1:34" hidden="1" x14ac:dyDescent="0.2">
      <c r="A1320" s="16" t="s">
        <v>63</v>
      </c>
      <c r="B1320" s="17" t="s">
        <v>64</v>
      </c>
      <c r="C1320" t="s">
        <v>73</v>
      </c>
      <c r="D1320" s="18" t="s">
        <v>66</v>
      </c>
      <c r="E1320" t="s">
        <v>268</v>
      </c>
      <c r="F1320" t="s">
        <v>269</v>
      </c>
      <c r="G1320">
        <v>-10</v>
      </c>
      <c r="H1320">
        <v>0</v>
      </c>
      <c r="I1320">
        <v>-20</v>
      </c>
      <c r="J1320">
        <v>0.45</v>
      </c>
      <c r="K1320">
        <v>-10</v>
      </c>
      <c r="L1320">
        <v>0</v>
      </c>
      <c r="M1320">
        <v>-19.012765957446799</v>
      </c>
      <c r="N1320">
        <v>0</v>
      </c>
      <c r="O1320">
        <v>0.49361702127659601</v>
      </c>
      <c r="P1320"/>
      <c r="Q1320">
        <v>4.9361702127659599E-2</v>
      </c>
      <c r="R1320" s="19">
        <v>0.13484233180250599</v>
      </c>
      <c r="S1320" s="3" t="s">
        <v>268</v>
      </c>
      <c r="T1320" s="3" t="s">
        <v>268</v>
      </c>
      <c r="U1320" s="3" t="s">
        <v>106</v>
      </c>
      <c r="V1320" s="3" t="s">
        <v>270</v>
      </c>
      <c r="W1320" s="3">
        <v>10</v>
      </c>
      <c r="X1320" s="3">
        <v>16</v>
      </c>
      <c r="Y1320" s="3">
        <v>0</v>
      </c>
      <c r="Z1320" s="3">
        <v>0</v>
      </c>
      <c r="AA1320" s="3">
        <v>0</v>
      </c>
      <c r="AB1320" s="12">
        <f>(W1320*4+X1320*1+Y1320*-2+Z1320*-3)/W1320</f>
        <v>5.6</v>
      </c>
      <c r="AC1320" s="3">
        <f>W1320*12.0107+X1320*1.00784+Y1320*15.999+Z1320*14.0067</f>
        <v>136.23244</v>
      </c>
      <c r="AD1320" s="12">
        <v>176</v>
      </c>
      <c r="AE1320" s="3" t="s">
        <v>271</v>
      </c>
      <c r="AF1320" s="3" t="s">
        <v>79</v>
      </c>
      <c r="AG1320" s="2" t="str">
        <f>IF(AD1320&gt;37,"Proton symporter", "Diffusion")</f>
        <v>Proton symporter</v>
      </c>
      <c r="AH1320" s="3" t="s">
        <v>272</v>
      </c>
    </row>
    <row r="1321" spans="1:34" hidden="1" x14ac:dyDescent="0.2">
      <c r="A1321" s="16" t="s">
        <v>63</v>
      </c>
      <c r="B1321" s="17" t="s">
        <v>64</v>
      </c>
      <c r="C1321" t="s">
        <v>70</v>
      </c>
      <c r="D1321" s="18" t="s">
        <v>66</v>
      </c>
      <c r="E1321" t="s">
        <v>300</v>
      </c>
      <c r="F1321" t="s">
        <v>301</v>
      </c>
      <c r="G1321">
        <v>-10</v>
      </c>
      <c r="H1321">
        <v>0</v>
      </c>
      <c r="I1321">
        <v>0</v>
      </c>
      <c r="J1321">
        <v>0.45</v>
      </c>
      <c r="K1321">
        <v>-10</v>
      </c>
      <c r="L1321">
        <v>0</v>
      </c>
      <c r="M1321">
        <v>0</v>
      </c>
      <c r="N1321">
        <v>6.6666666666666696</v>
      </c>
      <c r="O1321">
        <v>0.83333333333333304</v>
      </c>
      <c r="P1321"/>
      <c r="Q1321">
        <v>8.3333333333332996E-2</v>
      </c>
      <c r="R1321">
        <v>0.134189376690941</v>
      </c>
      <c r="S1321" s="20" t="s">
        <v>300</v>
      </c>
      <c r="T1321" s="3" t="s">
        <v>302</v>
      </c>
      <c r="U1321" s="3" t="s">
        <v>106</v>
      </c>
      <c r="V1321" s="3" t="s">
        <v>303</v>
      </c>
      <c r="W1321" s="3">
        <v>4</v>
      </c>
      <c r="X1321" s="3">
        <v>10</v>
      </c>
      <c r="Y1321" s="3">
        <v>1</v>
      </c>
      <c r="Z1321" s="3">
        <v>0</v>
      </c>
      <c r="AA1321" s="3">
        <v>0</v>
      </c>
      <c r="AB1321" s="12">
        <f>(W1321*4+X1321*1+Y1321*-2+Z1321*-3)/W1321</f>
        <v>6</v>
      </c>
      <c r="AC1321" s="3">
        <f>W1321*12.0107+X1321*1.00784+Y1321*15.999+Z1321*14.0067</f>
        <v>74.120199999999997</v>
      </c>
      <c r="AD1321" s="12">
        <v>117.7</v>
      </c>
      <c r="AE1321" s="3" t="s">
        <v>262</v>
      </c>
      <c r="AF1321" s="2" t="s">
        <v>79</v>
      </c>
      <c r="AG1321" s="2" t="str">
        <f>IF(AD1321&gt;37,"Proton symporter", "Diffusion")</f>
        <v>Proton symporter</v>
      </c>
      <c r="AH1321" s="3" t="s">
        <v>304</v>
      </c>
    </row>
    <row r="1322" spans="1:34" hidden="1" x14ac:dyDescent="0.2">
      <c r="A1322" s="16" t="s">
        <v>63</v>
      </c>
      <c r="B1322" s="17" t="s">
        <v>64</v>
      </c>
      <c r="C1322" t="s">
        <v>70</v>
      </c>
      <c r="D1322" s="18" t="s">
        <v>66</v>
      </c>
      <c r="E1322" t="s">
        <v>305</v>
      </c>
      <c r="F1322" t="s">
        <v>301</v>
      </c>
      <c r="G1322">
        <v>-10</v>
      </c>
      <c r="H1322">
        <v>0</v>
      </c>
      <c r="I1322">
        <v>0</v>
      </c>
      <c r="J1322">
        <v>0.45</v>
      </c>
      <c r="K1322">
        <v>-10</v>
      </c>
      <c r="L1322">
        <v>0</v>
      </c>
      <c r="M1322">
        <v>0</v>
      </c>
      <c r="N1322">
        <v>6.6666666666666696</v>
      </c>
      <c r="O1322">
        <v>0.83333333333333304</v>
      </c>
      <c r="P1322"/>
      <c r="Q1322">
        <v>8.3333333333333301E-2</v>
      </c>
      <c r="R1322">
        <v>0.134189376690941</v>
      </c>
      <c r="S1322" s="20" t="s">
        <v>305</v>
      </c>
      <c r="T1322" s="3" t="s">
        <v>306</v>
      </c>
      <c r="U1322" s="3" t="s">
        <v>106</v>
      </c>
      <c r="V1322" s="3" t="s">
        <v>303</v>
      </c>
      <c r="W1322" s="3">
        <v>4</v>
      </c>
      <c r="X1322" s="3">
        <v>10</v>
      </c>
      <c r="Y1322" s="3">
        <v>1</v>
      </c>
      <c r="Z1322" s="3">
        <v>0</v>
      </c>
      <c r="AA1322" s="3">
        <v>0</v>
      </c>
      <c r="AB1322" s="12">
        <f>(W1322*4+X1322*1+Y1322*-2+Z1322*-3)/W1322</f>
        <v>6</v>
      </c>
      <c r="AC1322" s="3">
        <f>W1322*12.0107+X1322*1.00784+Y1322*15.999+Z1322*14.0067</f>
        <v>74.120199999999997</v>
      </c>
      <c r="AD1322" s="12">
        <v>117.7</v>
      </c>
      <c r="AE1322" s="3" t="s">
        <v>262</v>
      </c>
      <c r="AF1322" s="3" t="s">
        <v>44</v>
      </c>
      <c r="AG1322" s="2" t="str">
        <f>IF(AD1322&gt;37,"Proton symporter", "Diffusion")</f>
        <v>Proton symporter</v>
      </c>
      <c r="AH1322" s="3" t="s">
        <v>304</v>
      </c>
    </row>
    <row r="1323" spans="1:34" hidden="1" x14ac:dyDescent="0.2">
      <c r="A1323" s="8" t="s">
        <v>350</v>
      </c>
      <c r="B1323" s="17" t="s">
        <v>64</v>
      </c>
      <c r="C1323" t="s">
        <v>353</v>
      </c>
      <c r="D1323" s="13" t="s">
        <v>51</v>
      </c>
      <c r="E1323" t="s">
        <v>211</v>
      </c>
      <c r="F1323" t="s">
        <v>212</v>
      </c>
      <c r="G1323">
        <v>-10</v>
      </c>
      <c r="H1323">
        <v>0</v>
      </c>
      <c r="I1323">
        <v>0</v>
      </c>
      <c r="J1323">
        <v>0.45</v>
      </c>
      <c r="K1323">
        <v>-10</v>
      </c>
      <c r="L1323">
        <v>0</v>
      </c>
      <c r="M1323" s="26">
        <v>1.6315789473683999</v>
      </c>
      <c r="N1323">
        <v>0</v>
      </c>
      <c r="O1323" s="26">
        <v>0.40789473684210897</v>
      </c>
      <c r="P1323"/>
      <c r="Q1323">
        <v>4.0789473684210903E-2</v>
      </c>
      <c r="R1323" s="26">
        <v>0.13395992840462601</v>
      </c>
      <c r="S1323" s="3" t="str">
        <f>VLOOKUP($E1323,'[1]Product Naming'!$A$1:$P$58,2)</f>
        <v>Styrene</v>
      </c>
      <c r="T1323" s="3" t="str">
        <f>VLOOKUP($E1323,'[1]Product Naming'!$A$1:$P$58,3)</f>
        <v>Styrene</v>
      </c>
      <c r="U1323" s="3" t="str">
        <f>VLOOKUP($E1323,'[1]Product Naming'!$A$1:$P$58,4)</f>
        <v>E-S</v>
      </c>
      <c r="V1323" s="3" t="str">
        <f>VLOOKUP($E1323,'[1]Product Naming'!$A$1:$P$58,5)</f>
        <v>C8H8</v>
      </c>
      <c r="W1323" s="3">
        <f>VLOOKUP($E1323,'[1]Product Naming'!$A$1:$P$58,6)</f>
        <v>8</v>
      </c>
      <c r="X1323" s="3">
        <f>VLOOKUP($E1323,'[1]Product Naming'!$A$1:$P$58,7)</f>
        <v>8</v>
      </c>
      <c r="Y1323" s="3">
        <f>VLOOKUP($E1323,'[1]Product Naming'!$A$1:$P$58,8)</f>
        <v>0</v>
      </c>
      <c r="Z1323" s="3">
        <f>VLOOKUP($E1323,'[1]Product Naming'!$A$1:$P$58,9)</f>
        <v>0</v>
      </c>
      <c r="AA1323" s="3">
        <f>VLOOKUP($E1323,'[1]Product Naming'!$A$1:$P$58,10)</f>
        <v>0</v>
      </c>
      <c r="AB1323" s="3">
        <f>VLOOKUP($E1323,'[1]Product Naming'!$A$1:$P$58,11)</f>
        <v>5</v>
      </c>
      <c r="AC1323" s="3">
        <f>VLOOKUP($E1323,'[1]Product Naming'!$A$1:$P$58,12)</f>
        <v>104.14832</v>
      </c>
      <c r="AD1323" s="3">
        <f>VLOOKUP($E1323,'[1]Product Naming'!$A$1:$P$58,13)</f>
        <v>145</v>
      </c>
      <c r="AE1323" s="3" t="str">
        <f>VLOOKUP($E1323,'[1]Product Naming'!$A$1:$P$58,14)</f>
        <v>Cycloalkane</v>
      </c>
      <c r="AF1323" s="3" t="str">
        <f>VLOOKUP($E1323,'[1]Product Naming'!$A$1:$P$58,15)</f>
        <v>E4P</v>
      </c>
      <c r="AG1323" s="3" t="str">
        <f>VLOOKUP($E1323,'[1]Product Naming'!$A$1:$P$58,16)</f>
        <v>Proton symporter</v>
      </c>
      <c r="AH1323" s="3" t="str">
        <f>VLOOKUP($E1323,'[1]Product Naming'!$A$1:$Q$58,17)</f>
        <v>styr_c</v>
      </c>
    </row>
    <row r="1324" spans="1:34" hidden="1" x14ac:dyDescent="0.2">
      <c r="A1324" s="16" t="s">
        <v>63</v>
      </c>
      <c r="B1324" s="17" t="s">
        <v>64</v>
      </c>
      <c r="C1324" t="s">
        <v>73</v>
      </c>
      <c r="D1324" s="18" t="s">
        <v>66</v>
      </c>
      <c r="E1324" t="s">
        <v>254</v>
      </c>
      <c r="F1324" t="s">
        <v>255</v>
      </c>
      <c r="G1324">
        <v>-10</v>
      </c>
      <c r="H1324">
        <v>0</v>
      </c>
      <c r="I1324">
        <v>-20</v>
      </c>
      <c r="J1324">
        <v>0.45</v>
      </c>
      <c r="K1324">
        <v>-10</v>
      </c>
      <c r="L1324">
        <v>0</v>
      </c>
      <c r="M1324">
        <v>-19.019718309859201</v>
      </c>
      <c r="N1324">
        <v>0</v>
      </c>
      <c r="O1324">
        <v>0.32676056338028198</v>
      </c>
      <c r="P1324"/>
      <c r="Q1324">
        <v>3.2676056338028198E-2</v>
      </c>
      <c r="R1324" s="19">
        <v>0.13388896755038299</v>
      </c>
      <c r="S1324" s="11" t="s">
        <v>254</v>
      </c>
      <c r="T1324" s="2" t="s">
        <v>254</v>
      </c>
      <c r="U1324" s="3" t="s">
        <v>41</v>
      </c>
      <c r="V1324" s="2" t="s">
        <v>256</v>
      </c>
      <c r="W1324" s="2">
        <v>15</v>
      </c>
      <c r="X1324" s="2">
        <v>24</v>
      </c>
      <c r="Y1324" s="2">
        <v>0</v>
      </c>
      <c r="Z1324" s="2">
        <v>0</v>
      </c>
      <c r="AA1324" s="2">
        <v>0</v>
      </c>
      <c r="AB1324" s="12">
        <f>(W1324*4+X1324*1+Y1324*-2+Z1324*-3)/W1324+0.01</f>
        <v>5.6099999999999994</v>
      </c>
      <c r="AC1324" s="3">
        <f>W1324*12.0107+X1324*1.00784+Y1324*15.999+Z1324*14.0067</f>
        <v>204.34866000000002</v>
      </c>
      <c r="AD1324" s="12" t="s">
        <v>257</v>
      </c>
      <c r="AE1324" s="2" t="s">
        <v>231</v>
      </c>
      <c r="AF1324" s="2" t="s">
        <v>79</v>
      </c>
      <c r="AG1324" s="2" t="str">
        <f>IF(AD1324&gt;37,"Proton symporter", "Diffusion")</f>
        <v>Proton symporter</v>
      </c>
      <c r="AH1324" s="3" t="s">
        <v>258</v>
      </c>
    </row>
    <row r="1325" spans="1:34" hidden="1" x14ac:dyDescent="0.2">
      <c r="A1325" s="16" t="s">
        <v>63</v>
      </c>
      <c r="B1325" s="17" t="s">
        <v>64</v>
      </c>
      <c r="C1325" t="s">
        <v>73</v>
      </c>
      <c r="D1325" s="18" t="s">
        <v>66</v>
      </c>
      <c r="E1325" t="s">
        <v>146</v>
      </c>
      <c r="F1325" t="s">
        <v>147</v>
      </c>
      <c r="G1325">
        <v>-10</v>
      </c>
      <c r="H1325">
        <v>0</v>
      </c>
      <c r="I1325">
        <v>-20</v>
      </c>
      <c r="J1325">
        <v>0.45</v>
      </c>
      <c r="K1325">
        <v>-10</v>
      </c>
      <c r="L1325">
        <v>0</v>
      </c>
      <c r="M1325">
        <v>-16.772173913043499</v>
      </c>
      <c r="N1325">
        <v>0</v>
      </c>
      <c r="O1325">
        <v>0.40347826086956501</v>
      </c>
      <c r="P1325"/>
      <c r="Q1325">
        <v>4.0347826086956501E-2</v>
      </c>
      <c r="R1325" s="19">
        <v>0.13320403846683099</v>
      </c>
      <c r="S1325" s="20" t="s">
        <v>148</v>
      </c>
      <c r="T1325" s="3" t="s">
        <v>148</v>
      </c>
      <c r="U1325" s="3" t="s">
        <v>106</v>
      </c>
      <c r="V1325" s="3" t="s">
        <v>149</v>
      </c>
      <c r="W1325" s="3">
        <v>9</v>
      </c>
      <c r="X1325" s="3">
        <v>7</v>
      </c>
      <c r="Y1325" s="3">
        <v>3</v>
      </c>
      <c r="Z1325" s="3">
        <v>0</v>
      </c>
      <c r="AA1325" s="3">
        <v>-1</v>
      </c>
      <c r="AB1325" s="12">
        <f>(W1325*4+X1325*1+Y1325*-2+Z1325*-3)/W1325</f>
        <v>4.1111111111111107</v>
      </c>
      <c r="AC1325" s="3">
        <f>W1325*12.0107+X1325*1.00784+Y1325*15.999+Z1325*14.0067</f>
        <v>163.14818</v>
      </c>
      <c r="AD1325" s="12">
        <v>346</v>
      </c>
      <c r="AE1325" s="22" t="s">
        <v>139</v>
      </c>
      <c r="AF1325" s="2" t="s">
        <v>150</v>
      </c>
      <c r="AG1325" s="2" t="str">
        <f>IF(AD1325&gt;37,"Proton symporter", "Diffusion")</f>
        <v>Proton symporter</v>
      </c>
      <c r="AH1325" s="3" t="s">
        <v>151</v>
      </c>
    </row>
    <row r="1326" spans="1:34" hidden="1" x14ac:dyDescent="0.2">
      <c r="A1326" s="16" t="s">
        <v>63</v>
      </c>
      <c r="B1326" s="17" t="s">
        <v>64</v>
      </c>
      <c r="C1326" t="s">
        <v>73</v>
      </c>
      <c r="D1326" s="18" t="s">
        <v>66</v>
      </c>
      <c r="E1326" t="s">
        <v>264</v>
      </c>
      <c r="F1326" t="s">
        <v>265</v>
      </c>
      <c r="G1326">
        <v>-10</v>
      </c>
      <c r="H1326">
        <v>0</v>
      </c>
      <c r="I1326">
        <v>-20</v>
      </c>
      <c r="J1326">
        <v>0.45</v>
      </c>
      <c r="K1326">
        <v>-10</v>
      </c>
      <c r="L1326">
        <v>0</v>
      </c>
      <c r="M1326">
        <v>-19.033333333333399</v>
      </c>
      <c r="N1326">
        <v>0</v>
      </c>
      <c r="O1326">
        <v>0.96666666666666801</v>
      </c>
      <c r="P1326"/>
      <c r="Q1326">
        <v>9.6666666666666803E-2</v>
      </c>
      <c r="R1326" s="19">
        <v>0.132022118079829</v>
      </c>
      <c r="S1326" s="20" t="s">
        <v>264</v>
      </c>
      <c r="T1326" s="3" t="s">
        <v>264</v>
      </c>
      <c r="U1326" s="3" t="s">
        <v>106</v>
      </c>
      <c r="V1326" s="3" t="s">
        <v>266</v>
      </c>
      <c r="W1326" s="3">
        <v>5</v>
      </c>
      <c r="X1326" s="3">
        <v>8</v>
      </c>
      <c r="Y1326" s="3">
        <v>0</v>
      </c>
      <c r="Z1326" s="3">
        <v>0</v>
      </c>
      <c r="AA1326" s="3">
        <v>0</v>
      </c>
      <c r="AB1326" s="12">
        <f>(W1326*4+X1326*1+Y1326*-2+Z1326*-3)/W1326</f>
        <v>5.6</v>
      </c>
      <c r="AC1326" s="3">
        <f>W1326*12.0107+X1326*1.00784+Y1326*15.999+Z1326*14.0067</f>
        <v>68.116219999999998</v>
      </c>
      <c r="AD1326" s="24">
        <v>34.07</v>
      </c>
      <c r="AE1326" s="3" t="s">
        <v>231</v>
      </c>
      <c r="AF1326" s="3" t="s">
        <v>79</v>
      </c>
      <c r="AG1326" s="25" t="str">
        <f>IF(AD1326&gt;37,"Proton symporter", "Diffusion")</f>
        <v>Diffusion</v>
      </c>
      <c r="AH1326" s="3" t="s">
        <v>267</v>
      </c>
    </row>
    <row r="1327" spans="1:34" hidden="1" x14ac:dyDescent="0.2">
      <c r="A1327" s="8" t="s">
        <v>350</v>
      </c>
      <c r="B1327" s="17" t="s">
        <v>64</v>
      </c>
      <c r="C1327" t="s">
        <v>353</v>
      </c>
      <c r="D1327" s="13" t="s">
        <v>51</v>
      </c>
      <c r="E1327" t="s">
        <v>172</v>
      </c>
      <c r="F1327" t="s">
        <v>173</v>
      </c>
      <c r="G1327">
        <v>-10</v>
      </c>
      <c r="H1327">
        <v>0</v>
      </c>
      <c r="I1327">
        <v>0</v>
      </c>
      <c r="J1327">
        <v>0.45</v>
      </c>
      <c r="K1327">
        <v>-10</v>
      </c>
      <c r="L1327">
        <v>0</v>
      </c>
      <c r="M1327" s="26">
        <v>1.76422764227642</v>
      </c>
      <c r="N1327">
        <v>0</v>
      </c>
      <c r="O1327" s="26">
        <v>0.44105691056910401</v>
      </c>
      <c r="P1327"/>
      <c r="Q1327">
        <v>4.4105691056910402E-2</v>
      </c>
      <c r="R1327" s="26">
        <v>0.13100034265232499</v>
      </c>
      <c r="S1327" s="3" t="str">
        <f>VLOOKUP($E1327,'[1]Product Naming'!$A$1:$P$58,2)</f>
        <v>Phenol</v>
      </c>
      <c r="T1327" s="3" t="str">
        <f>VLOOKUP($E1327,'[1]Product Naming'!$A$1:$P$58,3)</f>
        <v>Phenol</v>
      </c>
      <c r="U1327" s="3" t="str">
        <f>VLOOKUP($E1327,'[1]Product Naming'!$A$1:$P$58,4)</f>
        <v>E-S</v>
      </c>
      <c r="V1327" s="3" t="str">
        <f>VLOOKUP($E1327,'[1]Product Naming'!$A$1:$P$58,5)</f>
        <v>C6H6O</v>
      </c>
      <c r="W1327" s="3">
        <f>VLOOKUP($E1327,'[1]Product Naming'!$A$1:$P$58,6)</f>
        <v>6</v>
      </c>
      <c r="X1327" s="3">
        <f>VLOOKUP($E1327,'[1]Product Naming'!$A$1:$P$58,7)</f>
        <v>6</v>
      </c>
      <c r="Y1327" s="3">
        <f>VLOOKUP($E1327,'[1]Product Naming'!$A$1:$P$58,8)</f>
        <v>1</v>
      </c>
      <c r="Z1327" s="3">
        <f>VLOOKUP($E1327,'[1]Product Naming'!$A$1:$P$58,9)</f>
        <v>0</v>
      </c>
      <c r="AA1327" s="3">
        <f>VLOOKUP($E1327,'[1]Product Naming'!$A$1:$P$58,10)</f>
        <v>0</v>
      </c>
      <c r="AB1327" s="3">
        <f>VLOOKUP($E1327,'[1]Product Naming'!$A$1:$P$58,11)</f>
        <v>4.666666666666667</v>
      </c>
      <c r="AC1327" s="3">
        <f>VLOOKUP($E1327,'[1]Product Naming'!$A$1:$P$58,12)</f>
        <v>94.11023999999999</v>
      </c>
      <c r="AD1327" s="3">
        <f>VLOOKUP($E1327,'[1]Product Naming'!$A$1:$P$58,13)</f>
        <v>181.7</v>
      </c>
      <c r="AE1327" s="3" t="str">
        <f>VLOOKUP($E1327,'[1]Product Naming'!$A$1:$P$58,14)</f>
        <v>Aromatic + Alcohol</v>
      </c>
      <c r="AF1327" s="3" t="str">
        <f>VLOOKUP($E1327,'[1]Product Naming'!$A$1:$P$58,15)</f>
        <v>E4P + L-glutamate</v>
      </c>
      <c r="AG1327" s="3" t="str">
        <f>VLOOKUP($E1327,'[1]Product Naming'!$A$1:$P$58,16)</f>
        <v>Proton symporter</v>
      </c>
      <c r="AH1327" s="3" t="str">
        <f>VLOOKUP($E1327,'[1]Product Naming'!$A$1:$Q$58,17)</f>
        <v>phenol_c</v>
      </c>
    </row>
    <row r="1328" spans="1:34" hidden="1" x14ac:dyDescent="0.2">
      <c r="A1328" s="16" t="s">
        <v>63</v>
      </c>
      <c r="B1328" s="17" t="s">
        <v>64</v>
      </c>
      <c r="C1328" t="s">
        <v>70</v>
      </c>
      <c r="D1328" s="18" t="s">
        <v>66</v>
      </c>
      <c r="E1328" t="s">
        <v>289</v>
      </c>
      <c r="F1328" t="s">
        <v>290</v>
      </c>
      <c r="G1328">
        <v>-10</v>
      </c>
      <c r="H1328">
        <v>0</v>
      </c>
      <c r="I1328">
        <v>0</v>
      </c>
      <c r="J1328">
        <v>0.45</v>
      </c>
      <c r="K1328">
        <v>-10</v>
      </c>
      <c r="L1328">
        <v>0</v>
      </c>
      <c r="M1328">
        <v>0</v>
      </c>
      <c r="N1328">
        <v>6.6666666666666599</v>
      </c>
      <c r="O1328">
        <v>0.66666666666666696</v>
      </c>
      <c r="P1328"/>
      <c r="Q1328">
        <v>6.6666666666666999E-2</v>
      </c>
      <c r="R1328">
        <v>0.12766651603895501</v>
      </c>
      <c r="S1328" s="11" t="s">
        <v>289</v>
      </c>
      <c r="T1328" s="2" t="s">
        <v>291</v>
      </c>
      <c r="U1328" s="3" t="s">
        <v>41</v>
      </c>
      <c r="V1328" s="2" t="s">
        <v>292</v>
      </c>
      <c r="W1328" s="2">
        <v>5</v>
      </c>
      <c r="X1328" s="2">
        <v>12</v>
      </c>
      <c r="Y1328" s="2">
        <v>1</v>
      </c>
      <c r="Z1328" s="2">
        <v>0</v>
      </c>
      <c r="AA1328" s="2">
        <v>0</v>
      </c>
      <c r="AB1328" s="12">
        <f>(W1328*4+X1328*1+Y1328*-2+Z1328*-3)/W1328</f>
        <v>6</v>
      </c>
      <c r="AC1328" s="3">
        <f>W1328*12.0107+X1328*1.00784+Y1328*15.999+Z1328*14.0067</f>
        <v>88.14658</v>
      </c>
      <c r="AD1328" s="12">
        <v>129</v>
      </c>
      <c r="AE1328" s="2" t="s">
        <v>262</v>
      </c>
      <c r="AF1328" s="2" t="s">
        <v>293</v>
      </c>
      <c r="AG1328" s="2" t="str">
        <f>IF(AD1328&gt;37,"Proton symporter", "Diffusion")</f>
        <v>Proton symporter</v>
      </c>
      <c r="AH1328" s="3" t="s">
        <v>294</v>
      </c>
    </row>
    <row r="1329" spans="1:34" hidden="1" x14ac:dyDescent="0.2">
      <c r="A1329" s="16" t="s">
        <v>63</v>
      </c>
      <c r="B1329" s="17" t="s">
        <v>64</v>
      </c>
      <c r="C1329" t="s">
        <v>68</v>
      </c>
      <c r="D1329" s="18" t="s">
        <v>66</v>
      </c>
      <c r="E1329" t="s">
        <v>159</v>
      </c>
      <c r="F1329" t="s">
        <v>153</v>
      </c>
      <c r="G1329">
        <v>-10</v>
      </c>
      <c r="H1329">
        <v>0</v>
      </c>
      <c r="I1329">
        <v>-10</v>
      </c>
      <c r="J1329">
        <v>0.45</v>
      </c>
      <c r="K1329">
        <v>-10</v>
      </c>
      <c r="L1329">
        <v>0</v>
      </c>
      <c r="M1329">
        <v>-10</v>
      </c>
      <c r="N1329">
        <v>0.15757575757575801</v>
      </c>
      <c r="O1329">
        <v>0.31515151515151502</v>
      </c>
      <c r="P1329"/>
      <c r="Q1329">
        <v>3.1515151515152003E-2</v>
      </c>
      <c r="R1329">
        <v>0.127101770956316</v>
      </c>
      <c r="S1329" s="11" t="s">
        <v>159</v>
      </c>
      <c r="T1329" s="2" t="s">
        <v>160</v>
      </c>
      <c r="U1329" s="3" t="s">
        <v>41</v>
      </c>
      <c r="V1329" s="2" t="s">
        <v>155</v>
      </c>
      <c r="W1329" s="2">
        <v>7</v>
      </c>
      <c r="X1329" s="2">
        <v>5</v>
      </c>
      <c r="Y1329" s="2">
        <v>2</v>
      </c>
      <c r="Z1329" s="2">
        <v>0</v>
      </c>
      <c r="AA1329" s="2">
        <v>0</v>
      </c>
      <c r="AB1329" s="12">
        <f>(W1329*4+X1329*1+Y1329*-2+Z1329*-3)/W1329</f>
        <v>4.1428571428571432</v>
      </c>
      <c r="AC1329" s="3">
        <f>W1329*12.0107+X1329*1.00784+Y1329*15.999+Z1329*14.0067</f>
        <v>121.1121</v>
      </c>
      <c r="AD1329" s="12">
        <v>249.2</v>
      </c>
      <c r="AE1329" s="2" t="s">
        <v>156</v>
      </c>
      <c r="AF1329" s="2" t="s">
        <v>157</v>
      </c>
      <c r="AG1329" s="2" t="str">
        <f>IF(AD1329&gt;37,"Proton symporter", "Diffusion")</f>
        <v>Proton symporter</v>
      </c>
      <c r="AH1329" s="3" t="s">
        <v>158</v>
      </c>
    </row>
    <row r="1330" spans="1:34" hidden="1" x14ac:dyDescent="0.2">
      <c r="A1330" s="16" t="s">
        <v>63</v>
      </c>
      <c r="B1330" s="17" t="s">
        <v>64</v>
      </c>
      <c r="C1330" t="s">
        <v>71</v>
      </c>
      <c r="D1330" s="18" t="s">
        <v>66</v>
      </c>
      <c r="E1330" t="s">
        <v>166</v>
      </c>
      <c r="F1330" t="s">
        <v>167</v>
      </c>
      <c r="G1330">
        <v>-10</v>
      </c>
      <c r="H1330">
        <v>0</v>
      </c>
      <c r="I1330">
        <v>-5</v>
      </c>
      <c r="J1330">
        <v>0.45</v>
      </c>
      <c r="K1330">
        <v>-10</v>
      </c>
      <c r="L1330">
        <v>0</v>
      </c>
      <c r="M1330">
        <v>-5</v>
      </c>
      <c r="N1330">
        <v>2.84</v>
      </c>
      <c r="O1330">
        <v>0.68</v>
      </c>
      <c r="P1330"/>
      <c r="Q1330">
        <v>6.8000000000000005E-2</v>
      </c>
      <c r="R1330">
        <v>0.124447765712293</v>
      </c>
      <c r="S1330" s="11" t="s">
        <v>166</v>
      </c>
      <c r="T1330" s="2" t="s">
        <v>168</v>
      </c>
      <c r="U1330" s="3" t="s">
        <v>41</v>
      </c>
      <c r="V1330" s="2" t="s">
        <v>169</v>
      </c>
      <c r="W1330" s="2">
        <v>4</v>
      </c>
      <c r="X1330" s="2">
        <v>6</v>
      </c>
      <c r="Y1330" s="2">
        <v>2</v>
      </c>
      <c r="Z1330" s="2">
        <v>0</v>
      </c>
      <c r="AA1330" s="2">
        <v>0</v>
      </c>
      <c r="AB1330" s="12">
        <f>(W1330*4+X1330*1+Y1330*-2+Z1330*-3)/W1330</f>
        <v>4.5</v>
      </c>
      <c r="AC1330" s="3">
        <f>W1330*12.0107+X1330*1.00784+Y1330*15.999+Z1330*14.0067</f>
        <v>86.08784</v>
      </c>
      <c r="AD1330" s="12">
        <v>204</v>
      </c>
      <c r="AE1330" s="2" t="s">
        <v>170</v>
      </c>
      <c r="AF1330" s="2" t="s">
        <v>120</v>
      </c>
      <c r="AG1330" s="2" t="str">
        <f>IF(AD1330&gt;37,"Proton symporter", "Diffusion")</f>
        <v>Proton symporter</v>
      </c>
      <c r="AH1330" s="3" t="s">
        <v>171</v>
      </c>
    </row>
    <row r="1331" spans="1:34" hidden="1" x14ac:dyDescent="0.2">
      <c r="A1331" s="16" t="s">
        <v>63</v>
      </c>
      <c r="B1331" s="17" t="s">
        <v>64</v>
      </c>
      <c r="C1331" t="s">
        <v>65</v>
      </c>
      <c r="D1331" s="18" t="s">
        <v>66</v>
      </c>
      <c r="E1331" t="s">
        <v>161</v>
      </c>
      <c r="F1331" t="s">
        <v>162</v>
      </c>
      <c r="G1331">
        <v>-10</v>
      </c>
      <c r="H1331">
        <v>0</v>
      </c>
      <c r="I1331">
        <v>0</v>
      </c>
      <c r="J1331">
        <v>0.45</v>
      </c>
      <c r="K1331">
        <v>-10</v>
      </c>
      <c r="L1331">
        <v>0</v>
      </c>
      <c r="M1331">
        <v>0</v>
      </c>
      <c r="N1331">
        <v>5.1562043795620403</v>
      </c>
      <c r="O1331">
        <v>0.312408759124088</v>
      </c>
      <c r="P1331"/>
      <c r="Q1331">
        <v>3.1240875912408799E-2</v>
      </c>
      <c r="R1331">
        <v>0.122810035831833</v>
      </c>
      <c r="S1331" s="20" t="s">
        <v>161</v>
      </c>
      <c r="T1331" s="3" t="s">
        <v>161</v>
      </c>
      <c r="U1331" s="3" t="s">
        <v>106</v>
      </c>
      <c r="V1331" s="20" t="s">
        <v>163</v>
      </c>
      <c r="W1331" s="3">
        <v>6</v>
      </c>
      <c r="X1331" s="3">
        <v>6</v>
      </c>
      <c r="Y1331" s="3">
        <v>2</v>
      </c>
      <c r="Z1331" s="3">
        <v>0</v>
      </c>
      <c r="AA1331" s="3">
        <v>0</v>
      </c>
      <c r="AB1331" s="12">
        <f>(W1331*4+X1331*1+Y1331*-2+Z1331*-3)/W1331</f>
        <v>4.333333333333333</v>
      </c>
      <c r="AC1331" s="3">
        <f>W1331*12.0107+X1331*1.00784+Y1331*15.999+Z1331*14.0067</f>
        <v>110.10924</v>
      </c>
      <c r="AD1331" s="12">
        <v>245</v>
      </c>
      <c r="AE1331" s="3" t="s">
        <v>164</v>
      </c>
      <c r="AF1331" s="2" t="s">
        <v>98</v>
      </c>
      <c r="AG1331" s="2" t="str">
        <f>IF(AD1331&gt;37,"Proton symporter", "Diffusion")</f>
        <v>Proton symporter</v>
      </c>
      <c r="AH1331" s="3" t="s">
        <v>165</v>
      </c>
    </row>
    <row r="1332" spans="1:34" hidden="1" x14ac:dyDescent="0.2">
      <c r="A1332" s="16" t="s">
        <v>63</v>
      </c>
      <c r="B1332" s="17" t="s">
        <v>64</v>
      </c>
      <c r="C1332" t="s">
        <v>70</v>
      </c>
      <c r="D1332" s="18" t="s">
        <v>66</v>
      </c>
      <c r="E1332" t="s">
        <v>295</v>
      </c>
      <c r="F1332" t="s">
        <v>296</v>
      </c>
      <c r="G1332">
        <v>-10</v>
      </c>
      <c r="H1332">
        <v>0</v>
      </c>
      <c r="I1332">
        <v>0</v>
      </c>
      <c r="J1332">
        <v>0.45</v>
      </c>
      <c r="K1332">
        <v>-10</v>
      </c>
      <c r="L1332">
        <v>0</v>
      </c>
      <c r="M1332">
        <v>0</v>
      </c>
      <c r="N1332">
        <v>6.6461538461538501</v>
      </c>
      <c r="O1332">
        <v>0.54871794871794899</v>
      </c>
      <c r="P1332"/>
      <c r="Q1332">
        <v>5.4871794871794999E-2</v>
      </c>
      <c r="R1332">
        <v>0.12180018298147501</v>
      </c>
      <c r="S1332" s="11" t="s">
        <v>295</v>
      </c>
      <c r="T1332" s="2" t="s">
        <v>297</v>
      </c>
      <c r="U1332" s="3" t="s">
        <v>41</v>
      </c>
      <c r="V1332" s="2" t="s">
        <v>298</v>
      </c>
      <c r="W1332" s="2">
        <v>6</v>
      </c>
      <c r="X1332" s="2">
        <v>14</v>
      </c>
      <c r="Y1332" s="2">
        <v>1</v>
      </c>
      <c r="Z1332" s="2">
        <v>0</v>
      </c>
      <c r="AA1332" s="2">
        <v>0</v>
      </c>
      <c r="AB1332" s="12">
        <f>(W1332*4+X1332*1+Y1332*-2+Z1332*-3)/W1332</f>
        <v>6</v>
      </c>
      <c r="AC1332" s="3">
        <f>W1332*12.0107+X1332*1.00784+Y1332*15.999+Z1332*14.0067</f>
        <v>102.17295999999999</v>
      </c>
      <c r="AD1332" s="12">
        <v>153</v>
      </c>
      <c r="AE1332" s="2" t="s">
        <v>262</v>
      </c>
      <c r="AF1332" s="2" t="s">
        <v>44</v>
      </c>
      <c r="AG1332" s="2" t="str">
        <f>IF(AD1332&gt;37,"Proton symporter", "Diffusion")</f>
        <v>Proton symporter</v>
      </c>
      <c r="AH1332" s="3" t="s">
        <v>299</v>
      </c>
    </row>
    <row r="1333" spans="1:34" hidden="1" x14ac:dyDescent="0.2">
      <c r="A1333" s="16" t="s">
        <v>63</v>
      </c>
      <c r="B1333" s="17" t="s">
        <v>64</v>
      </c>
      <c r="C1333" t="s">
        <v>72</v>
      </c>
      <c r="D1333" s="18" t="s">
        <v>66</v>
      </c>
      <c r="E1333" t="s">
        <v>161</v>
      </c>
      <c r="F1333" t="s">
        <v>162</v>
      </c>
      <c r="G1333">
        <v>-10</v>
      </c>
      <c r="H1333">
        <v>0</v>
      </c>
      <c r="I1333">
        <v>-10</v>
      </c>
      <c r="J1333">
        <v>0.45</v>
      </c>
      <c r="K1333">
        <v>-10</v>
      </c>
      <c r="L1333">
        <v>0</v>
      </c>
      <c r="M1333">
        <v>-10</v>
      </c>
      <c r="N1333">
        <v>0.26569343065693402</v>
      </c>
      <c r="O1333">
        <v>0.53138686131386803</v>
      </c>
      <c r="P1333"/>
      <c r="Q1333">
        <v>5.3138686131386802E-2</v>
      </c>
      <c r="R1333">
        <v>0.121771260208733</v>
      </c>
      <c r="S1333" s="20" t="s">
        <v>161</v>
      </c>
      <c r="T1333" s="3" t="s">
        <v>161</v>
      </c>
      <c r="U1333" s="3" t="s">
        <v>106</v>
      </c>
      <c r="V1333" s="20" t="s">
        <v>163</v>
      </c>
      <c r="W1333" s="3">
        <v>6</v>
      </c>
      <c r="X1333" s="3">
        <v>6</v>
      </c>
      <c r="Y1333" s="3">
        <v>2</v>
      </c>
      <c r="Z1333" s="3">
        <v>0</v>
      </c>
      <c r="AA1333" s="3">
        <v>0</v>
      </c>
      <c r="AB1333" s="12">
        <f>(W1333*4+X1333*1+Y1333*-2+Z1333*-3)/W1333</f>
        <v>4.333333333333333</v>
      </c>
      <c r="AC1333" s="3">
        <f>W1333*12.0107+X1333*1.00784+Y1333*15.999+Z1333*14.0067</f>
        <v>110.10924</v>
      </c>
      <c r="AD1333" s="12">
        <v>245</v>
      </c>
      <c r="AE1333" s="3" t="s">
        <v>164</v>
      </c>
      <c r="AF1333" s="2" t="s">
        <v>98</v>
      </c>
      <c r="AG1333" s="2" t="str">
        <f>IF(AD1333&gt;37,"Proton symporter", "Diffusion")</f>
        <v>Proton symporter</v>
      </c>
      <c r="AH1333" s="3" t="s">
        <v>165</v>
      </c>
    </row>
    <row r="1334" spans="1:34" hidden="1" x14ac:dyDescent="0.2">
      <c r="A1334" s="16" t="s">
        <v>63</v>
      </c>
      <c r="B1334" s="17" t="s">
        <v>64</v>
      </c>
      <c r="C1334" t="s">
        <v>65</v>
      </c>
      <c r="D1334" s="18" t="s">
        <v>66</v>
      </c>
      <c r="E1334" t="s">
        <v>339</v>
      </c>
      <c r="F1334" t="s">
        <v>340</v>
      </c>
      <c r="G1334">
        <v>-10</v>
      </c>
      <c r="H1334">
        <v>0</v>
      </c>
      <c r="I1334">
        <v>0</v>
      </c>
      <c r="J1334">
        <v>0.45</v>
      </c>
      <c r="K1334">
        <v>-10</v>
      </c>
      <c r="L1334">
        <v>0</v>
      </c>
      <c r="M1334">
        <v>0</v>
      </c>
      <c r="N1334">
        <v>6.4657534246575299</v>
      </c>
      <c r="O1334">
        <v>0.58630136986301296</v>
      </c>
      <c r="P1334"/>
      <c r="Q1334">
        <v>5.8630136986300999E-2</v>
      </c>
      <c r="R1334">
        <v>0.121658476180229</v>
      </c>
      <c r="S1334" s="11" t="s">
        <v>339</v>
      </c>
      <c r="T1334" s="2" t="s">
        <v>339</v>
      </c>
      <c r="U1334" s="3" t="s">
        <v>106</v>
      </c>
      <c r="V1334" s="2" t="s">
        <v>341</v>
      </c>
      <c r="W1334" s="2">
        <v>4</v>
      </c>
      <c r="X1334" s="2">
        <v>10</v>
      </c>
      <c r="Y1334" s="2">
        <v>0</v>
      </c>
      <c r="Z1334" s="2">
        <v>0</v>
      </c>
      <c r="AA1334" s="2">
        <v>0</v>
      </c>
      <c r="AB1334" s="12">
        <f>(W1334*4+X1334*1+Y1334*-2+Z1334*-3)/W1334</f>
        <v>6.5</v>
      </c>
      <c r="AC1334" s="3">
        <f>W1334*12.0107+X1334*1.00784+Y1334*15.999+Z1334*14.0067</f>
        <v>58.121200000000002</v>
      </c>
      <c r="AD1334" s="24">
        <v>-1</v>
      </c>
      <c r="AE1334" s="3" t="s">
        <v>321</v>
      </c>
      <c r="AF1334" s="2" t="s">
        <v>313</v>
      </c>
      <c r="AG1334" s="25" t="str">
        <f>IF(AD1334&gt;37,"Proton symporter", "Diffusion")</f>
        <v>Diffusion</v>
      </c>
      <c r="AH1334" s="3" t="s">
        <v>342</v>
      </c>
    </row>
    <row r="1335" spans="1:34" hidden="1" x14ac:dyDescent="0.2">
      <c r="A1335" s="16" t="s">
        <v>63</v>
      </c>
      <c r="B1335" s="17" t="s">
        <v>64</v>
      </c>
      <c r="C1335" t="s">
        <v>68</v>
      </c>
      <c r="D1335" s="18" t="s">
        <v>66</v>
      </c>
      <c r="E1335" t="s">
        <v>211</v>
      </c>
      <c r="F1335" t="s">
        <v>212</v>
      </c>
      <c r="G1335">
        <v>-10</v>
      </c>
      <c r="H1335">
        <v>0</v>
      </c>
      <c r="I1335">
        <v>-10</v>
      </c>
      <c r="J1335">
        <v>0.45</v>
      </c>
      <c r="K1335">
        <v>-10</v>
      </c>
      <c r="L1335">
        <v>0</v>
      </c>
      <c r="M1335">
        <v>-10</v>
      </c>
      <c r="N1335">
        <v>0.7</v>
      </c>
      <c r="O1335">
        <v>0.35</v>
      </c>
      <c r="P1335"/>
      <c r="Q1335">
        <v>3.5000000000000003E-2</v>
      </c>
      <c r="R1335">
        <v>0.121384988344988</v>
      </c>
      <c r="S1335" s="20" t="s">
        <v>211</v>
      </c>
      <c r="T1335" s="3" t="s">
        <v>211</v>
      </c>
      <c r="U1335" s="3" t="s">
        <v>174</v>
      </c>
      <c r="V1335" s="3" t="s">
        <v>213</v>
      </c>
      <c r="W1335" s="3">
        <v>8</v>
      </c>
      <c r="X1335" s="3">
        <v>8</v>
      </c>
      <c r="Y1335" s="3">
        <v>0</v>
      </c>
      <c r="Z1335" s="3">
        <v>0</v>
      </c>
      <c r="AA1335" s="3">
        <v>0</v>
      </c>
      <c r="AB1335" s="12">
        <f>(W1335*4+X1335*1+Y1335*-2+Z1335*-3)/W1335</f>
        <v>5</v>
      </c>
      <c r="AC1335" s="3">
        <f>W1335*12.0107+X1335*1.00784+Y1335*15.999+Z1335*14.0067</f>
        <v>104.14832</v>
      </c>
      <c r="AD1335" s="12">
        <v>145</v>
      </c>
      <c r="AE1335" s="3" t="s">
        <v>214</v>
      </c>
      <c r="AF1335" s="3" t="s">
        <v>203</v>
      </c>
      <c r="AG1335" s="2" t="str">
        <f>IF(AD1335&gt;37,"Proton symporter", "Diffusion")</f>
        <v>Proton symporter</v>
      </c>
      <c r="AH1335" s="3" t="s">
        <v>215</v>
      </c>
    </row>
    <row r="1336" spans="1:34" hidden="1" x14ac:dyDescent="0.2">
      <c r="A1336" s="16" t="s">
        <v>63</v>
      </c>
      <c r="B1336" s="17" t="s">
        <v>64</v>
      </c>
      <c r="C1336" t="s">
        <v>72</v>
      </c>
      <c r="D1336" s="18" t="s">
        <v>66</v>
      </c>
      <c r="E1336" t="s">
        <v>339</v>
      </c>
      <c r="F1336" t="s">
        <v>340</v>
      </c>
      <c r="G1336">
        <v>-10</v>
      </c>
      <c r="H1336">
        <v>0</v>
      </c>
      <c r="I1336">
        <v>-10</v>
      </c>
      <c r="J1336">
        <v>0.45</v>
      </c>
      <c r="K1336">
        <v>-10</v>
      </c>
      <c r="L1336">
        <v>0</v>
      </c>
      <c r="M1336">
        <v>-10</v>
      </c>
      <c r="N1336">
        <v>2.4931506849315102</v>
      </c>
      <c r="O1336">
        <v>0.99726027397260297</v>
      </c>
      <c r="P1336"/>
      <c r="Q1336">
        <v>9.9726027397259998E-2</v>
      </c>
      <c r="R1336">
        <v>0.120629440901936</v>
      </c>
      <c r="S1336" s="11" t="s">
        <v>339</v>
      </c>
      <c r="T1336" s="2" t="s">
        <v>339</v>
      </c>
      <c r="U1336" s="3" t="s">
        <v>106</v>
      </c>
      <c r="V1336" s="2" t="s">
        <v>341</v>
      </c>
      <c r="W1336" s="2">
        <v>4</v>
      </c>
      <c r="X1336" s="2">
        <v>10</v>
      </c>
      <c r="Y1336" s="2">
        <v>0</v>
      </c>
      <c r="Z1336" s="2">
        <v>0</v>
      </c>
      <c r="AA1336" s="2">
        <v>0</v>
      </c>
      <c r="AB1336" s="12">
        <f>(W1336*4+X1336*1+Y1336*-2+Z1336*-3)/W1336</f>
        <v>6.5</v>
      </c>
      <c r="AC1336" s="3">
        <f>W1336*12.0107+X1336*1.00784+Y1336*15.999+Z1336*14.0067</f>
        <v>58.121200000000002</v>
      </c>
      <c r="AD1336" s="24">
        <v>-1</v>
      </c>
      <c r="AE1336" s="3" t="s">
        <v>321</v>
      </c>
      <c r="AF1336" s="2" t="s">
        <v>313</v>
      </c>
      <c r="AG1336" s="25" t="str">
        <f>IF(AD1336&gt;37,"Proton symporter", "Diffusion")</f>
        <v>Diffusion</v>
      </c>
      <c r="AH1336" s="3" t="s">
        <v>342</v>
      </c>
    </row>
    <row r="1337" spans="1:34" hidden="1" x14ac:dyDescent="0.2">
      <c r="A1337" s="16" t="s">
        <v>63</v>
      </c>
      <c r="B1337" s="17" t="s">
        <v>64</v>
      </c>
      <c r="C1337" t="s">
        <v>68</v>
      </c>
      <c r="D1337" s="18" t="s">
        <v>66</v>
      </c>
      <c r="E1337" t="s">
        <v>172</v>
      </c>
      <c r="F1337" t="s">
        <v>173</v>
      </c>
      <c r="G1337">
        <v>-10</v>
      </c>
      <c r="H1337">
        <v>0</v>
      </c>
      <c r="I1337">
        <v>-10</v>
      </c>
      <c r="J1337">
        <v>0.45</v>
      </c>
      <c r="K1337">
        <v>-10</v>
      </c>
      <c r="L1337">
        <v>0</v>
      </c>
      <c r="M1337">
        <v>-10</v>
      </c>
      <c r="N1337">
        <v>0.38315789473684603</v>
      </c>
      <c r="O1337">
        <v>0.38315789473684297</v>
      </c>
      <c r="P1337"/>
      <c r="Q1337">
        <v>3.8315789473684303E-2</v>
      </c>
      <c r="R1337">
        <v>0.12007686124401901</v>
      </c>
      <c r="S1337" s="20" t="s">
        <v>172</v>
      </c>
      <c r="T1337" s="3" t="s">
        <v>172</v>
      </c>
      <c r="U1337" s="3" t="s">
        <v>174</v>
      </c>
      <c r="V1337" s="3" t="s">
        <v>175</v>
      </c>
      <c r="W1337" s="3">
        <v>6</v>
      </c>
      <c r="X1337" s="3">
        <v>6</v>
      </c>
      <c r="Y1337" s="3">
        <v>1</v>
      </c>
      <c r="Z1337" s="3">
        <v>0</v>
      </c>
      <c r="AA1337" s="3">
        <v>0</v>
      </c>
      <c r="AB1337" s="12">
        <f>(W1337*4+X1337*1+Y1337*-2+Z1337*-3)/W1337</f>
        <v>4.666666666666667</v>
      </c>
      <c r="AC1337" s="3">
        <f>W1337*12.0107+X1337*1.00784+Y1337*15.999+Z1337*14.0067</f>
        <v>94.11023999999999</v>
      </c>
      <c r="AD1337" s="12">
        <v>181.7</v>
      </c>
      <c r="AE1337" s="3" t="s">
        <v>176</v>
      </c>
      <c r="AF1337" s="2" t="s">
        <v>150</v>
      </c>
      <c r="AG1337" s="2" t="str">
        <f>IF(AD1337&gt;37,"Proton symporter", "Diffusion")</f>
        <v>Proton symporter</v>
      </c>
      <c r="AH1337" s="3" t="s">
        <v>177</v>
      </c>
    </row>
    <row r="1338" spans="1:34" hidden="1" x14ac:dyDescent="0.2">
      <c r="A1338" s="8" t="s">
        <v>350</v>
      </c>
      <c r="B1338" s="17" t="s">
        <v>64</v>
      </c>
      <c r="C1338" t="s">
        <v>351</v>
      </c>
      <c r="D1338" s="13" t="s">
        <v>51</v>
      </c>
      <c r="E1338" t="s">
        <v>244</v>
      </c>
      <c r="F1338" t="s">
        <v>245</v>
      </c>
      <c r="G1338">
        <v>-10</v>
      </c>
      <c r="H1338">
        <v>0</v>
      </c>
      <c r="I1338">
        <v>0</v>
      </c>
      <c r="J1338">
        <v>0.45</v>
      </c>
      <c r="K1338">
        <v>-10</v>
      </c>
      <c r="L1338">
        <v>0</v>
      </c>
      <c r="M1338" s="26">
        <v>0.42051282051281502</v>
      </c>
      <c r="N1338">
        <v>0</v>
      </c>
      <c r="O1338" s="26">
        <v>0.42051282051282002</v>
      </c>
      <c r="P1338"/>
      <c r="Q1338">
        <v>4.2051282051282002E-2</v>
      </c>
      <c r="R1338" s="26">
        <v>0.118587875375583</v>
      </c>
      <c r="S1338" s="3" t="str">
        <f>VLOOKUP($E1338,'[1]Product Naming'!$A$1:$P$58,2)</f>
        <v>1-4-butanediol</v>
      </c>
      <c r="T1338" s="3" t="str">
        <f>VLOOKUP($E1338,'[1]Product Naming'!$A$1:$P$58,3)</f>
        <v>1,4-Butanediol</v>
      </c>
      <c r="U1338" s="3" t="str">
        <f>VLOOKUP($E1338,'[1]Product Naming'!$A$1:$P$58,4)</f>
        <v>E</v>
      </c>
      <c r="V1338" s="3" t="str">
        <f>VLOOKUP($E1338,'[1]Product Naming'!$A$1:$P$58,5)</f>
        <v>C4H10O2</v>
      </c>
      <c r="W1338" s="3">
        <f>VLOOKUP($E1338,'[1]Product Naming'!$A$1:$P$58,6)</f>
        <v>4</v>
      </c>
      <c r="X1338" s="3">
        <f>VLOOKUP($E1338,'[1]Product Naming'!$A$1:$P$58,7)</f>
        <v>10</v>
      </c>
      <c r="Y1338" s="3">
        <f>VLOOKUP($E1338,'[1]Product Naming'!$A$1:$P$58,8)</f>
        <v>2</v>
      </c>
      <c r="Z1338" s="3">
        <f>VLOOKUP($E1338,'[1]Product Naming'!$A$1:$P$58,9)</f>
        <v>0</v>
      </c>
      <c r="AA1338" s="3">
        <f>VLOOKUP($E1338,'[1]Product Naming'!$A$1:$P$58,10)</f>
        <v>0</v>
      </c>
      <c r="AB1338" s="3">
        <f>VLOOKUP($E1338,'[1]Product Naming'!$A$1:$P$58,11)</f>
        <v>5.5</v>
      </c>
      <c r="AC1338" s="3">
        <f>VLOOKUP($E1338,'[1]Product Naming'!$A$1:$P$58,12)</f>
        <v>90.119200000000006</v>
      </c>
      <c r="AD1338" s="3">
        <f>VLOOKUP($E1338,'[1]Product Naming'!$A$1:$P$58,13)</f>
        <v>230</v>
      </c>
      <c r="AE1338" s="3" t="str">
        <f>VLOOKUP($E1338,'[1]Product Naming'!$A$1:$P$58,14)</f>
        <v>Diol</v>
      </c>
      <c r="AF1338" s="3" t="str">
        <f>VLOOKUP($E1338,'[1]Product Naming'!$A$1:$P$58,15)</f>
        <v>aKG</v>
      </c>
      <c r="AG1338" s="3" t="str">
        <f>VLOOKUP($E1338,'[1]Product Naming'!$A$1:$P$58,16)</f>
        <v>Proton symporter</v>
      </c>
      <c r="AH1338" s="3" t="str">
        <f>VLOOKUP($E1338,'[1]Product Naming'!$A$1:$Q$58,17)</f>
        <v>14bdo_c</v>
      </c>
    </row>
    <row r="1339" spans="1:34" hidden="1" x14ac:dyDescent="0.2">
      <c r="A1339" s="16" t="s">
        <v>63</v>
      </c>
      <c r="B1339" s="17" t="s">
        <v>64</v>
      </c>
      <c r="C1339" t="s">
        <v>65</v>
      </c>
      <c r="D1339" s="18" t="s">
        <v>66</v>
      </c>
      <c r="E1339" t="s">
        <v>146</v>
      </c>
      <c r="F1339" t="s">
        <v>147</v>
      </c>
      <c r="G1339">
        <v>-10</v>
      </c>
      <c r="H1339">
        <v>0</v>
      </c>
      <c r="I1339">
        <v>0</v>
      </c>
      <c r="J1339">
        <v>0.45</v>
      </c>
      <c r="K1339">
        <v>-10</v>
      </c>
      <c r="L1339">
        <v>0</v>
      </c>
      <c r="M1339">
        <v>0</v>
      </c>
      <c r="N1339">
        <v>5.0995348837209296</v>
      </c>
      <c r="O1339">
        <v>0.199069767441861</v>
      </c>
      <c r="P1339"/>
      <c r="Q1339">
        <v>1.9906976744186101E-2</v>
      </c>
      <c r="R1339">
        <v>0.11595098268890699</v>
      </c>
      <c r="S1339" s="20" t="s">
        <v>148</v>
      </c>
      <c r="T1339" s="3" t="s">
        <v>148</v>
      </c>
      <c r="U1339" s="3" t="s">
        <v>106</v>
      </c>
      <c r="V1339" s="3" t="s">
        <v>149</v>
      </c>
      <c r="W1339" s="3">
        <v>9</v>
      </c>
      <c r="X1339" s="3">
        <v>7</v>
      </c>
      <c r="Y1339" s="3">
        <v>3</v>
      </c>
      <c r="Z1339" s="3">
        <v>0</v>
      </c>
      <c r="AA1339" s="3">
        <v>-1</v>
      </c>
      <c r="AB1339" s="12">
        <f>(W1339*4+X1339*1+Y1339*-2+Z1339*-3)/W1339</f>
        <v>4.1111111111111107</v>
      </c>
      <c r="AC1339" s="3">
        <f>W1339*12.0107+X1339*1.00784+Y1339*15.999+Z1339*14.0067</f>
        <v>163.14818</v>
      </c>
      <c r="AD1339" s="12">
        <v>346</v>
      </c>
      <c r="AE1339" s="22" t="s">
        <v>139</v>
      </c>
      <c r="AF1339" s="2" t="s">
        <v>150</v>
      </c>
      <c r="AG1339" s="2" t="str">
        <f>IF(AD1339&gt;37,"Proton symporter", "Diffusion")</f>
        <v>Proton symporter</v>
      </c>
      <c r="AH1339" s="3" t="s">
        <v>151</v>
      </c>
    </row>
    <row r="1340" spans="1:34" hidden="1" x14ac:dyDescent="0.2">
      <c r="A1340" s="16" t="s">
        <v>63</v>
      </c>
      <c r="B1340" s="17" t="s">
        <v>64</v>
      </c>
      <c r="C1340" t="s">
        <v>70</v>
      </c>
      <c r="D1340" s="18" t="s">
        <v>66</v>
      </c>
      <c r="E1340" t="s">
        <v>310</v>
      </c>
      <c r="F1340" t="s">
        <v>311</v>
      </c>
      <c r="G1340">
        <v>-10</v>
      </c>
      <c r="H1340">
        <v>0</v>
      </c>
      <c r="I1340">
        <v>0</v>
      </c>
      <c r="J1340">
        <v>0.45</v>
      </c>
      <c r="K1340">
        <v>-10</v>
      </c>
      <c r="L1340">
        <v>0</v>
      </c>
      <c r="M1340">
        <v>0</v>
      </c>
      <c r="N1340">
        <v>6.5070422535211403</v>
      </c>
      <c r="O1340">
        <v>0.60281690140845201</v>
      </c>
      <c r="P1340"/>
      <c r="Q1340">
        <v>6.0281690140845202E-2</v>
      </c>
      <c r="R1340">
        <v>0.115439300418323</v>
      </c>
      <c r="S1340" s="20" t="s">
        <v>310</v>
      </c>
      <c r="T1340" s="3" t="s">
        <v>312</v>
      </c>
      <c r="U1340" s="3" t="s">
        <v>106</v>
      </c>
      <c r="V1340" s="3" t="s">
        <v>292</v>
      </c>
      <c r="W1340" s="3">
        <v>5</v>
      </c>
      <c r="X1340" s="3">
        <v>12</v>
      </c>
      <c r="Y1340" s="3">
        <v>1</v>
      </c>
      <c r="Z1340" s="3">
        <v>0</v>
      </c>
      <c r="AA1340" s="3">
        <v>0</v>
      </c>
      <c r="AB1340" s="12">
        <f>(W1340*4+X1340*1+Y1340*-2+Z1340*-3)/W1340</f>
        <v>6</v>
      </c>
      <c r="AC1340" s="3">
        <f>W1340*12.0107+X1340*1.00784+Y1340*15.999+Z1340*14.0067</f>
        <v>88.14658</v>
      </c>
      <c r="AD1340" s="12">
        <v>138</v>
      </c>
      <c r="AE1340" s="3" t="s">
        <v>262</v>
      </c>
      <c r="AF1340" s="2" t="s">
        <v>313</v>
      </c>
      <c r="AG1340" s="2" t="str">
        <f>IF(AD1340&gt;37,"Proton symporter", "Diffusion")</f>
        <v>Proton symporter</v>
      </c>
      <c r="AH1340" s="3" t="s">
        <v>314</v>
      </c>
    </row>
    <row r="1341" spans="1:34" hidden="1" x14ac:dyDescent="0.2">
      <c r="A1341" s="16" t="s">
        <v>63</v>
      </c>
      <c r="B1341" s="17" t="s">
        <v>64</v>
      </c>
      <c r="C1341" t="s">
        <v>70</v>
      </c>
      <c r="D1341" s="18" t="s">
        <v>66</v>
      </c>
      <c r="E1341" t="s">
        <v>315</v>
      </c>
      <c r="F1341" t="s">
        <v>311</v>
      </c>
      <c r="G1341">
        <v>-10</v>
      </c>
      <c r="H1341">
        <v>0</v>
      </c>
      <c r="I1341">
        <v>0</v>
      </c>
      <c r="J1341">
        <v>0.45</v>
      </c>
      <c r="K1341">
        <v>-10</v>
      </c>
      <c r="L1341">
        <v>0</v>
      </c>
      <c r="M1341">
        <v>0</v>
      </c>
      <c r="N1341">
        <v>6.5070422535211296</v>
      </c>
      <c r="O1341">
        <v>0.60281690140845101</v>
      </c>
      <c r="P1341"/>
      <c r="Q1341">
        <v>6.0281690140845098E-2</v>
      </c>
      <c r="R1341">
        <v>0.115439300418322</v>
      </c>
      <c r="S1341" s="20" t="s">
        <v>315</v>
      </c>
      <c r="T1341" s="3" t="s">
        <v>316</v>
      </c>
      <c r="U1341" s="3" t="s">
        <v>106</v>
      </c>
      <c r="V1341" s="3" t="s">
        <v>292</v>
      </c>
      <c r="W1341" s="3">
        <v>5</v>
      </c>
      <c r="X1341" s="3">
        <v>12</v>
      </c>
      <c r="Y1341" s="3">
        <v>1</v>
      </c>
      <c r="Z1341" s="3">
        <v>0</v>
      </c>
      <c r="AA1341" s="3">
        <v>0</v>
      </c>
      <c r="AB1341" s="12">
        <f>(W1341*4+X1341*1+Y1341*-2+Z1341*-3)/W1341</f>
        <v>6</v>
      </c>
      <c r="AC1341" s="3">
        <f>W1341*12.0107+X1341*1.00784+Y1341*15.999+Z1341*14.0067</f>
        <v>88.14658</v>
      </c>
      <c r="AD1341" s="12">
        <v>138</v>
      </c>
      <c r="AE1341" s="3" t="s">
        <v>262</v>
      </c>
      <c r="AF1341" s="3" t="s">
        <v>44</v>
      </c>
      <c r="AG1341" s="2" t="str">
        <f>IF(AD1341&gt;37,"Proton symporter", "Diffusion")</f>
        <v>Proton symporter</v>
      </c>
      <c r="AH1341" s="3" t="s">
        <v>314</v>
      </c>
    </row>
    <row r="1342" spans="1:34" hidden="1" x14ac:dyDescent="0.2">
      <c r="A1342" s="16" t="s">
        <v>63</v>
      </c>
      <c r="B1342" s="17" t="s">
        <v>64</v>
      </c>
      <c r="C1342" t="s">
        <v>72</v>
      </c>
      <c r="D1342" s="18" t="s">
        <v>66</v>
      </c>
      <c r="E1342" t="s">
        <v>146</v>
      </c>
      <c r="F1342" t="s">
        <v>147</v>
      </c>
      <c r="G1342">
        <v>-10</v>
      </c>
      <c r="H1342">
        <v>0</v>
      </c>
      <c r="I1342">
        <v>-10</v>
      </c>
      <c r="J1342">
        <v>0.45</v>
      </c>
      <c r="K1342">
        <v>-10</v>
      </c>
      <c r="L1342">
        <v>0</v>
      </c>
      <c r="M1342">
        <v>-10</v>
      </c>
      <c r="N1342">
        <v>0.16930232558139499</v>
      </c>
      <c r="O1342">
        <v>0.33860465116278998</v>
      </c>
      <c r="P1342"/>
      <c r="Q1342">
        <v>3.3860465116279097E-2</v>
      </c>
      <c r="R1342">
        <v>0.114970223637125</v>
      </c>
      <c r="S1342" s="20" t="s">
        <v>148</v>
      </c>
      <c r="T1342" s="3" t="s">
        <v>148</v>
      </c>
      <c r="U1342" s="3" t="s">
        <v>106</v>
      </c>
      <c r="V1342" s="3" t="s">
        <v>149</v>
      </c>
      <c r="W1342" s="3">
        <v>9</v>
      </c>
      <c r="X1342" s="3">
        <v>7</v>
      </c>
      <c r="Y1342" s="3">
        <v>3</v>
      </c>
      <c r="Z1342" s="3">
        <v>0</v>
      </c>
      <c r="AA1342" s="3">
        <v>-1</v>
      </c>
      <c r="AB1342" s="12">
        <f>(W1342*4+X1342*1+Y1342*-2+Z1342*-3)/W1342</f>
        <v>4.1111111111111107</v>
      </c>
      <c r="AC1342" s="3">
        <f>W1342*12.0107+X1342*1.00784+Y1342*15.999+Z1342*14.0067</f>
        <v>163.14818</v>
      </c>
      <c r="AD1342" s="12">
        <v>346</v>
      </c>
      <c r="AE1342" s="22" t="s">
        <v>139</v>
      </c>
      <c r="AF1342" s="2" t="s">
        <v>150</v>
      </c>
      <c r="AG1342" s="2" t="str">
        <f>IF(AD1342&gt;37,"Proton symporter", "Diffusion")</f>
        <v>Proton symporter</v>
      </c>
      <c r="AH1342" s="3" t="s">
        <v>151</v>
      </c>
    </row>
    <row r="1343" spans="1:34" hidden="1" x14ac:dyDescent="0.2">
      <c r="A1343" s="8" t="s">
        <v>368</v>
      </c>
      <c r="B1343" s="17" t="s">
        <v>64</v>
      </c>
      <c r="C1343" t="s">
        <v>369</v>
      </c>
      <c r="D1343" s="18" t="s">
        <v>66</v>
      </c>
      <c r="E1343" t="s">
        <v>166</v>
      </c>
      <c r="F1343" t="s">
        <v>167</v>
      </c>
      <c r="G1343">
        <v>-10</v>
      </c>
      <c r="H1343">
        <v>0</v>
      </c>
      <c r="I1343">
        <v>-20</v>
      </c>
      <c r="J1343">
        <v>0.45</v>
      </c>
      <c r="K1343">
        <v>-9.6894117647058806</v>
      </c>
      <c r="L1343">
        <v>0</v>
      </c>
      <c r="M1343">
        <v>-20</v>
      </c>
      <c r="N1343">
        <v>-9.6894117647058806</v>
      </c>
      <c r="O1343">
        <v>0.621176470588237</v>
      </c>
      <c r="P1343"/>
      <c r="Q1343">
        <v>6.4108790675085195E-2</v>
      </c>
      <c r="R1343">
        <v>0.11457016538556999</v>
      </c>
      <c r="S1343" s="1" t="str">
        <f>VLOOKUP($E1343,'[1]Product Naming'!$A$1:$P$58,2)</f>
        <v>GammaButyrolactone</v>
      </c>
      <c r="T1343" s="1" t="str">
        <f>VLOOKUP($E1343,'[1]Product Naming'!$A$1:$P$58,3)</f>
        <v>Gamma butyrolactone</v>
      </c>
      <c r="U1343" s="1" t="str">
        <f>VLOOKUP($E1343,'[1]Product Naming'!$A$1:$P$58,4)</f>
        <v>A</v>
      </c>
      <c r="V1343" s="1" t="str">
        <f>VLOOKUP($E1343,'[1]Product Naming'!$A$1:$P$58,5)</f>
        <v>C4H6O2</v>
      </c>
      <c r="W1343" s="1">
        <f>VLOOKUP($E1343,'[1]Product Naming'!$A$1:$P$58,6)</f>
        <v>4</v>
      </c>
      <c r="X1343" s="1">
        <f>VLOOKUP($E1343,'[1]Product Naming'!$A$1:$P$58,7)</f>
        <v>6</v>
      </c>
      <c r="Y1343" s="1">
        <f>VLOOKUP($E1343,'[1]Product Naming'!$A$1:$P$58,8)</f>
        <v>2</v>
      </c>
      <c r="Z1343" s="1">
        <f>VLOOKUP($E1343,'[1]Product Naming'!$A$1:$P$58,9)</f>
        <v>0</v>
      </c>
      <c r="AA1343" s="1">
        <f>VLOOKUP($E1343,'[1]Product Naming'!$A$1:$P$58,10)</f>
        <v>0</v>
      </c>
      <c r="AB1343" s="27">
        <f>VLOOKUP($E1343,'[1]Product Naming'!$A$1:$P$58,11)</f>
        <v>4.5</v>
      </c>
      <c r="AC1343" s="3">
        <f>VLOOKUP($E1343,'[1]Product Naming'!$A$1:$P$58,12)</f>
        <v>86.08784</v>
      </c>
      <c r="AD1343" s="1">
        <f>VLOOKUP($E1343,'[1]Product Naming'!$A$1:$P$58,13)</f>
        <v>204</v>
      </c>
      <c r="AE1343" s="1" t="str">
        <f>VLOOKUP($E1343,'[1]Product Naming'!$A$1:$P$58,14)</f>
        <v>Lactone (cyclic ester)</v>
      </c>
      <c r="AF1343" s="1" t="str">
        <f>VLOOKUP($E1343,'[1]Product Naming'!$A$1:$P$58,15)</f>
        <v>aKG</v>
      </c>
      <c r="AG1343" s="28" t="str">
        <f>VLOOKUP($E1343,'[1]Product Naming'!$A$1:$P$58,16)</f>
        <v>Proton symporter</v>
      </c>
      <c r="AH1343" s="3" t="str">
        <f>VLOOKUP($E1343,'[1]Product Naming'!$A$1:$Q$58,17)</f>
        <v>gblt_c</v>
      </c>
    </row>
    <row r="1344" spans="1:34" hidden="1" x14ac:dyDescent="0.2">
      <c r="A1344" s="16" t="s">
        <v>63</v>
      </c>
      <c r="B1344" s="17" t="s">
        <v>64</v>
      </c>
      <c r="C1344" t="s">
        <v>67</v>
      </c>
      <c r="D1344" s="18" t="s">
        <v>66</v>
      </c>
      <c r="E1344" t="s">
        <v>178</v>
      </c>
      <c r="F1344" t="s">
        <v>179</v>
      </c>
      <c r="G1344">
        <v>-10</v>
      </c>
      <c r="H1344">
        <v>0</v>
      </c>
      <c r="I1344">
        <v>-5</v>
      </c>
      <c r="J1344">
        <v>0.45</v>
      </c>
      <c r="K1344">
        <v>-10</v>
      </c>
      <c r="L1344">
        <v>0</v>
      </c>
      <c r="M1344">
        <v>-5</v>
      </c>
      <c r="N1344">
        <v>2.9109004739336499</v>
      </c>
      <c r="O1344">
        <v>0.27393364928909902</v>
      </c>
      <c r="P1344"/>
      <c r="Q1344">
        <v>2.7393364928910001E-2</v>
      </c>
      <c r="R1344">
        <v>0.113412797449708</v>
      </c>
      <c r="S1344" s="20" t="s">
        <v>178</v>
      </c>
      <c r="T1344" s="3" t="s">
        <v>178</v>
      </c>
      <c r="U1344" s="3" t="s">
        <v>106</v>
      </c>
      <c r="V1344" s="3" t="s">
        <v>180</v>
      </c>
      <c r="W1344" s="3">
        <v>8</v>
      </c>
      <c r="X1344" s="3">
        <v>8</v>
      </c>
      <c r="Y1344" s="3">
        <v>1</v>
      </c>
      <c r="Z1344" s="3">
        <v>0</v>
      </c>
      <c r="AA1344" s="3">
        <v>0</v>
      </c>
      <c r="AB1344" s="12">
        <f>(W1344*4+X1344*1+Y1344*-2+Z1344*-3)/W1344</f>
        <v>4.75</v>
      </c>
      <c r="AC1344" s="3">
        <f>W1344*12.0107+X1344*1.00784+Y1344*15.999+Z1344*14.0067</f>
        <v>120.14731999999999</v>
      </c>
      <c r="AD1344" s="12">
        <v>229</v>
      </c>
      <c r="AE1344" s="3" t="s">
        <v>176</v>
      </c>
      <c r="AF1344" s="2" t="s">
        <v>150</v>
      </c>
      <c r="AG1344" s="2" t="str">
        <f>IF(AD1344&gt;37,"Proton symporter", "Diffusion")</f>
        <v>Proton symporter</v>
      </c>
      <c r="AH1344" s="3" t="s">
        <v>181</v>
      </c>
    </row>
    <row r="1345" spans="1:34" hidden="1" x14ac:dyDescent="0.2">
      <c r="A1345" s="16" t="s">
        <v>63</v>
      </c>
      <c r="B1345" s="17" t="s">
        <v>64</v>
      </c>
      <c r="C1345" t="s">
        <v>67</v>
      </c>
      <c r="D1345" s="18" t="s">
        <v>66</v>
      </c>
      <c r="E1345" t="s">
        <v>152</v>
      </c>
      <c r="F1345" t="s">
        <v>153</v>
      </c>
      <c r="G1345">
        <v>-10</v>
      </c>
      <c r="H1345">
        <v>0</v>
      </c>
      <c r="I1345">
        <v>-5</v>
      </c>
      <c r="J1345">
        <v>0.45</v>
      </c>
      <c r="K1345">
        <v>-10</v>
      </c>
      <c r="L1345">
        <v>0</v>
      </c>
      <c r="M1345">
        <v>-5</v>
      </c>
      <c r="N1345">
        <v>2.63441860465116</v>
      </c>
      <c r="O1345">
        <v>0.26883720930232502</v>
      </c>
      <c r="P1345"/>
      <c r="Q1345">
        <v>2.6883720930233002E-2</v>
      </c>
      <c r="R1345">
        <v>0.112196550574584</v>
      </c>
      <c r="S1345" s="11" t="s">
        <v>152</v>
      </c>
      <c r="T1345" s="2" t="s">
        <v>154</v>
      </c>
      <c r="U1345" s="3" t="s">
        <v>41</v>
      </c>
      <c r="V1345" s="2" t="s">
        <v>155</v>
      </c>
      <c r="W1345" s="2">
        <v>7</v>
      </c>
      <c r="X1345" s="2">
        <v>5</v>
      </c>
      <c r="Y1345" s="2">
        <v>2</v>
      </c>
      <c r="Z1345" s="2">
        <v>0</v>
      </c>
      <c r="AA1345" s="2">
        <v>0</v>
      </c>
      <c r="AB1345" s="12">
        <f>(W1345*4+X1345*1+Y1345*-2+Z1345*-3)/W1345</f>
        <v>4.1428571428571432</v>
      </c>
      <c r="AC1345" s="3">
        <f>W1345*12.0107+X1345*1.00784+Y1345*15.999+Z1345*14.0067</f>
        <v>121.1121</v>
      </c>
      <c r="AD1345" s="12">
        <v>249.2</v>
      </c>
      <c r="AE1345" s="2" t="s">
        <v>156</v>
      </c>
      <c r="AF1345" s="2" t="s">
        <v>157</v>
      </c>
      <c r="AG1345" s="2" t="str">
        <f>IF(AD1345&gt;37,"Proton symporter", "Diffusion")</f>
        <v>Proton symporter</v>
      </c>
      <c r="AH1345" s="3" t="s">
        <v>158</v>
      </c>
    </row>
    <row r="1346" spans="1:34" hidden="1" x14ac:dyDescent="0.2">
      <c r="A1346" s="8" t="s">
        <v>350</v>
      </c>
      <c r="B1346" s="17" t="s">
        <v>64</v>
      </c>
      <c r="C1346" t="s">
        <v>351</v>
      </c>
      <c r="D1346" s="13" t="s">
        <v>51</v>
      </c>
      <c r="E1346" t="s">
        <v>279</v>
      </c>
      <c r="F1346" t="s">
        <v>280</v>
      </c>
      <c r="G1346">
        <v>-10</v>
      </c>
      <c r="H1346">
        <v>0</v>
      </c>
      <c r="I1346">
        <v>0</v>
      </c>
      <c r="J1346">
        <v>0.45</v>
      </c>
      <c r="K1346">
        <v>-10</v>
      </c>
      <c r="L1346">
        <v>0</v>
      </c>
      <c r="M1346">
        <v>0</v>
      </c>
      <c r="N1346">
        <v>0</v>
      </c>
      <c r="O1346" s="26">
        <v>0.58571428571428297</v>
      </c>
      <c r="P1346"/>
      <c r="Q1346" s="26">
        <v>5.8571428571428302E-2</v>
      </c>
      <c r="R1346" s="26">
        <v>0.109852198576272</v>
      </c>
      <c r="S1346" s="3" t="str">
        <f>VLOOKUP($E1346,'[1]Product Naming'!$A$1:$P$58,2)</f>
        <v>1-propanol-PW1</v>
      </c>
      <c r="T1346" s="3" t="str">
        <f>VLOOKUP($E1346,'[1]Product Naming'!$A$1:$P$58,3)</f>
        <v>1-Propanol (PW1)</v>
      </c>
      <c r="U1346" s="3" t="str">
        <f>VLOOKUP($E1346,'[1]Product Naming'!$A$1:$P$58,4)</f>
        <v>E-S</v>
      </c>
      <c r="V1346" s="3" t="str">
        <f>VLOOKUP($E1346,'[1]Product Naming'!$A$1:$P$58,5)</f>
        <v>C3H8O</v>
      </c>
      <c r="W1346" s="3">
        <f>VLOOKUP($E1346,'[1]Product Naming'!$A$1:$P$58,6)</f>
        <v>3</v>
      </c>
      <c r="X1346" s="3">
        <f>VLOOKUP($E1346,'[1]Product Naming'!$A$1:$P$58,7)</f>
        <v>8</v>
      </c>
      <c r="Y1346" s="3">
        <f>VLOOKUP($E1346,'[1]Product Naming'!$A$1:$P$58,8)</f>
        <v>1</v>
      </c>
      <c r="Z1346" s="3">
        <f>VLOOKUP($E1346,'[1]Product Naming'!$A$1:$P$58,9)</f>
        <v>0</v>
      </c>
      <c r="AA1346" s="3">
        <f>VLOOKUP($E1346,'[1]Product Naming'!$A$1:$P$58,10)</f>
        <v>0</v>
      </c>
      <c r="AB1346" s="3">
        <f>VLOOKUP($E1346,'[1]Product Naming'!$A$1:$P$58,11)</f>
        <v>6</v>
      </c>
      <c r="AC1346" s="3">
        <f>VLOOKUP($E1346,'[1]Product Naming'!$A$1:$P$58,12)</f>
        <v>60.093820000000001</v>
      </c>
      <c r="AD1346" s="3">
        <f>VLOOKUP($E1346,'[1]Product Naming'!$A$1:$P$58,13)</f>
        <v>97</v>
      </c>
      <c r="AE1346" s="3" t="str">
        <f>VLOOKUP($E1346,'[1]Product Naming'!$A$1:$P$58,14)</f>
        <v>Alcohol</v>
      </c>
      <c r="AF1346" s="3" t="str">
        <f>VLOOKUP($E1346,'[1]Product Naming'!$A$1:$P$58,15)</f>
        <v>Glyceraldehyde 3-P (--&gt;DHAP)</v>
      </c>
      <c r="AG1346" s="3" t="str">
        <f>VLOOKUP($E1346,'[1]Product Naming'!$A$1:$P$58,16)</f>
        <v>Proton symporter</v>
      </c>
      <c r="AH1346" s="3" t="str">
        <f>VLOOKUP($E1346,'[1]Product Naming'!$A$1:$Q$58,17)</f>
        <v>ppoh_c</v>
      </c>
    </row>
    <row r="1347" spans="1:34" hidden="1" x14ac:dyDescent="0.2">
      <c r="A1347" s="16" t="s">
        <v>74</v>
      </c>
      <c r="B1347" s="9" t="s">
        <v>35</v>
      </c>
      <c r="C1347" t="s">
        <v>50</v>
      </c>
      <c r="D1347" s="13" t="s">
        <v>51</v>
      </c>
      <c r="E1347" t="s">
        <v>194</v>
      </c>
      <c r="F1347" t="s">
        <v>195</v>
      </c>
      <c r="G1347">
        <v>-10</v>
      </c>
      <c r="H1347">
        <v>-20</v>
      </c>
      <c r="I1347" s="1" t="s">
        <v>40</v>
      </c>
      <c r="J1347">
        <v>3.15</v>
      </c>
      <c r="K1347">
        <v>-10</v>
      </c>
      <c r="L1347">
        <v>-2.5956521739130398</v>
      </c>
      <c r="M1347" s="1" t="s">
        <v>40</v>
      </c>
      <c r="N1347">
        <v>7.9391304347825997</v>
      </c>
      <c r="O1347">
        <v>0.34347826086956601</v>
      </c>
      <c r="P1347"/>
      <c r="Q1347">
        <v>3.43478260869566E-2</v>
      </c>
      <c r="R1347">
        <v>0.109837288066432</v>
      </c>
      <c r="S1347" s="3" t="s">
        <v>194</v>
      </c>
      <c r="T1347" s="2" t="s">
        <v>196</v>
      </c>
      <c r="U1347" s="3" t="s">
        <v>35</v>
      </c>
      <c r="V1347" s="3" t="s">
        <v>197</v>
      </c>
      <c r="W1347" s="3">
        <v>6</v>
      </c>
      <c r="X1347" s="3">
        <v>15</v>
      </c>
      <c r="Y1347" s="3">
        <v>2</v>
      </c>
      <c r="Z1347" s="3">
        <v>2</v>
      </c>
      <c r="AA1347" s="3">
        <v>1</v>
      </c>
      <c r="AB1347" s="12">
        <f>(W1347*4+X1347*1+Y1347*-2+Z1347*-3)/W1347</f>
        <v>4.833333333333333</v>
      </c>
      <c r="AC1347" s="3">
        <f>W1347*12.0107+X1347*1.00784+Y1347*15.999+Z1347*14.0067</f>
        <v>147.19319999999999</v>
      </c>
      <c r="AD1347" s="12" t="s">
        <v>40</v>
      </c>
      <c r="AE1347" s="3" t="s">
        <v>119</v>
      </c>
      <c r="AF1347" s="3" t="s">
        <v>44</v>
      </c>
      <c r="AG1347" s="2" t="s">
        <v>80</v>
      </c>
      <c r="AH1347" s="2" t="s">
        <v>198</v>
      </c>
    </row>
    <row r="1348" spans="1:34" hidden="1" x14ac:dyDescent="0.2">
      <c r="A1348" s="16" t="s">
        <v>63</v>
      </c>
      <c r="B1348" s="17" t="s">
        <v>64</v>
      </c>
      <c r="C1348" t="s">
        <v>65</v>
      </c>
      <c r="D1348" s="18" t="s">
        <v>66</v>
      </c>
      <c r="E1348" t="s">
        <v>268</v>
      </c>
      <c r="F1348" t="s">
        <v>269</v>
      </c>
      <c r="G1348">
        <v>-10</v>
      </c>
      <c r="H1348">
        <v>0</v>
      </c>
      <c r="I1348">
        <v>0</v>
      </c>
      <c r="J1348">
        <v>0.45</v>
      </c>
      <c r="K1348">
        <v>-10</v>
      </c>
      <c r="L1348">
        <v>0</v>
      </c>
      <c r="M1348">
        <v>0</v>
      </c>
      <c r="N1348">
        <v>5.8916666666666702</v>
      </c>
      <c r="O1348">
        <v>0.22291666666666701</v>
      </c>
      <c r="P1348"/>
      <c r="Q1348">
        <v>2.2291666666666699E-2</v>
      </c>
      <c r="R1348">
        <v>0.108420140723551</v>
      </c>
      <c r="S1348" s="3" t="s">
        <v>268</v>
      </c>
      <c r="T1348" s="3" t="s">
        <v>268</v>
      </c>
      <c r="U1348" s="3" t="s">
        <v>106</v>
      </c>
      <c r="V1348" s="3" t="s">
        <v>270</v>
      </c>
      <c r="W1348" s="3">
        <v>10</v>
      </c>
      <c r="X1348" s="3">
        <v>16</v>
      </c>
      <c r="Y1348" s="3">
        <v>0</v>
      </c>
      <c r="Z1348" s="3">
        <v>0</v>
      </c>
      <c r="AA1348" s="3">
        <v>0</v>
      </c>
      <c r="AB1348" s="12">
        <f>(W1348*4+X1348*1+Y1348*-2+Z1348*-3)/W1348</f>
        <v>5.6</v>
      </c>
      <c r="AC1348" s="3">
        <f>W1348*12.0107+X1348*1.00784+Y1348*15.999+Z1348*14.0067</f>
        <v>136.23244</v>
      </c>
      <c r="AD1348" s="12">
        <v>176</v>
      </c>
      <c r="AE1348" s="3" t="s">
        <v>271</v>
      </c>
      <c r="AF1348" s="3" t="s">
        <v>79</v>
      </c>
      <c r="AG1348" s="2" t="str">
        <f>IF(AD1348&gt;37,"Proton symporter", "Diffusion")</f>
        <v>Proton symporter</v>
      </c>
      <c r="AH1348" s="3" t="s">
        <v>272</v>
      </c>
    </row>
    <row r="1349" spans="1:34" hidden="1" x14ac:dyDescent="0.2">
      <c r="A1349" s="16" t="s">
        <v>63</v>
      </c>
      <c r="B1349" s="17" t="s">
        <v>64</v>
      </c>
      <c r="C1349" t="s">
        <v>65</v>
      </c>
      <c r="D1349" s="18" t="s">
        <v>66</v>
      </c>
      <c r="E1349" t="s">
        <v>254</v>
      </c>
      <c r="F1349" t="s">
        <v>255</v>
      </c>
      <c r="G1349">
        <v>-10</v>
      </c>
      <c r="H1349">
        <v>0</v>
      </c>
      <c r="I1349">
        <v>0</v>
      </c>
      <c r="J1349">
        <v>0.45</v>
      </c>
      <c r="K1349">
        <v>-10</v>
      </c>
      <c r="L1349">
        <v>0</v>
      </c>
      <c r="M1349">
        <v>0</v>
      </c>
      <c r="N1349">
        <v>5.8855172413793104</v>
      </c>
      <c r="O1349">
        <v>0.147586206896552</v>
      </c>
      <c r="P1349"/>
      <c r="Q1349">
        <v>1.4758620689655199E-2</v>
      </c>
      <c r="R1349">
        <v>0.107672415615113</v>
      </c>
      <c r="S1349" s="11" t="s">
        <v>254</v>
      </c>
      <c r="T1349" s="2" t="s">
        <v>254</v>
      </c>
      <c r="U1349" s="3" t="s">
        <v>41</v>
      </c>
      <c r="V1349" s="2" t="s">
        <v>256</v>
      </c>
      <c r="W1349" s="2">
        <v>15</v>
      </c>
      <c r="X1349" s="2">
        <v>24</v>
      </c>
      <c r="Y1349" s="2">
        <v>0</v>
      </c>
      <c r="Z1349" s="2">
        <v>0</v>
      </c>
      <c r="AA1349" s="2">
        <v>0</v>
      </c>
      <c r="AB1349" s="12">
        <f>(W1349*4+X1349*1+Y1349*-2+Z1349*-3)/W1349+0.01</f>
        <v>5.6099999999999994</v>
      </c>
      <c r="AC1349" s="3">
        <f>W1349*12.0107+X1349*1.00784+Y1349*15.999+Z1349*14.0067</f>
        <v>204.34866000000002</v>
      </c>
      <c r="AD1349" s="12" t="s">
        <v>257</v>
      </c>
      <c r="AE1349" s="2" t="s">
        <v>231</v>
      </c>
      <c r="AF1349" s="2" t="s">
        <v>79</v>
      </c>
      <c r="AG1349" s="2" t="str">
        <f>IF(AD1349&gt;37,"Proton symporter", "Diffusion")</f>
        <v>Proton symporter</v>
      </c>
      <c r="AH1349" s="3" t="s">
        <v>258</v>
      </c>
    </row>
    <row r="1350" spans="1:34" hidden="1" x14ac:dyDescent="0.2">
      <c r="A1350" s="16" t="s">
        <v>63</v>
      </c>
      <c r="B1350" s="17" t="s">
        <v>64</v>
      </c>
      <c r="C1350" t="s">
        <v>72</v>
      </c>
      <c r="D1350" s="18" t="s">
        <v>66</v>
      </c>
      <c r="E1350" t="s">
        <v>268</v>
      </c>
      <c r="F1350" t="s">
        <v>269</v>
      </c>
      <c r="G1350">
        <v>-10</v>
      </c>
      <c r="H1350">
        <v>0</v>
      </c>
      <c r="I1350">
        <v>-10</v>
      </c>
      <c r="J1350">
        <v>0.45</v>
      </c>
      <c r="K1350">
        <v>-10</v>
      </c>
      <c r="L1350">
        <v>0</v>
      </c>
      <c r="M1350">
        <v>-10</v>
      </c>
      <c r="N1350">
        <v>1.5166666666666699</v>
      </c>
      <c r="O1350">
        <v>0.37916666666666698</v>
      </c>
      <c r="P1350"/>
      <c r="Q1350">
        <v>3.7916666666666703E-2</v>
      </c>
      <c r="R1350">
        <v>0.107503080497375</v>
      </c>
      <c r="S1350" s="3" t="s">
        <v>268</v>
      </c>
      <c r="T1350" s="3" t="s">
        <v>268</v>
      </c>
      <c r="U1350" s="3" t="s">
        <v>106</v>
      </c>
      <c r="V1350" s="3" t="s">
        <v>270</v>
      </c>
      <c r="W1350" s="3">
        <v>10</v>
      </c>
      <c r="X1350" s="3">
        <v>16</v>
      </c>
      <c r="Y1350" s="3">
        <v>0</v>
      </c>
      <c r="Z1350" s="3">
        <v>0</v>
      </c>
      <c r="AA1350" s="3">
        <v>0</v>
      </c>
      <c r="AB1350" s="12">
        <f>(W1350*4+X1350*1+Y1350*-2+Z1350*-3)/W1350</f>
        <v>5.6</v>
      </c>
      <c r="AC1350" s="3">
        <f>W1350*12.0107+X1350*1.00784+Y1350*15.999+Z1350*14.0067</f>
        <v>136.23244</v>
      </c>
      <c r="AD1350" s="12">
        <v>176</v>
      </c>
      <c r="AE1350" s="3" t="s">
        <v>271</v>
      </c>
      <c r="AF1350" s="3" t="s">
        <v>79</v>
      </c>
      <c r="AG1350" s="2" t="str">
        <f>IF(AD1350&gt;37,"Proton symporter", "Diffusion")</f>
        <v>Proton symporter</v>
      </c>
      <c r="AH1350" s="3" t="s">
        <v>272</v>
      </c>
    </row>
    <row r="1351" spans="1:34" hidden="1" x14ac:dyDescent="0.2">
      <c r="A1351" s="8" t="s">
        <v>350</v>
      </c>
      <c r="B1351" s="17" t="s">
        <v>64</v>
      </c>
      <c r="C1351" t="s">
        <v>352</v>
      </c>
      <c r="D1351" s="13" t="s">
        <v>51</v>
      </c>
      <c r="E1351" t="s">
        <v>178</v>
      </c>
      <c r="F1351" t="s">
        <v>179</v>
      </c>
      <c r="G1351">
        <v>-10</v>
      </c>
      <c r="H1351">
        <v>0</v>
      </c>
      <c r="I1351">
        <v>0</v>
      </c>
      <c r="J1351">
        <v>0.45</v>
      </c>
      <c r="K1351">
        <v>-10</v>
      </c>
      <c r="L1351">
        <v>0</v>
      </c>
      <c r="M1351" s="26">
        <v>1.41441441441441</v>
      </c>
      <c r="N1351">
        <v>0</v>
      </c>
      <c r="O1351" s="26">
        <v>0.28288288288288399</v>
      </c>
      <c r="P1351"/>
      <c r="Q1351">
        <v>2.8288288288288398E-2</v>
      </c>
      <c r="R1351" s="26">
        <v>0.10702768685668899</v>
      </c>
      <c r="S1351" s="3" t="str">
        <f>VLOOKUP($E1351,'[1]Product Naming'!$A$1:$P$58,2)</f>
        <v>4-Hydroxystyrene</v>
      </c>
      <c r="T1351" s="3" t="str">
        <f>VLOOKUP($E1351,'[1]Product Naming'!$A$1:$P$58,3)</f>
        <v>4-Hydroxystyrene</v>
      </c>
      <c r="U1351" s="3" t="str">
        <f>VLOOKUP($E1351,'[1]Product Naming'!$A$1:$P$58,4)</f>
        <v>E</v>
      </c>
      <c r="V1351" s="3" t="str">
        <f>VLOOKUP($E1351,'[1]Product Naming'!$A$1:$P$58,5)</f>
        <v>C8H8O</v>
      </c>
      <c r="W1351" s="3">
        <f>VLOOKUP($E1351,'[1]Product Naming'!$A$1:$P$58,6)</f>
        <v>8</v>
      </c>
      <c r="X1351" s="3">
        <f>VLOOKUP($E1351,'[1]Product Naming'!$A$1:$P$58,7)</f>
        <v>8</v>
      </c>
      <c r="Y1351" s="3">
        <f>VLOOKUP($E1351,'[1]Product Naming'!$A$1:$P$58,8)</f>
        <v>1</v>
      </c>
      <c r="Z1351" s="3">
        <f>VLOOKUP($E1351,'[1]Product Naming'!$A$1:$P$58,9)</f>
        <v>0</v>
      </c>
      <c r="AA1351" s="3">
        <f>VLOOKUP($E1351,'[1]Product Naming'!$A$1:$P$58,10)</f>
        <v>0</v>
      </c>
      <c r="AB1351" s="3">
        <f>VLOOKUP($E1351,'[1]Product Naming'!$A$1:$P$58,11)</f>
        <v>4.75</v>
      </c>
      <c r="AC1351" s="3">
        <f>VLOOKUP($E1351,'[1]Product Naming'!$A$1:$P$58,12)</f>
        <v>120.14731999999999</v>
      </c>
      <c r="AD1351" s="3">
        <f>VLOOKUP($E1351,'[1]Product Naming'!$A$1:$P$58,13)</f>
        <v>229</v>
      </c>
      <c r="AE1351" s="3" t="str">
        <f>VLOOKUP($E1351,'[1]Product Naming'!$A$1:$P$58,14)</f>
        <v>Aromatic + Alcohol</v>
      </c>
      <c r="AF1351" s="3" t="str">
        <f>VLOOKUP($E1351,'[1]Product Naming'!$A$1:$P$58,15)</f>
        <v>E4P + L-glutamate</v>
      </c>
      <c r="AG1351" s="3" t="str">
        <f>VLOOKUP($E1351,'[1]Product Naming'!$A$1:$P$58,16)</f>
        <v>Proton symporter</v>
      </c>
      <c r="AH1351" s="3" t="str">
        <f>VLOOKUP($E1351,'[1]Product Naming'!$A$1:$Q$58,17)</f>
        <v>4hxst_c</v>
      </c>
    </row>
    <row r="1352" spans="1:34" hidden="1" x14ac:dyDescent="0.2">
      <c r="A1352" s="8" t="s">
        <v>34</v>
      </c>
      <c r="B1352" s="9" t="s">
        <v>35</v>
      </c>
      <c r="C1352" s="1" t="s">
        <v>50</v>
      </c>
      <c r="D1352" s="13" t="s">
        <v>51</v>
      </c>
      <c r="E1352" s="1" t="s">
        <v>182</v>
      </c>
      <c r="F1352" s="1" t="s">
        <v>183</v>
      </c>
      <c r="G1352" s="1">
        <v>-10</v>
      </c>
      <c r="H1352" s="1">
        <v>-20</v>
      </c>
      <c r="I1352" s="1" t="s">
        <v>40</v>
      </c>
      <c r="J1352" s="1">
        <v>3.15</v>
      </c>
      <c r="K1352" s="1">
        <v>-10</v>
      </c>
      <c r="L1352" s="1">
        <v>-2.1785714285714302</v>
      </c>
      <c r="M1352" s="1" t="s">
        <v>40</v>
      </c>
      <c r="N1352" s="1">
        <v>7.7428571428571402</v>
      </c>
      <c r="O1352" s="1">
        <v>0.56428571428571395</v>
      </c>
      <c r="Q1352" s="1">
        <v>5.6428571428571397E-2</v>
      </c>
      <c r="R1352" s="1">
        <v>0.106772268279542</v>
      </c>
      <c r="S1352" s="11" t="s">
        <v>182</v>
      </c>
      <c r="T1352" s="2" t="s">
        <v>182</v>
      </c>
      <c r="U1352" s="3" t="s">
        <v>41</v>
      </c>
      <c r="V1352" s="2" t="s">
        <v>184</v>
      </c>
      <c r="W1352" s="2">
        <v>4</v>
      </c>
      <c r="X1352" s="2">
        <v>7</v>
      </c>
      <c r="Y1352" s="2">
        <v>2</v>
      </c>
      <c r="Z1352" s="2">
        <v>0</v>
      </c>
      <c r="AA1352" s="2">
        <v>0</v>
      </c>
      <c r="AB1352" s="12">
        <f>(W1352*4+X1352*1+Y1352*-2+Z1352*-3)/W1352</f>
        <v>4.75</v>
      </c>
      <c r="AC1352" s="3">
        <f>W1352*12.0107+X1352*1.00784+Y1352*15.999+Z1352*14.0067</f>
        <v>87.095680000000002</v>
      </c>
      <c r="AD1352" s="12">
        <v>163.5</v>
      </c>
      <c r="AE1352" s="2" t="s">
        <v>131</v>
      </c>
      <c r="AF1352" s="2" t="s">
        <v>79</v>
      </c>
      <c r="AG1352" s="2" t="str">
        <f>IF(AD1352&gt;37,"Proton symporter", "Diffusion")</f>
        <v>Proton symporter</v>
      </c>
      <c r="AH1352" s="3" t="s">
        <v>185</v>
      </c>
    </row>
    <row r="1353" spans="1:34" hidden="1" x14ac:dyDescent="0.2">
      <c r="A1353" s="16" t="s">
        <v>63</v>
      </c>
      <c r="B1353" s="17" t="s">
        <v>64</v>
      </c>
      <c r="C1353" t="s">
        <v>72</v>
      </c>
      <c r="D1353" s="18" t="s">
        <v>66</v>
      </c>
      <c r="E1353" t="s">
        <v>254</v>
      </c>
      <c r="F1353" t="s">
        <v>255</v>
      </c>
      <c r="G1353">
        <v>-10</v>
      </c>
      <c r="H1353">
        <v>0</v>
      </c>
      <c r="I1353">
        <v>-10</v>
      </c>
      <c r="J1353">
        <v>0.45</v>
      </c>
      <c r="K1353">
        <v>-10</v>
      </c>
      <c r="L1353">
        <v>0</v>
      </c>
      <c r="M1353">
        <v>-10</v>
      </c>
      <c r="N1353">
        <v>1.5062068965517199</v>
      </c>
      <c r="O1353">
        <v>0.251034482758623</v>
      </c>
      <c r="P1353"/>
      <c r="Q1353">
        <v>2.5103448275862299E-2</v>
      </c>
      <c r="R1353">
        <v>0.10676167994222199</v>
      </c>
      <c r="S1353" s="11" t="s">
        <v>254</v>
      </c>
      <c r="T1353" s="2" t="s">
        <v>254</v>
      </c>
      <c r="U1353" s="3" t="s">
        <v>41</v>
      </c>
      <c r="V1353" s="2" t="s">
        <v>256</v>
      </c>
      <c r="W1353" s="2">
        <v>15</v>
      </c>
      <c r="X1353" s="2">
        <v>24</v>
      </c>
      <c r="Y1353" s="2">
        <v>0</v>
      </c>
      <c r="Z1353" s="2">
        <v>0</v>
      </c>
      <c r="AA1353" s="2">
        <v>0</v>
      </c>
      <c r="AB1353" s="12">
        <f>(W1353*4+X1353*1+Y1353*-2+Z1353*-3)/W1353+0.01</f>
        <v>5.6099999999999994</v>
      </c>
      <c r="AC1353" s="3">
        <f>W1353*12.0107+X1353*1.00784+Y1353*15.999+Z1353*14.0067</f>
        <v>204.34866000000002</v>
      </c>
      <c r="AD1353" s="12" t="s">
        <v>257</v>
      </c>
      <c r="AE1353" s="2" t="s">
        <v>231</v>
      </c>
      <c r="AF1353" s="2" t="s">
        <v>79</v>
      </c>
      <c r="AG1353" s="2" t="str">
        <f>IF(AD1353&gt;37,"Proton symporter", "Diffusion")</f>
        <v>Proton symporter</v>
      </c>
      <c r="AH1353" s="3" t="s">
        <v>258</v>
      </c>
    </row>
    <row r="1354" spans="1:34" hidden="1" x14ac:dyDescent="0.2">
      <c r="A1354" s="8" t="s">
        <v>350</v>
      </c>
      <c r="B1354" s="17" t="s">
        <v>64</v>
      </c>
      <c r="C1354" t="s">
        <v>351</v>
      </c>
      <c r="D1354" s="13" t="s">
        <v>51</v>
      </c>
      <c r="E1354" t="s">
        <v>339</v>
      </c>
      <c r="F1354" t="s">
        <v>340</v>
      </c>
      <c r="G1354">
        <v>-10</v>
      </c>
      <c r="H1354">
        <v>0</v>
      </c>
      <c r="I1354">
        <v>0</v>
      </c>
      <c r="J1354">
        <v>0.45</v>
      </c>
      <c r="K1354">
        <v>-10</v>
      </c>
      <c r="L1354">
        <v>0</v>
      </c>
      <c r="M1354">
        <v>0</v>
      </c>
      <c r="N1354">
        <v>0</v>
      </c>
      <c r="O1354">
        <v>0.58571428571427897</v>
      </c>
      <c r="P1354"/>
      <c r="Q1354">
        <v>5.85714285714279E-2</v>
      </c>
      <c r="R1354" s="26">
        <v>0.10624622638220001</v>
      </c>
      <c r="S1354" s="3" t="str">
        <f>VLOOKUP($E1354,'[1]Product Naming'!$A$1:$P$58,2)</f>
        <v>Butane</v>
      </c>
      <c r="T1354" s="3" t="str">
        <f>VLOOKUP($E1354,'[1]Product Naming'!$A$1:$P$58,3)</f>
        <v>Butane</v>
      </c>
      <c r="U1354" s="3" t="str">
        <f>VLOOKUP($E1354,'[1]Product Naming'!$A$1:$P$58,4)</f>
        <v>E</v>
      </c>
      <c r="V1354" s="3" t="str">
        <f>VLOOKUP($E1354,'[1]Product Naming'!$A$1:$P$58,5)</f>
        <v>C4H10</v>
      </c>
      <c r="W1354" s="3">
        <f>VLOOKUP($E1354,'[1]Product Naming'!$A$1:$P$58,6)</f>
        <v>4</v>
      </c>
      <c r="X1354" s="3">
        <f>VLOOKUP($E1354,'[1]Product Naming'!$A$1:$P$58,7)</f>
        <v>10</v>
      </c>
      <c r="Y1354" s="3">
        <f>VLOOKUP($E1354,'[1]Product Naming'!$A$1:$P$58,8)</f>
        <v>0</v>
      </c>
      <c r="Z1354" s="3">
        <f>VLOOKUP($E1354,'[1]Product Naming'!$A$1:$P$58,9)</f>
        <v>0</v>
      </c>
      <c r="AA1354" s="3">
        <f>VLOOKUP($E1354,'[1]Product Naming'!$A$1:$P$58,10)</f>
        <v>0</v>
      </c>
      <c r="AB1354" s="3">
        <f>VLOOKUP($E1354,'[1]Product Naming'!$A$1:$P$58,11)</f>
        <v>6.5</v>
      </c>
      <c r="AC1354" s="3">
        <f>VLOOKUP($E1354,'[1]Product Naming'!$A$1:$P$58,12)</f>
        <v>58.121200000000002</v>
      </c>
      <c r="AD1354" s="3">
        <f>VLOOKUP($E1354,'[1]Product Naming'!$A$1:$P$58,13)</f>
        <v>-1</v>
      </c>
      <c r="AE1354" s="3" t="str">
        <f>VLOOKUP($E1354,'[1]Product Naming'!$A$1:$P$58,14)</f>
        <v>Hydrocarbon (alkane)</v>
      </c>
      <c r="AF1354" s="3" t="str">
        <f>VLOOKUP($E1354,'[1]Product Naming'!$A$1:$P$58,15)</f>
        <v>Acetyl-CoA + Succinyl-CoA</v>
      </c>
      <c r="AG1354" s="3" t="str">
        <f>VLOOKUP($E1354,'[1]Product Naming'!$A$1:$P$58,16)</f>
        <v>Diffusion</v>
      </c>
      <c r="AH1354" s="3" t="str">
        <f>VLOOKUP($E1354,'[1]Product Naming'!$A$1:$Q$58,17)</f>
        <v>butn_c</v>
      </c>
    </row>
    <row r="1355" spans="1:34" hidden="1" x14ac:dyDescent="0.2">
      <c r="A1355" s="16" t="s">
        <v>63</v>
      </c>
      <c r="B1355" s="17" t="s">
        <v>64</v>
      </c>
      <c r="C1355" t="s">
        <v>65</v>
      </c>
      <c r="D1355" s="18" t="s">
        <v>66</v>
      </c>
      <c r="E1355" t="s">
        <v>264</v>
      </c>
      <c r="F1355" t="s">
        <v>265</v>
      </c>
      <c r="G1355">
        <v>-10</v>
      </c>
      <c r="H1355">
        <v>0</v>
      </c>
      <c r="I1355">
        <v>0</v>
      </c>
      <c r="J1355">
        <v>0.45</v>
      </c>
      <c r="K1355">
        <v>-10</v>
      </c>
      <c r="L1355">
        <v>0</v>
      </c>
      <c r="M1355">
        <v>0</v>
      </c>
      <c r="N1355">
        <v>5.8734693877551001</v>
      </c>
      <c r="O1355">
        <v>0.43673469387755098</v>
      </c>
      <c r="P1355"/>
      <c r="Q1355">
        <v>4.3673469387755098E-2</v>
      </c>
      <c r="R1355">
        <v>0.106207484790417</v>
      </c>
      <c r="S1355" s="20" t="s">
        <v>264</v>
      </c>
      <c r="T1355" s="3" t="s">
        <v>264</v>
      </c>
      <c r="U1355" s="3" t="s">
        <v>106</v>
      </c>
      <c r="V1355" s="3" t="s">
        <v>266</v>
      </c>
      <c r="W1355" s="3">
        <v>5</v>
      </c>
      <c r="X1355" s="3">
        <v>8</v>
      </c>
      <c r="Y1355" s="3">
        <v>0</v>
      </c>
      <c r="Z1355" s="3">
        <v>0</v>
      </c>
      <c r="AA1355" s="3">
        <v>0</v>
      </c>
      <c r="AB1355" s="12">
        <f>(W1355*4+X1355*1+Y1355*-2+Z1355*-3)/W1355</f>
        <v>5.6</v>
      </c>
      <c r="AC1355" s="3">
        <f>W1355*12.0107+X1355*1.00784+Y1355*15.999+Z1355*14.0067</f>
        <v>68.116219999999998</v>
      </c>
      <c r="AD1355" s="24">
        <v>34.07</v>
      </c>
      <c r="AE1355" s="3" t="s">
        <v>231</v>
      </c>
      <c r="AF1355" s="3" t="s">
        <v>79</v>
      </c>
      <c r="AG1355" s="25" t="str">
        <f>IF(AD1355&gt;37,"Proton symporter", "Diffusion")</f>
        <v>Diffusion</v>
      </c>
      <c r="AH1355" s="3" t="s">
        <v>267</v>
      </c>
    </row>
    <row r="1356" spans="1:34" hidden="1" x14ac:dyDescent="0.2">
      <c r="A1356" s="16" t="s">
        <v>63</v>
      </c>
      <c r="B1356" s="17" t="s">
        <v>64</v>
      </c>
      <c r="C1356" t="s">
        <v>70</v>
      </c>
      <c r="D1356" s="18" t="s">
        <v>66</v>
      </c>
      <c r="E1356" t="s">
        <v>244</v>
      </c>
      <c r="F1356" t="s">
        <v>245</v>
      </c>
      <c r="G1356">
        <v>-10</v>
      </c>
      <c r="H1356">
        <v>0</v>
      </c>
      <c r="I1356">
        <v>0</v>
      </c>
      <c r="J1356">
        <v>0.45</v>
      </c>
      <c r="K1356">
        <v>-10</v>
      </c>
      <c r="L1356">
        <v>0</v>
      </c>
      <c r="M1356">
        <v>0</v>
      </c>
      <c r="N1356">
        <v>5.8126582278481003</v>
      </c>
      <c r="O1356">
        <v>0.54177215189873396</v>
      </c>
      <c r="P1356"/>
      <c r="Q1356">
        <v>5.4177215189873E-2</v>
      </c>
      <c r="R1356">
        <v>0.10607103453298</v>
      </c>
      <c r="S1356" s="20" t="s">
        <v>246</v>
      </c>
      <c r="T1356" s="3" t="s">
        <v>247</v>
      </c>
      <c r="U1356" s="3" t="s">
        <v>106</v>
      </c>
      <c r="V1356" s="3" t="s">
        <v>238</v>
      </c>
      <c r="W1356" s="3">
        <v>4</v>
      </c>
      <c r="X1356" s="3">
        <v>10</v>
      </c>
      <c r="Y1356" s="3">
        <v>2</v>
      </c>
      <c r="Z1356" s="3">
        <v>0</v>
      </c>
      <c r="AA1356" s="3">
        <v>0</v>
      </c>
      <c r="AB1356" s="12">
        <f>(W1356*4+X1356*1+Y1356*-2+Z1356*-3)/W1356</f>
        <v>5.5</v>
      </c>
      <c r="AC1356" s="3">
        <f>W1356*12.0107+X1356*1.00784+Y1356*15.999+Z1356*14.0067</f>
        <v>90.119200000000006</v>
      </c>
      <c r="AD1356" s="12">
        <v>230</v>
      </c>
      <c r="AE1356" s="2" t="s">
        <v>220</v>
      </c>
      <c r="AF1356" s="3" t="s">
        <v>120</v>
      </c>
      <c r="AG1356" s="2" t="str">
        <f>IF(AD1356&gt;37,"Proton symporter", "Diffusion")</f>
        <v>Proton symporter</v>
      </c>
      <c r="AH1356" s="3" t="s">
        <v>248</v>
      </c>
    </row>
    <row r="1357" spans="1:34" x14ac:dyDescent="0.2">
      <c r="A1357" s="8" t="s">
        <v>34</v>
      </c>
      <c r="B1357" s="9" t="s">
        <v>35</v>
      </c>
      <c r="C1357" s="1" t="s">
        <v>50</v>
      </c>
      <c r="D1357" s="13" t="s">
        <v>51</v>
      </c>
      <c r="E1357" s="1" t="s">
        <v>216</v>
      </c>
      <c r="F1357" s="1" t="s">
        <v>217</v>
      </c>
      <c r="G1357" s="1">
        <v>-10</v>
      </c>
      <c r="H1357" s="1">
        <v>-20</v>
      </c>
      <c r="I1357" s="1" t="s">
        <v>40</v>
      </c>
      <c r="J1357" s="1">
        <v>3.15</v>
      </c>
      <c r="K1357" s="1">
        <v>-10</v>
      </c>
      <c r="L1357" s="1">
        <v>-2.43783783783784</v>
      </c>
      <c r="M1357" s="1" t="s">
        <v>40</v>
      </c>
      <c r="N1357" s="1">
        <v>8.07837837837838</v>
      </c>
      <c r="O1357" s="1">
        <v>0.64054054054053999</v>
      </c>
      <c r="Q1357" s="1">
        <v>6.4054054054053997E-2</v>
      </c>
      <c r="R1357" s="1">
        <v>0.10588954945090601</v>
      </c>
      <c r="S1357" s="11" t="s">
        <v>216</v>
      </c>
      <c r="T1357" s="2" t="s">
        <v>218</v>
      </c>
      <c r="U1357" s="3" t="s">
        <v>41</v>
      </c>
      <c r="V1357" s="2" t="s">
        <v>219</v>
      </c>
      <c r="W1357" s="2">
        <v>3</v>
      </c>
      <c r="X1357" s="2">
        <v>8</v>
      </c>
      <c r="Y1357" s="2">
        <v>2</v>
      </c>
      <c r="Z1357" s="2">
        <v>0</v>
      </c>
      <c r="AA1357" s="2">
        <v>0</v>
      </c>
      <c r="AB1357" s="12">
        <f>(W1357*4+X1357*1+Y1357*-2+Z1357*-3)/W1357</f>
        <v>5.333333333333333</v>
      </c>
      <c r="AC1357" s="3">
        <f>W1357*12.0107+X1357*1.00784+Y1357*15.999+Z1357*14.0067</f>
        <v>76.092820000000003</v>
      </c>
      <c r="AD1357" s="12">
        <v>213</v>
      </c>
      <c r="AE1357" s="2" t="s">
        <v>220</v>
      </c>
      <c r="AF1357" s="2" t="s">
        <v>98</v>
      </c>
      <c r="AG1357" s="2" t="str">
        <f>IF(AD1357&gt;37,"Proton symporter", "Diffusion")</f>
        <v>Proton symporter</v>
      </c>
      <c r="AH1357" s="3" t="s">
        <v>221</v>
      </c>
    </row>
    <row r="1358" spans="1:34" hidden="1" x14ac:dyDescent="0.2">
      <c r="A1358" s="16" t="s">
        <v>63</v>
      </c>
      <c r="B1358" s="17" t="s">
        <v>64</v>
      </c>
      <c r="C1358" t="s">
        <v>70</v>
      </c>
      <c r="D1358" s="18" t="s">
        <v>66</v>
      </c>
      <c r="E1358" t="s">
        <v>279</v>
      </c>
      <c r="F1358" t="s">
        <v>280</v>
      </c>
      <c r="G1358">
        <v>-10</v>
      </c>
      <c r="H1358">
        <v>0</v>
      </c>
      <c r="I1358">
        <v>0</v>
      </c>
      <c r="J1358">
        <v>0.45</v>
      </c>
      <c r="K1358">
        <v>-10</v>
      </c>
      <c r="L1358">
        <v>0</v>
      </c>
      <c r="M1358">
        <v>0</v>
      </c>
      <c r="N1358">
        <v>6.2113207547169802</v>
      </c>
      <c r="O1358">
        <v>0.80754716981132102</v>
      </c>
      <c r="P1358"/>
      <c r="Q1358">
        <v>8.0754716981131999E-2</v>
      </c>
      <c r="R1358">
        <v>0.105429102716841</v>
      </c>
      <c r="S1358" s="20" t="s">
        <v>281</v>
      </c>
      <c r="T1358" s="3" t="s">
        <v>282</v>
      </c>
      <c r="U1358" s="3" t="s">
        <v>174</v>
      </c>
      <c r="V1358" s="3" t="s">
        <v>283</v>
      </c>
      <c r="W1358" s="3">
        <v>3</v>
      </c>
      <c r="X1358" s="3">
        <v>8</v>
      </c>
      <c r="Y1358" s="3">
        <v>1</v>
      </c>
      <c r="Z1358" s="3">
        <v>0</v>
      </c>
      <c r="AA1358" s="3">
        <v>0</v>
      </c>
      <c r="AB1358" s="12">
        <f>(W1358*4+X1358*1+Y1358*-2+Z1358*-3)/W1358</f>
        <v>6</v>
      </c>
      <c r="AC1358" s="3">
        <f>W1358*12.0107+X1358*1.00784+Y1358*15.999+Z1358*14.0067</f>
        <v>60.093820000000001</v>
      </c>
      <c r="AD1358" s="12">
        <v>97</v>
      </c>
      <c r="AE1358" s="2" t="s">
        <v>262</v>
      </c>
      <c r="AF1358" s="2" t="s">
        <v>284</v>
      </c>
      <c r="AG1358" s="2" t="str">
        <f>IF(AD1358&gt;37,"Proton symporter", "Diffusion")</f>
        <v>Proton symporter</v>
      </c>
      <c r="AH1358" s="3" t="s">
        <v>285</v>
      </c>
    </row>
    <row r="1359" spans="1:34" hidden="1" x14ac:dyDescent="0.2">
      <c r="A1359" s="16" t="s">
        <v>63</v>
      </c>
      <c r="B1359" s="17" t="s">
        <v>64</v>
      </c>
      <c r="C1359" t="s">
        <v>72</v>
      </c>
      <c r="D1359" s="18" t="s">
        <v>66</v>
      </c>
      <c r="E1359" t="s">
        <v>264</v>
      </c>
      <c r="F1359" t="s">
        <v>265</v>
      </c>
      <c r="G1359">
        <v>-10</v>
      </c>
      <c r="H1359">
        <v>0</v>
      </c>
      <c r="I1359">
        <v>-10</v>
      </c>
      <c r="J1359">
        <v>0.45</v>
      </c>
      <c r="K1359">
        <v>-10</v>
      </c>
      <c r="L1359">
        <v>0</v>
      </c>
      <c r="M1359">
        <v>-10</v>
      </c>
      <c r="N1359">
        <v>1.48571428571428</v>
      </c>
      <c r="O1359">
        <v>0.74285714285714299</v>
      </c>
      <c r="P1359"/>
      <c r="Q1359">
        <v>7.4285714285714302E-2</v>
      </c>
      <c r="R1359">
        <v>0.105309140079061</v>
      </c>
      <c r="S1359" s="20" t="s">
        <v>264</v>
      </c>
      <c r="T1359" s="3" t="s">
        <v>264</v>
      </c>
      <c r="U1359" s="3" t="s">
        <v>106</v>
      </c>
      <c r="V1359" s="3" t="s">
        <v>266</v>
      </c>
      <c r="W1359" s="3">
        <v>5</v>
      </c>
      <c r="X1359" s="3">
        <v>8</v>
      </c>
      <c r="Y1359" s="3">
        <v>0</v>
      </c>
      <c r="Z1359" s="3">
        <v>0</v>
      </c>
      <c r="AA1359" s="3">
        <v>0</v>
      </c>
      <c r="AB1359" s="12">
        <f>(W1359*4+X1359*1+Y1359*-2+Z1359*-3)/W1359</f>
        <v>5.6</v>
      </c>
      <c r="AC1359" s="3">
        <f>W1359*12.0107+X1359*1.00784+Y1359*15.999+Z1359*14.0067</f>
        <v>68.116219999999998</v>
      </c>
      <c r="AD1359" s="24">
        <v>34.07</v>
      </c>
      <c r="AE1359" s="3" t="s">
        <v>231</v>
      </c>
      <c r="AF1359" s="3" t="s">
        <v>79</v>
      </c>
      <c r="AG1359" s="25" t="str">
        <f>IF(AD1359&gt;37,"Proton symporter", "Diffusion")</f>
        <v>Diffusion</v>
      </c>
      <c r="AH1359" s="3" t="s">
        <v>267</v>
      </c>
    </row>
    <row r="1360" spans="1:34" hidden="1" x14ac:dyDescent="0.2">
      <c r="A1360" s="8" t="s">
        <v>368</v>
      </c>
      <c r="B1360" s="17" t="s">
        <v>64</v>
      </c>
      <c r="C1360" t="s">
        <v>369</v>
      </c>
      <c r="D1360" s="18" t="s">
        <v>66</v>
      </c>
      <c r="E1360" t="s">
        <v>339</v>
      </c>
      <c r="F1360" t="s">
        <v>340</v>
      </c>
      <c r="G1360">
        <v>-10</v>
      </c>
      <c r="H1360">
        <v>0</v>
      </c>
      <c r="I1360">
        <v>-20</v>
      </c>
      <c r="J1360">
        <v>0.45</v>
      </c>
      <c r="K1360">
        <v>-8.1917808219178507</v>
      </c>
      <c r="L1360">
        <v>0</v>
      </c>
      <c r="M1360">
        <v>-20</v>
      </c>
      <c r="N1360">
        <v>-8.1917808219178507</v>
      </c>
      <c r="O1360">
        <v>0.72328767123284499</v>
      </c>
      <c r="P1360"/>
      <c r="Q1360">
        <v>8.8294314381266503E-2</v>
      </c>
      <c r="R1360">
        <v>0.104875557988795</v>
      </c>
      <c r="S1360" s="1" t="str">
        <f>VLOOKUP($E1360,'[1]Product Naming'!$A$1:$P$58,2)</f>
        <v>Butane</v>
      </c>
      <c r="T1360" s="1" t="str">
        <f>VLOOKUP($E1360,'[1]Product Naming'!$A$1:$P$58,3)</f>
        <v>Butane</v>
      </c>
      <c r="U1360" s="1" t="str">
        <f>VLOOKUP($E1360,'[1]Product Naming'!$A$1:$P$58,4)</f>
        <v>E</v>
      </c>
      <c r="V1360" s="1" t="str">
        <f>VLOOKUP($E1360,'[1]Product Naming'!$A$1:$P$58,5)</f>
        <v>C4H10</v>
      </c>
      <c r="W1360" s="1">
        <f>VLOOKUP($E1360,'[1]Product Naming'!$A$1:$P$58,6)</f>
        <v>4</v>
      </c>
      <c r="X1360" s="1">
        <f>VLOOKUP($E1360,'[1]Product Naming'!$A$1:$P$58,7)</f>
        <v>10</v>
      </c>
      <c r="Y1360" s="1">
        <f>VLOOKUP($E1360,'[1]Product Naming'!$A$1:$P$58,8)</f>
        <v>0</v>
      </c>
      <c r="Z1360" s="1">
        <f>VLOOKUP($E1360,'[1]Product Naming'!$A$1:$P$58,9)</f>
        <v>0</v>
      </c>
      <c r="AA1360" s="1">
        <f>VLOOKUP($E1360,'[1]Product Naming'!$A$1:$P$58,10)</f>
        <v>0</v>
      </c>
      <c r="AB1360" s="27">
        <f>VLOOKUP($E1360,'[1]Product Naming'!$A$1:$P$58,11)</f>
        <v>6.5</v>
      </c>
      <c r="AC1360" s="3">
        <f>VLOOKUP($E1360,'[1]Product Naming'!$A$1:$P$58,12)</f>
        <v>58.121200000000002</v>
      </c>
      <c r="AD1360" s="1">
        <f>VLOOKUP($E1360,'[1]Product Naming'!$A$1:$P$58,13)</f>
        <v>-1</v>
      </c>
      <c r="AE1360" s="1" t="str">
        <f>VLOOKUP($E1360,'[1]Product Naming'!$A$1:$P$58,14)</f>
        <v>Hydrocarbon (alkane)</v>
      </c>
      <c r="AF1360" s="1" t="str">
        <f>VLOOKUP($E1360,'[1]Product Naming'!$A$1:$P$58,15)</f>
        <v>Acetyl-CoA + Succinyl-CoA</v>
      </c>
      <c r="AG1360" s="28" t="str">
        <f>VLOOKUP($E1360,'[1]Product Naming'!$A$1:$P$58,16)</f>
        <v>Diffusion</v>
      </c>
      <c r="AH1360" s="3" t="str">
        <f>VLOOKUP($E1360,'[1]Product Naming'!$A$1:$Q$58,17)</f>
        <v>butn_c</v>
      </c>
    </row>
    <row r="1361" spans="1:34" hidden="1" x14ac:dyDescent="0.2">
      <c r="A1361" s="16" t="s">
        <v>63</v>
      </c>
      <c r="B1361" s="17" t="s">
        <v>64</v>
      </c>
      <c r="C1361" t="s">
        <v>67</v>
      </c>
      <c r="D1361" s="18" t="s">
        <v>66</v>
      </c>
      <c r="E1361" t="s">
        <v>159</v>
      </c>
      <c r="F1361" t="s">
        <v>153</v>
      </c>
      <c r="G1361">
        <v>-10</v>
      </c>
      <c r="H1361">
        <v>0</v>
      </c>
      <c r="I1361">
        <v>-5</v>
      </c>
      <c r="J1361">
        <v>0.45</v>
      </c>
      <c r="K1361">
        <v>-10</v>
      </c>
      <c r="L1361">
        <v>0</v>
      </c>
      <c r="M1361">
        <v>-5</v>
      </c>
      <c r="N1361">
        <v>2.6251082251082201</v>
      </c>
      <c r="O1361">
        <v>0.250216450216451</v>
      </c>
      <c r="P1361"/>
      <c r="Q1361">
        <v>2.5021645021645E-2</v>
      </c>
      <c r="R1361">
        <v>0.104425360924396</v>
      </c>
      <c r="S1361" s="11" t="s">
        <v>159</v>
      </c>
      <c r="T1361" s="2" t="s">
        <v>160</v>
      </c>
      <c r="U1361" s="3" t="s">
        <v>41</v>
      </c>
      <c r="V1361" s="2" t="s">
        <v>155</v>
      </c>
      <c r="W1361" s="2">
        <v>7</v>
      </c>
      <c r="X1361" s="2">
        <v>5</v>
      </c>
      <c r="Y1361" s="2">
        <v>2</v>
      </c>
      <c r="Z1361" s="2">
        <v>0</v>
      </c>
      <c r="AA1361" s="2">
        <v>0</v>
      </c>
      <c r="AB1361" s="12">
        <f>(W1361*4+X1361*1+Y1361*-2+Z1361*-3)/W1361</f>
        <v>4.1428571428571432</v>
      </c>
      <c r="AC1361" s="3">
        <f>W1361*12.0107+X1361*1.00784+Y1361*15.999+Z1361*14.0067</f>
        <v>121.1121</v>
      </c>
      <c r="AD1361" s="12">
        <v>249.2</v>
      </c>
      <c r="AE1361" s="2" t="s">
        <v>156</v>
      </c>
      <c r="AF1361" s="2" t="s">
        <v>157</v>
      </c>
      <c r="AG1361" s="2" t="str">
        <f>IF(AD1361&gt;37,"Proton symporter", "Diffusion")</f>
        <v>Proton symporter</v>
      </c>
      <c r="AH1361" s="3" t="s">
        <v>158</v>
      </c>
    </row>
    <row r="1362" spans="1:34" hidden="1" x14ac:dyDescent="0.2">
      <c r="A1362" s="8" t="s">
        <v>34</v>
      </c>
      <c r="B1362" s="9" t="s">
        <v>35</v>
      </c>
      <c r="C1362" s="1" t="s">
        <v>50</v>
      </c>
      <c r="D1362" s="13" t="s">
        <v>51</v>
      </c>
      <c r="E1362" s="1" t="s">
        <v>205</v>
      </c>
      <c r="F1362" s="1" t="s">
        <v>206</v>
      </c>
      <c r="G1362" s="1">
        <v>-10</v>
      </c>
      <c r="H1362" s="1">
        <v>-20</v>
      </c>
      <c r="I1362" s="1" t="s">
        <v>40</v>
      </c>
      <c r="J1362" s="1">
        <v>3.15</v>
      </c>
      <c r="K1362" s="1">
        <v>-10</v>
      </c>
      <c r="L1362" s="1">
        <v>-2.27586206896552</v>
      </c>
      <c r="M1362" s="1" t="s">
        <v>40</v>
      </c>
      <c r="N1362" s="1">
        <v>7.8206896551724201</v>
      </c>
      <c r="O1362" s="1">
        <v>0.54482758620689897</v>
      </c>
      <c r="Q1362" s="1">
        <v>5.4482758620689901E-2</v>
      </c>
      <c r="R1362" s="1">
        <v>0.104283391856395</v>
      </c>
      <c r="S1362" s="20" t="s">
        <v>205</v>
      </c>
      <c r="T1362" s="3" t="s">
        <v>207</v>
      </c>
      <c r="U1362" s="3" t="s">
        <v>106</v>
      </c>
      <c r="V1362" s="3" t="s">
        <v>208</v>
      </c>
      <c r="W1362" s="3">
        <v>4</v>
      </c>
      <c r="X1362" s="3">
        <v>8</v>
      </c>
      <c r="Y1362" s="3">
        <v>2</v>
      </c>
      <c r="Z1362" s="3">
        <v>0</v>
      </c>
      <c r="AA1362" s="3">
        <v>0</v>
      </c>
      <c r="AB1362" s="12">
        <f>(W1362*4+X1362*1+Y1362*-2+Z1362*-3)/W1362</f>
        <v>5</v>
      </c>
      <c r="AC1362" s="3">
        <f>W1362*12.0107+X1362*1.00784+Y1362*15.999+Z1362*14.0067</f>
        <v>88.103520000000003</v>
      </c>
      <c r="AD1362" s="12">
        <v>77.099999999999994</v>
      </c>
      <c r="AE1362" s="3" t="s">
        <v>209</v>
      </c>
      <c r="AF1362" s="3" t="s">
        <v>79</v>
      </c>
      <c r="AG1362" s="2" t="str">
        <f>IF(AD1362&gt;37,"Proton symporter", "Diffusion")</f>
        <v>Proton symporter</v>
      </c>
      <c r="AH1362" s="3" t="s">
        <v>210</v>
      </c>
    </row>
    <row r="1363" spans="1:34" hidden="1" x14ac:dyDescent="0.2">
      <c r="A1363" s="8" t="s">
        <v>34</v>
      </c>
      <c r="B1363" s="9" t="s">
        <v>35</v>
      </c>
      <c r="C1363" s="1" t="s">
        <v>50</v>
      </c>
      <c r="D1363" s="13" t="s">
        <v>51</v>
      </c>
      <c r="E1363" s="1" t="s">
        <v>166</v>
      </c>
      <c r="F1363" s="1" t="s">
        <v>167</v>
      </c>
      <c r="G1363" s="1">
        <v>-10</v>
      </c>
      <c r="H1363" s="1">
        <v>-20</v>
      </c>
      <c r="I1363" s="1" t="s">
        <v>40</v>
      </c>
      <c r="J1363" s="1">
        <v>3.15</v>
      </c>
      <c r="K1363" s="1">
        <v>-10</v>
      </c>
      <c r="L1363" s="1">
        <v>-2.5197674418604699</v>
      </c>
      <c r="M1363" s="1" t="s">
        <v>40</v>
      </c>
      <c r="N1363" s="1">
        <v>7.7953488372092998</v>
      </c>
      <c r="O1363" s="1">
        <v>0.55116279069767304</v>
      </c>
      <c r="Q1363" s="1">
        <v>5.51162790697673E-2</v>
      </c>
      <c r="R1363" s="1">
        <v>0.10308239510996101</v>
      </c>
      <c r="S1363" s="11" t="s">
        <v>166</v>
      </c>
      <c r="T1363" s="2" t="s">
        <v>168</v>
      </c>
      <c r="U1363" s="3" t="s">
        <v>41</v>
      </c>
      <c r="V1363" s="2" t="s">
        <v>169</v>
      </c>
      <c r="W1363" s="2">
        <v>4</v>
      </c>
      <c r="X1363" s="2">
        <v>6</v>
      </c>
      <c r="Y1363" s="2">
        <v>2</v>
      </c>
      <c r="Z1363" s="2">
        <v>0</v>
      </c>
      <c r="AA1363" s="2">
        <v>0</v>
      </c>
      <c r="AB1363" s="12">
        <f>(W1363*4+X1363*1+Y1363*-2+Z1363*-3)/W1363</f>
        <v>4.5</v>
      </c>
      <c r="AC1363" s="3">
        <f>W1363*12.0107+X1363*1.00784+Y1363*15.999+Z1363*14.0067</f>
        <v>86.08784</v>
      </c>
      <c r="AD1363" s="12">
        <v>204</v>
      </c>
      <c r="AE1363" s="2" t="s">
        <v>170</v>
      </c>
      <c r="AF1363" s="2" t="s">
        <v>120</v>
      </c>
      <c r="AG1363" s="2" t="str">
        <f>IF(AD1363&gt;37,"Proton symporter", "Diffusion")</f>
        <v>Proton symporter</v>
      </c>
      <c r="AH1363" s="3" t="s">
        <v>171</v>
      </c>
    </row>
    <row r="1364" spans="1:34" hidden="1" x14ac:dyDescent="0.2">
      <c r="A1364" s="16" t="s">
        <v>63</v>
      </c>
      <c r="B1364" s="17" t="s">
        <v>64</v>
      </c>
      <c r="C1364" t="s">
        <v>73</v>
      </c>
      <c r="D1364" s="18" t="s">
        <v>66</v>
      </c>
      <c r="E1364" t="s">
        <v>178</v>
      </c>
      <c r="F1364" t="s">
        <v>179</v>
      </c>
      <c r="G1364">
        <v>-10</v>
      </c>
      <c r="H1364">
        <v>0</v>
      </c>
      <c r="I1364">
        <v>-20</v>
      </c>
      <c r="J1364">
        <v>0.45</v>
      </c>
      <c r="K1364">
        <v>-10</v>
      </c>
      <c r="L1364">
        <v>0</v>
      </c>
      <c r="M1364">
        <v>-17.871559633027498</v>
      </c>
      <c r="N1364">
        <v>0</v>
      </c>
      <c r="O1364">
        <v>0.42568807339449499</v>
      </c>
      <c r="P1364"/>
      <c r="Q1364">
        <v>4.2568807339450003E-2</v>
      </c>
      <c r="R1364" s="19">
        <v>0.10303228134426901</v>
      </c>
      <c r="S1364" s="20" t="s">
        <v>178</v>
      </c>
      <c r="T1364" s="3" t="s">
        <v>178</v>
      </c>
      <c r="U1364" s="3" t="s">
        <v>106</v>
      </c>
      <c r="V1364" s="3" t="s">
        <v>180</v>
      </c>
      <c r="W1364" s="3">
        <v>8</v>
      </c>
      <c r="X1364" s="3">
        <v>8</v>
      </c>
      <c r="Y1364" s="3">
        <v>1</v>
      </c>
      <c r="Z1364" s="3">
        <v>0</v>
      </c>
      <c r="AA1364" s="3">
        <v>0</v>
      </c>
      <c r="AB1364" s="12">
        <f>(W1364*4+X1364*1+Y1364*-2+Z1364*-3)/W1364</f>
        <v>4.75</v>
      </c>
      <c r="AC1364" s="3">
        <f>W1364*12.0107+X1364*1.00784+Y1364*15.999+Z1364*14.0067</f>
        <v>120.14731999999999</v>
      </c>
      <c r="AD1364" s="12">
        <v>229</v>
      </c>
      <c r="AE1364" s="3" t="s">
        <v>176</v>
      </c>
      <c r="AF1364" s="2" t="s">
        <v>150</v>
      </c>
      <c r="AG1364" s="2" t="str">
        <f>IF(AD1364&gt;37,"Proton symporter", "Diffusion")</f>
        <v>Proton symporter</v>
      </c>
      <c r="AH1364" s="3" t="s">
        <v>181</v>
      </c>
    </row>
    <row r="1365" spans="1:34" hidden="1" x14ac:dyDescent="0.2">
      <c r="A1365" s="8" t="s">
        <v>350</v>
      </c>
      <c r="B1365" s="17" t="s">
        <v>64</v>
      </c>
      <c r="C1365" t="s">
        <v>352</v>
      </c>
      <c r="D1365" s="13" t="s">
        <v>51</v>
      </c>
      <c r="E1365" t="s">
        <v>152</v>
      </c>
      <c r="F1365" t="s">
        <v>153</v>
      </c>
      <c r="G1365">
        <v>-10</v>
      </c>
      <c r="H1365">
        <v>0</v>
      </c>
      <c r="I1365">
        <v>0</v>
      </c>
      <c r="J1365">
        <v>0.45</v>
      </c>
      <c r="K1365">
        <v>-10</v>
      </c>
      <c r="L1365">
        <v>0</v>
      </c>
      <c r="M1365" s="26">
        <v>1.61716738197424</v>
      </c>
      <c r="N1365">
        <v>0</v>
      </c>
      <c r="O1365" s="26">
        <v>0.269527896995709</v>
      </c>
      <c r="P1365"/>
      <c r="Q1365">
        <v>2.6952789699570899E-2</v>
      </c>
      <c r="R1365" s="26">
        <v>0.102926216033685</v>
      </c>
      <c r="S1365" s="3" t="str">
        <f>VLOOKUP($E1365,'[1]Product Naming'!$A$1:$P$58,2)</f>
        <v>Benzoate-PW1</v>
      </c>
      <c r="T1365" s="3" t="str">
        <f>VLOOKUP($E1365,'[1]Product Naming'!$A$1:$P$58,3)</f>
        <v>Benzoate (PW1)</v>
      </c>
      <c r="U1365" s="3" t="str">
        <f>VLOOKUP($E1365,'[1]Product Naming'!$A$1:$P$58,4)</f>
        <v>A</v>
      </c>
      <c r="V1365" s="3" t="str">
        <f>VLOOKUP($E1365,'[1]Product Naming'!$A$1:$P$58,5)</f>
        <v>C7H5O2</v>
      </c>
      <c r="W1365" s="3">
        <f>VLOOKUP($E1365,'[1]Product Naming'!$A$1:$P$58,6)</f>
        <v>7</v>
      </c>
      <c r="X1365" s="3">
        <f>VLOOKUP($E1365,'[1]Product Naming'!$A$1:$P$58,7)</f>
        <v>5</v>
      </c>
      <c r="Y1365" s="3">
        <f>VLOOKUP($E1365,'[1]Product Naming'!$A$1:$P$58,8)</f>
        <v>2</v>
      </c>
      <c r="Z1365" s="3">
        <f>VLOOKUP($E1365,'[1]Product Naming'!$A$1:$P$58,9)</f>
        <v>0</v>
      </c>
      <c r="AA1365" s="3">
        <f>VLOOKUP($E1365,'[1]Product Naming'!$A$1:$P$58,10)</f>
        <v>-1</v>
      </c>
      <c r="AB1365" s="3">
        <f>VLOOKUP($E1365,'[1]Product Naming'!$A$1:$P$58,11)</f>
        <v>4.1428571428571432</v>
      </c>
      <c r="AC1365" s="3">
        <f>VLOOKUP($E1365,'[1]Product Naming'!$A$1:$P$58,12)</f>
        <v>121.1121</v>
      </c>
      <c r="AD1365" s="3">
        <f>VLOOKUP($E1365,'[1]Product Naming'!$A$1:$P$58,13)</f>
        <v>249.2</v>
      </c>
      <c r="AE1365" s="3" t="str">
        <f>VLOOKUP($E1365,'[1]Product Naming'!$A$1:$P$58,14)</f>
        <v>Aromatic + Carboxylate</v>
      </c>
      <c r="AF1365" s="3" t="str">
        <f>VLOOKUP($E1365,'[1]Product Naming'!$A$1:$P$58,15)</f>
        <v>E4P + aKG</v>
      </c>
      <c r="AG1365" s="3" t="str">
        <f>VLOOKUP($E1365,'[1]Product Naming'!$A$1:$P$58,16)</f>
        <v>Proton symporter</v>
      </c>
      <c r="AH1365" s="3" t="str">
        <f>VLOOKUP($E1365,'[1]Product Naming'!$A$1:$Q$58,17)</f>
        <v>bz_c</v>
      </c>
    </row>
    <row r="1366" spans="1:34" hidden="1" x14ac:dyDescent="0.2">
      <c r="A1366" s="8" t="s">
        <v>34</v>
      </c>
      <c r="B1366" s="9" t="s">
        <v>35</v>
      </c>
      <c r="C1366" s="1" t="s">
        <v>50</v>
      </c>
      <c r="D1366" s="13" t="s">
        <v>51</v>
      </c>
      <c r="E1366" s="1" t="s">
        <v>186</v>
      </c>
      <c r="F1366" s="1" t="s">
        <v>187</v>
      </c>
      <c r="G1366" s="1">
        <v>-10</v>
      </c>
      <c r="H1366" s="1">
        <v>-20</v>
      </c>
      <c r="I1366" s="1" t="s">
        <v>40</v>
      </c>
      <c r="J1366" s="1">
        <v>3.15</v>
      </c>
      <c r="K1366" s="1">
        <v>-10</v>
      </c>
      <c r="L1366" s="1">
        <v>-2.3068181818181799</v>
      </c>
      <c r="M1366" s="1" t="s">
        <v>40</v>
      </c>
      <c r="N1366" s="1">
        <v>7.8454545454545599</v>
      </c>
      <c r="O1366" s="1">
        <v>0.53863636363637002</v>
      </c>
      <c r="Q1366" s="1">
        <v>5.3863636363637002E-2</v>
      </c>
      <c r="R1366" s="1">
        <v>0.101918983357746</v>
      </c>
      <c r="S1366" s="11" t="s">
        <v>186</v>
      </c>
      <c r="T1366" s="2" t="s">
        <v>186</v>
      </c>
      <c r="U1366" s="3" t="s">
        <v>41</v>
      </c>
      <c r="V1366" s="2" t="s">
        <v>184</v>
      </c>
      <c r="W1366" s="2">
        <v>4</v>
      </c>
      <c r="X1366" s="2">
        <v>7</v>
      </c>
      <c r="Y1366" s="2">
        <v>2</v>
      </c>
      <c r="Z1366" s="2">
        <v>0</v>
      </c>
      <c r="AA1366" s="2">
        <v>0</v>
      </c>
      <c r="AB1366" s="12">
        <f>(W1366*4+X1366*1+Y1366*-2+Z1366*-3)/W1366</f>
        <v>4.75</v>
      </c>
      <c r="AC1366" s="3">
        <f>W1366*12.0107+X1366*1.00784+Y1366*15.999+Z1366*14.0067</f>
        <v>87.095680000000002</v>
      </c>
      <c r="AD1366" s="12">
        <v>155</v>
      </c>
      <c r="AE1366" s="2" t="s">
        <v>131</v>
      </c>
      <c r="AF1366" s="2" t="s">
        <v>135</v>
      </c>
      <c r="AG1366" s="2" t="str">
        <f>IF(AD1366&gt;37,"Proton symporter", "Diffusion")</f>
        <v>Proton symporter</v>
      </c>
      <c r="AH1366" s="3" t="s">
        <v>188</v>
      </c>
    </row>
    <row r="1367" spans="1:34" hidden="1" x14ac:dyDescent="0.2">
      <c r="A1367" s="16" t="s">
        <v>63</v>
      </c>
      <c r="B1367" s="17" t="s">
        <v>64</v>
      </c>
      <c r="C1367" t="s">
        <v>73</v>
      </c>
      <c r="D1367" s="18" t="s">
        <v>66</v>
      </c>
      <c r="E1367" t="s">
        <v>152</v>
      </c>
      <c r="F1367" t="s">
        <v>153</v>
      </c>
      <c r="G1367">
        <v>-10</v>
      </c>
      <c r="H1367">
        <v>0</v>
      </c>
      <c r="I1367">
        <v>-20</v>
      </c>
      <c r="J1367">
        <v>0.45</v>
      </c>
      <c r="K1367">
        <v>-10</v>
      </c>
      <c r="L1367">
        <v>0</v>
      </c>
      <c r="M1367">
        <v>-17.536283185840698</v>
      </c>
      <c r="N1367">
        <v>0</v>
      </c>
      <c r="O1367">
        <v>0.410619469026549</v>
      </c>
      <c r="P1367"/>
      <c r="Q1367">
        <v>4.1061946902655001E-2</v>
      </c>
      <c r="R1367" s="19">
        <v>0.100320051516037</v>
      </c>
      <c r="S1367" s="11" t="s">
        <v>152</v>
      </c>
      <c r="T1367" s="2" t="s">
        <v>154</v>
      </c>
      <c r="U1367" s="3" t="s">
        <v>41</v>
      </c>
      <c r="V1367" s="2" t="s">
        <v>155</v>
      </c>
      <c r="W1367" s="2">
        <v>7</v>
      </c>
      <c r="X1367" s="2">
        <v>5</v>
      </c>
      <c r="Y1367" s="2">
        <v>2</v>
      </c>
      <c r="Z1367" s="2">
        <v>0</v>
      </c>
      <c r="AA1367" s="2">
        <v>0</v>
      </c>
      <c r="AB1367" s="12">
        <f>(W1367*4+X1367*1+Y1367*-2+Z1367*-3)/W1367</f>
        <v>4.1428571428571432</v>
      </c>
      <c r="AC1367" s="3">
        <f>W1367*12.0107+X1367*1.00784+Y1367*15.999+Z1367*14.0067</f>
        <v>121.1121</v>
      </c>
      <c r="AD1367" s="12">
        <v>249.2</v>
      </c>
      <c r="AE1367" s="2" t="s">
        <v>156</v>
      </c>
      <c r="AF1367" s="2" t="s">
        <v>157</v>
      </c>
      <c r="AG1367" s="2" t="str">
        <f>IF(AD1367&gt;37,"Proton symporter", "Diffusion")</f>
        <v>Proton symporter</v>
      </c>
      <c r="AH1367" s="3" t="s">
        <v>158</v>
      </c>
    </row>
    <row r="1368" spans="1:34" hidden="1" x14ac:dyDescent="0.2">
      <c r="A1368" s="8" t="s">
        <v>34</v>
      </c>
      <c r="B1368" s="9" t="s">
        <v>35</v>
      </c>
      <c r="C1368" s="1" t="s">
        <v>50</v>
      </c>
      <c r="D1368" s="13" t="s">
        <v>51</v>
      </c>
      <c r="E1368" s="1" t="s">
        <v>273</v>
      </c>
      <c r="F1368" s="1" t="s">
        <v>274</v>
      </c>
      <c r="G1368" s="1">
        <v>-10</v>
      </c>
      <c r="H1368" s="1">
        <v>-20</v>
      </c>
      <c r="I1368" s="1" t="s">
        <v>40</v>
      </c>
      <c r="J1368" s="1">
        <v>3.15</v>
      </c>
      <c r="K1368" s="1">
        <v>-10</v>
      </c>
      <c r="L1368" s="1">
        <v>-2.5795744680851</v>
      </c>
      <c r="M1368" s="1" t="s">
        <v>40</v>
      </c>
      <c r="N1368" s="1">
        <v>8.1846808510638205</v>
      </c>
      <c r="O1368" s="1">
        <v>0.60510638297872199</v>
      </c>
      <c r="Q1368" s="1">
        <v>6.0510638297872198E-2</v>
      </c>
      <c r="R1368" s="1">
        <v>0.100093300518186</v>
      </c>
      <c r="S1368" s="22" t="s">
        <v>273</v>
      </c>
      <c r="T1368" s="3" t="s">
        <v>275</v>
      </c>
      <c r="U1368" s="3" t="s">
        <v>41</v>
      </c>
      <c r="V1368" s="2" t="s">
        <v>276</v>
      </c>
      <c r="W1368" s="2">
        <v>3</v>
      </c>
      <c r="X1368" s="2">
        <v>12</v>
      </c>
      <c r="Y1368" s="2">
        <v>0</v>
      </c>
      <c r="Z1368" s="2">
        <v>2</v>
      </c>
      <c r="AA1368" s="2">
        <v>0</v>
      </c>
      <c r="AB1368" s="12">
        <f>(W1368*4+X1368*1+Y1368*-2+Z1368*-3)/W1368</f>
        <v>6</v>
      </c>
      <c r="AC1368" s="3">
        <f>W1368*12.0107+X1368*1.00784+Y1368*15.999+Z1368*14.0067</f>
        <v>76.139580000000009</v>
      </c>
      <c r="AD1368" s="12">
        <v>139.30000000000001</v>
      </c>
      <c r="AE1368" s="2" t="s">
        <v>277</v>
      </c>
      <c r="AF1368" s="2" t="s">
        <v>125</v>
      </c>
      <c r="AG1368" s="2" t="str">
        <f>IF(AD1368&gt;37,"Proton symporter", "Diffusion")</f>
        <v>Proton symporter</v>
      </c>
      <c r="AH1368" s="3" t="s">
        <v>278</v>
      </c>
    </row>
    <row r="1369" spans="1:34" hidden="1" x14ac:dyDescent="0.2">
      <c r="A1369" s="16" t="s">
        <v>63</v>
      </c>
      <c r="B1369" s="17" t="s">
        <v>64</v>
      </c>
      <c r="C1369" t="s">
        <v>67</v>
      </c>
      <c r="D1369" s="18" t="s">
        <v>66</v>
      </c>
      <c r="E1369" t="s">
        <v>211</v>
      </c>
      <c r="F1369" t="s">
        <v>212</v>
      </c>
      <c r="G1369">
        <v>-10</v>
      </c>
      <c r="H1369">
        <v>0</v>
      </c>
      <c r="I1369">
        <v>-5</v>
      </c>
      <c r="J1369">
        <v>0.45</v>
      </c>
      <c r="K1369">
        <v>-10</v>
      </c>
      <c r="L1369">
        <v>0</v>
      </c>
      <c r="M1369">
        <v>-5</v>
      </c>
      <c r="N1369">
        <v>3.0557692307692301</v>
      </c>
      <c r="O1369">
        <v>0.27788461538461601</v>
      </c>
      <c r="P1369"/>
      <c r="Q1369">
        <v>2.7788461538461599E-2</v>
      </c>
      <c r="R1369">
        <v>9.9728517733128602E-2</v>
      </c>
      <c r="S1369" s="20" t="s">
        <v>211</v>
      </c>
      <c r="T1369" s="3" t="s">
        <v>211</v>
      </c>
      <c r="U1369" s="3" t="s">
        <v>174</v>
      </c>
      <c r="V1369" s="3" t="s">
        <v>213</v>
      </c>
      <c r="W1369" s="3">
        <v>8</v>
      </c>
      <c r="X1369" s="3">
        <v>8</v>
      </c>
      <c r="Y1369" s="3">
        <v>0</v>
      </c>
      <c r="Z1369" s="3">
        <v>0</v>
      </c>
      <c r="AA1369" s="3">
        <v>0</v>
      </c>
      <c r="AB1369" s="12">
        <f>(W1369*4+X1369*1+Y1369*-2+Z1369*-3)/W1369</f>
        <v>5</v>
      </c>
      <c r="AC1369" s="3">
        <f>W1369*12.0107+X1369*1.00784+Y1369*15.999+Z1369*14.0067</f>
        <v>104.14832</v>
      </c>
      <c r="AD1369" s="12">
        <v>145</v>
      </c>
      <c r="AE1369" s="3" t="s">
        <v>214</v>
      </c>
      <c r="AF1369" s="3" t="s">
        <v>203</v>
      </c>
      <c r="AG1369" s="2" t="str">
        <f>IF(AD1369&gt;37,"Proton symporter", "Diffusion")</f>
        <v>Proton symporter</v>
      </c>
      <c r="AH1369" s="3" t="s">
        <v>215</v>
      </c>
    </row>
    <row r="1370" spans="1:34" hidden="1" x14ac:dyDescent="0.2">
      <c r="A1370" s="16" t="s">
        <v>63</v>
      </c>
      <c r="B1370" s="17" t="s">
        <v>64</v>
      </c>
      <c r="C1370" t="s">
        <v>70</v>
      </c>
      <c r="D1370" s="18" t="s">
        <v>66</v>
      </c>
      <c r="E1370" t="s">
        <v>318</v>
      </c>
      <c r="F1370" t="s">
        <v>319</v>
      </c>
      <c r="G1370">
        <v>-10</v>
      </c>
      <c r="H1370">
        <v>0</v>
      </c>
      <c r="I1370">
        <v>0</v>
      </c>
      <c r="J1370">
        <v>0.45</v>
      </c>
      <c r="K1370">
        <v>-10</v>
      </c>
      <c r="L1370">
        <v>0</v>
      </c>
      <c r="M1370">
        <v>0</v>
      </c>
      <c r="N1370">
        <v>6.78571428571429</v>
      </c>
      <c r="O1370">
        <v>0.35714285714285698</v>
      </c>
      <c r="P1370"/>
      <c r="Q1370">
        <v>3.5714285714285698E-2</v>
      </c>
      <c r="R1370">
        <v>9.9511354805230906E-2</v>
      </c>
      <c r="S1370" s="20" t="s">
        <v>318</v>
      </c>
      <c r="T1370" s="3" t="s">
        <v>318</v>
      </c>
      <c r="U1370" s="3" t="s">
        <v>106</v>
      </c>
      <c r="V1370" s="3" t="s">
        <v>320</v>
      </c>
      <c r="W1370" s="3">
        <v>9</v>
      </c>
      <c r="X1370" s="3">
        <v>20</v>
      </c>
      <c r="Y1370" s="3">
        <v>0</v>
      </c>
      <c r="Z1370" s="3">
        <v>0</v>
      </c>
      <c r="AA1370" s="3">
        <v>0</v>
      </c>
      <c r="AB1370" s="12">
        <f>(W1370*4+X1370*1+Y1370*-2+Z1370*-3)/W1370</f>
        <v>6.2222222222222223</v>
      </c>
      <c r="AC1370" s="3">
        <f>W1370*12.0107+X1370*1.00784+Y1370*15.999+Z1370*14.0067</f>
        <v>128.25309999999999</v>
      </c>
      <c r="AD1370" s="12">
        <v>151</v>
      </c>
      <c r="AE1370" s="3" t="s">
        <v>321</v>
      </c>
      <c r="AF1370" s="2" t="s">
        <v>79</v>
      </c>
      <c r="AG1370" s="2" t="str">
        <f>IF(AD1370&gt;37,"Proton symporter", "Diffusion")</f>
        <v>Proton symporter</v>
      </c>
      <c r="AH1370" s="3" t="s">
        <v>322</v>
      </c>
    </row>
    <row r="1371" spans="1:34" hidden="1" x14ac:dyDescent="0.2">
      <c r="A1371" s="16" t="s">
        <v>63</v>
      </c>
      <c r="B1371" s="17" t="s">
        <v>64</v>
      </c>
      <c r="C1371" t="s">
        <v>70</v>
      </c>
      <c r="D1371" s="18" t="s">
        <v>66</v>
      </c>
      <c r="E1371" t="s">
        <v>323</v>
      </c>
      <c r="F1371" t="s">
        <v>324</v>
      </c>
      <c r="G1371">
        <v>-10</v>
      </c>
      <c r="H1371">
        <v>0</v>
      </c>
      <c r="I1371">
        <v>0</v>
      </c>
      <c r="J1371">
        <v>0.45</v>
      </c>
      <c r="K1371">
        <v>-10</v>
      </c>
      <c r="L1371">
        <v>0</v>
      </c>
      <c r="M1371">
        <v>0</v>
      </c>
      <c r="N1371">
        <v>6.8</v>
      </c>
      <c r="O1371">
        <v>0.4</v>
      </c>
      <c r="P1371"/>
      <c r="Q1371">
        <v>0.04</v>
      </c>
      <c r="R1371">
        <v>9.9263708570137499E-2</v>
      </c>
      <c r="S1371" s="11" t="s">
        <v>323</v>
      </c>
      <c r="T1371" s="2" t="s">
        <v>323</v>
      </c>
      <c r="U1371" s="3" t="s">
        <v>106</v>
      </c>
      <c r="V1371" s="2" t="s">
        <v>325</v>
      </c>
      <c r="W1371" s="2">
        <v>8</v>
      </c>
      <c r="X1371" s="2">
        <v>18</v>
      </c>
      <c r="Y1371" s="2">
        <v>0</v>
      </c>
      <c r="Z1371" s="2">
        <v>0</v>
      </c>
      <c r="AA1371" s="2">
        <v>0</v>
      </c>
      <c r="AB1371" s="12">
        <f>(W1371*4+X1371*1+Y1371*-2+Z1371*-3)/W1371</f>
        <v>6.25</v>
      </c>
      <c r="AC1371" s="3">
        <f>W1371*12.0107+X1371*1.00784+Y1371*15.999+Z1371*14.0067</f>
        <v>114.22672</v>
      </c>
      <c r="AD1371" s="12">
        <v>126</v>
      </c>
      <c r="AE1371" s="3" t="s">
        <v>321</v>
      </c>
      <c r="AF1371" s="2" t="s">
        <v>313</v>
      </c>
      <c r="AG1371" s="2" t="str">
        <f>IF(AD1371&gt;37,"Proton symporter", "Diffusion")</f>
        <v>Proton symporter</v>
      </c>
      <c r="AH1371" s="3" t="s">
        <v>326</v>
      </c>
    </row>
    <row r="1372" spans="1:34" hidden="1" x14ac:dyDescent="0.2">
      <c r="A1372" s="16" t="s">
        <v>63</v>
      </c>
      <c r="B1372" s="17" t="s">
        <v>64</v>
      </c>
      <c r="C1372" t="s">
        <v>70</v>
      </c>
      <c r="D1372" s="18" t="s">
        <v>66</v>
      </c>
      <c r="E1372" t="s">
        <v>327</v>
      </c>
      <c r="F1372" t="s">
        <v>328</v>
      </c>
      <c r="G1372">
        <v>-10</v>
      </c>
      <c r="H1372">
        <v>0</v>
      </c>
      <c r="I1372">
        <v>0</v>
      </c>
      <c r="J1372">
        <v>0.45</v>
      </c>
      <c r="K1372">
        <v>-10</v>
      </c>
      <c r="L1372">
        <v>0</v>
      </c>
      <c r="M1372">
        <v>0</v>
      </c>
      <c r="N1372">
        <v>6.8181818181818201</v>
      </c>
      <c r="O1372">
        <v>0.45454545454545398</v>
      </c>
      <c r="P1372"/>
      <c r="Q1372">
        <v>4.54545454545454E-2</v>
      </c>
      <c r="R1372">
        <v>9.8948522452745796E-2</v>
      </c>
      <c r="S1372" s="20" t="s">
        <v>327</v>
      </c>
      <c r="T1372" s="3" t="s">
        <v>327</v>
      </c>
      <c r="U1372" s="3" t="s">
        <v>106</v>
      </c>
      <c r="V1372" s="3" t="s">
        <v>329</v>
      </c>
      <c r="W1372" s="3">
        <v>7</v>
      </c>
      <c r="X1372" s="3">
        <v>16</v>
      </c>
      <c r="Y1372" s="3">
        <v>0</v>
      </c>
      <c r="Z1372" s="3">
        <v>0</v>
      </c>
      <c r="AA1372" s="3">
        <v>0</v>
      </c>
      <c r="AB1372" s="12">
        <f>(W1372*4+X1372*1+Y1372*-2+Z1372*-3)/W1372</f>
        <v>6.2857142857142856</v>
      </c>
      <c r="AC1372" s="3">
        <f>W1372*12.0107+X1372*1.00784+Y1372*15.999+Z1372*14.0067</f>
        <v>100.20034</v>
      </c>
      <c r="AD1372" s="3">
        <v>98</v>
      </c>
      <c r="AE1372" s="3" t="s">
        <v>321</v>
      </c>
      <c r="AF1372" s="2" t="s">
        <v>79</v>
      </c>
      <c r="AG1372" s="2" t="str">
        <f>IF(AD1372&gt;37,"Proton symporter", "Diffusion")</f>
        <v>Proton symporter</v>
      </c>
      <c r="AH1372" s="3" t="s">
        <v>330</v>
      </c>
    </row>
    <row r="1373" spans="1:34" hidden="1" x14ac:dyDescent="0.2">
      <c r="A1373" s="16" t="s">
        <v>63</v>
      </c>
      <c r="B1373" s="17" t="s">
        <v>64</v>
      </c>
      <c r="C1373" t="s">
        <v>71</v>
      </c>
      <c r="D1373" s="18" t="s">
        <v>66</v>
      </c>
      <c r="E1373" t="s">
        <v>161</v>
      </c>
      <c r="F1373" t="s">
        <v>162</v>
      </c>
      <c r="G1373">
        <v>-10</v>
      </c>
      <c r="H1373">
        <v>0</v>
      </c>
      <c r="I1373">
        <v>-5</v>
      </c>
      <c r="J1373">
        <v>0.45</v>
      </c>
      <c r="K1373">
        <v>-10</v>
      </c>
      <c r="L1373">
        <v>0</v>
      </c>
      <c r="M1373">
        <v>-5</v>
      </c>
      <c r="N1373">
        <v>2.7109489051094902</v>
      </c>
      <c r="O1373">
        <v>0.42189781021897799</v>
      </c>
      <c r="P1373"/>
      <c r="Q1373">
        <v>4.2189781021897799E-2</v>
      </c>
      <c r="R1373">
        <v>9.8756892577479202E-2</v>
      </c>
      <c r="S1373" s="20" t="s">
        <v>161</v>
      </c>
      <c r="T1373" s="3" t="s">
        <v>161</v>
      </c>
      <c r="U1373" s="3" t="s">
        <v>106</v>
      </c>
      <c r="V1373" s="20" t="s">
        <v>163</v>
      </c>
      <c r="W1373" s="3">
        <v>6</v>
      </c>
      <c r="X1373" s="3">
        <v>6</v>
      </c>
      <c r="Y1373" s="3">
        <v>2</v>
      </c>
      <c r="Z1373" s="3">
        <v>0</v>
      </c>
      <c r="AA1373" s="3">
        <v>0</v>
      </c>
      <c r="AB1373" s="12">
        <f>(W1373*4+X1373*1+Y1373*-2+Z1373*-3)/W1373</f>
        <v>4.333333333333333</v>
      </c>
      <c r="AC1373" s="3">
        <f>W1373*12.0107+X1373*1.00784+Y1373*15.999+Z1373*14.0067</f>
        <v>110.10924</v>
      </c>
      <c r="AD1373" s="12">
        <v>245</v>
      </c>
      <c r="AE1373" s="3" t="s">
        <v>164</v>
      </c>
      <c r="AF1373" s="2" t="s">
        <v>98</v>
      </c>
      <c r="AG1373" s="2" t="str">
        <f>IF(AD1373&gt;37,"Proton symporter", "Diffusion")</f>
        <v>Proton symporter</v>
      </c>
      <c r="AH1373" s="3" t="s">
        <v>165</v>
      </c>
    </row>
    <row r="1374" spans="1:34" hidden="1" x14ac:dyDescent="0.2">
      <c r="A1374" s="16" t="s">
        <v>63</v>
      </c>
      <c r="B1374" s="17" t="s">
        <v>64</v>
      </c>
      <c r="C1374" t="s">
        <v>67</v>
      </c>
      <c r="D1374" s="18" t="s">
        <v>66</v>
      </c>
      <c r="E1374" t="s">
        <v>172</v>
      </c>
      <c r="F1374" t="s">
        <v>173</v>
      </c>
      <c r="G1374">
        <v>-10</v>
      </c>
      <c r="H1374">
        <v>0</v>
      </c>
      <c r="I1374">
        <v>-5</v>
      </c>
      <c r="J1374">
        <v>0.45</v>
      </c>
      <c r="K1374">
        <v>-10</v>
      </c>
      <c r="L1374">
        <v>0</v>
      </c>
      <c r="M1374">
        <v>-5</v>
      </c>
      <c r="N1374">
        <v>2.8042105263157899</v>
      </c>
      <c r="O1374">
        <v>0.30421052631578899</v>
      </c>
      <c r="P1374"/>
      <c r="Q1374">
        <v>3.0421052631578901E-2</v>
      </c>
      <c r="R1374">
        <v>9.8653775472450897E-2</v>
      </c>
      <c r="S1374" s="20" t="s">
        <v>172</v>
      </c>
      <c r="T1374" s="3" t="s">
        <v>172</v>
      </c>
      <c r="U1374" s="3" t="s">
        <v>174</v>
      </c>
      <c r="V1374" s="3" t="s">
        <v>175</v>
      </c>
      <c r="W1374" s="3">
        <v>6</v>
      </c>
      <c r="X1374" s="3">
        <v>6</v>
      </c>
      <c r="Y1374" s="3">
        <v>1</v>
      </c>
      <c r="Z1374" s="3">
        <v>0</v>
      </c>
      <c r="AA1374" s="3">
        <v>0</v>
      </c>
      <c r="AB1374" s="12">
        <f>(W1374*4+X1374*1+Y1374*-2+Z1374*-3)/W1374</f>
        <v>4.666666666666667</v>
      </c>
      <c r="AC1374" s="3">
        <f>W1374*12.0107+X1374*1.00784+Y1374*15.999+Z1374*14.0067</f>
        <v>94.11023999999999</v>
      </c>
      <c r="AD1374" s="12">
        <v>181.7</v>
      </c>
      <c r="AE1374" s="3" t="s">
        <v>176</v>
      </c>
      <c r="AF1374" s="2" t="s">
        <v>150</v>
      </c>
      <c r="AG1374" s="2" t="str">
        <f>IF(AD1374&gt;37,"Proton symporter", "Diffusion")</f>
        <v>Proton symporter</v>
      </c>
      <c r="AH1374" s="3" t="s">
        <v>177</v>
      </c>
    </row>
    <row r="1375" spans="1:34" hidden="1" x14ac:dyDescent="0.2">
      <c r="A1375" s="8" t="s">
        <v>350</v>
      </c>
      <c r="B1375" s="17" t="s">
        <v>64</v>
      </c>
      <c r="C1375" t="s">
        <v>351</v>
      </c>
      <c r="D1375" s="13" t="s">
        <v>51</v>
      </c>
      <c r="E1375" t="s">
        <v>166</v>
      </c>
      <c r="F1375" t="s">
        <v>167</v>
      </c>
      <c r="G1375">
        <v>-10</v>
      </c>
      <c r="H1375">
        <v>0</v>
      </c>
      <c r="I1375">
        <v>0</v>
      </c>
      <c r="J1375">
        <v>0.45</v>
      </c>
      <c r="K1375">
        <v>-10</v>
      </c>
      <c r="L1375">
        <v>0</v>
      </c>
      <c r="M1375" s="26">
        <v>1.0933333333333299</v>
      </c>
      <c r="N1375">
        <v>0</v>
      </c>
      <c r="O1375" s="26">
        <v>0.36444444444444302</v>
      </c>
      <c r="P1375"/>
      <c r="Q1375">
        <v>3.6444444444444397E-2</v>
      </c>
      <c r="R1375">
        <v>9.8597108915275802E-2</v>
      </c>
      <c r="S1375" s="3" t="str">
        <f>VLOOKUP($E1375,'[1]Product Naming'!$A$1:$P$58,2)</f>
        <v>GammaButyrolactone</v>
      </c>
      <c r="T1375" s="3" t="str">
        <f>VLOOKUP($E1375,'[1]Product Naming'!$A$1:$P$58,3)</f>
        <v>Gamma butyrolactone</v>
      </c>
      <c r="U1375" s="3" t="str">
        <f>VLOOKUP($E1375,'[1]Product Naming'!$A$1:$P$58,4)</f>
        <v>A</v>
      </c>
      <c r="V1375" s="3" t="str">
        <f>VLOOKUP($E1375,'[1]Product Naming'!$A$1:$P$58,5)</f>
        <v>C4H6O2</v>
      </c>
      <c r="W1375" s="3">
        <f>VLOOKUP($E1375,'[1]Product Naming'!$A$1:$P$58,6)</f>
        <v>4</v>
      </c>
      <c r="X1375" s="3">
        <f>VLOOKUP($E1375,'[1]Product Naming'!$A$1:$P$58,7)</f>
        <v>6</v>
      </c>
      <c r="Y1375" s="3">
        <f>VLOOKUP($E1375,'[1]Product Naming'!$A$1:$P$58,8)</f>
        <v>2</v>
      </c>
      <c r="Z1375" s="3">
        <f>VLOOKUP($E1375,'[1]Product Naming'!$A$1:$P$58,9)</f>
        <v>0</v>
      </c>
      <c r="AA1375" s="3">
        <f>VLOOKUP($E1375,'[1]Product Naming'!$A$1:$P$58,10)</f>
        <v>0</v>
      </c>
      <c r="AB1375" s="3">
        <f>VLOOKUP($E1375,'[1]Product Naming'!$A$1:$P$58,11)</f>
        <v>4.5</v>
      </c>
      <c r="AC1375" s="3">
        <f>VLOOKUP($E1375,'[1]Product Naming'!$A$1:$P$58,12)</f>
        <v>86.08784</v>
      </c>
      <c r="AD1375" s="3">
        <f>VLOOKUP($E1375,'[1]Product Naming'!$A$1:$P$58,13)</f>
        <v>204</v>
      </c>
      <c r="AE1375" s="3" t="str">
        <f>VLOOKUP($E1375,'[1]Product Naming'!$A$1:$P$58,14)</f>
        <v>Lactone (cyclic ester)</v>
      </c>
      <c r="AF1375" s="3" t="str">
        <f>VLOOKUP($E1375,'[1]Product Naming'!$A$1:$P$58,15)</f>
        <v>aKG</v>
      </c>
      <c r="AG1375" s="3" t="str">
        <f>VLOOKUP($E1375,'[1]Product Naming'!$A$1:$P$58,16)</f>
        <v>Proton symporter</v>
      </c>
      <c r="AH1375" s="3" t="str">
        <f>VLOOKUP($E1375,'[1]Product Naming'!$A$1:$Q$58,17)</f>
        <v>gblt_c</v>
      </c>
    </row>
    <row r="1376" spans="1:34" hidden="1" x14ac:dyDescent="0.2">
      <c r="A1376" s="16" t="s">
        <v>63</v>
      </c>
      <c r="B1376" s="17" t="s">
        <v>64</v>
      </c>
      <c r="C1376" t="s">
        <v>70</v>
      </c>
      <c r="D1376" s="18" t="s">
        <v>66</v>
      </c>
      <c r="E1376" t="s">
        <v>331</v>
      </c>
      <c r="F1376" t="s">
        <v>332</v>
      </c>
      <c r="G1376">
        <v>-10</v>
      </c>
      <c r="H1376">
        <v>0</v>
      </c>
      <c r="I1376">
        <v>0</v>
      </c>
      <c r="J1376">
        <v>0.45</v>
      </c>
      <c r="K1376">
        <v>-10</v>
      </c>
      <c r="L1376">
        <v>0</v>
      </c>
      <c r="M1376">
        <v>0</v>
      </c>
      <c r="N1376">
        <v>6.8421052631579</v>
      </c>
      <c r="O1376">
        <v>0.52631578947368396</v>
      </c>
      <c r="P1376"/>
      <c r="Q1376">
        <v>5.2631578947368397E-2</v>
      </c>
      <c r="R1376">
        <v>9.85338038772305E-2</v>
      </c>
      <c r="S1376" s="11" t="s">
        <v>331</v>
      </c>
      <c r="T1376" s="2" t="s">
        <v>331</v>
      </c>
      <c r="U1376" s="3" t="s">
        <v>106</v>
      </c>
      <c r="V1376" s="3" t="s">
        <v>333</v>
      </c>
      <c r="W1376" s="2">
        <v>6</v>
      </c>
      <c r="X1376" s="2">
        <v>14</v>
      </c>
      <c r="Y1376" s="2">
        <v>0</v>
      </c>
      <c r="Z1376" s="2">
        <v>0</v>
      </c>
      <c r="AA1376" s="2">
        <v>0</v>
      </c>
      <c r="AB1376" s="12">
        <f>(W1376*4+X1376*1+Y1376*-2+Z1376*-3)/W1376</f>
        <v>6.333333333333333</v>
      </c>
      <c r="AC1376" s="3">
        <f>W1376*12.0107+X1376*1.00784+Y1376*15.999+Z1376*14.0067</f>
        <v>86.173959999999994</v>
      </c>
      <c r="AD1376" s="12">
        <v>69</v>
      </c>
      <c r="AE1376" s="3" t="s">
        <v>321</v>
      </c>
      <c r="AF1376" s="2" t="s">
        <v>313</v>
      </c>
      <c r="AG1376" s="2" t="str">
        <f>IF(AD1376&gt;37,"Proton symporter", "Diffusion")</f>
        <v>Proton symporter</v>
      </c>
      <c r="AH1376" s="3" t="s">
        <v>334</v>
      </c>
    </row>
    <row r="1377" spans="1:34" hidden="1" x14ac:dyDescent="0.2">
      <c r="A1377" s="16" t="s">
        <v>63</v>
      </c>
      <c r="B1377" s="17" t="s">
        <v>64</v>
      </c>
      <c r="C1377" t="s">
        <v>70</v>
      </c>
      <c r="D1377" s="18" t="s">
        <v>66</v>
      </c>
      <c r="E1377" t="s">
        <v>335</v>
      </c>
      <c r="F1377" t="s">
        <v>336</v>
      </c>
      <c r="G1377">
        <v>-10</v>
      </c>
      <c r="H1377">
        <v>0</v>
      </c>
      <c r="I1377">
        <v>0</v>
      </c>
      <c r="J1377">
        <v>0.45</v>
      </c>
      <c r="K1377">
        <v>-10</v>
      </c>
      <c r="L1377">
        <v>0</v>
      </c>
      <c r="M1377">
        <v>0</v>
      </c>
      <c r="N1377">
        <v>6.875</v>
      </c>
      <c r="O1377">
        <v>0.625</v>
      </c>
      <c r="P1377"/>
      <c r="Q1377">
        <v>6.25E-2</v>
      </c>
      <c r="R1377">
        <v>9.7963565835896896E-2</v>
      </c>
      <c r="S1377" s="11" t="s">
        <v>335</v>
      </c>
      <c r="T1377" s="2" t="s">
        <v>335</v>
      </c>
      <c r="U1377" s="3" t="s">
        <v>106</v>
      </c>
      <c r="V1377" s="2" t="s">
        <v>337</v>
      </c>
      <c r="W1377" s="2">
        <v>5</v>
      </c>
      <c r="X1377" s="2">
        <v>12</v>
      </c>
      <c r="Y1377" s="2">
        <v>0</v>
      </c>
      <c r="Z1377" s="2">
        <v>0</v>
      </c>
      <c r="AA1377" s="2">
        <v>0</v>
      </c>
      <c r="AB1377" s="12">
        <f>(W1377*4+X1377*1+Y1377*-2+Z1377*-3)/W1377</f>
        <v>6.4</v>
      </c>
      <c r="AC1377" s="3">
        <f>W1377*12.0107+X1377*1.00784+Y1377*15.999+Z1377*14.0067</f>
        <v>72.147580000000005</v>
      </c>
      <c r="AD1377" s="24">
        <v>36.1</v>
      </c>
      <c r="AE1377" s="3" t="s">
        <v>321</v>
      </c>
      <c r="AF1377" s="2" t="s">
        <v>79</v>
      </c>
      <c r="AG1377" s="25" t="str">
        <f>IF(AD1377&gt;37,"Proton symporter", "Diffusion")</f>
        <v>Diffusion</v>
      </c>
      <c r="AH1377" s="3" t="s">
        <v>338</v>
      </c>
    </row>
    <row r="1378" spans="1:34" hidden="1" x14ac:dyDescent="0.2">
      <c r="A1378" s="16" t="s">
        <v>63</v>
      </c>
      <c r="B1378" s="17" t="s">
        <v>64</v>
      </c>
      <c r="C1378" t="s">
        <v>71</v>
      </c>
      <c r="D1378" s="18" t="s">
        <v>66</v>
      </c>
      <c r="E1378" t="s">
        <v>339</v>
      </c>
      <c r="F1378" t="s">
        <v>340</v>
      </c>
      <c r="G1378">
        <v>-10</v>
      </c>
      <c r="H1378">
        <v>0</v>
      </c>
      <c r="I1378">
        <v>-5</v>
      </c>
      <c r="J1378">
        <v>0.45</v>
      </c>
      <c r="K1378">
        <v>-10</v>
      </c>
      <c r="L1378">
        <v>0</v>
      </c>
      <c r="M1378">
        <v>-5</v>
      </c>
      <c r="N1378">
        <v>4.47945205479453</v>
      </c>
      <c r="O1378">
        <v>0.79178082191780796</v>
      </c>
      <c r="P1378"/>
      <c r="Q1378">
        <v>7.9178082191781005E-2</v>
      </c>
      <c r="R1378">
        <v>9.7830873363823997E-2</v>
      </c>
      <c r="S1378" s="11" t="s">
        <v>339</v>
      </c>
      <c r="T1378" s="2" t="s">
        <v>339</v>
      </c>
      <c r="U1378" s="3" t="s">
        <v>106</v>
      </c>
      <c r="V1378" s="2" t="s">
        <v>341</v>
      </c>
      <c r="W1378" s="2">
        <v>4</v>
      </c>
      <c r="X1378" s="2">
        <v>10</v>
      </c>
      <c r="Y1378" s="2">
        <v>0</v>
      </c>
      <c r="Z1378" s="2">
        <v>0</v>
      </c>
      <c r="AA1378" s="2">
        <v>0</v>
      </c>
      <c r="AB1378" s="12">
        <f>(W1378*4+X1378*1+Y1378*-2+Z1378*-3)/W1378</f>
        <v>6.5</v>
      </c>
      <c r="AC1378" s="3">
        <f>W1378*12.0107+X1378*1.00784+Y1378*15.999+Z1378*14.0067</f>
        <v>58.121200000000002</v>
      </c>
      <c r="AD1378" s="24">
        <v>-1</v>
      </c>
      <c r="AE1378" s="3" t="s">
        <v>321</v>
      </c>
      <c r="AF1378" s="2" t="s">
        <v>313</v>
      </c>
      <c r="AG1378" s="25" t="str">
        <f>IF(AD1378&gt;37,"Proton symporter", "Diffusion")</f>
        <v>Diffusion</v>
      </c>
      <c r="AH1378" s="3" t="s">
        <v>342</v>
      </c>
    </row>
    <row r="1379" spans="1:34" hidden="1" x14ac:dyDescent="0.2">
      <c r="A1379" s="8" t="s">
        <v>34</v>
      </c>
      <c r="B1379" s="9" t="s">
        <v>35</v>
      </c>
      <c r="C1379" s="1" t="s">
        <v>50</v>
      </c>
      <c r="D1379" s="13" t="s">
        <v>51</v>
      </c>
      <c r="E1379" s="1" t="s">
        <v>234</v>
      </c>
      <c r="F1379" s="1" t="s">
        <v>235</v>
      </c>
      <c r="G1379" s="1">
        <v>-10</v>
      </c>
      <c r="H1379" s="1">
        <v>-20</v>
      </c>
      <c r="I1379" s="1" t="s">
        <v>40</v>
      </c>
      <c r="J1379" s="1">
        <v>3.15</v>
      </c>
      <c r="K1379" s="1">
        <v>-10</v>
      </c>
      <c r="L1379" s="1">
        <v>-2.2843749999999901</v>
      </c>
      <c r="M1379" s="1" t="s">
        <v>40</v>
      </c>
      <c r="N1379" s="1">
        <v>8.0250000000000004</v>
      </c>
      <c r="O1379" s="1">
        <v>0.49375000000000302</v>
      </c>
      <c r="Q1379" s="1">
        <v>4.9375000000000301E-2</v>
      </c>
      <c r="R1379" s="1">
        <v>9.6669002120375297E-2</v>
      </c>
      <c r="S1379" s="20" t="s">
        <v>236</v>
      </c>
      <c r="T1379" s="3" t="s">
        <v>237</v>
      </c>
      <c r="U1379" s="3" t="s">
        <v>106</v>
      </c>
      <c r="V1379" s="3" t="s">
        <v>238</v>
      </c>
      <c r="W1379" s="3">
        <v>4</v>
      </c>
      <c r="X1379" s="3">
        <v>10</v>
      </c>
      <c r="Y1379" s="3">
        <v>2</v>
      </c>
      <c r="Z1379" s="3">
        <v>0</v>
      </c>
      <c r="AA1379" s="3">
        <v>0</v>
      </c>
      <c r="AB1379" s="12">
        <f>(W1379*4+X1379*1+Y1379*-2+Z1379*-3)/W1379</f>
        <v>5.5</v>
      </c>
      <c r="AC1379" s="3">
        <f>W1379*12.0107+X1379*1.00784+Y1379*15.999+Z1379*14.0067</f>
        <v>90.119200000000006</v>
      </c>
      <c r="AD1379" s="12">
        <v>207</v>
      </c>
      <c r="AE1379" s="2" t="s">
        <v>220</v>
      </c>
      <c r="AF1379" s="3" t="s">
        <v>79</v>
      </c>
      <c r="AG1379" s="2" t="str">
        <f>IF(AD1379&gt;37,"Proton symporter", "Diffusion")</f>
        <v>Proton symporter</v>
      </c>
      <c r="AH1379" s="3" t="s">
        <v>239</v>
      </c>
    </row>
    <row r="1380" spans="1:34" hidden="1" x14ac:dyDescent="0.2">
      <c r="A1380" s="8" t="s">
        <v>34</v>
      </c>
      <c r="B1380" s="9" t="s">
        <v>35</v>
      </c>
      <c r="C1380" s="1" t="s">
        <v>50</v>
      </c>
      <c r="D1380" s="13" t="s">
        <v>51</v>
      </c>
      <c r="E1380" s="1" t="s">
        <v>240</v>
      </c>
      <c r="F1380" s="1" t="s">
        <v>235</v>
      </c>
      <c r="G1380" s="1">
        <v>-10</v>
      </c>
      <c r="H1380" s="1">
        <v>-20</v>
      </c>
      <c r="I1380" s="1" t="s">
        <v>40</v>
      </c>
      <c r="J1380" s="1">
        <v>3.15</v>
      </c>
      <c r="K1380" s="1">
        <v>-10</v>
      </c>
      <c r="L1380" s="1">
        <v>-2.2843749999999998</v>
      </c>
      <c r="M1380" s="1" t="s">
        <v>40</v>
      </c>
      <c r="N1380" s="1">
        <v>8.0250000000000004</v>
      </c>
      <c r="O1380" s="1">
        <v>0.49375000000000002</v>
      </c>
      <c r="Q1380" s="1">
        <v>4.9375000000000099E-2</v>
      </c>
      <c r="R1380" s="1">
        <v>9.6669002120374797E-2</v>
      </c>
      <c r="S1380" s="20" t="s">
        <v>241</v>
      </c>
      <c r="T1380" s="3" t="s">
        <v>242</v>
      </c>
      <c r="U1380" s="3" t="s">
        <v>106</v>
      </c>
      <c r="V1380" s="3" t="s">
        <v>238</v>
      </c>
      <c r="W1380" s="3">
        <v>4</v>
      </c>
      <c r="X1380" s="3">
        <v>10</v>
      </c>
      <c r="Y1380" s="3">
        <v>2</v>
      </c>
      <c r="Z1380" s="3">
        <v>0</v>
      </c>
      <c r="AA1380" s="3">
        <v>0</v>
      </c>
      <c r="AB1380" s="12">
        <f>(W1380*4+X1380*1+Y1380*-2+Z1380*-3)/W1380</f>
        <v>5.5</v>
      </c>
      <c r="AC1380" s="3">
        <f>W1380*12.0107+X1380*1.00784+Y1380*15.999+Z1380*14.0067</f>
        <v>90.119200000000006</v>
      </c>
      <c r="AD1380" s="12">
        <v>207</v>
      </c>
      <c r="AE1380" s="2" t="s">
        <v>220</v>
      </c>
      <c r="AF1380" s="3" t="s">
        <v>243</v>
      </c>
      <c r="AG1380" s="2" t="str">
        <f>IF(AD1380&gt;37,"Proton symporter", "Diffusion")</f>
        <v>Proton symporter</v>
      </c>
      <c r="AH1380" s="3" t="s">
        <v>239</v>
      </c>
    </row>
    <row r="1381" spans="1:34" hidden="1" x14ac:dyDescent="0.2">
      <c r="A1381" s="8" t="s">
        <v>34</v>
      </c>
      <c r="B1381" s="9" t="s">
        <v>35</v>
      </c>
      <c r="C1381" s="1" t="s">
        <v>50</v>
      </c>
      <c r="D1381" s="13" t="s">
        <v>51</v>
      </c>
      <c r="E1381" s="1" t="s">
        <v>249</v>
      </c>
      <c r="F1381" s="1" t="s">
        <v>250</v>
      </c>
      <c r="G1381" s="1">
        <v>-10</v>
      </c>
      <c r="H1381" s="1">
        <v>-20</v>
      </c>
      <c r="I1381" s="1" t="s">
        <v>40</v>
      </c>
      <c r="J1381" s="1">
        <v>3.15</v>
      </c>
      <c r="K1381" s="1">
        <v>-10</v>
      </c>
      <c r="L1381" s="1">
        <v>-2.2843749999999998</v>
      </c>
      <c r="M1381" s="1" t="s">
        <v>40</v>
      </c>
      <c r="N1381" s="1">
        <v>8.0250000000000004</v>
      </c>
      <c r="O1381" s="1">
        <v>0.49375000000000002</v>
      </c>
      <c r="Q1381" s="1">
        <v>4.9375000000000002E-2</v>
      </c>
      <c r="R1381" s="1">
        <v>9.66690021203747E-2</v>
      </c>
      <c r="S1381" s="20" t="s">
        <v>251</v>
      </c>
      <c r="T1381" s="3" t="s">
        <v>252</v>
      </c>
      <c r="U1381" s="3" t="s">
        <v>106</v>
      </c>
      <c r="V1381" s="3" t="s">
        <v>238</v>
      </c>
      <c r="W1381" s="3">
        <v>4</v>
      </c>
      <c r="X1381" s="3">
        <v>10</v>
      </c>
      <c r="Y1381" s="3">
        <v>2</v>
      </c>
      <c r="Z1381" s="3">
        <v>0</v>
      </c>
      <c r="AA1381" s="3">
        <v>0</v>
      </c>
      <c r="AB1381" s="12">
        <f>(W1381*4+X1381*1+Y1381*-2+Z1381*-3)/W1381</f>
        <v>5.5</v>
      </c>
      <c r="AC1381" s="3">
        <f>W1381*12.0107+X1381*1.00784+Y1381*15.999+Z1381*14.0067</f>
        <v>90.119200000000006</v>
      </c>
      <c r="AD1381" s="12">
        <v>177</v>
      </c>
      <c r="AE1381" s="3" t="s">
        <v>220</v>
      </c>
      <c r="AF1381" s="3" t="s">
        <v>135</v>
      </c>
      <c r="AG1381" s="2" t="str">
        <f>IF(AD1381&gt;37,"Proton symporter", "Diffusion")</f>
        <v>Proton symporter</v>
      </c>
      <c r="AH1381" s="3" t="s">
        <v>253</v>
      </c>
    </row>
    <row r="1382" spans="1:34" hidden="1" x14ac:dyDescent="0.2">
      <c r="A1382" s="8" t="s">
        <v>350</v>
      </c>
      <c r="B1382" s="17" t="s">
        <v>64</v>
      </c>
      <c r="C1382" t="s">
        <v>352</v>
      </c>
      <c r="D1382" s="13" t="s">
        <v>51</v>
      </c>
      <c r="E1382" t="s">
        <v>159</v>
      </c>
      <c r="F1382" t="s">
        <v>153</v>
      </c>
      <c r="G1382">
        <v>-10</v>
      </c>
      <c r="H1382">
        <v>0</v>
      </c>
      <c r="I1382">
        <v>0</v>
      </c>
      <c r="J1382">
        <v>0.45</v>
      </c>
      <c r="K1382">
        <v>-10</v>
      </c>
      <c r="L1382">
        <v>0</v>
      </c>
      <c r="M1382" s="26">
        <v>1.51325301204817</v>
      </c>
      <c r="N1382">
        <v>0</v>
      </c>
      <c r="O1382" s="26">
        <v>0.25220883534136901</v>
      </c>
      <c r="P1382"/>
      <c r="Q1382">
        <v>2.5220883534136901E-2</v>
      </c>
      <c r="R1382">
        <v>9.62489067654278E-2</v>
      </c>
      <c r="S1382" s="3" t="str">
        <f>VLOOKUP($E1382,'[1]Product Naming'!$A$1:$P$58,2)</f>
        <v>Benzoate-PW2</v>
      </c>
      <c r="T1382" s="3" t="str">
        <f>VLOOKUP($E1382,'[1]Product Naming'!$A$1:$P$58,3)</f>
        <v>Benzoate (PW2)</v>
      </c>
      <c r="U1382" s="3" t="str">
        <f>VLOOKUP($E1382,'[1]Product Naming'!$A$1:$P$58,4)</f>
        <v>A</v>
      </c>
      <c r="V1382" s="3" t="str">
        <f>VLOOKUP($E1382,'[1]Product Naming'!$A$1:$P$58,5)</f>
        <v>C7H5O2</v>
      </c>
      <c r="W1382" s="3">
        <f>VLOOKUP($E1382,'[1]Product Naming'!$A$1:$P$58,6)</f>
        <v>7</v>
      </c>
      <c r="X1382" s="3">
        <f>VLOOKUP($E1382,'[1]Product Naming'!$A$1:$P$58,7)</f>
        <v>5</v>
      </c>
      <c r="Y1382" s="3">
        <f>VLOOKUP($E1382,'[1]Product Naming'!$A$1:$P$58,8)</f>
        <v>2</v>
      </c>
      <c r="Z1382" s="3">
        <f>VLOOKUP($E1382,'[1]Product Naming'!$A$1:$P$58,9)</f>
        <v>0</v>
      </c>
      <c r="AA1382" s="3">
        <f>VLOOKUP($E1382,'[1]Product Naming'!$A$1:$P$58,10)</f>
        <v>-1</v>
      </c>
      <c r="AB1382" s="3">
        <f>VLOOKUP($E1382,'[1]Product Naming'!$A$1:$P$58,11)</f>
        <v>4.1428571428571432</v>
      </c>
      <c r="AC1382" s="3">
        <f>VLOOKUP($E1382,'[1]Product Naming'!$A$1:$P$58,12)</f>
        <v>121.1121</v>
      </c>
      <c r="AD1382" s="3">
        <f>VLOOKUP($E1382,'[1]Product Naming'!$A$1:$P$58,13)</f>
        <v>249.2</v>
      </c>
      <c r="AE1382" s="3" t="str">
        <f>VLOOKUP($E1382,'[1]Product Naming'!$A$1:$P$58,14)</f>
        <v>Aromatic + Carboxylate</v>
      </c>
      <c r="AF1382" s="3" t="str">
        <f>VLOOKUP($E1382,'[1]Product Naming'!$A$1:$P$58,15)</f>
        <v>E4P + aKG</v>
      </c>
      <c r="AG1382" s="3" t="str">
        <f>VLOOKUP($E1382,'[1]Product Naming'!$A$1:$P$58,16)</f>
        <v>Proton symporter</v>
      </c>
      <c r="AH1382" s="3" t="str">
        <f>VLOOKUP($E1382,'[1]Product Naming'!$A$1:$Q$58,17)</f>
        <v>bz_c</v>
      </c>
    </row>
    <row r="1383" spans="1:34" hidden="1" x14ac:dyDescent="0.2">
      <c r="A1383" s="16" t="s">
        <v>63</v>
      </c>
      <c r="B1383" s="17" t="s">
        <v>64</v>
      </c>
      <c r="C1383" t="s">
        <v>70</v>
      </c>
      <c r="D1383" s="18" t="s">
        <v>66</v>
      </c>
      <c r="E1383" t="s">
        <v>343</v>
      </c>
      <c r="F1383" t="s">
        <v>344</v>
      </c>
      <c r="G1383">
        <v>-10</v>
      </c>
      <c r="H1383">
        <v>0</v>
      </c>
      <c r="I1383">
        <v>0</v>
      </c>
      <c r="J1383">
        <v>0.45</v>
      </c>
      <c r="K1383">
        <v>-10</v>
      </c>
      <c r="L1383">
        <v>0</v>
      </c>
      <c r="M1383">
        <v>0</v>
      </c>
      <c r="N1383">
        <v>7</v>
      </c>
      <c r="O1383">
        <v>1</v>
      </c>
      <c r="P1383"/>
      <c r="Q1383">
        <v>0.1</v>
      </c>
      <c r="R1383">
        <v>9.5796661278829298E-2</v>
      </c>
      <c r="S1383" s="20" t="s">
        <v>343</v>
      </c>
      <c r="T1383" s="3" t="s">
        <v>345</v>
      </c>
      <c r="U1383" s="3" t="s">
        <v>106</v>
      </c>
      <c r="V1383" s="3" t="s">
        <v>346</v>
      </c>
      <c r="W1383" s="3">
        <v>3</v>
      </c>
      <c r="X1383" s="3">
        <v>8</v>
      </c>
      <c r="Y1383" s="3">
        <v>0</v>
      </c>
      <c r="Z1383" s="3">
        <v>0</v>
      </c>
      <c r="AA1383" s="3">
        <v>0</v>
      </c>
      <c r="AB1383" s="12">
        <f>(W1383*4+X1383*1+Y1383*-2+Z1383*-3)/W1383</f>
        <v>6.666666666666667</v>
      </c>
      <c r="AC1383" s="3">
        <f>W1383*12.0107+X1383*1.00784+Y1383*15.999+Z1383*14.0067</f>
        <v>44.094819999999999</v>
      </c>
      <c r="AD1383" s="24">
        <v>-42</v>
      </c>
      <c r="AE1383" s="3" t="s">
        <v>231</v>
      </c>
      <c r="AF1383" s="2" t="s">
        <v>79</v>
      </c>
      <c r="AG1383" s="25" t="str">
        <f>IF(AD1383&gt;37,"Proton symporter", "Diffusion")</f>
        <v>Diffusion</v>
      </c>
      <c r="AH1383" s="3" t="s">
        <v>347</v>
      </c>
    </row>
    <row r="1384" spans="1:34" hidden="1" x14ac:dyDescent="0.2">
      <c r="A1384" s="16" t="s">
        <v>63</v>
      </c>
      <c r="B1384" s="17" t="s">
        <v>64</v>
      </c>
      <c r="C1384" t="s">
        <v>70</v>
      </c>
      <c r="D1384" s="18" t="s">
        <v>66</v>
      </c>
      <c r="E1384" t="s">
        <v>348</v>
      </c>
      <c r="F1384" t="s">
        <v>344</v>
      </c>
      <c r="G1384">
        <v>-10</v>
      </c>
      <c r="H1384">
        <v>0</v>
      </c>
      <c r="I1384">
        <v>0</v>
      </c>
      <c r="J1384">
        <v>0.45</v>
      </c>
      <c r="K1384">
        <v>-10</v>
      </c>
      <c r="L1384">
        <v>0</v>
      </c>
      <c r="M1384">
        <v>0</v>
      </c>
      <c r="N1384">
        <v>7</v>
      </c>
      <c r="O1384">
        <v>1</v>
      </c>
      <c r="P1384"/>
      <c r="Q1384">
        <v>0.1</v>
      </c>
      <c r="R1384">
        <v>9.5796661278829298E-2</v>
      </c>
      <c r="S1384" s="20" t="s">
        <v>348</v>
      </c>
      <c r="T1384" s="3" t="s">
        <v>349</v>
      </c>
      <c r="U1384" s="3" t="s">
        <v>106</v>
      </c>
      <c r="V1384" s="3" t="s">
        <v>346</v>
      </c>
      <c r="W1384" s="3">
        <v>3</v>
      </c>
      <c r="X1384" s="3">
        <v>8</v>
      </c>
      <c r="Y1384" s="3">
        <v>0</v>
      </c>
      <c r="Z1384" s="3">
        <v>0</v>
      </c>
      <c r="AA1384" s="3">
        <v>0</v>
      </c>
      <c r="AB1384" s="12">
        <f>(W1384*4+X1384*1+Y1384*-2+Z1384*-3)/W1384</f>
        <v>6.666666666666667</v>
      </c>
      <c r="AC1384" s="3">
        <f>W1384*12.0107+X1384*1.00784+Y1384*15.999+Z1384*14.0067</f>
        <v>44.094819999999999</v>
      </c>
      <c r="AD1384" s="24">
        <v>-42</v>
      </c>
      <c r="AE1384" s="3" t="s">
        <v>231</v>
      </c>
      <c r="AF1384" s="3" t="s">
        <v>44</v>
      </c>
      <c r="AG1384" s="25" t="str">
        <f>IF(AD1384&gt;37,"Proton symporter", "Diffusion")</f>
        <v>Diffusion</v>
      </c>
      <c r="AH1384" s="3" t="s">
        <v>347</v>
      </c>
    </row>
    <row r="1385" spans="1:34" hidden="1" x14ac:dyDescent="0.2">
      <c r="A1385" s="8" t="s">
        <v>350</v>
      </c>
      <c r="B1385" s="17" t="s">
        <v>64</v>
      </c>
      <c r="C1385" t="s">
        <v>352</v>
      </c>
      <c r="D1385" s="13" t="s">
        <v>51</v>
      </c>
      <c r="E1385" t="s">
        <v>211</v>
      </c>
      <c r="F1385" t="s">
        <v>212</v>
      </c>
      <c r="G1385">
        <v>-10</v>
      </c>
      <c r="H1385">
        <v>0</v>
      </c>
      <c r="I1385">
        <v>0</v>
      </c>
      <c r="J1385">
        <v>0.45</v>
      </c>
      <c r="K1385">
        <v>-10</v>
      </c>
      <c r="L1385">
        <v>0</v>
      </c>
      <c r="M1385" s="26">
        <v>1.1629629629629601</v>
      </c>
      <c r="N1385">
        <v>0</v>
      </c>
      <c r="O1385" s="26">
        <v>0.29074074074074302</v>
      </c>
      <c r="P1385"/>
      <c r="Q1385" s="26">
        <v>2.9074074074074301E-2</v>
      </c>
      <c r="R1385">
        <v>9.5200849373968693E-2</v>
      </c>
      <c r="S1385" s="3" t="str">
        <f>VLOOKUP($E1385,'[1]Product Naming'!$A$1:$P$58,2)</f>
        <v>Styrene</v>
      </c>
      <c r="T1385" s="3" t="str">
        <f>VLOOKUP($E1385,'[1]Product Naming'!$A$1:$P$58,3)</f>
        <v>Styrene</v>
      </c>
      <c r="U1385" s="3" t="str">
        <f>VLOOKUP($E1385,'[1]Product Naming'!$A$1:$P$58,4)</f>
        <v>E-S</v>
      </c>
      <c r="V1385" s="3" t="str">
        <f>VLOOKUP($E1385,'[1]Product Naming'!$A$1:$P$58,5)</f>
        <v>C8H8</v>
      </c>
      <c r="W1385" s="3">
        <f>VLOOKUP($E1385,'[1]Product Naming'!$A$1:$P$58,6)</f>
        <v>8</v>
      </c>
      <c r="X1385" s="3">
        <f>VLOOKUP($E1385,'[1]Product Naming'!$A$1:$P$58,7)</f>
        <v>8</v>
      </c>
      <c r="Y1385" s="3">
        <f>VLOOKUP($E1385,'[1]Product Naming'!$A$1:$P$58,8)</f>
        <v>0</v>
      </c>
      <c r="Z1385" s="3">
        <f>VLOOKUP($E1385,'[1]Product Naming'!$A$1:$P$58,9)</f>
        <v>0</v>
      </c>
      <c r="AA1385" s="3">
        <f>VLOOKUP($E1385,'[1]Product Naming'!$A$1:$P$58,10)</f>
        <v>0</v>
      </c>
      <c r="AB1385" s="3">
        <f>VLOOKUP($E1385,'[1]Product Naming'!$A$1:$P$58,11)</f>
        <v>5</v>
      </c>
      <c r="AC1385" s="3">
        <f>VLOOKUP($E1385,'[1]Product Naming'!$A$1:$P$58,12)</f>
        <v>104.14832</v>
      </c>
      <c r="AD1385" s="3">
        <f>VLOOKUP($E1385,'[1]Product Naming'!$A$1:$P$58,13)</f>
        <v>145</v>
      </c>
      <c r="AE1385" s="3" t="str">
        <f>VLOOKUP($E1385,'[1]Product Naming'!$A$1:$P$58,14)</f>
        <v>Cycloalkane</v>
      </c>
      <c r="AF1385" s="3" t="str">
        <f>VLOOKUP($E1385,'[1]Product Naming'!$A$1:$P$58,15)</f>
        <v>E4P</v>
      </c>
      <c r="AG1385" s="3" t="str">
        <f>VLOOKUP($E1385,'[1]Product Naming'!$A$1:$P$58,16)</f>
        <v>Proton symporter</v>
      </c>
      <c r="AH1385" s="3" t="str">
        <f>VLOOKUP($E1385,'[1]Product Naming'!$A$1:$Q$58,17)</f>
        <v>styr_c</v>
      </c>
    </row>
    <row r="1386" spans="1:34" hidden="1" x14ac:dyDescent="0.2">
      <c r="A1386" s="16" t="s">
        <v>63</v>
      </c>
      <c r="B1386" s="17" t="s">
        <v>64</v>
      </c>
      <c r="C1386" t="s">
        <v>70</v>
      </c>
      <c r="D1386" s="18" t="s">
        <v>66</v>
      </c>
      <c r="E1386" t="s">
        <v>166</v>
      </c>
      <c r="F1386" t="s">
        <v>167</v>
      </c>
      <c r="G1386">
        <v>-10</v>
      </c>
      <c r="H1386">
        <v>0</v>
      </c>
      <c r="I1386">
        <v>0</v>
      </c>
      <c r="J1386">
        <v>0.45</v>
      </c>
      <c r="K1386">
        <v>-10</v>
      </c>
      <c r="L1386">
        <v>0</v>
      </c>
      <c r="M1386">
        <v>0</v>
      </c>
      <c r="N1386">
        <v>5.2517647058823496</v>
      </c>
      <c r="O1386">
        <v>0.503529411764706</v>
      </c>
      <c r="P1386"/>
      <c r="Q1386">
        <v>5.03529411764706E-2</v>
      </c>
      <c r="R1386">
        <v>9.4173660938383405E-2</v>
      </c>
      <c r="S1386" s="11" t="s">
        <v>166</v>
      </c>
      <c r="T1386" s="2" t="s">
        <v>168</v>
      </c>
      <c r="U1386" s="3" t="s">
        <v>41</v>
      </c>
      <c r="V1386" s="2" t="s">
        <v>169</v>
      </c>
      <c r="W1386" s="2">
        <v>4</v>
      </c>
      <c r="X1386" s="2">
        <v>6</v>
      </c>
      <c r="Y1386" s="2">
        <v>2</v>
      </c>
      <c r="Z1386" s="2">
        <v>0</v>
      </c>
      <c r="AA1386" s="2">
        <v>0</v>
      </c>
      <c r="AB1386" s="12">
        <f>(W1386*4+X1386*1+Y1386*-2+Z1386*-3)/W1386</f>
        <v>4.5</v>
      </c>
      <c r="AC1386" s="3">
        <f>W1386*12.0107+X1386*1.00784+Y1386*15.999+Z1386*14.0067</f>
        <v>86.08784</v>
      </c>
      <c r="AD1386" s="12">
        <v>204</v>
      </c>
      <c r="AE1386" s="2" t="s">
        <v>170</v>
      </c>
      <c r="AF1386" s="2" t="s">
        <v>120</v>
      </c>
      <c r="AG1386" s="2" t="str">
        <f>IF(AD1386&gt;37,"Proton symporter", "Diffusion")</f>
        <v>Proton symporter</v>
      </c>
      <c r="AH1386" s="3" t="s">
        <v>171</v>
      </c>
    </row>
    <row r="1387" spans="1:34" hidden="1" x14ac:dyDescent="0.2">
      <c r="A1387" s="16" t="s">
        <v>63</v>
      </c>
      <c r="B1387" s="17" t="s">
        <v>64</v>
      </c>
      <c r="C1387" t="s">
        <v>73</v>
      </c>
      <c r="D1387" s="18" t="s">
        <v>66</v>
      </c>
      <c r="E1387" t="s">
        <v>159</v>
      </c>
      <c r="F1387" t="s">
        <v>153</v>
      </c>
      <c r="G1387">
        <v>-10</v>
      </c>
      <c r="H1387">
        <v>0</v>
      </c>
      <c r="I1387">
        <v>-20</v>
      </c>
      <c r="J1387">
        <v>0.45</v>
      </c>
      <c r="K1387">
        <v>-10</v>
      </c>
      <c r="L1387">
        <v>0</v>
      </c>
      <c r="M1387">
        <v>-17.699173553719</v>
      </c>
      <c r="N1387">
        <v>0</v>
      </c>
      <c r="O1387">
        <v>0.38347107438016498</v>
      </c>
      <c r="P1387"/>
      <c r="Q1387">
        <v>3.8347107438017003E-2</v>
      </c>
      <c r="R1387" s="19">
        <v>9.3625176709229999E-2</v>
      </c>
      <c r="S1387" s="11" t="s">
        <v>159</v>
      </c>
      <c r="T1387" s="2" t="s">
        <v>160</v>
      </c>
      <c r="U1387" s="3" t="s">
        <v>41</v>
      </c>
      <c r="V1387" s="2" t="s">
        <v>155</v>
      </c>
      <c r="W1387" s="2">
        <v>7</v>
      </c>
      <c r="X1387" s="2">
        <v>5</v>
      </c>
      <c r="Y1387" s="2">
        <v>2</v>
      </c>
      <c r="Z1387" s="2">
        <v>0</v>
      </c>
      <c r="AA1387" s="2">
        <v>0</v>
      </c>
      <c r="AB1387" s="12">
        <f>(W1387*4+X1387*1+Y1387*-2+Z1387*-3)/W1387</f>
        <v>4.1428571428571432</v>
      </c>
      <c r="AC1387" s="3">
        <f>W1387*12.0107+X1387*1.00784+Y1387*15.999+Z1387*14.0067</f>
        <v>121.1121</v>
      </c>
      <c r="AD1387" s="12">
        <v>249.2</v>
      </c>
      <c r="AE1387" s="2" t="s">
        <v>156</v>
      </c>
      <c r="AF1387" s="2" t="s">
        <v>157</v>
      </c>
      <c r="AG1387" s="2" t="str">
        <f>IF(AD1387&gt;37,"Proton symporter", "Diffusion")</f>
        <v>Proton symporter</v>
      </c>
      <c r="AH1387" s="3" t="s">
        <v>158</v>
      </c>
    </row>
    <row r="1388" spans="1:34" hidden="1" x14ac:dyDescent="0.2">
      <c r="A1388" s="16" t="s">
        <v>63</v>
      </c>
      <c r="B1388" s="17" t="s">
        <v>64</v>
      </c>
      <c r="C1388" t="s">
        <v>71</v>
      </c>
      <c r="D1388" s="18" t="s">
        <v>66</v>
      </c>
      <c r="E1388" t="s">
        <v>146</v>
      </c>
      <c r="F1388" t="s">
        <v>147</v>
      </c>
      <c r="G1388">
        <v>-10</v>
      </c>
      <c r="H1388">
        <v>0</v>
      </c>
      <c r="I1388">
        <v>-5</v>
      </c>
      <c r="J1388">
        <v>0.45</v>
      </c>
      <c r="K1388">
        <v>-10</v>
      </c>
      <c r="L1388">
        <v>0</v>
      </c>
      <c r="M1388">
        <v>-5</v>
      </c>
      <c r="N1388">
        <v>2.63441860465116</v>
      </c>
      <c r="O1388">
        <v>0.26883720930232502</v>
      </c>
      <c r="P1388"/>
      <c r="Q1388">
        <v>2.6883720930232499E-2</v>
      </c>
      <c r="R1388">
        <v>9.3241229546921003E-2</v>
      </c>
      <c r="S1388" s="20" t="s">
        <v>148</v>
      </c>
      <c r="T1388" s="3" t="s">
        <v>148</v>
      </c>
      <c r="U1388" s="3" t="s">
        <v>106</v>
      </c>
      <c r="V1388" s="3" t="s">
        <v>149</v>
      </c>
      <c r="W1388" s="3">
        <v>9</v>
      </c>
      <c r="X1388" s="3">
        <v>7</v>
      </c>
      <c r="Y1388" s="3">
        <v>3</v>
      </c>
      <c r="Z1388" s="3">
        <v>0</v>
      </c>
      <c r="AA1388" s="3">
        <v>-1</v>
      </c>
      <c r="AB1388" s="12">
        <f>(W1388*4+X1388*1+Y1388*-2+Z1388*-3)/W1388</f>
        <v>4.1111111111111107</v>
      </c>
      <c r="AC1388" s="3">
        <f>W1388*12.0107+X1388*1.00784+Y1388*15.999+Z1388*14.0067</f>
        <v>163.14818</v>
      </c>
      <c r="AD1388" s="12">
        <v>346</v>
      </c>
      <c r="AE1388" s="22" t="s">
        <v>139</v>
      </c>
      <c r="AF1388" s="2" t="s">
        <v>150</v>
      </c>
      <c r="AG1388" s="2" t="str">
        <f>IF(AD1388&gt;37,"Proton symporter", "Diffusion")</f>
        <v>Proton symporter</v>
      </c>
      <c r="AH1388" s="3" t="s">
        <v>151</v>
      </c>
    </row>
    <row r="1389" spans="1:34" hidden="1" x14ac:dyDescent="0.2">
      <c r="A1389" s="8" t="s">
        <v>350</v>
      </c>
      <c r="B1389" s="17" t="s">
        <v>64</v>
      </c>
      <c r="C1389" t="s">
        <v>352</v>
      </c>
      <c r="D1389" s="13" t="s">
        <v>51</v>
      </c>
      <c r="E1389" t="s">
        <v>172</v>
      </c>
      <c r="F1389" t="s">
        <v>173</v>
      </c>
      <c r="G1389">
        <v>-10</v>
      </c>
      <c r="H1389">
        <v>0</v>
      </c>
      <c r="I1389">
        <v>0</v>
      </c>
      <c r="J1389">
        <v>0.45</v>
      </c>
      <c r="K1389">
        <v>-10</v>
      </c>
      <c r="L1389">
        <v>0</v>
      </c>
      <c r="M1389" s="26">
        <v>1.256</v>
      </c>
      <c r="N1389">
        <v>0</v>
      </c>
      <c r="O1389" s="26">
        <v>0.313999999999999</v>
      </c>
      <c r="P1389"/>
      <c r="Q1389">
        <v>3.13999999999999E-2</v>
      </c>
      <c r="R1389">
        <v>9.2961980719526605E-2</v>
      </c>
      <c r="S1389" s="3" t="str">
        <f>VLOOKUP($E1389,'[1]Product Naming'!$A$1:$P$58,2)</f>
        <v>Phenol</v>
      </c>
      <c r="T1389" s="3" t="str">
        <f>VLOOKUP($E1389,'[1]Product Naming'!$A$1:$P$58,3)</f>
        <v>Phenol</v>
      </c>
      <c r="U1389" s="3" t="str">
        <f>VLOOKUP($E1389,'[1]Product Naming'!$A$1:$P$58,4)</f>
        <v>E-S</v>
      </c>
      <c r="V1389" s="3" t="str">
        <f>VLOOKUP($E1389,'[1]Product Naming'!$A$1:$P$58,5)</f>
        <v>C6H6O</v>
      </c>
      <c r="W1389" s="3">
        <f>VLOOKUP($E1389,'[1]Product Naming'!$A$1:$P$58,6)</f>
        <v>6</v>
      </c>
      <c r="X1389" s="3">
        <f>VLOOKUP($E1389,'[1]Product Naming'!$A$1:$P$58,7)</f>
        <v>6</v>
      </c>
      <c r="Y1389" s="3">
        <f>VLOOKUP($E1389,'[1]Product Naming'!$A$1:$P$58,8)</f>
        <v>1</v>
      </c>
      <c r="Z1389" s="3">
        <f>VLOOKUP($E1389,'[1]Product Naming'!$A$1:$P$58,9)</f>
        <v>0</v>
      </c>
      <c r="AA1389" s="3">
        <f>VLOOKUP($E1389,'[1]Product Naming'!$A$1:$P$58,10)</f>
        <v>0</v>
      </c>
      <c r="AB1389" s="3">
        <f>VLOOKUP($E1389,'[1]Product Naming'!$A$1:$P$58,11)</f>
        <v>4.666666666666667</v>
      </c>
      <c r="AC1389" s="3">
        <f>VLOOKUP($E1389,'[1]Product Naming'!$A$1:$P$58,12)</f>
        <v>94.11023999999999</v>
      </c>
      <c r="AD1389" s="3">
        <f>VLOOKUP($E1389,'[1]Product Naming'!$A$1:$P$58,13)</f>
        <v>181.7</v>
      </c>
      <c r="AE1389" s="3" t="str">
        <f>VLOOKUP($E1389,'[1]Product Naming'!$A$1:$P$58,14)</f>
        <v>Aromatic + Alcohol</v>
      </c>
      <c r="AF1389" s="3" t="str">
        <f>VLOOKUP($E1389,'[1]Product Naming'!$A$1:$P$58,15)</f>
        <v>E4P + L-glutamate</v>
      </c>
      <c r="AG1389" s="3" t="str">
        <f>VLOOKUP($E1389,'[1]Product Naming'!$A$1:$P$58,16)</f>
        <v>Proton symporter</v>
      </c>
      <c r="AH1389" s="3" t="str">
        <f>VLOOKUP($E1389,'[1]Product Naming'!$A$1:$Q$58,17)</f>
        <v>phenol_c</v>
      </c>
    </row>
    <row r="1390" spans="1:34" hidden="1" x14ac:dyDescent="0.2">
      <c r="A1390" s="8" t="s">
        <v>34</v>
      </c>
      <c r="B1390" s="9" t="s">
        <v>35</v>
      </c>
      <c r="C1390" s="1" t="s">
        <v>50</v>
      </c>
      <c r="D1390" s="13" t="s">
        <v>51</v>
      </c>
      <c r="E1390" s="1" t="s">
        <v>222</v>
      </c>
      <c r="F1390" s="1" t="s">
        <v>223</v>
      </c>
      <c r="G1390" s="1">
        <v>-10</v>
      </c>
      <c r="H1390" s="1">
        <v>-20</v>
      </c>
      <c r="I1390" s="1" t="s">
        <v>40</v>
      </c>
      <c r="J1390" s="1">
        <v>3.15</v>
      </c>
      <c r="K1390" s="1">
        <v>-10</v>
      </c>
      <c r="L1390" s="1">
        <v>-2.0830769230769302</v>
      </c>
      <c r="M1390" s="1" t="s">
        <v>40</v>
      </c>
      <c r="N1390" s="1">
        <v>7.81230769230769</v>
      </c>
      <c r="O1390" s="1">
        <v>0.72923076923076602</v>
      </c>
      <c r="Q1390" s="1">
        <v>7.2923076923076605E-2</v>
      </c>
      <c r="R1390" s="1">
        <v>9.2011155229878502E-2</v>
      </c>
      <c r="S1390" s="11" t="s">
        <v>222</v>
      </c>
      <c r="T1390" s="2" t="s">
        <v>222</v>
      </c>
      <c r="U1390" s="3" t="s">
        <v>41</v>
      </c>
      <c r="V1390" s="2" t="s">
        <v>224</v>
      </c>
      <c r="W1390" s="2">
        <v>3</v>
      </c>
      <c r="X1390" s="2">
        <v>6</v>
      </c>
      <c r="Y1390" s="2">
        <v>1</v>
      </c>
      <c r="Z1390" s="2">
        <v>0</v>
      </c>
      <c r="AA1390" s="2">
        <v>0</v>
      </c>
      <c r="AB1390" s="12">
        <f>(W1390*4+X1390*1+Y1390*-2+Z1390*-3)/W1390</f>
        <v>5.333333333333333</v>
      </c>
      <c r="AC1390" s="3">
        <f>W1390*12.0107+X1390*1.00784+Y1390*15.999+Z1390*14.0067</f>
        <v>58.078140000000005</v>
      </c>
      <c r="AD1390" s="12">
        <v>56</v>
      </c>
      <c r="AE1390" s="2" t="s">
        <v>225</v>
      </c>
      <c r="AF1390" s="2" t="s">
        <v>79</v>
      </c>
      <c r="AG1390" s="2" t="str">
        <f>IF(AD1390&gt;37,"Proton symporter", "Diffusion")</f>
        <v>Proton symporter</v>
      </c>
      <c r="AH1390" s="3" t="s">
        <v>226</v>
      </c>
    </row>
    <row r="1391" spans="1:34" hidden="1" x14ac:dyDescent="0.2">
      <c r="A1391" s="16" t="s">
        <v>63</v>
      </c>
      <c r="B1391" s="17" t="s">
        <v>64</v>
      </c>
      <c r="C1391" t="s">
        <v>73</v>
      </c>
      <c r="D1391" s="18" t="s">
        <v>66</v>
      </c>
      <c r="E1391" t="s">
        <v>211</v>
      </c>
      <c r="F1391" t="s">
        <v>212</v>
      </c>
      <c r="G1391">
        <v>-10</v>
      </c>
      <c r="H1391">
        <v>0</v>
      </c>
      <c r="I1391">
        <v>-20</v>
      </c>
      <c r="J1391">
        <v>0.45</v>
      </c>
      <c r="K1391">
        <v>-10</v>
      </c>
      <c r="L1391">
        <v>0</v>
      </c>
      <c r="M1391">
        <v>-18.2490566037736</v>
      </c>
      <c r="N1391">
        <v>0</v>
      </c>
      <c r="O1391">
        <v>0.43773584905660401</v>
      </c>
      <c r="P1391"/>
      <c r="Q1391">
        <v>4.3773584905660398E-2</v>
      </c>
      <c r="R1391" s="19">
        <v>9.1699190471036404E-2</v>
      </c>
      <c r="S1391" s="20" t="s">
        <v>211</v>
      </c>
      <c r="T1391" s="3" t="s">
        <v>211</v>
      </c>
      <c r="U1391" s="3" t="s">
        <v>174</v>
      </c>
      <c r="V1391" s="3" t="s">
        <v>213</v>
      </c>
      <c r="W1391" s="3">
        <v>8</v>
      </c>
      <c r="X1391" s="3">
        <v>8</v>
      </c>
      <c r="Y1391" s="3">
        <v>0</v>
      </c>
      <c r="Z1391" s="3">
        <v>0</v>
      </c>
      <c r="AA1391" s="3">
        <v>0</v>
      </c>
      <c r="AB1391" s="12">
        <f>(W1391*4+X1391*1+Y1391*-2+Z1391*-3)/W1391</f>
        <v>5</v>
      </c>
      <c r="AC1391" s="3">
        <f>W1391*12.0107+X1391*1.00784+Y1391*15.999+Z1391*14.0067</f>
        <v>104.14832</v>
      </c>
      <c r="AD1391" s="12">
        <v>145</v>
      </c>
      <c r="AE1391" s="3" t="s">
        <v>214</v>
      </c>
      <c r="AF1391" s="3" t="s">
        <v>203</v>
      </c>
      <c r="AG1391" s="2" t="str">
        <f>IF(AD1391&gt;37,"Proton symporter", "Diffusion")</f>
        <v>Proton symporter</v>
      </c>
      <c r="AH1391" s="3" t="s">
        <v>215</v>
      </c>
    </row>
    <row r="1392" spans="1:34" hidden="1" x14ac:dyDescent="0.2">
      <c r="A1392" s="8" t="s">
        <v>368</v>
      </c>
      <c r="B1392" s="17" t="s">
        <v>64</v>
      </c>
      <c r="C1392" t="s">
        <v>369</v>
      </c>
      <c r="D1392" s="18" t="s">
        <v>66</v>
      </c>
      <c r="E1392" t="s">
        <v>161</v>
      </c>
      <c r="F1392" t="s">
        <v>162</v>
      </c>
      <c r="G1392">
        <v>-10</v>
      </c>
      <c r="H1392">
        <v>0</v>
      </c>
      <c r="I1392">
        <v>-20</v>
      </c>
      <c r="J1392">
        <v>0.45</v>
      </c>
      <c r="K1392">
        <v>-9.8072992700729902</v>
      </c>
      <c r="L1392">
        <v>0</v>
      </c>
      <c r="M1392">
        <v>-20</v>
      </c>
      <c r="N1392">
        <v>-9.8072992700729902</v>
      </c>
      <c r="O1392">
        <v>0.38540145985401397</v>
      </c>
      <c r="P1392"/>
      <c r="Q1392">
        <v>3.9297409943435502E-2</v>
      </c>
      <c r="R1392">
        <v>8.9918909393198507E-2</v>
      </c>
      <c r="S1392" s="1" t="str">
        <f>VLOOKUP($E1392,'[1]Product Naming'!$A$1:$P$58,2)</f>
        <v>Catechol</v>
      </c>
      <c r="T1392" s="1" t="str">
        <f>VLOOKUP($E1392,'[1]Product Naming'!$A$1:$P$58,3)</f>
        <v>Catechol</v>
      </c>
      <c r="U1392" s="1" t="str">
        <f>VLOOKUP($E1392,'[1]Product Naming'!$A$1:$P$58,4)</f>
        <v>E</v>
      </c>
      <c r="V1392" s="1" t="str">
        <f>VLOOKUP($E1392,'[1]Product Naming'!$A$1:$P$58,5)</f>
        <v>C6H6O2</v>
      </c>
      <c r="W1392" s="1">
        <f>VLOOKUP($E1392,'[1]Product Naming'!$A$1:$P$58,6)</f>
        <v>6</v>
      </c>
      <c r="X1392" s="1">
        <f>VLOOKUP($E1392,'[1]Product Naming'!$A$1:$P$58,7)</f>
        <v>6</v>
      </c>
      <c r="Y1392" s="1">
        <f>VLOOKUP($E1392,'[1]Product Naming'!$A$1:$P$58,8)</f>
        <v>2</v>
      </c>
      <c r="Z1392" s="1">
        <f>VLOOKUP($E1392,'[1]Product Naming'!$A$1:$P$58,9)</f>
        <v>0</v>
      </c>
      <c r="AA1392" s="1">
        <f>VLOOKUP($E1392,'[1]Product Naming'!$A$1:$P$58,10)</f>
        <v>0</v>
      </c>
      <c r="AB1392" s="27">
        <f>VLOOKUP($E1392,'[1]Product Naming'!$A$1:$P$58,11)</f>
        <v>4.333333333333333</v>
      </c>
      <c r="AC1392" s="3">
        <f>VLOOKUP($E1392,'[1]Product Naming'!$A$1:$P$58,12)</f>
        <v>110.10924</v>
      </c>
      <c r="AD1392" s="1">
        <f>VLOOKUP($E1392,'[1]Product Naming'!$A$1:$P$58,13)</f>
        <v>245</v>
      </c>
      <c r="AE1392" s="1" t="str">
        <f>VLOOKUP($E1392,'[1]Product Naming'!$A$1:$P$58,14)</f>
        <v>Aromatic + Diol</v>
      </c>
      <c r="AF1392" s="1" t="str">
        <f>VLOOKUP($E1392,'[1]Product Naming'!$A$1:$P$58,15)</f>
        <v>Glyceraldehyde 3-P</v>
      </c>
      <c r="AG1392" s="28" t="str">
        <f>VLOOKUP($E1392,'[1]Product Naming'!$A$1:$P$58,16)</f>
        <v>Proton symporter</v>
      </c>
      <c r="AH1392" s="3" t="str">
        <f>VLOOKUP($E1392,'[1]Product Naming'!$A$1:$Q$58,17)</f>
        <v>catechol_c</v>
      </c>
    </row>
    <row r="1393" spans="1:34" hidden="1" x14ac:dyDescent="0.2">
      <c r="A1393" s="16" t="s">
        <v>63</v>
      </c>
      <c r="B1393" s="17" t="s">
        <v>64</v>
      </c>
      <c r="C1393" t="s">
        <v>73</v>
      </c>
      <c r="D1393" s="18" t="s">
        <v>66</v>
      </c>
      <c r="E1393" t="s">
        <v>172</v>
      </c>
      <c r="F1393" t="s">
        <v>173</v>
      </c>
      <c r="G1393">
        <v>-10</v>
      </c>
      <c r="H1393">
        <v>0</v>
      </c>
      <c r="I1393">
        <v>-20</v>
      </c>
      <c r="J1393">
        <v>0.45</v>
      </c>
      <c r="K1393">
        <v>-10</v>
      </c>
      <c r="L1393">
        <v>0</v>
      </c>
      <c r="M1393">
        <v>-18.106122448979601</v>
      </c>
      <c r="N1393">
        <v>0</v>
      </c>
      <c r="O1393">
        <v>0.473469387755102</v>
      </c>
      <c r="P1393"/>
      <c r="Q1393">
        <v>4.7346938775510203E-2</v>
      </c>
      <c r="R1393" s="19">
        <v>8.9677231595191503E-2</v>
      </c>
      <c r="S1393" s="20" t="s">
        <v>172</v>
      </c>
      <c r="T1393" s="3" t="s">
        <v>172</v>
      </c>
      <c r="U1393" s="3" t="s">
        <v>174</v>
      </c>
      <c r="V1393" s="3" t="s">
        <v>175</v>
      </c>
      <c r="W1393" s="3">
        <v>6</v>
      </c>
      <c r="X1393" s="3">
        <v>6</v>
      </c>
      <c r="Y1393" s="3">
        <v>1</v>
      </c>
      <c r="Z1393" s="3">
        <v>0</v>
      </c>
      <c r="AA1393" s="3">
        <v>0</v>
      </c>
      <c r="AB1393" s="12">
        <f>(W1393*4+X1393*1+Y1393*-2+Z1393*-3)/W1393</f>
        <v>4.666666666666667</v>
      </c>
      <c r="AC1393" s="3">
        <f>W1393*12.0107+X1393*1.00784+Y1393*15.999+Z1393*14.0067</f>
        <v>94.11023999999999</v>
      </c>
      <c r="AD1393" s="12">
        <v>181.7</v>
      </c>
      <c r="AE1393" s="3" t="s">
        <v>176</v>
      </c>
      <c r="AF1393" s="2" t="s">
        <v>150</v>
      </c>
      <c r="AG1393" s="2" t="str">
        <f>IF(AD1393&gt;37,"Proton symporter", "Diffusion")</f>
        <v>Proton symporter</v>
      </c>
      <c r="AH1393" s="3" t="s">
        <v>177</v>
      </c>
    </row>
    <row r="1394" spans="1:34" hidden="1" x14ac:dyDescent="0.2">
      <c r="A1394" s="8" t="s">
        <v>34</v>
      </c>
      <c r="B1394" s="9" t="s">
        <v>35</v>
      </c>
      <c r="C1394" s="1" t="s">
        <v>50</v>
      </c>
      <c r="D1394" s="13" t="s">
        <v>51</v>
      </c>
      <c r="E1394" s="1" t="s">
        <v>161</v>
      </c>
      <c r="F1394" s="1" t="s">
        <v>162</v>
      </c>
      <c r="G1394" s="1">
        <v>-10</v>
      </c>
      <c r="H1394" s="1">
        <v>-20</v>
      </c>
      <c r="I1394" s="1" t="s">
        <v>40</v>
      </c>
      <c r="J1394" s="1">
        <v>3.15</v>
      </c>
      <c r="K1394" s="1">
        <v>-10</v>
      </c>
      <c r="L1394" s="1">
        <v>-2.5740157480314898</v>
      </c>
      <c r="M1394" s="1" t="s">
        <v>40</v>
      </c>
      <c r="N1394" s="1">
        <v>7.76062992125983</v>
      </c>
      <c r="O1394" s="1">
        <v>0.373228346456695</v>
      </c>
      <c r="Q1394" s="1">
        <v>3.7322834645669503E-2</v>
      </c>
      <c r="R1394" s="1">
        <v>8.9281439714451905E-2</v>
      </c>
      <c r="S1394" s="20" t="s">
        <v>161</v>
      </c>
      <c r="T1394" s="3" t="s">
        <v>161</v>
      </c>
      <c r="U1394" s="3" t="s">
        <v>106</v>
      </c>
      <c r="V1394" s="20" t="s">
        <v>163</v>
      </c>
      <c r="W1394" s="3">
        <v>6</v>
      </c>
      <c r="X1394" s="3">
        <v>6</v>
      </c>
      <c r="Y1394" s="3">
        <v>2</v>
      </c>
      <c r="Z1394" s="3">
        <v>0</v>
      </c>
      <c r="AA1394" s="3">
        <v>0</v>
      </c>
      <c r="AB1394" s="12">
        <f>(W1394*4+X1394*1+Y1394*-2+Z1394*-3)/W1394</f>
        <v>4.333333333333333</v>
      </c>
      <c r="AC1394" s="3">
        <f>W1394*12.0107+X1394*1.00784+Y1394*15.999+Z1394*14.0067</f>
        <v>110.10924</v>
      </c>
      <c r="AD1394" s="12">
        <v>245</v>
      </c>
      <c r="AE1394" s="3" t="s">
        <v>164</v>
      </c>
      <c r="AF1394" s="2" t="s">
        <v>98</v>
      </c>
      <c r="AG1394" s="2" t="str">
        <f>IF(AD1394&gt;37,"Proton symporter", "Diffusion")</f>
        <v>Proton symporter</v>
      </c>
      <c r="AH1394" s="3" t="s">
        <v>165</v>
      </c>
    </row>
    <row r="1395" spans="1:34" hidden="1" x14ac:dyDescent="0.2">
      <c r="A1395" s="8" t="s">
        <v>34</v>
      </c>
      <c r="B1395" s="9" t="s">
        <v>35</v>
      </c>
      <c r="C1395" s="1" t="s">
        <v>50</v>
      </c>
      <c r="D1395" s="13" t="s">
        <v>51</v>
      </c>
      <c r="E1395" s="1" t="s">
        <v>244</v>
      </c>
      <c r="F1395" s="1" t="s">
        <v>245</v>
      </c>
      <c r="G1395" s="1">
        <v>-10</v>
      </c>
      <c r="H1395" s="1">
        <v>-20</v>
      </c>
      <c r="I1395" s="1" t="s">
        <v>40</v>
      </c>
      <c r="J1395" s="1">
        <v>3.15</v>
      </c>
      <c r="K1395" s="1">
        <v>-10</v>
      </c>
      <c r="L1395" s="1">
        <v>-2.4932692307692199</v>
      </c>
      <c r="M1395" s="1" t="s">
        <v>40</v>
      </c>
      <c r="N1395" s="1">
        <v>8.1769230769230692</v>
      </c>
      <c r="O1395" s="1">
        <v>0.45576923076922699</v>
      </c>
      <c r="Q1395" s="1">
        <v>4.5576923076922703E-2</v>
      </c>
      <c r="R1395" s="1">
        <v>8.9232925034191404E-2</v>
      </c>
      <c r="S1395" s="20" t="s">
        <v>246</v>
      </c>
      <c r="T1395" s="3" t="s">
        <v>247</v>
      </c>
      <c r="U1395" s="3" t="s">
        <v>106</v>
      </c>
      <c r="V1395" s="3" t="s">
        <v>238</v>
      </c>
      <c r="W1395" s="3">
        <v>4</v>
      </c>
      <c r="X1395" s="3">
        <v>10</v>
      </c>
      <c r="Y1395" s="3">
        <v>2</v>
      </c>
      <c r="Z1395" s="3">
        <v>0</v>
      </c>
      <c r="AA1395" s="3">
        <v>0</v>
      </c>
      <c r="AB1395" s="12">
        <f>(W1395*4+X1395*1+Y1395*-2+Z1395*-3)/W1395</f>
        <v>5.5</v>
      </c>
      <c r="AC1395" s="3">
        <f>W1395*12.0107+X1395*1.00784+Y1395*15.999+Z1395*14.0067</f>
        <v>90.119200000000006</v>
      </c>
      <c r="AD1395" s="12">
        <v>230</v>
      </c>
      <c r="AE1395" s="2" t="s">
        <v>220</v>
      </c>
      <c r="AF1395" s="3" t="s">
        <v>120</v>
      </c>
      <c r="AG1395" s="2" t="str">
        <f>IF(AD1395&gt;37,"Proton symporter", "Diffusion")</f>
        <v>Proton symporter</v>
      </c>
      <c r="AH1395" s="3" t="s">
        <v>248</v>
      </c>
    </row>
    <row r="1396" spans="1:34" hidden="1" x14ac:dyDescent="0.2">
      <c r="A1396" s="8" t="s">
        <v>34</v>
      </c>
      <c r="B1396" s="9" t="s">
        <v>35</v>
      </c>
      <c r="C1396" s="1" t="s">
        <v>50</v>
      </c>
      <c r="D1396" s="13" t="s">
        <v>51</v>
      </c>
      <c r="E1396" s="1" t="s">
        <v>146</v>
      </c>
      <c r="F1396" s="1" t="s">
        <v>147</v>
      </c>
      <c r="G1396" s="1">
        <v>-10</v>
      </c>
      <c r="H1396" s="1">
        <v>-20</v>
      </c>
      <c r="I1396" s="1" t="s">
        <v>40</v>
      </c>
      <c r="J1396" s="1">
        <v>3.15</v>
      </c>
      <c r="K1396" s="1">
        <v>-10</v>
      </c>
      <c r="L1396" s="1">
        <v>-2.6174603174603202</v>
      </c>
      <c r="M1396" s="1" t="s">
        <v>40</v>
      </c>
      <c r="N1396" s="1">
        <v>7.7428571428571402</v>
      </c>
      <c r="O1396" s="1">
        <v>0.25079365079365001</v>
      </c>
      <c r="Q1396" s="1">
        <v>2.5079365079365E-2</v>
      </c>
      <c r="R1396" s="1">
        <v>8.8891773299224E-2</v>
      </c>
      <c r="S1396" s="20" t="s">
        <v>148</v>
      </c>
      <c r="T1396" s="3" t="s">
        <v>148</v>
      </c>
      <c r="U1396" s="3" t="s">
        <v>106</v>
      </c>
      <c r="V1396" s="3" t="s">
        <v>149</v>
      </c>
      <c r="W1396" s="3">
        <v>9</v>
      </c>
      <c r="X1396" s="3">
        <v>7</v>
      </c>
      <c r="Y1396" s="3">
        <v>3</v>
      </c>
      <c r="Z1396" s="3">
        <v>0</v>
      </c>
      <c r="AA1396" s="3">
        <v>-1</v>
      </c>
      <c r="AB1396" s="12">
        <f>(W1396*4+X1396*1+Y1396*-2+Z1396*-3)/W1396</f>
        <v>4.1111111111111107</v>
      </c>
      <c r="AC1396" s="3">
        <f>W1396*12.0107+X1396*1.00784+Y1396*15.999+Z1396*14.0067</f>
        <v>163.14818</v>
      </c>
      <c r="AD1396" s="12">
        <v>346</v>
      </c>
      <c r="AE1396" s="22" t="s">
        <v>139</v>
      </c>
      <c r="AF1396" s="2" t="s">
        <v>150</v>
      </c>
      <c r="AG1396" s="2" t="str">
        <f>IF(AD1396&gt;37,"Proton symporter", "Diffusion")</f>
        <v>Proton symporter</v>
      </c>
      <c r="AH1396" s="3" t="s">
        <v>151</v>
      </c>
    </row>
    <row r="1397" spans="1:34" hidden="1" x14ac:dyDescent="0.2">
      <c r="A1397" s="8" t="s">
        <v>34</v>
      </c>
      <c r="B1397" s="9" t="s">
        <v>35</v>
      </c>
      <c r="C1397" s="1" t="s">
        <v>50</v>
      </c>
      <c r="D1397" s="13" t="s">
        <v>51</v>
      </c>
      <c r="E1397" s="1" t="s">
        <v>189</v>
      </c>
      <c r="F1397" s="1" t="s">
        <v>190</v>
      </c>
      <c r="G1397" s="1">
        <v>-10</v>
      </c>
      <c r="H1397" s="1">
        <v>-20</v>
      </c>
      <c r="I1397" s="1" t="s">
        <v>40</v>
      </c>
      <c r="J1397" s="1">
        <v>3.15</v>
      </c>
      <c r="K1397" s="1">
        <v>-10</v>
      </c>
      <c r="L1397" s="1">
        <v>-2.9088235294117601</v>
      </c>
      <c r="M1397" s="1" t="s">
        <v>40</v>
      </c>
      <c r="N1397" s="1">
        <v>8.2573529411764692</v>
      </c>
      <c r="O1397" s="1">
        <v>0.34852941176470498</v>
      </c>
      <c r="Q1397" s="1">
        <v>3.4852941176470503E-2</v>
      </c>
      <c r="R1397" s="1">
        <v>8.8700059884739002E-2</v>
      </c>
      <c r="S1397" s="11" t="s">
        <v>189</v>
      </c>
      <c r="T1397" s="2" t="s">
        <v>189</v>
      </c>
      <c r="U1397" s="3" t="s">
        <v>41</v>
      </c>
      <c r="V1397" s="2" t="s">
        <v>191</v>
      </c>
      <c r="W1397" s="2">
        <v>5</v>
      </c>
      <c r="X1397" s="2">
        <v>11</v>
      </c>
      <c r="Y1397" s="2">
        <v>2</v>
      </c>
      <c r="Z1397" s="2">
        <v>1</v>
      </c>
      <c r="AA1397" s="2">
        <v>0</v>
      </c>
      <c r="AB1397" s="12">
        <f>(W1397*4+X1397*1+Y1397*-2+Z1397*-3)/W1397</f>
        <v>4.8</v>
      </c>
      <c r="AC1397" s="3">
        <f>W1397*12.0107+X1397*1.00784+Y1397*15.999+Z1397*14.0067</f>
        <v>117.14444</v>
      </c>
      <c r="AD1397" s="12">
        <v>247.5</v>
      </c>
      <c r="AE1397" s="2" t="s">
        <v>192</v>
      </c>
      <c r="AF1397" s="2" t="s">
        <v>44</v>
      </c>
      <c r="AG1397" s="2" t="str">
        <f>IF(AD1397&gt;37,"Proton symporter", "Diffusion")</f>
        <v>Proton symporter</v>
      </c>
      <c r="AH1397" s="3" t="s">
        <v>193</v>
      </c>
    </row>
    <row r="1398" spans="1:34" hidden="1" x14ac:dyDescent="0.2">
      <c r="A1398" s="16" t="s">
        <v>63</v>
      </c>
      <c r="B1398" s="17" t="s">
        <v>64</v>
      </c>
      <c r="C1398" t="s">
        <v>71</v>
      </c>
      <c r="D1398" s="18" t="s">
        <v>66</v>
      </c>
      <c r="E1398" t="s">
        <v>268</v>
      </c>
      <c r="F1398" t="s">
        <v>269</v>
      </c>
      <c r="G1398">
        <v>-10</v>
      </c>
      <c r="H1398">
        <v>0</v>
      </c>
      <c r="I1398">
        <v>-5</v>
      </c>
      <c r="J1398">
        <v>0.45</v>
      </c>
      <c r="K1398">
        <v>-10</v>
      </c>
      <c r="L1398">
        <v>0</v>
      </c>
      <c r="M1398">
        <v>-5</v>
      </c>
      <c r="N1398">
        <v>3.7041666666666702</v>
      </c>
      <c r="O1398">
        <v>0.30104166666666698</v>
      </c>
      <c r="P1398"/>
      <c r="Q1398">
        <v>3.0104166666666699E-2</v>
      </c>
      <c r="R1398">
        <v>8.7185351898542193E-2</v>
      </c>
      <c r="S1398" s="3" t="s">
        <v>268</v>
      </c>
      <c r="T1398" s="3" t="s">
        <v>268</v>
      </c>
      <c r="U1398" s="3" t="s">
        <v>106</v>
      </c>
      <c r="V1398" s="3" t="s">
        <v>270</v>
      </c>
      <c r="W1398" s="3">
        <v>10</v>
      </c>
      <c r="X1398" s="3">
        <v>16</v>
      </c>
      <c r="Y1398" s="3">
        <v>0</v>
      </c>
      <c r="Z1398" s="3">
        <v>0</v>
      </c>
      <c r="AA1398" s="3">
        <v>0</v>
      </c>
      <c r="AB1398" s="12">
        <f>(W1398*4+X1398*1+Y1398*-2+Z1398*-3)/W1398</f>
        <v>5.6</v>
      </c>
      <c r="AC1398" s="3">
        <f>W1398*12.0107+X1398*1.00784+Y1398*15.999+Z1398*14.0067</f>
        <v>136.23244</v>
      </c>
      <c r="AD1398" s="12">
        <v>176</v>
      </c>
      <c r="AE1398" s="3" t="s">
        <v>271</v>
      </c>
      <c r="AF1398" s="3" t="s">
        <v>79</v>
      </c>
      <c r="AG1398" s="2" t="str">
        <f>IF(AD1398&gt;37,"Proton symporter", "Diffusion")</f>
        <v>Proton symporter</v>
      </c>
      <c r="AH1398" s="3" t="s">
        <v>272</v>
      </c>
    </row>
    <row r="1399" spans="1:34" hidden="1" x14ac:dyDescent="0.2">
      <c r="A1399" s="16" t="s">
        <v>63</v>
      </c>
      <c r="B1399" s="17" t="s">
        <v>64</v>
      </c>
      <c r="C1399" t="s">
        <v>65</v>
      </c>
      <c r="D1399" s="18" t="s">
        <v>66</v>
      </c>
      <c r="E1399" t="s">
        <v>178</v>
      </c>
      <c r="F1399" t="s">
        <v>179</v>
      </c>
      <c r="G1399">
        <v>-10</v>
      </c>
      <c r="H1399">
        <v>0</v>
      </c>
      <c r="I1399">
        <v>0</v>
      </c>
      <c r="J1399">
        <v>0.45</v>
      </c>
      <c r="K1399">
        <v>-10</v>
      </c>
      <c r="L1399">
        <v>0</v>
      </c>
      <c r="M1399">
        <v>0</v>
      </c>
      <c r="N1399">
        <v>5.3042654028436003</v>
      </c>
      <c r="O1399">
        <v>0.202843601895735</v>
      </c>
      <c r="P1399"/>
      <c r="Q1399">
        <v>2.0284360189574E-2</v>
      </c>
      <c r="R1399">
        <v>8.7008622445267997E-2</v>
      </c>
      <c r="S1399" s="20" t="s">
        <v>178</v>
      </c>
      <c r="T1399" s="3" t="s">
        <v>178</v>
      </c>
      <c r="U1399" s="3" t="s">
        <v>106</v>
      </c>
      <c r="V1399" s="3" t="s">
        <v>180</v>
      </c>
      <c r="W1399" s="3">
        <v>8</v>
      </c>
      <c r="X1399" s="3">
        <v>8</v>
      </c>
      <c r="Y1399" s="3">
        <v>1</v>
      </c>
      <c r="Z1399" s="3">
        <v>0</v>
      </c>
      <c r="AA1399" s="3">
        <v>0</v>
      </c>
      <c r="AB1399" s="12">
        <f>(W1399*4+X1399*1+Y1399*-2+Z1399*-3)/W1399</f>
        <v>4.75</v>
      </c>
      <c r="AC1399" s="3">
        <f>W1399*12.0107+X1399*1.00784+Y1399*15.999+Z1399*14.0067</f>
        <v>120.14731999999999</v>
      </c>
      <c r="AD1399" s="12">
        <v>229</v>
      </c>
      <c r="AE1399" s="3" t="s">
        <v>176</v>
      </c>
      <c r="AF1399" s="2" t="s">
        <v>150</v>
      </c>
      <c r="AG1399" s="2" t="str">
        <f>IF(AD1399&gt;37,"Proton symporter", "Diffusion")</f>
        <v>Proton symporter</v>
      </c>
      <c r="AH1399" s="3" t="s">
        <v>181</v>
      </c>
    </row>
    <row r="1400" spans="1:34" hidden="1" x14ac:dyDescent="0.2">
      <c r="A1400" s="8" t="s">
        <v>368</v>
      </c>
      <c r="B1400" s="17" t="s">
        <v>64</v>
      </c>
      <c r="C1400" t="s">
        <v>369</v>
      </c>
      <c r="D1400" s="18" t="s">
        <v>66</v>
      </c>
      <c r="E1400" t="s">
        <v>268</v>
      </c>
      <c r="F1400" t="s">
        <v>269</v>
      </c>
      <c r="G1400">
        <v>-10</v>
      </c>
      <c r="H1400">
        <v>0</v>
      </c>
      <c r="I1400">
        <v>-20</v>
      </c>
      <c r="J1400">
        <v>0.45</v>
      </c>
      <c r="K1400">
        <v>-8.8999999999999897</v>
      </c>
      <c r="L1400">
        <v>0</v>
      </c>
      <c r="M1400">
        <v>-20</v>
      </c>
      <c r="N1400">
        <v>-8.8999999999999897</v>
      </c>
      <c r="O1400">
        <v>0.27499999999999902</v>
      </c>
      <c r="P1400"/>
      <c r="Q1400">
        <v>3.0898876404494301E-2</v>
      </c>
      <c r="R1400">
        <v>8.67202326803376E-2</v>
      </c>
      <c r="S1400" s="1" t="str">
        <f>VLOOKUP($E1400,'[1]Product Naming'!$A$1:$P$58,2)</f>
        <v>Limonene</v>
      </c>
      <c r="T1400" s="1" t="str">
        <f>VLOOKUP($E1400,'[1]Product Naming'!$A$1:$P$58,3)</f>
        <v>Limonene</v>
      </c>
      <c r="U1400" s="1" t="str">
        <f>VLOOKUP($E1400,'[1]Product Naming'!$A$1:$P$58,4)</f>
        <v>E</v>
      </c>
      <c r="V1400" s="1" t="str">
        <f>VLOOKUP($E1400,'[1]Product Naming'!$A$1:$P$58,5)</f>
        <v>C10H16</v>
      </c>
      <c r="W1400" s="1">
        <f>VLOOKUP($E1400,'[1]Product Naming'!$A$1:$P$58,6)</f>
        <v>10</v>
      </c>
      <c r="X1400" s="1">
        <f>VLOOKUP($E1400,'[1]Product Naming'!$A$1:$P$58,7)</f>
        <v>16</v>
      </c>
      <c r="Y1400" s="1">
        <f>VLOOKUP($E1400,'[1]Product Naming'!$A$1:$P$58,8)</f>
        <v>0</v>
      </c>
      <c r="Z1400" s="1">
        <f>VLOOKUP($E1400,'[1]Product Naming'!$A$1:$P$58,9)</f>
        <v>0</v>
      </c>
      <c r="AA1400" s="1">
        <f>VLOOKUP($E1400,'[1]Product Naming'!$A$1:$P$58,10)</f>
        <v>0</v>
      </c>
      <c r="AB1400" s="27">
        <f>VLOOKUP($E1400,'[1]Product Naming'!$A$1:$P$58,11)</f>
        <v>5.6</v>
      </c>
      <c r="AC1400" s="3">
        <f>VLOOKUP($E1400,'[1]Product Naming'!$A$1:$P$58,12)</f>
        <v>136.23244</v>
      </c>
      <c r="AD1400" s="1">
        <f>VLOOKUP($E1400,'[1]Product Naming'!$A$1:$P$58,13)</f>
        <v>176</v>
      </c>
      <c r="AE1400" s="1" t="str">
        <f>VLOOKUP($E1400,'[1]Product Naming'!$A$1:$P$58,14)</f>
        <v>Isoprenoid; Aromatic (Cycloalkane)</v>
      </c>
      <c r="AF1400" s="1" t="str">
        <f>VLOOKUP($E1400,'[1]Product Naming'!$A$1:$P$58,15)</f>
        <v>Acetyl-CoA</v>
      </c>
      <c r="AG1400" s="28" t="str">
        <f>VLOOKUP($E1400,'[1]Product Naming'!$A$1:$P$58,16)</f>
        <v>Proton symporter</v>
      </c>
      <c r="AH1400" s="3" t="str">
        <f>VLOOKUP($E1400,'[1]Product Naming'!$A$1:$Q$58,17)</f>
        <v>limnen_c</v>
      </c>
    </row>
    <row r="1401" spans="1:34" hidden="1" x14ac:dyDescent="0.2">
      <c r="A1401" s="16" t="s">
        <v>63</v>
      </c>
      <c r="B1401" s="17" t="s">
        <v>64</v>
      </c>
      <c r="C1401" t="s">
        <v>71</v>
      </c>
      <c r="D1401" s="18" t="s">
        <v>66</v>
      </c>
      <c r="E1401" t="s">
        <v>254</v>
      </c>
      <c r="F1401" t="s">
        <v>255</v>
      </c>
      <c r="G1401">
        <v>-10</v>
      </c>
      <c r="H1401">
        <v>0</v>
      </c>
      <c r="I1401">
        <v>-5</v>
      </c>
      <c r="J1401">
        <v>0.45</v>
      </c>
      <c r="K1401">
        <v>-10</v>
      </c>
      <c r="L1401">
        <v>0</v>
      </c>
      <c r="M1401">
        <v>-5</v>
      </c>
      <c r="N1401">
        <v>3.6958620689655199</v>
      </c>
      <c r="O1401">
        <v>0.199310344827588</v>
      </c>
      <c r="P1401"/>
      <c r="Q1401">
        <v>1.9931034482758798E-2</v>
      </c>
      <c r="R1401">
        <v>8.6584073609587503E-2</v>
      </c>
      <c r="S1401" s="11" t="s">
        <v>254</v>
      </c>
      <c r="T1401" s="2" t="s">
        <v>254</v>
      </c>
      <c r="U1401" s="3" t="s">
        <v>41</v>
      </c>
      <c r="V1401" s="2" t="s">
        <v>256</v>
      </c>
      <c r="W1401" s="2">
        <v>15</v>
      </c>
      <c r="X1401" s="2">
        <v>24</v>
      </c>
      <c r="Y1401" s="2">
        <v>0</v>
      </c>
      <c r="Z1401" s="2">
        <v>0</v>
      </c>
      <c r="AA1401" s="2">
        <v>0</v>
      </c>
      <c r="AB1401" s="12">
        <f>(W1401*4+X1401*1+Y1401*-2+Z1401*-3)/W1401+0.01</f>
        <v>5.6099999999999994</v>
      </c>
      <c r="AC1401" s="3">
        <f>W1401*12.0107+X1401*1.00784+Y1401*15.999+Z1401*14.0067</f>
        <v>204.34866000000002</v>
      </c>
      <c r="AD1401" s="12" t="s">
        <v>257</v>
      </c>
      <c r="AE1401" s="2" t="s">
        <v>231</v>
      </c>
      <c r="AF1401" s="2" t="s">
        <v>79</v>
      </c>
      <c r="AG1401" s="2" t="str">
        <f>IF(AD1401&gt;37,"Proton symporter", "Diffusion")</f>
        <v>Proton symporter</v>
      </c>
      <c r="AH1401" s="3" t="s">
        <v>258</v>
      </c>
    </row>
    <row r="1402" spans="1:34" hidden="1" x14ac:dyDescent="0.2">
      <c r="A1402" s="16" t="s">
        <v>63</v>
      </c>
      <c r="B1402" s="17" t="s">
        <v>64</v>
      </c>
      <c r="C1402" t="s">
        <v>72</v>
      </c>
      <c r="D1402" s="18" t="s">
        <v>66</v>
      </c>
      <c r="E1402" t="s">
        <v>178</v>
      </c>
      <c r="F1402" t="s">
        <v>179</v>
      </c>
      <c r="G1402">
        <v>-10</v>
      </c>
      <c r="H1402">
        <v>0</v>
      </c>
      <c r="I1402">
        <v>-10</v>
      </c>
      <c r="J1402">
        <v>0.45</v>
      </c>
      <c r="K1402">
        <v>-10</v>
      </c>
      <c r="L1402">
        <v>0</v>
      </c>
      <c r="M1402">
        <v>-10</v>
      </c>
      <c r="N1402">
        <v>0.51753554502369803</v>
      </c>
      <c r="O1402">
        <v>0.34502369668246402</v>
      </c>
      <c r="P1402"/>
      <c r="Q1402">
        <v>3.4502369668246997E-2</v>
      </c>
      <c r="R1402">
        <v>8.6272669268612004E-2</v>
      </c>
      <c r="S1402" s="20" t="s">
        <v>178</v>
      </c>
      <c r="T1402" s="3" t="s">
        <v>178</v>
      </c>
      <c r="U1402" s="3" t="s">
        <v>106</v>
      </c>
      <c r="V1402" s="3" t="s">
        <v>180</v>
      </c>
      <c r="W1402" s="3">
        <v>8</v>
      </c>
      <c r="X1402" s="3">
        <v>8</v>
      </c>
      <c r="Y1402" s="3">
        <v>1</v>
      </c>
      <c r="Z1402" s="3">
        <v>0</v>
      </c>
      <c r="AA1402" s="3">
        <v>0</v>
      </c>
      <c r="AB1402" s="12">
        <f>(W1402*4+X1402*1+Y1402*-2+Z1402*-3)/W1402</f>
        <v>4.75</v>
      </c>
      <c r="AC1402" s="3">
        <f>W1402*12.0107+X1402*1.00784+Y1402*15.999+Z1402*14.0067</f>
        <v>120.14731999999999</v>
      </c>
      <c r="AD1402" s="12">
        <v>229</v>
      </c>
      <c r="AE1402" s="3" t="s">
        <v>176</v>
      </c>
      <c r="AF1402" s="2" t="s">
        <v>150</v>
      </c>
      <c r="AG1402" s="2" t="str">
        <f>IF(AD1402&gt;37,"Proton symporter", "Diffusion")</f>
        <v>Proton symporter</v>
      </c>
      <c r="AH1402" s="3" t="s">
        <v>181</v>
      </c>
    </row>
    <row r="1403" spans="1:34" x14ac:dyDescent="0.2">
      <c r="A1403" s="8" t="s">
        <v>34</v>
      </c>
      <c r="B1403" s="9" t="s">
        <v>35</v>
      </c>
      <c r="C1403" s="1" t="s">
        <v>52</v>
      </c>
      <c r="D1403" s="13" t="s">
        <v>51</v>
      </c>
      <c r="E1403" s="1" t="s">
        <v>216</v>
      </c>
      <c r="F1403" s="1" t="s">
        <v>217</v>
      </c>
      <c r="G1403" s="1">
        <v>-10</v>
      </c>
      <c r="H1403" s="1">
        <v>-20</v>
      </c>
      <c r="I1403" s="1" t="s">
        <v>40</v>
      </c>
      <c r="J1403" s="1">
        <v>3.15</v>
      </c>
      <c r="K1403" s="1">
        <v>-10</v>
      </c>
      <c r="L1403" s="1">
        <v>-2.9164835164835101</v>
      </c>
      <c r="M1403" s="1" t="s">
        <v>40</v>
      </c>
      <c r="N1403" s="1">
        <v>8.4373626373626305</v>
      </c>
      <c r="O1403" s="1">
        <v>0.52087912087912103</v>
      </c>
      <c r="Q1403" s="1">
        <v>5.2087912087912101E-2</v>
      </c>
      <c r="R1403" s="1">
        <v>8.6107985267769402E-2</v>
      </c>
      <c r="S1403" s="11" t="s">
        <v>216</v>
      </c>
      <c r="T1403" s="2" t="s">
        <v>218</v>
      </c>
      <c r="U1403" s="3" t="s">
        <v>41</v>
      </c>
      <c r="V1403" s="2" t="s">
        <v>219</v>
      </c>
      <c r="W1403" s="2">
        <v>3</v>
      </c>
      <c r="X1403" s="2">
        <v>8</v>
      </c>
      <c r="Y1403" s="2">
        <v>2</v>
      </c>
      <c r="Z1403" s="2">
        <v>0</v>
      </c>
      <c r="AA1403" s="2">
        <v>0</v>
      </c>
      <c r="AB1403" s="12">
        <f>(W1403*4+X1403*1+Y1403*-2+Z1403*-3)/W1403</f>
        <v>5.333333333333333</v>
      </c>
      <c r="AC1403" s="3">
        <f>W1403*12.0107+X1403*1.00784+Y1403*15.999+Z1403*14.0067</f>
        <v>76.092820000000003</v>
      </c>
      <c r="AD1403" s="12">
        <v>213</v>
      </c>
      <c r="AE1403" s="2" t="s">
        <v>220</v>
      </c>
      <c r="AF1403" s="2" t="s">
        <v>98</v>
      </c>
      <c r="AG1403" s="2" t="str">
        <f>IF(AD1403&gt;37,"Proton symporter", "Diffusion")</f>
        <v>Proton symporter</v>
      </c>
      <c r="AH1403" s="3" t="s">
        <v>221</v>
      </c>
    </row>
    <row r="1404" spans="1:34" hidden="1" x14ac:dyDescent="0.2">
      <c r="A1404" s="16" t="s">
        <v>63</v>
      </c>
      <c r="B1404" s="17" t="s">
        <v>64</v>
      </c>
      <c r="C1404" t="s">
        <v>65</v>
      </c>
      <c r="D1404" s="18" t="s">
        <v>66</v>
      </c>
      <c r="E1404" t="s">
        <v>152</v>
      </c>
      <c r="F1404" t="s">
        <v>153</v>
      </c>
      <c r="G1404">
        <v>-10</v>
      </c>
      <c r="H1404">
        <v>0</v>
      </c>
      <c r="I1404">
        <v>0</v>
      </c>
      <c r="J1404">
        <v>0.45</v>
      </c>
      <c r="K1404">
        <v>-10</v>
      </c>
      <c r="L1404">
        <v>0</v>
      </c>
      <c r="M1404">
        <v>0</v>
      </c>
      <c r="N1404">
        <v>5.0995348837209296</v>
      </c>
      <c r="O1404">
        <v>0.199069767441861</v>
      </c>
      <c r="P1404"/>
      <c r="Q1404">
        <v>1.9906976744186001E-2</v>
      </c>
      <c r="R1404">
        <v>8.6075535813621998E-2</v>
      </c>
      <c r="S1404" s="11" t="s">
        <v>152</v>
      </c>
      <c r="T1404" s="2" t="s">
        <v>154</v>
      </c>
      <c r="U1404" s="3" t="s">
        <v>41</v>
      </c>
      <c r="V1404" s="2" t="s">
        <v>155</v>
      </c>
      <c r="W1404" s="2">
        <v>7</v>
      </c>
      <c r="X1404" s="2">
        <v>5</v>
      </c>
      <c r="Y1404" s="2">
        <v>2</v>
      </c>
      <c r="Z1404" s="2">
        <v>0</v>
      </c>
      <c r="AA1404" s="2">
        <v>0</v>
      </c>
      <c r="AB1404" s="12">
        <f>(W1404*4+X1404*1+Y1404*-2+Z1404*-3)/W1404</f>
        <v>4.1428571428571432</v>
      </c>
      <c r="AC1404" s="3">
        <f>W1404*12.0107+X1404*1.00784+Y1404*15.999+Z1404*14.0067</f>
        <v>121.1121</v>
      </c>
      <c r="AD1404" s="12">
        <v>249.2</v>
      </c>
      <c r="AE1404" s="2" t="s">
        <v>156</v>
      </c>
      <c r="AF1404" s="2" t="s">
        <v>157</v>
      </c>
      <c r="AG1404" s="2" t="str">
        <f>IF(AD1404&gt;37,"Proton symporter", "Diffusion")</f>
        <v>Proton symporter</v>
      </c>
      <c r="AH1404" s="3" t="s">
        <v>158</v>
      </c>
    </row>
    <row r="1405" spans="1:34" hidden="1" x14ac:dyDescent="0.2">
      <c r="A1405" s="8" t="s">
        <v>368</v>
      </c>
      <c r="B1405" s="17" t="s">
        <v>64</v>
      </c>
      <c r="C1405" t="s">
        <v>369</v>
      </c>
      <c r="D1405" s="18" t="s">
        <v>66</v>
      </c>
      <c r="E1405" t="s">
        <v>254</v>
      </c>
      <c r="F1405" t="s">
        <v>255</v>
      </c>
      <c r="G1405">
        <v>-10</v>
      </c>
      <c r="H1405">
        <v>0</v>
      </c>
      <c r="I1405">
        <v>-20</v>
      </c>
      <c r="J1405">
        <v>0.45</v>
      </c>
      <c r="K1405">
        <v>-8.9075862068965499</v>
      </c>
      <c r="L1405">
        <v>0</v>
      </c>
      <c r="M1405">
        <v>-20</v>
      </c>
      <c r="N1405">
        <v>-8.9075862068965499</v>
      </c>
      <c r="O1405">
        <v>0.182068965517239</v>
      </c>
      <c r="P1405"/>
      <c r="Q1405">
        <v>2.0439764633013099E-2</v>
      </c>
      <c r="R1405">
        <v>8.6055655827184593E-2</v>
      </c>
      <c r="S1405" s="1" t="str">
        <f>VLOOKUP($E1405,'[1]Product Naming'!$A$1:$P$58,2)</f>
        <v>Farnesene</v>
      </c>
      <c r="T1405" s="1" t="str">
        <f>VLOOKUP($E1405,'[1]Product Naming'!$A$1:$P$58,3)</f>
        <v>Farnesene</v>
      </c>
      <c r="U1405" s="1" t="str">
        <f>VLOOKUP($E1405,'[1]Product Naming'!$A$1:$P$58,4)</f>
        <v>A</v>
      </c>
      <c r="V1405" s="1" t="str">
        <f>VLOOKUP($E1405,'[1]Product Naming'!$A$1:$P$58,5)</f>
        <v>C15H24</v>
      </c>
      <c r="W1405" s="1">
        <f>VLOOKUP($E1405,'[1]Product Naming'!$A$1:$P$58,6)</f>
        <v>15</v>
      </c>
      <c r="X1405" s="1">
        <f>VLOOKUP($E1405,'[1]Product Naming'!$A$1:$P$58,7)</f>
        <v>24</v>
      </c>
      <c r="Y1405" s="1">
        <f>VLOOKUP($E1405,'[1]Product Naming'!$A$1:$P$58,8)</f>
        <v>0</v>
      </c>
      <c r="Z1405" s="1">
        <f>VLOOKUP($E1405,'[1]Product Naming'!$A$1:$P$58,9)</f>
        <v>0</v>
      </c>
      <c r="AA1405" s="1">
        <f>VLOOKUP($E1405,'[1]Product Naming'!$A$1:$P$58,10)</f>
        <v>0</v>
      </c>
      <c r="AB1405" s="27">
        <f>VLOOKUP($E1405,'[1]Product Naming'!$A$1:$P$58,11)</f>
        <v>5.6</v>
      </c>
      <c r="AC1405" s="3">
        <f>VLOOKUP($E1405,'[1]Product Naming'!$A$1:$P$58,12)</f>
        <v>204.34866000000002</v>
      </c>
      <c r="AD1405" s="1" t="str">
        <f>VLOOKUP($E1405,'[1]Product Naming'!$A$1:$P$58,13)</f>
        <v>260 (A)/272 (B)</v>
      </c>
      <c r="AE1405" s="1" t="str">
        <f>VLOOKUP($E1405,'[1]Product Naming'!$A$1:$P$58,14)</f>
        <v>Hydrocarbon</v>
      </c>
      <c r="AF1405" s="1" t="str">
        <f>VLOOKUP($E1405,'[1]Product Naming'!$A$1:$P$58,15)</f>
        <v>Acetyl-CoA</v>
      </c>
      <c r="AG1405" s="28" t="str">
        <f>VLOOKUP($E1405,'[1]Product Naming'!$A$1:$P$58,16)</f>
        <v>Proton symporter</v>
      </c>
      <c r="AH1405" s="3" t="str">
        <f>VLOOKUP($E1405,'[1]Product Naming'!$A$1:$Q$58,17)</f>
        <v>frene_c</v>
      </c>
    </row>
    <row r="1406" spans="1:34" hidden="1" x14ac:dyDescent="0.2">
      <c r="A1406" s="16" t="s">
        <v>63</v>
      </c>
      <c r="B1406" s="17" t="s">
        <v>64</v>
      </c>
      <c r="C1406" t="s">
        <v>71</v>
      </c>
      <c r="D1406" s="18" t="s">
        <v>66</v>
      </c>
      <c r="E1406" t="s">
        <v>264</v>
      </c>
      <c r="F1406" t="s">
        <v>265</v>
      </c>
      <c r="G1406">
        <v>-10</v>
      </c>
      <c r="H1406">
        <v>0</v>
      </c>
      <c r="I1406">
        <v>-5</v>
      </c>
      <c r="J1406">
        <v>0.45</v>
      </c>
      <c r="K1406">
        <v>-10</v>
      </c>
      <c r="L1406">
        <v>0</v>
      </c>
      <c r="M1406">
        <v>-5</v>
      </c>
      <c r="N1406">
        <v>3.6795918367347</v>
      </c>
      <c r="O1406">
        <v>0.58979591836734702</v>
      </c>
      <c r="P1406"/>
      <c r="Q1406">
        <v>5.8979591836734797E-2</v>
      </c>
      <c r="R1406">
        <v>8.5406059002653703E-2</v>
      </c>
      <c r="S1406" s="20" t="s">
        <v>264</v>
      </c>
      <c r="T1406" s="3" t="s">
        <v>264</v>
      </c>
      <c r="U1406" s="3" t="s">
        <v>106</v>
      </c>
      <c r="V1406" s="3" t="s">
        <v>266</v>
      </c>
      <c r="W1406" s="3">
        <v>5</v>
      </c>
      <c r="X1406" s="3">
        <v>8</v>
      </c>
      <c r="Y1406" s="3">
        <v>0</v>
      </c>
      <c r="Z1406" s="3">
        <v>0</v>
      </c>
      <c r="AA1406" s="3">
        <v>0</v>
      </c>
      <c r="AB1406" s="12">
        <f>(W1406*4+X1406*1+Y1406*-2+Z1406*-3)/W1406</f>
        <v>5.6</v>
      </c>
      <c r="AC1406" s="3">
        <f>W1406*12.0107+X1406*1.00784+Y1406*15.999+Z1406*14.0067</f>
        <v>68.116219999999998</v>
      </c>
      <c r="AD1406" s="24">
        <v>34.07</v>
      </c>
      <c r="AE1406" s="3" t="s">
        <v>231</v>
      </c>
      <c r="AF1406" s="3" t="s">
        <v>79</v>
      </c>
      <c r="AG1406" s="25" t="str">
        <f>IF(AD1406&gt;37,"Proton symporter", "Diffusion")</f>
        <v>Diffusion</v>
      </c>
      <c r="AH1406" s="3" t="s">
        <v>267</v>
      </c>
    </row>
    <row r="1407" spans="1:34" hidden="1" x14ac:dyDescent="0.2">
      <c r="A1407" s="16" t="s">
        <v>63</v>
      </c>
      <c r="B1407" s="17" t="s">
        <v>64</v>
      </c>
      <c r="C1407" t="s">
        <v>72</v>
      </c>
      <c r="D1407" s="18" t="s">
        <v>66</v>
      </c>
      <c r="E1407" t="s">
        <v>152</v>
      </c>
      <c r="F1407" t="s">
        <v>153</v>
      </c>
      <c r="G1407">
        <v>-10</v>
      </c>
      <c r="H1407">
        <v>0</v>
      </c>
      <c r="I1407">
        <v>-10</v>
      </c>
      <c r="J1407">
        <v>0.45</v>
      </c>
      <c r="K1407">
        <v>-10</v>
      </c>
      <c r="L1407">
        <v>0</v>
      </c>
      <c r="M1407">
        <v>-10</v>
      </c>
      <c r="N1407">
        <v>0.16930232558139499</v>
      </c>
      <c r="O1407">
        <v>0.33860465116278998</v>
      </c>
      <c r="P1407"/>
      <c r="Q1407">
        <v>3.3860465116279E-2</v>
      </c>
      <c r="R1407">
        <v>8.5347475050973995E-2</v>
      </c>
      <c r="S1407" s="11" t="s">
        <v>152</v>
      </c>
      <c r="T1407" s="2" t="s">
        <v>154</v>
      </c>
      <c r="U1407" s="3" t="s">
        <v>41</v>
      </c>
      <c r="V1407" s="2" t="s">
        <v>155</v>
      </c>
      <c r="W1407" s="2">
        <v>7</v>
      </c>
      <c r="X1407" s="2">
        <v>5</v>
      </c>
      <c r="Y1407" s="2">
        <v>2</v>
      </c>
      <c r="Z1407" s="2">
        <v>0</v>
      </c>
      <c r="AA1407" s="2">
        <v>0</v>
      </c>
      <c r="AB1407" s="12">
        <f>(W1407*4+X1407*1+Y1407*-2+Z1407*-3)/W1407</f>
        <v>4.1428571428571432</v>
      </c>
      <c r="AC1407" s="3">
        <f>W1407*12.0107+X1407*1.00784+Y1407*15.999+Z1407*14.0067</f>
        <v>121.1121</v>
      </c>
      <c r="AD1407" s="12">
        <v>249.2</v>
      </c>
      <c r="AE1407" s="2" t="s">
        <v>156</v>
      </c>
      <c r="AF1407" s="2" t="s">
        <v>157</v>
      </c>
      <c r="AG1407" s="2" t="str">
        <f>IF(AD1407&gt;37,"Proton symporter", "Diffusion")</f>
        <v>Proton symporter</v>
      </c>
      <c r="AH1407" s="3" t="s">
        <v>158</v>
      </c>
    </row>
    <row r="1408" spans="1:34" hidden="1" x14ac:dyDescent="0.2">
      <c r="A1408" s="8" t="s">
        <v>368</v>
      </c>
      <c r="B1408" s="17" t="s">
        <v>64</v>
      </c>
      <c r="C1408" t="s">
        <v>369</v>
      </c>
      <c r="D1408" s="18" t="s">
        <v>66</v>
      </c>
      <c r="E1408" t="s">
        <v>264</v>
      </c>
      <c r="F1408" t="s">
        <v>265</v>
      </c>
      <c r="G1408">
        <v>-10</v>
      </c>
      <c r="H1408">
        <v>0</v>
      </c>
      <c r="I1408">
        <v>-20</v>
      </c>
      <c r="J1408">
        <v>0.45</v>
      </c>
      <c r="K1408">
        <v>-8.9224489795918291</v>
      </c>
      <c r="L1408">
        <v>0</v>
      </c>
      <c r="M1408">
        <v>-20</v>
      </c>
      <c r="N1408">
        <v>-8.9224489795918291</v>
      </c>
      <c r="O1408">
        <v>0.53877551020408199</v>
      </c>
      <c r="P1408"/>
      <c r="Q1408">
        <v>6.0384263494968102E-2</v>
      </c>
      <c r="R1408">
        <v>8.4756598575509795E-2</v>
      </c>
      <c r="S1408" s="1" t="str">
        <f>VLOOKUP($E1408,'[1]Product Naming'!$A$1:$P$58,2)</f>
        <v>Isoprene</v>
      </c>
      <c r="T1408" s="1" t="str">
        <f>VLOOKUP($E1408,'[1]Product Naming'!$A$1:$P$58,3)</f>
        <v>Isoprene</v>
      </c>
      <c r="U1408" s="1" t="str">
        <f>VLOOKUP($E1408,'[1]Product Naming'!$A$1:$P$58,4)</f>
        <v>E</v>
      </c>
      <c r="V1408" s="1" t="str">
        <f>VLOOKUP($E1408,'[1]Product Naming'!$A$1:$P$58,5)</f>
        <v>C5H8</v>
      </c>
      <c r="W1408" s="1">
        <f>VLOOKUP($E1408,'[1]Product Naming'!$A$1:$P$58,6)</f>
        <v>5</v>
      </c>
      <c r="X1408" s="1">
        <f>VLOOKUP($E1408,'[1]Product Naming'!$A$1:$P$58,7)</f>
        <v>8</v>
      </c>
      <c r="Y1408" s="1">
        <f>VLOOKUP($E1408,'[1]Product Naming'!$A$1:$P$58,8)</f>
        <v>0</v>
      </c>
      <c r="Z1408" s="1">
        <f>VLOOKUP($E1408,'[1]Product Naming'!$A$1:$P$58,9)</f>
        <v>0</v>
      </c>
      <c r="AA1408" s="1">
        <f>VLOOKUP($E1408,'[1]Product Naming'!$A$1:$P$58,10)</f>
        <v>0</v>
      </c>
      <c r="AB1408" s="27">
        <f>VLOOKUP($E1408,'[1]Product Naming'!$A$1:$P$58,11)</f>
        <v>5.6</v>
      </c>
      <c r="AC1408" s="3">
        <f>VLOOKUP($E1408,'[1]Product Naming'!$A$1:$P$58,12)</f>
        <v>68.116219999999998</v>
      </c>
      <c r="AD1408" s="1">
        <f>VLOOKUP($E1408,'[1]Product Naming'!$A$1:$P$58,13)</f>
        <v>34.07</v>
      </c>
      <c r="AE1408" s="1" t="str">
        <f>VLOOKUP($E1408,'[1]Product Naming'!$A$1:$P$58,14)</f>
        <v>Hydrocarbon</v>
      </c>
      <c r="AF1408" s="1" t="str">
        <f>VLOOKUP($E1408,'[1]Product Naming'!$A$1:$P$58,15)</f>
        <v>Acetyl-CoA</v>
      </c>
      <c r="AG1408" s="28" t="str">
        <f>VLOOKUP($E1408,'[1]Product Naming'!$A$1:$P$58,16)</f>
        <v>Diffusion</v>
      </c>
      <c r="AH1408" s="3" t="str">
        <f>VLOOKUP($E1408,'[1]Product Naming'!$A$1:$Q$58,17)</f>
        <v>iprene_c</v>
      </c>
    </row>
    <row r="1409" spans="1:34" hidden="1" x14ac:dyDescent="0.2">
      <c r="A1409" s="8" t="s">
        <v>34</v>
      </c>
      <c r="B1409" s="9" t="s">
        <v>35</v>
      </c>
      <c r="C1409" s="1" t="s">
        <v>50</v>
      </c>
      <c r="D1409" s="13" t="s">
        <v>51</v>
      </c>
      <c r="E1409" s="1" t="s">
        <v>259</v>
      </c>
      <c r="F1409" s="1" t="s">
        <v>260</v>
      </c>
      <c r="G1409" s="1">
        <v>-10</v>
      </c>
      <c r="H1409" s="1">
        <v>-20</v>
      </c>
      <c r="I1409" s="1" t="s">
        <v>40</v>
      </c>
      <c r="J1409" s="1">
        <v>3.15</v>
      </c>
      <c r="K1409" s="1">
        <v>-10</v>
      </c>
      <c r="L1409" s="1">
        <v>-2.29142857142857</v>
      </c>
      <c r="M1409" s="1" t="s">
        <v>40</v>
      </c>
      <c r="N1409" s="1">
        <v>8.1942857142857193</v>
      </c>
      <c r="O1409" s="1">
        <v>0.45142857142857101</v>
      </c>
      <c r="Q1409" s="1">
        <v>4.5142857142857103E-2</v>
      </c>
      <c r="R1409" s="1">
        <v>8.4471620745905099E-2</v>
      </c>
      <c r="S1409" s="20" t="s">
        <v>259</v>
      </c>
      <c r="T1409" s="3" t="s">
        <v>259</v>
      </c>
      <c r="U1409" s="3" t="s">
        <v>106</v>
      </c>
      <c r="V1409" s="3" t="s">
        <v>261</v>
      </c>
      <c r="W1409" s="3">
        <v>5</v>
      </c>
      <c r="X1409" s="3">
        <v>10</v>
      </c>
      <c r="Y1409" s="3">
        <v>1</v>
      </c>
      <c r="Z1409" s="3">
        <v>0</v>
      </c>
      <c r="AA1409" s="3">
        <v>0</v>
      </c>
      <c r="AB1409" s="12">
        <f>(W1409*4+X1409*1+Y1409*-2+Z1409*-3)/W1409+0.02</f>
        <v>5.6199999999999992</v>
      </c>
      <c r="AC1409" s="3">
        <f>W1409*12.0107+X1409*1.00784+Y1409*15.999+Z1409*14.0067</f>
        <v>86.130899999999997</v>
      </c>
      <c r="AD1409" s="12">
        <v>108</v>
      </c>
      <c r="AE1409" s="3" t="s">
        <v>262</v>
      </c>
      <c r="AF1409" s="3" t="s">
        <v>135</v>
      </c>
      <c r="AG1409" s="2" t="str">
        <f>IF(AD1409&gt;37,"Proton symporter", "Diffusion")</f>
        <v>Proton symporter</v>
      </c>
      <c r="AH1409" s="3" t="s">
        <v>263</v>
      </c>
    </row>
    <row r="1410" spans="1:34" hidden="1" x14ac:dyDescent="0.2">
      <c r="A1410" s="8" t="s">
        <v>368</v>
      </c>
      <c r="B1410" s="17" t="s">
        <v>64</v>
      </c>
      <c r="C1410" t="s">
        <v>369</v>
      </c>
      <c r="D1410" s="18" t="s">
        <v>66</v>
      </c>
      <c r="E1410" t="s">
        <v>146</v>
      </c>
      <c r="F1410" t="s">
        <v>147</v>
      </c>
      <c r="G1410">
        <v>-10</v>
      </c>
      <c r="H1410">
        <v>0</v>
      </c>
      <c r="I1410">
        <v>-20</v>
      </c>
      <c r="J1410">
        <v>0.45</v>
      </c>
      <c r="K1410">
        <v>-9.8772093023255803</v>
      </c>
      <c r="L1410">
        <v>0</v>
      </c>
      <c r="M1410">
        <v>-20</v>
      </c>
      <c r="N1410">
        <v>-9.8772093023255803</v>
      </c>
      <c r="O1410">
        <v>0.245581395348836</v>
      </c>
      <c r="P1410"/>
      <c r="Q1410">
        <v>2.4863439442456101E-2</v>
      </c>
      <c r="R1410">
        <v>8.4346967812177098E-2</v>
      </c>
      <c r="S1410" s="1" t="str">
        <f>VLOOKUP($E1410,'[1]Product Naming'!$A$1:$P$58,2)</f>
        <v>Coumaric acid</v>
      </c>
      <c r="T1410" s="1" t="str">
        <f>VLOOKUP($E1410,'[1]Product Naming'!$A$1:$P$58,3)</f>
        <v>Coumaric acid</v>
      </c>
      <c r="U1410" s="1" t="str">
        <f>VLOOKUP($E1410,'[1]Product Naming'!$A$1:$P$58,4)</f>
        <v>E</v>
      </c>
      <c r="V1410" s="1" t="str">
        <f>VLOOKUP($E1410,'[1]Product Naming'!$A$1:$P$58,5)</f>
        <v>C9H7O3</v>
      </c>
      <c r="W1410" s="1">
        <f>VLOOKUP($E1410,'[1]Product Naming'!$A$1:$P$58,6)</f>
        <v>9</v>
      </c>
      <c r="X1410" s="1">
        <f>VLOOKUP($E1410,'[1]Product Naming'!$A$1:$P$58,7)</f>
        <v>7</v>
      </c>
      <c r="Y1410" s="1">
        <f>VLOOKUP($E1410,'[1]Product Naming'!$A$1:$P$58,8)</f>
        <v>3</v>
      </c>
      <c r="Z1410" s="1">
        <f>VLOOKUP($E1410,'[1]Product Naming'!$A$1:$P$58,9)</f>
        <v>0</v>
      </c>
      <c r="AA1410" s="1">
        <f>VLOOKUP($E1410,'[1]Product Naming'!$A$1:$P$58,10)</f>
        <v>-1</v>
      </c>
      <c r="AB1410" s="27">
        <f>VLOOKUP($E1410,'[1]Product Naming'!$A$1:$P$58,11)</f>
        <v>4.1111111111111107</v>
      </c>
      <c r="AC1410" s="3">
        <f>VLOOKUP($E1410,'[1]Product Naming'!$A$1:$P$58,12)</f>
        <v>163.14818</v>
      </c>
      <c r="AD1410" s="1">
        <f>VLOOKUP($E1410,'[1]Product Naming'!$A$1:$P$58,13)</f>
        <v>346</v>
      </c>
      <c r="AE1410" s="1" t="str">
        <f>VLOOKUP($E1410,'[1]Product Naming'!$A$1:$P$58,14)</f>
        <v>Aromatic + Alcohol + Carboxylate</v>
      </c>
      <c r="AF1410" s="1" t="str">
        <f>VLOOKUP($E1410,'[1]Product Naming'!$A$1:$P$58,15)</f>
        <v>E4P + L-glutamate</v>
      </c>
      <c r="AG1410" s="28" t="str">
        <f>VLOOKUP($E1410,'[1]Product Naming'!$A$1:$P$58,16)</f>
        <v>Proton symporter</v>
      </c>
      <c r="AH1410" s="3" t="str">
        <f>VLOOKUP($E1410,'[1]Product Naming'!$A$1:$Q$58,17)</f>
        <v>T4hcinnm_c</v>
      </c>
    </row>
    <row r="1411" spans="1:34" hidden="1" x14ac:dyDescent="0.2">
      <c r="A1411" s="8" t="s">
        <v>34</v>
      </c>
      <c r="B1411" s="9" t="s">
        <v>35</v>
      </c>
      <c r="C1411" s="1" t="s">
        <v>50</v>
      </c>
      <c r="D1411" s="13" t="s">
        <v>51</v>
      </c>
      <c r="E1411" s="1" t="s">
        <v>307</v>
      </c>
      <c r="F1411" s="1" t="s">
        <v>308</v>
      </c>
      <c r="G1411" s="1">
        <v>-10</v>
      </c>
      <c r="H1411" s="1">
        <v>-20</v>
      </c>
      <c r="I1411" s="1" t="s">
        <v>40</v>
      </c>
      <c r="J1411" s="1">
        <v>3.15</v>
      </c>
      <c r="K1411" s="1">
        <v>-10</v>
      </c>
      <c r="L1411" s="1">
        <v>-2.1175675675675598</v>
      </c>
      <c r="M1411" s="1" t="s">
        <v>40</v>
      </c>
      <c r="N1411" s="1">
        <v>8.07837837837838</v>
      </c>
      <c r="O1411" s="1">
        <v>0.64054054054054499</v>
      </c>
      <c r="Q1411" s="1">
        <v>6.4054054054054496E-2</v>
      </c>
      <c r="R1411" s="1">
        <v>8.3625597324213596E-2</v>
      </c>
      <c r="S1411" s="11" t="s">
        <v>307</v>
      </c>
      <c r="T1411" s="2" t="s">
        <v>307</v>
      </c>
      <c r="U1411" s="3" t="s">
        <v>41</v>
      </c>
      <c r="V1411" s="2" t="s">
        <v>283</v>
      </c>
      <c r="W1411" s="2">
        <v>3</v>
      </c>
      <c r="X1411" s="2">
        <v>8</v>
      </c>
      <c r="Y1411" s="2">
        <v>1</v>
      </c>
      <c r="Z1411" s="2">
        <v>0</v>
      </c>
      <c r="AA1411" s="2">
        <v>0</v>
      </c>
      <c r="AB1411" s="12">
        <f>(W1411*4+X1411*1+Y1411*-2+Z1411*-3)/W1411</f>
        <v>6</v>
      </c>
      <c r="AC1411" s="3">
        <f>W1411*12.0107+X1411*1.00784+Y1411*15.999+Z1411*14.0067</f>
        <v>60.093820000000001</v>
      </c>
      <c r="AD1411" s="12">
        <v>82.5</v>
      </c>
      <c r="AE1411" s="2" t="s">
        <v>262</v>
      </c>
      <c r="AF1411" s="2" t="s">
        <v>79</v>
      </c>
      <c r="AG1411" s="2" t="str">
        <f>IF(AD1411&gt;37,"Proton symporter", "Diffusion")</f>
        <v>Proton symporter</v>
      </c>
      <c r="AH1411" s="3" t="s">
        <v>309</v>
      </c>
    </row>
    <row r="1412" spans="1:34" hidden="1" x14ac:dyDescent="0.2">
      <c r="A1412" s="8" t="s">
        <v>34</v>
      </c>
      <c r="B1412" s="9" t="s">
        <v>35</v>
      </c>
      <c r="C1412" s="1" t="s">
        <v>52</v>
      </c>
      <c r="D1412" s="13" t="s">
        <v>51</v>
      </c>
      <c r="E1412" s="1" t="s">
        <v>186</v>
      </c>
      <c r="F1412" s="1" t="s">
        <v>187</v>
      </c>
      <c r="G1412" s="1">
        <v>-10</v>
      </c>
      <c r="H1412" s="1">
        <v>-20</v>
      </c>
      <c r="I1412" s="1" t="s">
        <v>40</v>
      </c>
      <c r="J1412" s="1">
        <v>3.15</v>
      </c>
      <c r="K1412" s="1">
        <v>-10</v>
      </c>
      <c r="L1412" s="1">
        <v>-2.80555555555555</v>
      </c>
      <c r="M1412" s="1" t="s">
        <v>40</v>
      </c>
      <c r="N1412" s="1">
        <v>8.24444444444444</v>
      </c>
      <c r="O1412" s="1">
        <v>0.43888888888888999</v>
      </c>
      <c r="Q1412" s="1">
        <v>4.3888888888888998E-2</v>
      </c>
      <c r="R1412" s="1">
        <v>8.3045097550754995E-2</v>
      </c>
      <c r="S1412" s="11" t="s">
        <v>186</v>
      </c>
      <c r="T1412" s="2" t="s">
        <v>186</v>
      </c>
      <c r="U1412" s="3" t="s">
        <v>41</v>
      </c>
      <c r="V1412" s="2" t="s">
        <v>184</v>
      </c>
      <c r="W1412" s="2">
        <v>4</v>
      </c>
      <c r="X1412" s="2">
        <v>7</v>
      </c>
      <c r="Y1412" s="2">
        <v>2</v>
      </c>
      <c r="Z1412" s="2">
        <v>0</v>
      </c>
      <c r="AA1412" s="2">
        <v>0</v>
      </c>
      <c r="AB1412" s="12">
        <f>(W1412*4+X1412*1+Y1412*-2+Z1412*-3)/W1412</f>
        <v>4.75</v>
      </c>
      <c r="AC1412" s="3">
        <f>W1412*12.0107+X1412*1.00784+Y1412*15.999+Z1412*14.0067</f>
        <v>87.095680000000002</v>
      </c>
      <c r="AD1412" s="12">
        <v>155</v>
      </c>
      <c r="AE1412" s="2" t="s">
        <v>131</v>
      </c>
      <c r="AF1412" s="2" t="s">
        <v>135</v>
      </c>
      <c r="AG1412" s="2" t="str">
        <f>IF(AD1412&gt;37,"Proton symporter", "Diffusion")</f>
        <v>Proton symporter</v>
      </c>
      <c r="AH1412" s="3" t="s">
        <v>188</v>
      </c>
    </row>
    <row r="1413" spans="1:34" hidden="1" x14ac:dyDescent="0.2">
      <c r="A1413" s="16" t="s">
        <v>63</v>
      </c>
      <c r="B1413" s="17" t="s">
        <v>64</v>
      </c>
      <c r="C1413" t="s">
        <v>65</v>
      </c>
      <c r="D1413" s="18" t="s">
        <v>66</v>
      </c>
      <c r="E1413" t="s">
        <v>159</v>
      </c>
      <c r="F1413" t="s">
        <v>153</v>
      </c>
      <c r="G1413">
        <v>-10</v>
      </c>
      <c r="H1413">
        <v>0</v>
      </c>
      <c r="I1413">
        <v>0</v>
      </c>
      <c r="J1413">
        <v>0.45</v>
      </c>
      <c r="K1413">
        <v>-10</v>
      </c>
      <c r="L1413">
        <v>0</v>
      </c>
      <c r="M1413">
        <v>0</v>
      </c>
      <c r="N1413">
        <v>5.09264069264069</v>
      </c>
      <c r="O1413">
        <v>0.18528138528138499</v>
      </c>
      <c r="P1413"/>
      <c r="Q1413">
        <v>1.8528138528139001E-2</v>
      </c>
      <c r="R1413">
        <v>8.0113593939085001E-2</v>
      </c>
      <c r="S1413" s="11" t="s">
        <v>159</v>
      </c>
      <c r="T1413" s="2" t="s">
        <v>160</v>
      </c>
      <c r="U1413" s="3" t="s">
        <v>41</v>
      </c>
      <c r="V1413" s="2" t="s">
        <v>155</v>
      </c>
      <c r="W1413" s="2">
        <v>7</v>
      </c>
      <c r="X1413" s="2">
        <v>5</v>
      </c>
      <c r="Y1413" s="2">
        <v>2</v>
      </c>
      <c r="Z1413" s="2">
        <v>0</v>
      </c>
      <c r="AA1413" s="2">
        <v>0</v>
      </c>
      <c r="AB1413" s="12">
        <f>(W1413*4+X1413*1+Y1413*-2+Z1413*-3)/W1413</f>
        <v>4.1428571428571432</v>
      </c>
      <c r="AC1413" s="3">
        <f>W1413*12.0107+X1413*1.00784+Y1413*15.999+Z1413*14.0067</f>
        <v>121.1121</v>
      </c>
      <c r="AD1413" s="12">
        <v>249.2</v>
      </c>
      <c r="AE1413" s="2" t="s">
        <v>156</v>
      </c>
      <c r="AF1413" s="2" t="s">
        <v>157</v>
      </c>
      <c r="AG1413" s="2" t="str">
        <f>IF(AD1413&gt;37,"Proton symporter", "Diffusion")</f>
        <v>Proton symporter</v>
      </c>
      <c r="AH1413" s="3" t="s">
        <v>158</v>
      </c>
    </row>
    <row r="1414" spans="1:34" hidden="1" x14ac:dyDescent="0.2">
      <c r="A1414" s="16" t="s">
        <v>63</v>
      </c>
      <c r="B1414" s="17" t="s">
        <v>64</v>
      </c>
      <c r="C1414" t="s">
        <v>72</v>
      </c>
      <c r="D1414" s="18" t="s">
        <v>66</v>
      </c>
      <c r="E1414" t="s">
        <v>159</v>
      </c>
      <c r="F1414" t="s">
        <v>153</v>
      </c>
      <c r="G1414">
        <v>-10</v>
      </c>
      <c r="H1414">
        <v>0</v>
      </c>
      <c r="I1414">
        <v>-10</v>
      </c>
      <c r="J1414">
        <v>0.45</v>
      </c>
      <c r="K1414">
        <v>-10</v>
      </c>
      <c r="L1414">
        <v>0</v>
      </c>
      <c r="M1414">
        <v>-10</v>
      </c>
      <c r="N1414">
        <v>0.15757575757576101</v>
      </c>
      <c r="O1414">
        <v>0.31515151515151502</v>
      </c>
      <c r="P1414"/>
      <c r="Q1414">
        <v>3.1515151515152003E-2</v>
      </c>
      <c r="R1414">
        <v>7.943596162753E-2</v>
      </c>
      <c r="S1414" s="11" t="s">
        <v>159</v>
      </c>
      <c r="T1414" s="2" t="s">
        <v>160</v>
      </c>
      <c r="U1414" s="3" t="s">
        <v>41</v>
      </c>
      <c r="V1414" s="2" t="s">
        <v>155</v>
      </c>
      <c r="W1414" s="2">
        <v>7</v>
      </c>
      <c r="X1414" s="2">
        <v>5</v>
      </c>
      <c r="Y1414" s="2">
        <v>2</v>
      </c>
      <c r="Z1414" s="2">
        <v>0</v>
      </c>
      <c r="AA1414" s="2">
        <v>0</v>
      </c>
      <c r="AB1414" s="12">
        <f>(W1414*4+X1414*1+Y1414*-2+Z1414*-3)/W1414</f>
        <v>4.1428571428571432</v>
      </c>
      <c r="AC1414" s="3">
        <f>W1414*12.0107+X1414*1.00784+Y1414*15.999+Z1414*14.0067</f>
        <v>121.1121</v>
      </c>
      <c r="AD1414" s="12">
        <v>249.2</v>
      </c>
      <c r="AE1414" s="2" t="s">
        <v>156</v>
      </c>
      <c r="AF1414" s="2" t="s">
        <v>157</v>
      </c>
      <c r="AG1414" s="2" t="str">
        <f>IF(AD1414&gt;37,"Proton symporter", "Diffusion")</f>
        <v>Proton symporter</v>
      </c>
      <c r="AH1414" s="3" t="s">
        <v>158</v>
      </c>
    </row>
    <row r="1415" spans="1:34" hidden="1" x14ac:dyDescent="0.2">
      <c r="A1415" s="8" t="s">
        <v>350</v>
      </c>
      <c r="B1415" s="17" t="s">
        <v>64</v>
      </c>
      <c r="C1415" t="s">
        <v>351</v>
      </c>
      <c r="D1415" s="13" t="s">
        <v>51</v>
      </c>
      <c r="E1415" t="s">
        <v>268</v>
      </c>
      <c r="F1415" t="s">
        <v>269</v>
      </c>
      <c r="G1415">
        <v>-10</v>
      </c>
      <c r="H1415">
        <v>0</v>
      </c>
      <c r="I1415">
        <v>0</v>
      </c>
      <c r="J1415">
        <v>0.45</v>
      </c>
      <c r="K1415">
        <v>-10</v>
      </c>
      <c r="L1415">
        <v>0</v>
      </c>
      <c r="M1415" s="26">
        <v>0.37272727272726702</v>
      </c>
      <c r="N1415">
        <v>0</v>
      </c>
      <c r="O1415" s="26">
        <v>0.18636363636363601</v>
      </c>
      <c r="P1415"/>
      <c r="Q1415" s="26">
        <v>1.86363636363636E-2</v>
      </c>
      <c r="R1415">
        <v>7.9424506953570798E-2</v>
      </c>
      <c r="S1415" s="3" t="str">
        <f>VLOOKUP($E1415,'[1]Product Naming'!$A$1:$P$58,2)</f>
        <v>Limonene</v>
      </c>
      <c r="T1415" s="3" t="str">
        <f>VLOOKUP($E1415,'[1]Product Naming'!$A$1:$P$58,3)</f>
        <v>Limonene</v>
      </c>
      <c r="U1415" s="3" t="str">
        <f>VLOOKUP($E1415,'[1]Product Naming'!$A$1:$P$58,4)</f>
        <v>E</v>
      </c>
      <c r="V1415" s="3" t="str">
        <f>VLOOKUP($E1415,'[1]Product Naming'!$A$1:$P$58,5)</f>
        <v>C10H16</v>
      </c>
      <c r="W1415" s="3">
        <f>VLOOKUP($E1415,'[1]Product Naming'!$A$1:$P$58,6)</f>
        <v>10</v>
      </c>
      <c r="X1415" s="3">
        <f>VLOOKUP($E1415,'[1]Product Naming'!$A$1:$P$58,7)</f>
        <v>16</v>
      </c>
      <c r="Y1415" s="3">
        <f>VLOOKUP($E1415,'[1]Product Naming'!$A$1:$P$58,8)</f>
        <v>0</v>
      </c>
      <c r="Z1415" s="3">
        <f>VLOOKUP($E1415,'[1]Product Naming'!$A$1:$P$58,9)</f>
        <v>0</v>
      </c>
      <c r="AA1415" s="3">
        <f>VLOOKUP($E1415,'[1]Product Naming'!$A$1:$P$58,10)</f>
        <v>0</v>
      </c>
      <c r="AB1415" s="3">
        <f>VLOOKUP($E1415,'[1]Product Naming'!$A$1:$P$58,11)</f>
        <v>5.6</v>
      </c>
      <c r="AC1415" s="3">
        <f>VLOOKUP($E1415,'[1]Product Naming'!$A$1:$P$58,12)</f>
        <v>136.23244</v>
      </c>
      <c r="AD1415" s="3">
        <f>VLOOKUP($E1415,'[1]Product Naming'!$A$1:$P$58,13)</f>
        <v>176</v>
      </c>
      <c r="AE1415" s="3" t="str">
        <f>VLOOKUP($E1415,'[1]Product Naming'!$A$1:$P$58,14)</f>
        <v>Isoprenoid; Aromatic (Cycloalkane)</v>
      </c>
      <c r="AF1415" s="3" t="str">
        <f>VLOOKUP($E1415,'[1]Product Naming'!$A$1:$P$58,15)</f>
        <v>Acetyl-CoA</v>
      </c>
      <c r="AG1415" s="3" t="str">
        <f>VLOOKUP($E1415,'[1]Product Naming'!$A$1:$P$58,16)</f>
        <v>Proton symporter</v>
      </c>
      <c r="AH1415" s="3" t="str">
        <f>VLOOKUP($E1415,'[1]Product Naming'!$A$1:$Q$58,17)</f>
        <v>limnen_c</v>
      </c>
    </row>
    <row r="1416" spans="1:34" hidden="1" x14ac:dyDescent="0.2">
      <c r="A1416" s="8" t="s">
        <v>34</v>
      </c>
      <c r="B1416" s="9" t="s">
        <v>35</v>
      </c>
      <c r="C1416" s="1" t="s">
        <v>50</v>
      </c>
      <c r="D1416" s="13" t="s">
        <v>51</v>
      </c>
      <c r="E1416" s="1" t="s">
        <v>152</v>
      </c>
      <c r="F1416" s="1" t="s">
        <v>153</v>
      </c>
      <c r="G1416" s="1">
        <v>-10</v>
      </c>
      <c r="H1416" s="1">
        <v>-20</v>
      </c>
      <c r="I1416" s="1" t="s">
        <v>40</v>
      </c>
      <c r="J1416" s="1">
        <v>3.15</v>
      </c>
      <c r="K1416" s="1">
        <v>-10</v>
      </c>
      <c r="L1416" s="1">
        <v>-2.75</v>
      </c>
      <c r="M1416" s="1" t="s">
        <v>40</v>
      </c>
      <c r="N1416" s="1">
        <v>7.9</v>
      </c>
      <c r="O1416" s="1">
        <v>0.3</v>
      </c>
      <c r="Q1416" s="1">
        <v>0.03</v>
      </c>
      <c r="R1416" s="1">
        <v>7.8935358986391493E-2</v>
      </c>
      <c r="S1416" s="11" t="s">
        <v>152</v>
      </c>
      <c r="T1416" s="2" t="s">
        <v>154</v>
      </c>
      <c r="U1416" s="3" t="s">
        <v>41</v>
      </c>
      <c r="V1416" s="2" t="s">
        <v>155</v>
      </c>
      <c r="W1416" s="2">
        <v>7</v>
      </c>
      <c r="X1416" s="2">
        <v>5</v>
      </c>
      <c r="Y1416" s="2">
        <v>2</v>
      </c>
      <c r="Z1416" s="2">
        <v>0</v>
      </c>
      <c r="AA1416" s="2">
        <v>0</v>
      </c>
      <c r="AB1416" s="12">
        <f>(W1416*4+X1416*1+Y1416*-2+Z1416*-3)/W1416</f>
        <v>4.1428571428571432</v>
      </c>
      <c r="AC1416" s="3">
        <f>W1416*12.0107+X1416*1.00784+Y1416*15.999+Z1416*14.0067</f>
        <v>121.1121</v>
      </c>
      <c r="AD1416" s="12">
        <v>249.2</v>
      </c>
      <c r="AE1416" s="2" t="s">
        <v>156</v>
      </c>
      <c r="AF1416" s="2" t="s">
        <v>157</v>
      </c>
      <c r="AG1416" s="2" t="str">
        <f>IF(AD1416&gt;37,"Proton symporter", "Diffusion")</f>
        <v>Proton symporter</v>
      </c>
      <c r="AH1416" s="3" t="s">
        <v>158</v>
      </c>
    </row>
    <row r="1417" spans="1:34" hidden="1" x14ac:dyDescent="0.2">
      <c r="A1417" s="8" t="s">
        <v>34</v>
      </c>
      <c r="B1417" s="9" t="s">
        <v>35</v>
      </c>
      <c r="C1417" s="1" t="s">
        <v>50</v>
      </c>
      <c r="D1417" s="13" t="s">
        <v>51</v>
      </c>
      <c r="E1417" s="1" t="s">
        <v>159</v>
      </c>
      <c r="F1417" s="1" t="s">
        <v>153</v>
      </c>
      <c r="G1417" s="1">
        <v>-10</v>
      </c>
      <c r="H1417" s="1">
        <v>-20</v>
      </c>
      <c r="I1417" s="1" t="s">
        <v>40</v>
      </c>
      <c r="J1417" s="1">
        <v>3.15</v>
      </c>
      <c r="K1417" s="1">
        <v>-10</v>
      </c>
      <c r="L1417" s="1">
        <v>-2.75</v>
      </c>
      <c r="M1417" s="1" t="s">
        <v>40</v>
      </c>
      <c r="N1417" s="1">
        <v>7.9</v>
      </c>
      <c r="O1417" s="1">
        <v>0.3</v>
      </c>
      <c r="Q1417" s="1">
        <v>0.03</v>
      </c>
      <c r="R1417" s="1">
        <v>7.8935358986391493E-2</v>
      </c>
      <c r="S1417" s="11" t="s">
        <v>159</v>
      </c>
      <c r="T1417" s="2" t="s">
        <v>160</v>
      </c>
      <c r="U1417" s="3" t="s">
        <v>41</v>
      </c>
      <c r="V1417" s="2" t="s">
        <v>155</v>
      </c>
      <c r="W1417" s="2">
        <v>7</v>
      </c>
      <c r="X1417" s="2">
        <v>5</v>
      </c>
      <c r="Y1417" s="2">
        <v>2</v>
      </c>
      <c r="Z1417" s="2">
        <v>0</v>
      </c>
      <c r="AA1417" s="2">
        <v>0</v>
      </c>
      <c r="AB1417" s="12">
        <f>(W1417*4+X1417*1+Y1417*-2+Z1417*-3)/W1417</f>
        <v>4.1428571428571432</v>
      </c>
      <c r="AC1417" s="3">
        <f>W1417*12.0107+X1417*1.00784+Y1417*15.999+Z1417*14.0067</f>
        <v>121.1121</v>
      </c>
      <c r="AD1417" s="12">
        <v>249.2</v>
      </c>
      <c r="AE1417" s="2" t="s">
        <v>156</v>
      </c>
      <c r="AF1417" s="2" t="s">
        <v>157</v>
      </c>
      <c r="AG1417" s="2" t="str">
        <f>IF(AD1417&gt;37,"Proton symporter", "Diffusion")</f>
        <v>Proton symporter</v>
      </c>
      <c r="AH1417" s="3" t="s">
        <v>158</v>
      </c>
    </row>
    <row r="1418" spans="1:34" hidden="1" x14ac:dyDescent="0.2">
      <c r="A1418" s="8" t="s">
        <v>350</v>
      </c>
      <c r="B1418" s="17" t="s">
        <v>64</v>
      </c>
      <c r="C1418" t="s">
        <v>351</v>
      </c>
      <c r="D1418" s="13" t="s">
        <v>51</v>
      </c>
      <c r="E1418" t="s">
        <v>254</v>
      </c>
      <c r="F1418" t="s">
        <v>255</v>
      </c>
      <c r="G1418">
        <v>-10</v>
      </c>
      <c r="H1418">
        <v>0</v>
      </c>
      <c r="I1418">
        <v>0</v>
      </c>
      <c r="J1418">
        <v>0.45</v>
      </c>
      <c r="K1418">
        <v>-10</v>
      </c>
      <c r="L1418">
        <v>0</v>
      </c>
      <c r="M1418" s="26">
        <v>0.36992481203007499</v>
      </c>
      <c r="N1418">
        <v>0</v>
      </c>
      <c r="O1418" s="26">
        <v>0.12330827067669101</v>
      </c>
      <c r="P1418"/>
      <c r="Q1418" s="26">
        <v>1.23308270676691E-2</v>
      </c>
      <c r="R1418">
        <v>7.8825937014207204E-2</v>
      </c>
      <c r="S1418" s="3" t="str">
        <f>VLOOKUP($E1418,'[1]Product Naming'!$A$1:$P$58,2)</f>
        <v>Farnesene</v>
      </c>
      <c r="T1418" s="3" t="str">
        <f>VLOOKUP($E1418,'[1]Product Naming'!$A$1:$P$58,3)</f>
        <v>Farnesene</v>
      </c>
      <c r="U1418" s="3" t="str">
        <f>VLOOKUP($E1418,'[1]Product Naming'!$A$1:$P$58,4)</f>
        <v>A</v>
      </c>
      <c r="V1418" s="3" t="str">
        <f>VLOOKUP($E1418,'[1]Product Naming'!$A$1:$P$58,5)</f>
        <v>C15H24</v>
      </c>
      <c r="W1418" s="3">
        <f>VLOOKUP($E1418,'[1]Product Naming'!$A$1:$P$58,6)</f>
        <v>15</v>
      </c>
      <c r="X1418" s="3">
        <f>VLOOKUP($E1418,'[1]Product Naming'!$A$1:$P$58,7)</f>
        <v>24</v>
      </c>
      <c r="Y1418" s="3">
        <f>VLOOKUP($E1418,'[1]Product Naming'!$A$1:$P$58,8)</f>
        <v>0</v>
      </c>
      <c r="Z1418" s="3">
        <f>VLOOKUP($E1418,'[1]Product Naming'!$A$1:$P$58,9)</f>
        <v>0</v>
      </c>
      <c r="AA1418" s="3">
        <f>VLOOKUP($E1418,'[1]Product Naming'!$A$1:$P$58,10)</f>
        <v>0</v>
      </c>
      <c r="AB1418" s="3">
        <f>VLOOKUP($E1418,'[1]Product Naming'!$A$1:$P$58,11)</f>
        <v>5.6</v>
      </c>
      <c r="AC1418" s="3">
        <f>VLOOKUP($E1418,'[1]Product Naming'!$A$1:$P$58,12)</f>
        <v>204.34866000000002</v>
      </c>
      <c r="AD1418" s="3" t="str">
        <f>VLOOKUP($E1418,'[1]Product Naming'!$A$1:$P$58,13)</f>
        <v>260 (A)/272 (B)</v>
      </c>
      <c r="AE1418" s="3" t="str">
        <f>VLOOKUP($E1418,'[1]Product Naming'!$A$1:$P$58,14)</f>
        <v>Hydrocarbon</v>
      </c>
      <c r="AF1418" s="3" t="str">
        <f>VLOOKUP($E1418,'[1]Product Naming'!$A$1:$P$58,15)</f>
        <v>Acetyl-CoA</v>
      </c>
      <c r="AG1418" s="3" t="str">
        <f>VLOOKUP($E1418,'[1]Product Naming'!$A$1:$P$58,16)</f>
        <v>Proton symporter</v>
      </c>
      <c r="AH1418" s="3" t="str">
        <f>VLOOKUP($E1418,'[1]Product Naming'!$A$1:$Q$58,17)</f>
        <v>frene_c</v>
      </c>
    </row>
    <row r="1419" spans="1:34" hidden="1" x14ac:dyDescent="0.2">
      <c r="A1419" s="16" t="s">
        <v>74</v>
      </c>
      <c r="B1419" s="9" t="s">
        <v>35</v>
      </c>
      <c r="C1419" t="s">
        <v>52</v>
      </c>
      <c r="D1419" s="13" t="s">
        <v>51</v>
      </c>
      <c r="E1419" t="s">
        <v>194</v>
      </c>
      <c r="F1419" t="s">
        <v>195</v>
      </c>
      <c r="G1419">
        <v>-10</v>
      </c>
      <c r="H1419">
        <v>-20</v>
      </c>
      <c r="I1419" s="1" t="s">
        <v>40</v>
      </c>
      <c r="J1419">
        <v>3.15</v>
      </c>
      <c r="K1419">
        <v>-10</v>
      </c>
      <c r="L1419">
        <v>-3.2896907216494902</v>
      </c>
      <c r="M1419" s="1" t="s">
        <v>40</v>
      </c>
      <c r="N1419">
        <v>8.5340206185566991</v>
      </c>
      <c r="O1419">
        <v>0.24432989690721699</v>
      </c>
      <c r="P1419"/>
      <c r="Q1419">
        <v>2.4432989690721701E-2</v>
      </c>
      <c r="R1419">
        <v>7.8131679140038907E-2</v>
      </c>
      <c r="S1419" s="3" t="s">
        <v>194</v>
      </c>
      <c r="T1419" s="2" t="s">
        <v>196</v>
      </c>
      <c r="U1419" s="3" t="s">
        <v>35</v>
      </c>
      <c r="V1419" s="3" t="s">
        <v>197</v>
      </c>
      <c r="W1419" s="3">
        <v>6</v>
      </c>
      <c r="X1419" s="3">
        <v>15</v>
      </c>
      <c r="Y1419" s="3">
        <v>2</v>
      </c>
      <c r="Z1419" s="3">
        <v>2</v>
      </c>
      <c r="AA1419" s="3">
        <v>1</v>
      </c>
      <c r="AB1419" s="12">
        <f>(W1419*4+X1419*1+Y1419*-2+Z1419*-3)/W1419</f>
        <v>4.833333333333333</v>
      </c>
      <c r="AC1419" s="3">
        <f>W1419*12.0107+X1419*1.00784+Y1419*15.999+Z1419*14.0067</f>
        <v>147.19319999999999</v>
      </c>
      <c r="AD1419" s="12" t="s">
        <v>40</v>
      </c>
      <c r="AE1419" s="3" t="s">
        <v>119</v>
      </c>
      <c r="AF1419" s="3" t="s">
        <v>44</v>
      </c>
      <c r="AG1419" s="2" t="s">
        <v>80</v>
      </c>
      <c r="AH1419" s="2" t="s">
        <v>198</v>
      </c>
    </row>
    <row r="1420" spans="1:34" hidden="1" x14ac:dyDescent="0.2">
      <c r="A1420" s="8" t="s">
        <v>350</v>
      </c>
      <c r="B1420" s="17" t="s">
        <v>64</v>
      </c>
      <c r="C1420" t="s">
        <v>351</v>
      </c>
      <c r="D1420" s="13" t="s">
        <v>51</v>
      </c>
      <c r="E1420" t="s">
        <v>264</v>
      </c>
      <c r="F1420" t="s">
        <v>265</v>
      </c>
      <c r="G1420">
        <v>-10</v>
      </c>
      <c r="H1420">
        <v>0</v>
      </c>
      <c r="I1420">
        <v>0</v>
      </c>
      <c r="J1420">
        <v>0.45</v>
      </c>
      <c r="K1420">
        <v>-10</v>
      </c>
      <c r="L1420">
        <v>0</v>
      </c>
      <c r="M1420" s="26">
        <v>0.36444444444444402</v>
      </c>
      <c r="N1420">
        <v>0</v>
      </c>
      <c r="O1420" s="26">
        <v>0.36444444444444202</v>
      </c>
      <c r="P1420"/>
      <c r="Q1420">
        <v>3.6444444444444203E-2</v>
      </c>
      <c r="R1420">
        <v>7.7655461386562596E-2</v>
      </c>
      <c r="S1420" s="3" t="str">
        <f>VLOOKUP($E1420,'[1]Product Naming'!$A$1:$P$58,2)</f>
        <v>Isoprene</v>
      </c>
      <c r="T1420" s="3" t="str">
        <f>VLOOKUP($E1420,'[1]Product Naming'!$A$1:$P$58,3)</f>
        <v>Isoprene</v>
      </c>
      <c r="U1420" s="3" t="str">
        <f>VLOOKUP($E1420,'[1]Product Naming'!$A$1:$P$58,4)</f>
        <v>E</v>
      </c>
      <c r="V1420" s="3" t="str">
        <f>VLOOKUP($E1420,'[1]Product Naming'!$A$1:$P$58,5)</f>
        <v>C5H8</v>
      </c>
      <c r="W1420" s="3">
        <f>VLOOKUP($E1420,'[1]Product Naming'!$A$1:$P$58,6)</f>
        <v>5</v>
      </c>
      <c r="X1420" s="3">
        <f>VLOOKUP($E1420,'[1]Product Naming'!$A$1:$P$58,7)</f>
        <v>8</v>
      </c>
      <c r="Y1420" s="3">
        <f>VLOOKUP($E1420,'[1]Product Naming'!$A$1:$P$58,8)</f>
        <v>0</v>
      </c>
      <c r="Z1420" s="3">
        <f>VLOOKUP($E1420,'[1]Product Naming'!$A$1:$P$58,9)</f>
        <v>0</v>
      </c>
      <c r="AA1420" s="3">
        <f>VLOOKUP($E1420,'[1]Product Naming'!$A$1:$P$58,10)</f>
        <v>0</v>
      </c>
      <c r="AB1420" s="3">
        <f>VLOOKUP($E1420,'[1]Product Naming'!$A$1:$P$58,11)</f>
        <v>5.6</v>
      </c>
      <c r="AC1420" s="3">
        <f>VLOOKUP($E1420,'[1]Product Naming'!$A$1:$P$58,12)</f>
        <v>68.116219999999998</v>
      </c>
      <c r="AD1420" s="3">
        <f>VLOOKUP($E1420,'[1]Product Naming'!$A$1:$P$58,13)</f>
        <v>34.07</v>
      </c>
      <c r="AE1420" s="3" t="str">
        <f>VLOOKUP($E1420,'[1]Product Naming'!$A$1:$P$58,14)</f>
        <v>Hydrocarbon</v>
      </c>
      <c r="AF1420" s="3" t="str">
        <f>VLOOKUP($E1420,'[1]Product Naming'!$A$1:$P$58,15)</f>
        <v>Acetyl-CoA</v>
      </c>
      <c r="AG1420" s="3" t="str">
        <f>VLOOKUP($E1420,'[1]Product Naming'!$A$1:$P$58,16)</f>
        <v>Diffusion</v>
      </c>
      <c r="AH1420" s="3" t="str">
        <f>VLOOKUP($E1420,'[1]Product Naming'!$A$1:$Q$58,17)</f>
        <v>iprene_c</v>
      </c>
    </row>
    <row r="1421" spans="1:34" hidden="1" x14ac:dyDescent="0.2">
      <c r="A1421" s="8" t="s">
        <v>34</v>
      </c>
      <c r="B1421" s="9" t="s">
        <v>35</v>
      </c>
      <c r="C1421" s="1" t="s">
        <v>52</v>
      </c>
      <c r="D1421" s="13" t="s">
        <v>51</v>
      </c>
      <c r="E1421" s="1" t="s">
        <v>182</v>
      </c>
      <c r="F1421" s="1" t="s">
        <v>183</v>
      </c>
      <c r="G1421" s="1">
        <v>-10</v>
      </c>
      <c r="H1421" s="1">
        <v>-20</v>
      </c>
      <c r="I1421" s="1" t="s">
        <v>40</v>
      </c>
      <c r="J1421" s="1">
        <v>3.15</v>
      </c>
      <c r="K1421" s="1">
        <v>-10</v>
      </c>
      <c r="L1421" s="1">
        <v>-2.9568965517241401</v>
      </c>
      <c r="M1421" s="1" t="s">
        <v>40</v>
      </c>
      <c r="N1421" s="1">
        <v>8.36551724137931</v>
      </c>
      <c r="O1421" s="1">
        <v>0.40862068965517301</v>
      </c>
      <c r="Q1421" s="1">
        <v>4.0862068965517299E-2</v>
      </c>
      <c r="R1421" s="1">
        <v>7.7317849443806194E-2</v>
      </c>
      <c r="S1421" s="11" t="s">
        <v>182</v>
      </c>
      <c r="T1421" s="2" t="s">
        <v>182</v>
      </c>
      <c r="U1421" s="3" t="s">
        <v>41</v>
      </c>
      <c r="V1421" s="2" t="s">
        <v>184</v>
      </c>
      <c r="W1421" s="2">
        <v>4</v>
      </c>
      <c r="X1421" s="2">
        <v>7</v>
      </c>
      <c r="Y1421" s="2">
        <v>2</v>
      </c>
      <c r="Z1421" s="2">
        <v>0</v>
      </c>
      <c r="AA1421" s="2">
        <v>0</v>
      </c>
      <c r="AB1421" s="12">
        <f>(W1421*4+X1421*1+Y1421*-2+Z1421*-3)/W1421</f>
        <v>4.75</v>
      </c>
      <c r="AC1421" s="3">
        <f>W1421*12.0107+X1421*1.00784+Y1421*15.999+Z1421*14.0067</f>
        <v>87.095680000000002</v>
      </c>
      <c r="AD1421" s="12">
        <v>163.5</v>
      </c>
      <c r="AE1421" s="2" t="s">
        <v>131</v>
      </c>
      <c r="AF1421" s="2" t="s">
        <v>79</v>
      </c>
      <c r="AG1421" s="2" t="str">
        <f>IF(AD1421&gt;37,"Proton symporter", "Diffusion")</f>
        <v>Proton symporter</v>
      </c>
      <c r="AH1421" s="3" t="s">
        <v>185</v>
      </c>
    </row>
    <row r="1422" spans="1:34" hidden="1" x14ac:dyDescent="0.2">
      <c r="A1422" s="16" t="s">
        <v>63</v>
      </c>
      <c r="B1422" s="17" t="s">
        <v>64</v>
      </c>
      <c r="C1422" t="s">
        <v>65</v>
      </c>
      <c r="D1422" s="18" t="s">
        <v>66</v>
      </c>
      <c r="E1422" t="s">
        <v>211</v>
      </c>
      <c r="F1422" t="s">
        <v>212</v>
      </c>
      <c r="G1422">
        <v>-10</v>
      </c>
      <c r="H1422">
        <v>0</v>
      </c>
      <c r="I1422">
        <v>0</v>
      </c>
      <c r="J1422">
        <v>0.45</v>
      </c>
      <c r="K1422">
        <v>-10</v>
      </c>
      <c r="L1422">
        <v>0</v>
      </c>
      <c r="M1422">
        <v>0</v>
      </c>
      <c r="N1422">
        <v>5.4115384615384601</v>
      </c>
      <c r="O1422">
        <v>0.20576923076923101</v>
      </c>
      <c r="P1422"/>
      <c r="Q1422">
        <v>2.05769230769231E-2</v>
      </c>
      <c r="R1422">
        <v>7.6510245242083899E-2</v>
      </c>
      <c r="S1422" s="20" t="s">
        <v>211</v>
      </c>
      <c r="T1422" s="3" t="s">
        <v>211</v>
      </c>
      <c r="U1422" s="3" t="s">
        <v>174</v>
      </c>
      <c r="V1422" s="3" t="s">
        <v>213</v>
      </c>
      <c r="W1422" s="3">
        <v>8</v>
      </c>
      <c r="X1422" s="3">
        <v>8</v>
      </c>
      <c r="Y1422" s="3">
        <v>0</v>
      </c>
      <c r="Z1422" s="3">
        <v>0</v>
      </c>
      <c r="AA1422" s="3">
        <v>0</v>
      </c>
      <c r="AB1422" s="12">
        <f>(W1422*4+X1422*1+Y1422*-2+Z1422*-3)/W1422</f>
        <v>5</v>
      </c>
      <c r="AC1422" s="3">
        <f>W1422*12.0107+X1422*1.00784+Y1422*15.999+Z1422*14.0067</f>
        <v>104.14832</v>
      </c>
      <c r="AD1422" s="12">
        <v>145</v>
      </c>
      <c r="AE1422" s="3" t="s">
        <v>214</v>
      </c>
      <c r="AF1422" s="3" t="s">
        <v>203</v>
      </c>
      <c r="AG1422" s="2" t="str">
        <f>IF(AD1422&gt;37,"Proton symporter", "Diffusion")</f>
        <v>Proton symporter</v>
      </c>
      <c r="AH1422" s="3" t="s">
        <v>215</v>
      </c>
    </row>
    <row r="1423" spans="1:34" hidden="1" x14ac:dyDescent="0.2">
      <c r="A1423" s="8" t="s">
        <v>34</v>
      </c>
      <c r="B1423" s="9" t="s">
        <v>35</v>
      </c>
      <c r="C1423" s="1" t="s">
        <v>52</v>
      </c>
      <c r="D1423" s="13" t="s">
        <v>51</v>
      </c>
      <c r="E1423" s="1" t="s">
        <v>205</v>
      </c>
      <c r="F1423" s="1" t="s">
        <v>206</v>
      </c>
      <c r="G1423" s="1">
        <v>-10</v>
      </c>
      <c r="H1423" s="1">
        <v>-20</v>
      </c>
      <c r="I1423" s="1" t="s">
        <v>40</v>
      </c>
      <c r="J1423" s="1">
        <v>3.15</v>
      </c>
      <c r="K1423" s="1">
        <v>-10</v>
      </c>
      <c r="L1423" s="1">
        <v>-3.00840336134454</v>
      </c>
      <c r="M1423" s="1" t="s">
        <v>40</v>
      </c>
      <c r="N1423" s="1">
        <v>8.4067226890756306</v>
      </c>
      <c r="O1423" s="1">
        <v>0.39831932773109102</v>
      </c>
      <c r="Q1423" s="1">
        <v>3.9831932773109098E-2</v>
      </c>
      <c r="R1423" s="1">
        <v>7.6240799088288194E-2</v>
      </c>
      <c r="S1423" s="20" t="s">
        <v>205</v>
      </c>
      <c r="T1423" s="3" t="s">
        <v>207</v>
      </c>
      <c r="U1423" s="3" t="s">
        <v>106</v>
      </c>
      <c r="V1423" s="3" t="s">
        <v>208</v>
      </c>
      <c r="W1423" s="3">
        <v>4</v>
      </c>
      <c r="X1423" s="3">
        <v>8</v>
      </c>
      <c r="Y1423" s="3">
        <v>2</v>
      </c>
      <c r="Z1423" s="3">
        <v>0</v>
      </c>
      <c r="AA1423" s="3">
        <v>0</v>
      </c>
      <c r="AB1423" s="12">
        <f>(W1423*4+X1423*1+Y1423*-2+Z1423*-3)/W1423</f>
        <v>5</v>
      </c>
      <c r="AC1423" s="3">
        <f>W1423*12.0107+X1423*1.00784+Y1423*15.999+Z1423*14.0067</f>
        <v>88.103520000000003</v>
      </c>
      <c r="AD1423" s="12">
        <v>77.099999999999994</v>
      </c>
      <c r="AE1423" s="3" t="s">
        <v>209</v>
      </c>
      <c r="AF1423" s="3" t="s">
        <v>79</v>
      </c>
      <c r="AG1423" s="2" t="str">
        <f>IF(AD1423&gt;37,"Proton symporter", "Diffusion")</f>
        <v>Proton symporter</v>
      </c>
      <c r="AH1423" s="3" t="s">
        <v>210</v>
      </c>
    </row>
    <row r="1424" spans="1:34" hidden="1" x14ac:dyDescent="0.2">
      <c r="A1424" s="16" t="s">
        <v>63</v>
      </c>
      <c r="B1424" s="17" t="s">
        <v>64</v>
      </c>
      <c r="C1424" t="s">
        <v>72</v>
      </c>
      <c r="D1424" s="18" t="s">
        <v>66</v>
      </c>
      <c r="E1424" t="s">
        <v>211</v>
      </c>
      <c r="F1424" t="s">
        <v>212</v>
      </c>
      <c r="G1424">
        <v>-10</v>
      </c>
      <c r="H1424">
        <v>0</v>
      </c>
      <c r="I1424">
        <v>-10</v>
      </c>
      <c r="J1424">
        <v>0.45</v>
      </c>
      <c r="K1424">
        <v>-10</v>
      </c>
      <c r="L1424">
        <v>0</v>
      </c>
      <c r="M1424">
        <v>-10</v>
      </c>
      <c r="N1424">
        <v>0.7</v>
      </c>
      <c r="O1424">
        <v>0.35</v>
      </c>
      <c r="P1424"/>
      <c r="Q1424">
        <v>3.5000000000000003E-2</v>
      </c>
      <c r="R1424">
        <v>7.58630914721454E-2</v>
      </c>
      <c r="S1424" s="20" t="s">
        <v>211</v>
      </c>
      <c r="T1424" s="3" t="s">
        <v>211</v>
      </c>
      <c r="U1424" s="3" t="s">
        <v>174</v>
      </c>
      <c r="V1424" s="3" t="s">
        <v>213</v>
      </c>
      <c r="W1424" s="3">
        <v>8</v>
      </c>
      <c r="X1424" s="3">
        <v>8</v>
      </c>
      <c r="Y1424" s="3">
        <v>0</v>
      </c>
      <c r="Z1424" s="3">
        <v>0</v>
      </c>
      <c r="AA1424" s="3">
        <v>0</v>
      </c>
      <c r="AB1424" s="12">
        <f>(W1424*4+X1424*1+Y1424*-2+Z1424*-3)/W1424</f>
        <v>5</v>
      </c>
      <c r="AC1424" s="3">
        <f>W1424*12.0107+X1424*1.00784+Y1424*15.999+Z1424*14.0067</f>
        <v>104.14832</v>
      </c>
      <c r="AD1424" s="12">
        <v>145</v>
      </c>
      <c r="AE1424" s="3" t="s">
        <v>214</v>
      </c>
      <c r="AF1424" s="3" t="s">
        <v>203</v>
      </c>
      <c r="AG1424" s="2" t="str">
        <f>IF(AD1424&gt;37,"Proton symporter", "Diffusion")</f>
        <v>Proton symporter</v>
      </c>
      <c r="AH1424" s="3" t="s">
        <v>215</v>
      </c>
    </row>
    <row r="1425" spans="1:34" hidden="1" x14ac:dyDescent="0.2">
      <c r="A1425" s="8" t="s">
        <v>34</v>
      </c>
      <c r="B1425" s="9" t="s">
        <v>35</v>
      </c>
      <c r="C1425" s="1" t="s">
        <v>52</v>
      </c>
      <c r="D1425" s="13" t="s">
        <v>51</v>
      </c>
      <c r="E1425" s="1" t="s">
        <v>166</v>
      </c>
      <c r="F1425" s="1" t="s">
        <v>167</v>
      </c>
      <c r="G1425" s="1">
        <v>-10</v>
      </c>
      <c r="H1425" s="1">
        <v>-20</v>
      </c>
      <c r="I1425" s="1" t="s">
        <v>40</v>
      </c>
      <c r="J1425" s="1">
        <v>3.15</v>
      </c>
      <c r="K1425" s="1">
        <v>-10</v>
      </c>
      <c r="L1425" s="1">
        <v>-3.1769230769230798</v>
      </c>
      <c r="M1425" s="1" t="s">
        <v>40</v>
      </c>
      <c r="N1425" s="1">
        <v>8.3794871794871799</v>
      </c>
      <c r="O1425" s="1">
        <v>0.40512820512820502</v>
      </c>
      <c r="Q1425" s="1">
        <v>4.0512820512820499E-2</v>
      </c>
      <c r="R1425" s="1">
        <v>7.5769965636381997E-2</v>
      </c>
      <c r="S1425" s="11" t="s">
        <v>166</v>
      </c>
      <c r="T1425" s="2" t="s">
        <v>168</v>
      </c>
      <c r="U1425" s="3" t="s">
        <v>41</v>
      </c>
      <c r="V1425" s="2" t="s">
        <v>169</v>
      </c>
      <c r="W1425" s="2">
        <v>4</v>
      </c>
      <c r="X1425" s="2">
        <v>6</v>
      </c>
      <c r="Y1425" s="2">
        <v>2</v>
      </c>
      <c r="Z1425" s="2">
        <v>0</v>
      </c>
      <c r="AA1425" s="2">
        <v>0</v>
      </c>
      <c r="AB1425" s="12">
        <f>(W1425*4+X1425*1+Y1425*-2+Z1425*-3)/W1425</f>
        <v>4.5</v>
      </c>
      <c r="AC1425" s="3">
        <f>W1425*12.0107+X1425*1.00784+Y1425*15.999+Z1425*14.0067</f>
        <v>86.08784</v>
      </c>
      <c r="AD1425" s="12">
        <v>204</v>
      </c>
      <c r="AE1425" s="2" t="s">
        <v>170</v>
      </c>
      <c r="AF1425" s="2" t="s">
        <v>120</v>
      </c>
      <c r="AG1425" s="2" t="str">
        <f>IF(AD1425&gt;37,"Proton symporter", "Diffusion")</f>
        <v>Proton symporter</v>
      </c>
      <c r="AH1425" s="3" t="s">
        <v>171</v>
      </c>
    </row>
    <row r="1426" spans="1:34" hidden="1" x14ac:dyDescent="0.2">
      <c r="A1426" s="16" t="s">
        <v>63</v>
      </c>
      <c r="B1426" s="17" t="s">
        <v>64</v>
      </c>
      <c r="C1426" t="s">
        <v>65</v>
      </c>
      <c r="D1426" s="18" t="s">
        <v>66</v>
      </c>
      <c r="E1426" t="s">
        <v>172</v>
      </c>
      <c r="F1426" t="s">
        <v>173</v>
      </c>
      <c r="G1426">
        <v>-10</v>
      </c>
      <c r="H1426">
        <v>0</v>
      </c>
      <c r="I1426">
        <v>0</v>
      </c>
      <c r="J1426">
        <v>0.45</v>
      </c>
      <c r="K1426">
        <v>-10</v>
      </c>
      <c r="L1426">
        <v>0</v>
      </c>
      <c r="M1426">
        <v>0</v>
      </c>
      <c r="N1426">
        <v>5.2252631578947399</v>
      </c>
      <c r="O1426">
        <v>0.225263157894737</v>
      </c>
      <c r="P1426"/>
      <c r="Q1426">
        <v>2.25263157894737E-2</v>
      </c>
      <c r="R1426">
        <v>7.5685718859805698E-2</v>
      </c>
      <c r="S1426" s="20" t="s">
        <v>172</v>
      </c>
      <c r="T1426" s="3" t="s">
        <v>172</v>
      </c>
      <c r="U1426" s="3" t="s">
        <v>174</v>
      </c>
      <c r="V1426" s="3" t="s">
        <v>175</v>
      </c>
      <c r="W1426" s="3">
        <v>6</v>
      </c>
      <c r="X1426" s="3">
        <v>6</v>
      </c>
      <c r="Y1426" s="3">
        <v>1</v>
      </c>
      <c r="Z1426" s="3">
        <v>0</v>
      </c>
      <c r="AA1426" s="3">
        <v>0</v>
      </c>
      <c r="AB1426" s="12">
        <f>(W1426*4+X1426*1+Y1426*-2+Z1426*-3)/W1426</f>
        <v>4.666666666666667</v>
      </c>
      <c r="AC1426" s="3">
        <f>W1426*12.0107+X1426*1.00784+Y1426*15.999+Z1426*14.0067</f>
        <v>94.11023999999999</v>
      </c>
      <c r="AD1426" s="12">
        <v>181.7</v>
      </c>
      <c r="AE1426" s="3" t="s">
        <v>176</v>
      </c>
      <c r="AF1426" s="2" t="s">
        <v>150</v>
      </c>
      <c r="AG1426" s="2" t="str">
        <f>IF(AD1426&gt;37,"Proton symporter", "Diffusion")</f>
        <v>Proton symporter</v>
      </c>
      <c r="AH1426" s="3" t="s">
        <v>177</v>
      </c>
    </row>
    <row r="1427" spans="1:34" hidden="1" x14ac:dyDescent="0.2">
      <c r="A1427" s="16" t="s">
        <v>63</v>
      </c>
      <c r="B1427" s="17" t="s">
        <v>64</v>
      </c>
      <c r="C1427" t="s">
        <v>72</v>
      </c>
      <c r="D1427" s="18" t="s">
        <v>66</v>
      </c>
      <c r="E1427" t="s">
        <v>172</v>
      </c>
      <c r="F1427" t="s">
        <v>173</v>
      </c>
      <c r="G1427">
        <v>-10</v>
      </c>
      <c r="H1427">
        <v>0</v>
      </c>
      <c r="I1427">
        <v>-10</v>
      </c>
      <c r="J1427">
        <v>0.45</v>
      </c>
      <c r="K1427">
        <v>-10</v>
      </c>
      <c r="L1427">
        <v>0</v>
      </c>
      <c r="M1427">
        <v>-10</v>
      </c>
      <c r="N1427">
        <v>0.38315789473683998</v>
      </c>
      <c r="O1427">
        <v>0.38315789473684198</v>
      </c>
      <c r="P1427"/>
      <c r="Q1427">
        <v>3.8315789473684199E-2</v>
      </c>
      <c r="R1427">
        <v>7.5045539258555602E-2</v>
      </c>
      <c r="S1427" s="20" t="s">
        <v>172</v>
      </c>
      <c r="T1427" s="3" t="s">
        <v>172</v>
      </c>
      <c r="U1427" s="3" t="s">
        <v>174</v>
      </c>
      <c r="V1427" s="3" t="s">
        <v>175</v>
      </c>
      <c r="W1427" s="3">
        <v>6</v>
      </c>
      <c r="X1427" s="3">
        <v>6</v>
      </c>
      <c r="Y1427" s="3">
        <v>1</v>
      </c>
      <c r="Z1427" s="3">
        <v>0</v>
      </c>
      <c r="AA1427" s="3">
        <v>0</v>
      </c>
      <c r="AB1427" s="12">
        <f>(W1427*4+X1427*1+Y1427*-2+Z1427*-3)/W1427</f>
        <v>4.666666666666667</v>
      </c>
      <c r="AC1427" s="3">
        <f>W1427*12.0107+X1427*1.00784+Y1427*15.999+Z1427*14.0067</f>
        <v>94.11023999999999</v>
      </c>
      <c r="AD1427" s="12">
        <v>181.7</v>
      </c>
      <c r="AE1427" s="3" t="s">
        <v>176</v>
      </c>
      <c r="AF1427" s="2" t="s">
        <v>150</v>
      </c>
      <c r="AG1427" s="2" t="str">
        <f>IF(AD1427&gt;37,"Proton symporter", "Diffusion")</f>
        <v>Proton symporter</v>
      </c>
      <c r="AH1427" s="3" t="s">
        <v>177</v>
      </c>
    </row>
    <row r="1428" spans="1:34" hidden="1" x14ac:dyDescent="0.2">
      <c r="A1428" s="16" t="s">
        <v>63</v>
      </c>
      <c r="B1428" s="17" t="s">
        <v>64</v>
      </c>
      <c r="C1428" t="s">
        <v>70</v>
      </c>
      <c r="D1428" s="18" t="s">
        <v>66</v>
      </c>
      <c r="E1428" t="s">
        <v>161</v>
      </c>
      <c r="F1428" t="s">
        <v>162</v>
      </c>
      <c r="G1428">
        <v>-10</v>
      </c>
      <c r="H1428">
        <v>0</v>
      </c>
      <c r="I1428">
        <v>0</v>
      </c>
      <c r="J1428">
        <v>0.45</v>
      </c>
      <c r="K1428">
        <v>-10</v>
      </c>
      <c r="L1428">
        <v>0</v>
      </c>
      <c r="M1428">
        <v>0</v>
      </c>
      <c r="N1428">
        <v>5.1562043795620403</v>
      </c>
      <c r="O1428">
        <v>0.312408759124088</v>
      </c>
      <c r="P1428"/>
      <c r="Q1428">
        <v>3.1240875912408799E-2</v>
      </c>
      <c r="R1428">
        <v>7.4732543920643102E-2</v>
      </c>
      <c r="S1428" s="20" t="s">
        <v>161</v>
      </c>
      <c r="T1428" s="3" t="s">
        <v>161</v>
      </c>
      <c r="U1428" s="3" t="s">
        <v>106</v>
      </c>
      <c r="V1428" s="20" t="s">
        <v>163</v>
      </c>
      <c r="W1428" s="3">
        <v>6</v>
      </c>
      <c r="X1428" s="3">
        <v>6</v>
      </c>
      <c r="Y1428" s="3">
        <v>2</v>
      </c>
      <c r="Z1428" s="3">
        <v>0</v>
      </c>
      <c r="AA1428" s="3">
        <v>0</v>
      </c>
      <c r="AB1428" s="12">
        <f>(W1428*4+X1428*1+Y1428*-2+Z1428*-3)/W1428</f>
        <v>4.333333333333333</v>
      </c>
      <c r="AC1428" s="3">
        <f>W1428*12.0107+X1428*1.00784+Y1428*15.999+Z1428*14.0067</f>
        <v>110.10924</v>
      </c>
      <c r="AD1428" s="12">
        <v>245</v>
      </c>
      <c r="AE1428" s="3" t="s">
        <v>164</v>
      </c>
      <c r="AF1428" s="2" t="s">
        <v>98</v>
      </c>
      <c r="AG1428" s="2" t="str">
        <f>IF(AD1428&gt;37,"Proton symporter", "Diffusion")</f>
        <v>Proton symporter</v>
      </c>
      <c r="AH1428" s="3" t="s">
        <v>165</v>
      </c>
    </row>
    <row r="1429" spans="1:34" hidden="1" x14ac:dyDescent="0.2">
      <c r="A1429" s="16" t="s">
        <v>63</v>
      </c>
      <c r="B1429" s="17" t="s">
        <v>64</v>
      </c>
      <c r="C1429" t="s">
        <v>70</v>
      </c>
      <c r="D1429" s="18" t="s">
        <v>66</v>
      </c>
      <c r="E1429" t="s">
        <v>339</v>
      </c>
      <c r="F1429" t="s">
        <v>340</v>
      </c>
      <c r="G1429">
        <v>-10</v>
      </c>
      <c r="H1429">
        <v>0</v>
      </c>
      <c r="I1429">
        <v>0</v>
      </c>
      <c r="J1429">
        <v>0.45</v>
      </c>
      <c r="K1429">
        <v>-10</v>
      </c>
      <c r="L1429">
        <v>0</v>
      </c>
      <c r="M1429">
        <v>0</v>
      </c>
      <c r="N1429">
        <v>6.4657534246575397</v>
      </c>
      <c r="O1429">
        <v>0.58630136986301495</v>
      </c>
      <c r="P1429"/>
      <c r="Q1429">
        <v>5.8630136986301998E-2</v>
      </c>
      <c r="R1429">
        <v>7.4031795145042004E-2</v>
      </c>
      <c r="S1429" s="11" t="s">
        <v>339</v>
      </c>
      <c r="T1429" s="2" t="s">
        <v>339</v>
      </c>
      <c r="U1429" s="3" t="s">
        <v>106</v>
      </c>
      <c r="V1429" s="2" t="s">
        <v>341</v>
      </c>
      <c r="W1429" s="2">
        <v>4</v>
      </c>
      <c r="X1429" s="2">
        <v>10</v>
      </c>
      <c r="Y1429" s="2">
        <v>0</v>
      </c>
      <c r="Z1429" s="2">
        <v>0</v>
      </c>
      <c r="AA1429" s="2">
        <v>0</v>
      </c>
      <c r="AB1429" s="12">
        <f>(W1429*4+X1429*1+Y1429*-2+Z1429*-3)/W1429</f>
        <v>6.5</v>
      </c>
      <c r="AC1429" s="3">
        <f>W1429*12.0107+X1429*1.00784+Y1429*15.999+Z1429*14.0067</f>
        <v>58.121200000000002</v>
      </c>
      <c r="AD1429" s="24">
        <v>-1</v>
      </c>
      <c r="AE1429" s="3" t="s">
        <v>321</v>
      </c>
      <c r="AF1429" s="2" t="s">
        <v>313</v>
      </c>
      <c r="AG1429" s="25" t="str">
        <f>IF(AD1429&gt;37,"Proton symporter", "Diffusion")</f>
        <v>Diffusion</v>
      </c>
      <c r="AH1429" s="3" t="s">
        <v>342</v>
      </c>
    </row>
    <row r="1430" spans="1:34" hidden="1" x14ac:dyDescent="0.2">
      <c r="A1430" s="8" t="s">
        <v>350</v>
      </c>
      <c r="B1430" s="17" t="s">
        <v>64</v>
      </c>
      <c r="C1430" t="s">
        <v>351</v>
      </c>
      <c r="D1430" s="13" t="s">
        <v>51</v>
      </c>
      <c r="E1430" t="s">
        <v>161</v>
      </c>
      <c r="F1430" t="s">
        <v>162</v>
      </c>
      <c r="G1430">
        <v>-10</v>
      </c>
      <c r="H1430">
        <v>0</v>
      </c>
      <c r="I1430">
        <v>0</v>
      </c>
      <c r="J1430">
        <v>0.45</v>
      </c>
      <c r="K1430">
        <v>-10</v>
      </c>
      <c r="L1430">
        <v>0</v>
      </c>
      <c r="M1430" s="26">
        <v>1.06493506493505</v>
      </c>
      <c r="N1430">
        <v>0</v>
      </c>
      <c r="O1430" s="26">
        <v>0.212987012987014</v>
      </c>
      <c r="P1430"/>
      <c r="Q1430" s="26">
        <v>2.12987012987014E-2</v>
      </c>
      <c r="R1430">
        <v>7.3686816309087105E-2</v>
      </c>
      <c r="S1430" s="3" t="str">
        <f>VLOOKUP($E1430,'[1]Product Naming'!$A$1:$P$58,2)</f>
        <v>Catechol</v>
      </c>
      <c r="T1430" s="3" t="str">
        <f>VLOOKUP($E1430,'[1]Product Naming'!$A$1:$P$58,3)</f>
        <v>Catechol</v>
      </c>
      <c r="U1430" s="3" t="str">
        <f>VLOOKUP($E1430,'[1]Product Naming'!$A$1:$P$58,4)</f>
        <v>E</v>
      </c>
      <c r="V1430" s="3" t="str">
        <f>VLOOKUP($E1430,'[1]Product Naming'!$A$1:$P$58,5)</f>
        <v>C6H6O2</v>
      </c>
      <c r="W1430" s="3">
        <f>VLOOKUP($E1430,'[1]Product Naming'!$A$1:$P$58,6)</f>
        <v>6</v>
      </c>
      <c r="X1430" s="3">
        <f>VLOOKUP($E1430,'[1]Product Naming'!$A$1:$P$58,7)</f>
        <v>6</v>
      </c>
      <c r="Y1430" s="3">
        <f>VLOOKUP($E1430,'[1]Product Naming'!$A$1:$P$58,8)</f>
        <v>2</v>
      </c>
      <c r="Z1430" s="3">
        <f>VLOOKUP($E1430,'[1]Product Naming'!$A$1:$P$58,9)</f>
        <v>0</v>
      </c>
      <c r="AA1430" s="3">
        <f>VLOOKUP($E1430,'[1]Product Naming'!$A$1:$P$58,10)</f>
        <v>0</v>
      </c>
      <c r="AB1430" s="3">
        <f>VLOOKUP($E1430,'[1]Product Naming'!$A$1:$P$58,11)</f>
        <v>4.333333333333333</v>
      </c>
      <c r="AC1430" s="3">
        <f>VLOOKUP($E1430,'[1]Product Naming'!$A$1:$P$58,12)</f>
        <v>110.10924</v>
      </c>
      <c r="AD1430" s="3">
        <f>VLOOKUP($E1430,'[1]Product Naming'!$A$1:$P$58,13)</f>
        <v>245</v>
      </c>
      <c r="AE1430" s="3" t="str">
        <f>VLOOKUP($E1430,'[1]Product Naming'!$A$1:$P$58,14)</f>
        <v>Aromatic + Diol</v>
      </c>
      <c r="AF1430" s="3" t="str">
        <f>VLOOKUP($E1430,'[1]Product Naming'!$A$1:$P$58,15)</f>
        <v>Glyceraldehyde 3-P</v>
      </c>
      <c r="AG1430" s="3" t="str">
        <f>VLOOKUP($E1430,'[1]Product Naming'!$A$1:$P$58,16)</f>
        <v>Proton symporter</v>
      </c>
      <c r="AH1430" s="3" t="str">
        <f>VLOOKUP($E1430,'[1]Product Naming'!$A$1:$Q$58,17)</f>
        <v>catechol_c</v>
      </c>
    </row>
    <row r="1431" spans="1:34" hidden="1" x14ac:dyDescent="0.2">
      <c r="A1431" s="8" t="s">
        <v>34</v>
      </c>
      <c r="B1431" s="9" t="s">
        <v>35</v>
      </c>
      <c r="C1431" s="1" t="s">
        <v>50</v>
      </c>
      <c r="D1431" s="13" t="s">
        <v>51</v>
      </c>
      <c r="E1431" s="1" t="s">
        <v>279</v>
      </c>
      <c r="F1431" s="1" t="s">
        <v>280</v>
      </c>
      <c r="G1431" s="1">
        <v>-10</v>
      </c>
      <c r="H1431" s="1">
        <v>-20</v>
      </c>
      <c r="I1431" s="1" t="s">
        <v>40</v>
      </c>
      <c r="J1431" s="1">
        <v>3.15</v>
      </c>
      <c r="K1431" s="1">
        <v>-10</v>
      </c>
      <c r="L1431" s="1">
        <v>-2.4905882352941</v>
      </c>
      <c r="M1431" s="1" t="s">
        <v>40</v>
      </c>
      <c r="N1431" s="1">
        <v>8.3270588235293594</v>
      </c>
      <c r="O1431" s="1">
        <v>0.55764705882352195</v>
      </c>
      <c r="Q1431" s="1">
        <v>5.5764705882352203E-2</v>
      </c>
      <c r="R1431" s="1">
        <v>7.2803461199902095E-2</v>
      </c>
      <c r="S1431" s="20" t="s">
        <v>281</v>
      </c>
      <c r="T1431" s="3" t="s">
        <v>282</v>
      </c>
      <c r="U1431" s="3" t="s">
        <v>174</v>
      </c>
      <c r="V1431" s="3" t="s">
        <v>283</v>
      </c>
      <c r="W1431" s="3">
        <v>3</v>
      </c>
      <c r="X1431" s="3">
        <v>8</v>
      </c>
      <c r="Y1431" s="3">
        <v>1</v>
      </c>
      <c r="Z1431" s="3">
        <v>0</v>
      </c>
      <c r="AA1431" s="3">
        <v>0</v>
      </c>
      <c r="AB1431" s="12">
        <f>(W1431*4+X1431*1+Y1431*-2+Z1431*-3)/W1431</f>
        <v>6</v>
      </c>
      <c r="AC1431" s="3">
        <f>W1431*12.0107+X1431*1.00784+Y1431*15.999+Z1431*14.0067</f>
        <v>60.093820000000001</v>
      </c>
      <c r="AD1431" s="12">
        <v>97</v>
      </c>
      <c r="AE1431" s="2" t="s">
        <v>262</v>
      </c>
      <c r="AF1431" s="2" t="s">
        <v>284</v>
      </c>
      <c r="AG1431" s="2" t="str">
        <f>IF(AD1431&gt;37,"Proton symporter", "Diffusion")</f>
        <v>Proton symporter</v>
      </c>
      <c r="AH1431" s="3" t="s">
        <v>285</v>
      </c>
    </row>
    <row r="1432" spans="1:34" hidden="1" x14ac:dyDescent="0.2">
      <c r="A1432" s="8" t="s">
        <v>34</v>
      </c>
      <c r="B1432" s="9" t="s">
        <v>35</v>
      </c>
      <c r="C1432" s="1" t="s">
        <v>50</v>
      </c>
      <c r="D1432" s="13" t="s">
        <v>51</v>
      </c>
      <c r="E1432" s="1" t="s">
        <v>300</v>
      </c>
      <c r="F1432" s="1" t="s">
        <v>301</v>
      </c>
      <c r="G1432" s="1">
        <v>-10</v>
      </c>
      <c r="H1432" s="1">
        <v>-20</v>
      </c>
      <c r="I1432" s="1" t="s">
        <v>40</v>
      </c>
      <c r="J1432" s="1">
        <v>3.15</v>
      </c>
      <c r="K1432" s="1">
        <v>-10</v>
      </c>
      <c r="L1432" s="1">
        <v>-2.2914285714285798</v>
      </c>
      <c r="M1432" s="1" t="s">
        <v>40</v>
      </c>
      <c r="N1432" s="1">
        <v>8.1942857142857299</v>
      </c>
      <c r="O1432" s="1">
        <v>0.45142857142857201</v>
      </c>
      <c r="Q1432" s="1">
        <v>4.51428571428572E-2</v>
      </c>
      <c r="R1432" s="1">
        <v>7.2692302344578394E-2</v>
      </c>
      <c r="S1432" s="20" t="s">
        <v>300</v>
      </c>
      <c r="T1432" s="3" t="s">
        <v>302</v>
      </c>
      <c r="U1432" s="3" t="s">
        <v>106</v>
      </c>
      <c r="V1432" s="3" t="s">
        <v>303</v>
      </c>
      <c r="W1432" s="3">
        <v>4</v>
      </c>
      <c r="X1432" s="3">
        <v>10</v>
      </c>
      <c r="Y1432" s="3">
        <v>1</v>
      </c>
      <c r="Z1432" s="3">
        <v>0</v>
      </c>
      <c r="AA1432" s="3">
        <v>0</v>
      </c>
      <c r="AB1432" s="12">
        <f>(W1432*4+X1432*1+Y1432*-2+Z1432*-3)/W1432</f>
        <v>6</v>
      </c>
      <c r="AC1432" s="3">
        <f>W1432*12.0107+X1432*1.00784+Y1432*15.999+Z1432*14.0067</f>
        <v>74.120199999999997</v>
      </c>
      <c r="AD1432" s="12">
        <v>117.7</v>
      </c>
      <c r="AE1432" s="3" t="s">
        <v>262</v>
      </c>
      <c r="AF1432" s="2" t="s">
        <v>79</v>
      </c>
      <c r="AG1432" s="2" t="str">
        <f>IF(AD1432&gt;37,"Proton symporter", "Diffusion")</f>
        <v>Proton symporter</v>
      </c>
      <c r="AH1432" s="3" t="s">
        <v>304</v>
      </c>
    </row>
    <row r="1433" spans="1:34" hidden="1" x14ac:dyDescent="0.2">
      <c r="A1433" s="8" t="s">
        <v>34</v>
      </c>
      <c r="B1433" s="9" t="s">
        <v>35</v>
      </c>
      <c r="C1433" s="1" t="s">
        <v>52</v>
      </c>
      <c r="D1433" s="13" t="s">
        <v>51</v>
      </c>
      <c r="E1433" s="1" t="s">
        <v>240</v>
      </c>
      <c r="F1433" s="1" t="s">
        <v>235</v>
      </c>
      <c r="G1433" s="1">
        <v>-10</v>
      </c>
      <c r="H1433" s="1">
        <v>-20</v>
      </c>
      <c r="I1433" s="1" t="s">
        <v>40</v>
      </c>
      <c r="J1433" s="1">
        <v>3.15</v>
      </c>
      <c r="K1433" s="1">
        <v>-10</v>
      </c>
      <c r="L1433" s="1">
        <v>-3.0099236641221401</v>
      </c>
      <c r="M1433" s="1" t="s">
        <v>40</v>
      </c>
      <c r="N1433" s="1">
        <v>8.5526717557251892</v>
      </c>
      <c r="O1433" s="1">
        <v>0.36183206106870303</v>
      </c>
      <c r="Q1433" s="1">
        <v>3.6183206106870203E-2</v>
      </c>
      <c r="R1433" s="1">
        <v>7.08414061340151E-2</v>
      </c>
      <c r="S1433" s="20" t="s">
        <v>241</v>
      </c>
      <c r="T1433" s="3" t="s">
        <v>242</v>
      </c>
      <c r="U1433" s="3" t="s">
        <v>106</v>
      </c>
      <c r="V1433" s="3" t="s">
        <v>238</v>
      </c>
      <c r="W1433" s="3">
        <v>4</v>
      </c>
      <c r="X1433" s="3">
        <v>10</v>
      </c>
      <c r="Y1433" s="3">
        <v>2</v>
      </c>
      <c r="Z1433" s="3">
        <v>0</v>
      </c>
      <c r="AA1433" s="3">
        <v>0</v>
      </c>
      <c r="AB1433" s="12">
        <f>(W1433*4+X1433*1+Y1433*-2+Z1433*-3)/W1433</f>
        <v>5.5</v>
      </c>
      <c r="AC1433" s="3">
        <f>W1433*12.0107+X1433*1.00784+Y1433*15.999+Z1433*14.0067</f>
        <v>90.119200000000006</v>
      </c>
      <c r="AD1433" s="12">
        <v>207</v>
      </c>
      <c r="AE1433" s="2" t="s">
        <v>220</v>
      </c>
      <c r="AF1433" s="3" t="s">
        <v>243</v>
      </c>
      <c r="AG1433" s="2" t="str">
        <f>IF(AD1433&gt;37,"Proton symporter", "Diffusion")</f>
        <v>Proton symporter</v>
      </c>
      <c r="AH1433" s="3" t="s">
        <v>239</v>
      </c>
    </row>
    <row r="1434" spans="1:34" hidden="1" x14ac:dyDescent="0.2">
      <c r="A1434" s="8" t="s">
        <v>34</v>
      </c>
      <c r="B1434" s="9" t="s">
        <v>35</v>
      </c>
      <c r="C1434" s="1" t="s">
        <v>52</v>
      </c>
      <c r="D1434" s="13" t="s">
        <v>51</v>
      </c>
      <c r="E1434" s="1" t="s">
        <v>249</v>
      </c>
      <c r="F1434" s="1" t="s">
        <v>250</v>
      </c>
      <c r="G1434" s="1">
        <v>-10</v>
      </c>
      <c r="H1434" s="1">
        <v>-20</v>
      </c>
      <c r="I1434" s="1" t="s">
        <v>40</v>
      </c>
      <c r="J1434" s="1">
        <v>3.15</v>
      </c>
      <c r="K1434" s="1">
        <v>-10</v>
      </c>
      <c r="L1434" s="1">
        <v>-3.0099236641221401</v>
      </c>
      <c r="M1434" s="1" t="s">
        <v>40</v>
      </c>
      <c r="N1434" s="1">
        <v>8.5526717557251803</v>
      </c>
      <c r="O1434" s="1">
        <v>0.36183206106869598</v>
      </c>
      <c r="Q1434" s="1">
        <v>3.6183206106869599E-2</v>
      </c>
      <c r="R1434" s="1">
        <v>7.0841406134013907E-2</v>
      </c>
      <c r="S1434" s="20" t="s">
        <v>251</v>
      </c>
      <c r="T1434" s="3" t="s">
        <v>252</v>
      </c>
      <c r="U1434" s="3" t="s">
        <v>106</v>
      </c>
      <c r="V1434" s="3" t="s">
        <v>238</v>
      </c>
      <c r="W1434" s="3">
        <v>4</v>
      </c>
      <c r="X1434" s="3">
        <v>10</v>
      </c>
      <c r="Y1434" s="3">
        <v>2</v>
      </c>
      <c r="Z1434" s="3">
        <v>0</v>
      </c>
      <c r="AA1434" s="3">
        <v>0</v>
      </c>
      <c r="AB1434" s="12">
        <f>(W1434*4+X1434*1+Y1434*-2+Z1434*-3)/W1434</f>
        <v>5.5</v>
      </c>
      <c r="AC1434" s="3">
        <f>W1434*12.0107+X1434*1.00784+Y1434*15.999+Z1434*14.0067</f>
        <v>90.119200000000006</v>
      </c>
      <c r="AD1434" s="12">
        <v>177</v>
      </c>
      <c r="AE1434" s="3" t="s">
        <v>220</v>
      </c>
      <c r="AF1434" s="3" t="s">
        <v>135</v>
      </c>
      <c r="AG1434" s="2" t="str">
        <f>IF(AD1434&gt;37,"Proton symporter", "Diffusion")</f>
        <v>Proton symporter</v>
      </c>
      <c r="AH1434" s="3" t="s">
        <v>253</v>
      </c>
    </row>
    <row r="1435" spans="1:34" hidden="1" x14ac:dyDescent="0.2">
      <c r="A1435" s="16" t="s">
        <v>63</v>
      </c>
      <c r="B1435" s="17" t="s">
        <v>64</v>
      </c>
      <c r="C1435" t="s">
        <v>70</v>
      </c>
      <c r="D1435" s="18" t="s">
        <v>66</v>
      </c>
      <c r="E1435" t="s">
        <v>146</v>
      </c>
      <c r="F1435" t="s">
        <v>147</v>
      </c>
      <c r="G1435">
        <v>-10</v>
      </c>
      <c r="H1435">
        <v>0</v>
      </c>
      <c r="I1435">
        <v>0</v>
      </c>
      <c r="J1435">
        <v>0.45</v>
      </c>
      <c r="K1435">
        <v>-10</v>
      </c>
      <c r="L1435">
        <v>0</v>
      </c>
      <c r="M1435">
        <v>0</v>
      </c>
      <c r="N1435">
        <v>5.0995348837209296</v>
      </c>
      <c r="O1435">
        <v>0.19906976744186</v>
      </c>
      <c r="P1435"/>
      <c r="Q1435">
        <v>1.9906976744186001E-2</v>
      </c>
      <c r="R1435">
        <v>7.0558662797770996E-2</v>
      </c>
      <c r="S1435" s="20" t="s">
        <v>148</v>
      </c>
      <c r="T1435" s="3" t="s">
        <v>148</v>
      </c>
      <c r="U1435" s="3" t="s">
        <v>106</v>
      </c>
      <c r="V1435" s="3" t="s">
        <v>149</v>
      </c>
      <c r="W1435" s="3">
        <v>9</v>
      </c>
      <c r="X1435" s="3">
        <v>7</v>
      </c>
      <c r="Y1435" s="3">
        <v>3</v>
      </c>
      <c r="Z1435" s="3">
        <v>0</v>
      </c>
      <c r="AA1435" s="3">
        <v>-1</v>
      </c>
      <c r="AB1435" s="12">
        <f>(W1435*4+X1435*1+Y1435*-2+Z1435*-3)/W1435</f>
        <v>4.1111111111111107</v>
      </c>
      <c r="AC1435" s="3">
        <f>W1435*12.0107+X1435*1.00784+Y1435*15.999+Z1435*14.0067</f>
        <v>163.14818</v>
      </c>
      <c r="AD1435" s="12">
        <v>346</v>
      </c>
      <c r="AE1435" s="22" t="s">
        <v>139</v>
      </c>
      <c r="AF1435" s="2" t="s">
        <v>150</v>
      </c>
      <c r="AG1435" s="2" t="str">
        <f>IF(AD1435&gt;37,"Proton symporter", "Diffusion")</f>
        <v>Proton symporter</v>
      </c>
      <c r="AH1435" s="3" t="s">
        <v>151</v>
      </c>
    </row>
    <row r="1436" spans="1:34" hidden="1" x14ac:dyDescent="0.2">
      <c r="A1436" s="16" t="s">
        <v>63</v>
      </c>
      <c r="B1436" s="17" t="s">
        <v>64</v>
      </c>
      <c r="C1436" t="s">
        <v>71</v>
      </c>
      <c r="D1436" s="18" t="s">
        <v>66</v>
      </c>
      <c r="E1436" t="s">
        <v>178</v>
      </c>
      <c r="F1436" t="s">
        <v>179</v>
      </c>
      <c r="G1436">
        <v>-10</v>
      </c>
      <c r="H1436">
        <v>0</v>
      </c>
      <c r="I1436">
        <v>-5</v>
      </c>
      <c r="J1436">
        <v>0.45</v>
      </c>
      <c r="K1436">
        <v>-10</v>
      </c>
      <c r="L1436">
        <v>0</v>
      </c>
      <c r="M1436">
        <v>-5</v>
      </c>
      <c r="N1436">
        <v>2.9109004739336499</v>
      </c>
      <c r="O1436">
        <v>0.27393364928909902</v>
      </c>
      <c r="P1436"/>
      <c r="Q1436">
        <v>2.7393364928910001E-2</v>
      </c>
      <c r="R1436">
        <v>6.9967418557778993E-2</v>
      </c>
      <c r="S1436" s="20" t="s">
        <v>178</v>
      </c>
      <c r="T1436" s="3" t="s">
        <v>178</v>
      </c>
      <c r="U1436" s="3" t="s">
        <v>106</v>
      </c>
      <c r="V1436" s="3" t="s">
        <v>180</v>
      </c>
      <c r="W1436" s="3">
        <v>8</v>
      </c>
      <c r="X1436" s="3">
        <v>8</v>
      </c>
      <c r="Y1436" s="3">
        <v>1</v>
      </c>
      <c r="Z1436" s="3">
        <v>0</v>
      </c>
      <c r="AA1436" s="3">
        <v>0</v>
      </c>
      <c r="AB1436" s="12">
        <f>(W1436*4+X1436*1+Y1436*-2+Z1436*-3)/W1436</f>
        <v>4.75</v>
      </c>
      <c r="AC1436" s="3">
        <f>W1436*12.0107+X1436*1.00784+Y1436*15.999+Z1436*14.0067</f>
        <v>120.14731999999999</v>
      </c>
      <c r="AD1436" s="12">
        <v>229</v>
      </c>
      <c r="AE1436" s="3" t="s">
        <v>176</v>
      </c>
      <c r="AF1436" s="2" t="s">
        <v>150</v>
      </c>
      <c r="AG1436" s="2" t="str">
        <f>IF(AD1436&gt;37,"Proton symporter", "Diffusion")</f>
        <v>Proton symporter</v>
      </c>
      <c r="AH1436" s="3" t="s">
        <v>181</v>
      </c>
    </row>
    <row r="1437" spans="1:34" hidden="1" x14ac:dyDescent="0.2">
      <c r="A1437" s="8" t="s">
        <v>34</v>
      </c>
      <c r="B1437" s="9" t="s">
        <v>35</v>
      </c>
      <c r="C1437" s="1" t="s">
        <v>52</v>
      </c>
      <c r="D1437" s="13" t="s">
        <v>51</v>
      </c>
      <c r="E1437" s="1" t="s">
        <v>234</v>
      </c>
      <c r="F1437" s="1" t="s">
        <v>235</v>
      </c>
      <c r="G1437" s="1">
        <v>-10</v>
      </c>
      <c r="H1437" s="1">
        <v>-20</v>
      </c>
      <c r="I1437" s="1" t="s">
        <v>40</v>
      </c>
      <c r="J1437" s="1">
        <v>3.15</v>
      </c>
      <c r="K1437" s="1">
        <v>-10</v>
      </c>
      <c r="L1437" s="1">
        <v>-3.03984962406015</v>
      </c>
      <c r="M1437" s="1" t="s">
        <v>40</v>
      </c>
      <c r="N1437" s="1">
        <v>8.5744360902255607</v>
      </c>
      <c r="O1437" s="1">
        <v>0.35639097744360898</v>
      </c>
      <c r="Q1437" s="1">
        <v>3.5639097744360901E-2</v>
      </c>
      <c r="R1437" s="1">
        <v>6.97761218312479E-2</v>
      </c>
      <c r="S1437" s="20" t="s">
        <v>236</v>
      </c>
      <c r="T1437" s="3" t="s">
        <v>237</v>
      </c>
      <c r="U1437" s="3" t="s">
        <v>106</v>
      </c>
      <c r="V1437" s="3" t="s">
        <v>238</v>
      </c>
      <c r="W1437" s="3">
        <v>4</v>
      </c>
      <c r="X1437" s="3">
        <v>10</v>
      </c>
      <c r="Y1437" s="3">
        <v>2</v>
      </c>
      <c r="Z1437" s="3">
        <v>0</v>
      </c>
      <c r="AA1437" s="3">
        <v>0</v>
      </c>
      <c r="AB1437" s="12">
        <f>(W1437*4+X1437*1+Y1437*-2+Z1437*-3)/W1437</f>
        <v>5.5</v>
      </c>
      <c r="AC1437" s="3">
        <f>W1437*12.0107+X1437*1.00784+Y1437*15.999+Z1437*14.0067</f>
        <v>90.119200000000006</v>
      </c>
      <c r="AD1437" s="12">
        <v>207</v>
      </c>
      <c r="AE1437" s="2" t="s">
        <v>220</v>
      </c>
      <c r="AF1437" s="3" t="s">
        <v>79</v>
      </c>
      <c r="AG1437" s="2" t="str">
        <f>IF(AD1437&gt;37,"Proton symporter", "Diffusion")</f>
        <v>Proton symporter</v>
      </c>
      <c r="AH1437" s="3" t="s">
        <v>239</v>
      </c>
    </row>
    <row r="1438" spans="1:34" hidden="1" x14ac:dyDescent="0.2">
      <c r="A1438" s="8" t="s">
        <v>34</v>
      </c>
      <c r="B1438" s="9" t="s">
        <v>35</v>
      </c>
      <c r="C1438" s="1" t="s">
        <v>52</v>
      </c>
      <c r="D1438" s="13" t="s">
        <v>51</v>
      </c>
      <c r="E1438" s="1" t="s">
        <v>273</v>
      </c>
      <c r="F1438" s="1" t="s">
        <v>274</v>
      </c>
      <c r="G1438" s="1">
        <v>-10</v>
      </c>
      <c r="H1438" s="1">
        <v>-20</v>
      </c>
      <c r="I1438" s="1" t="s">
        <v>40</v>
      </c>
      <c r="J1438" s="1">
        <v>3.15</v>
      </c>
      <c r="K1438" s="1">
        <v>-10</v>
      </c>
      <c r="L1438" s="1">
        <v>-3.3221238938053101</v>
      </c>
      <c r="M1438" s="1" t="s">
        <v>40</v>
      </c>
      <c r="N1438" s="1">
        <v>8.7415929203539804</v>
      </c>
      <c r="O1438" s="1">
        <v>0.41946902654867202</v>
      </c>
      <c r="Q1438" s="1">
        <v>4.19469026548673E-2</v>
      </c>
      <c r="R1438" s="1">
        <v>6.9386211273669104E-2</v>
      </c>
      <c r="S1438" s="22" t="s">
        <v>273</v>
      </c>
      <c r="T1438" s="3" t="s">
        <v>275</v>
      </c>
      <c r="U1438" s="3" t="s">
        <v>41</v>
      </c>
      <c r="V1438" s="2" t="s">
        <v>276</v>
      </c>
      <c r="W1438" s="2">
        <v>3</v>
      </c>
      <c r="X1438" s="2">
        <v>12</v>
      </c>
      <c r="Y1438" s="2">
        <v>0</v>
      </c>
      <c r="Z1438" s="2">
        <v>2</v>
      </c>
      <c r="AA1438" s="2">
        <v>0</v>
      </c>
      <c r="AB1438" s="12">
        <f>(W1438*4+X1438*1+Y1438*-2+Z1438*-3)/W1438</f>
        <v>6</v>
      </c>
      <c r="AC1438" s="3">
        <f>W1438*12.0107+X1438*1.00784+Y1438*15.999+Z1438*14.0067</f>
        <v>76.139580000000009</v>
      </c>
      <c r="AD1438" s="12">
        <v>139.30000000000001</v>
      </c>
      <c r="AE1438" s="2" t="s">
        <v>277</v>
      </c>
      <c r="AF1438" s="2" t="s">
        <v>125</v>
      </c>
      <c r="AG1438" s="2" t="str">
        <f>IF(AD1438&gt;37,"Proton symporter", "Diffusion")</f>
        <v>Proton symporter</v>
      </c>
      <c r="AH1438" s="3" t="s">
        <v>278</v>
      </c>
    </row>
    <row r="1439" spans="1:34" hidden="1" x14ac:dyDescent="0.2">
      <c r="A1439" s="16" t="s">
        <v>63</v>
      </c>
      <c r="B1439" s="17" t="s">
        <v>64</v>
      </c>
      <c r="C1439" t="s">
        <v>71</v>
      </c>
      <c r="D1439" s="18" t="s">
        <v>66</v>
      </c>
      <c r="E1439" t="s">
        <v>152</v>
      </c>
      <c r="F1439" t="s">
        <v>153</v>
      </c>
      <c r="G1439">
        <v>-10</v>
      </c>
      <c r="H1439">
        <v>0</v>
      </c>
      <c r="I1439">
        <v>-5</v>
      </c>
      <c r="J1439">
        <v>0.45</v>
      </c>
      <c r="K1439">
        <v>-10</v>
      </c>
      <c r="L1439">
        <v>0</v>
      </c>
      <c r="M1439">
        <v>-5</v>
      </c>
      <c r="N1439">
        <v>2.63441860465116</v>
      </c>
      <c r="O1439">
        <v>0.26883720930232502</v>
      </c>
      <c r="P1439"/>
      <c r="Q1439">
        <v>2.6883720930233002E-2</v>
      </c>
      <c r="R1439">
        <v>6.9217083003989002E-2</v>
      </c>
      <c r="S1439" s="11" t="s">
        <v>152</v>
      </c>
      <c r="T1439" s="2" t="s">
        <v>154</v>
      </c>
      <c r="U1439" s="3" t="s">
        <v>41</v>
      </c>
      <c r="V1439" s="2" t="s">
        <v>155</v>
      </c>
      <c r="W1439" s="2">
        <v>7</v>
      </c>
      <c r="X1439" s="2">
        <v>5</v>
      </c>
      <c r="Y1439" s="2">
        <v>2</v>
      </c>
      <c r="Z1439" s="2">
        <v>0</v>
      </c>
      <c r="AA1439" s="2">
        <v>0</v>
      </c>
      <c r="AB1439" s="12">
        <f>(W1439*4+X1439*1+Y1439*-2+Z1439*-3)/W1439</f>
        <v>4.1428571428571432</v>
      </c>
      <c r="AC1439" s="3">
        <f>W1439*12.0107+X1439*1.00784+Y1439*15.999+Z1439*14.0067</f>
        <v>121.1121</v>
      </c>
      <c r="AD1439" s="12">
        <v>249.2</v>
      </c>
      <c r="AE1439" s="2" t="s">
        <v>156</v>
      </c>
      <c r="AF1439" s="2" t="s">
        <v>157</v>
      </c>
      <c r="AG1439" s="2" t="str">
        <f>IF(AD1439&gt;37,"Proton symporter", "Diffusion")</f>
        <v>Proton symporter</v>
      </c>
      <c r="AH1439" s="3" t="s">
        <v>158</v>
      </c>
    </row>
    <row r="1440" spans="1:34" hidden="1" x14ac:dyDescent="0.2">
      <c r="A1440" s="8" t="s">
        <v>350</v>
      </c>
      <c r="B1440" s="17" t="s">
        <v>64</v>
      </c>
      <c r="C1440" t="s">
        <v>351</v>
      </c>
      <c r="D1440" s="13" t="s">
        <v>51</v>
      </c>
      <c r="E1440" t="s">
        <v>146</v>
      </c>
      <c r="F1440" t="s">
        <v>147</v>
      </c>
      <c r="G1440">
        <v>-10</v>
      </c>
      <c r="H1440">
        <v>0</v>
      </c>
      <c r="I1440">
        <v>0</v>
      </c>
      <c r="J1440">
        <v>0.45</v>
      </c>
      <c r="K1440">
        <v>-10</v>
      </c>
      <c r="L1440">
        <v>0</v>
      </c>
      <c r="M1440" s="26">
        <v>1.0754098360655799</v>
      </c>
      <c r="N1440">
        <v>0</v>
      </c>
      <c r="O1440" s="26">
        <v>0.13442622950819599</v>
      </c>
      <c r="P1440"/>
      <c r="Q1440" s="26">
        <v>1.34426229508196E-2</v>
      </c>
      <c r="R1440">
        <v>6.8914081572067895E-2</v>
      </c>
      <c r="S1440" s="3" t="str">
        <f>VLOOKUP($E1440,'[1]Product Naming'!$A$1:$P$58,2)</f>
        <v>Coumaric acid</v>
      </c>
      <c r="T1440" s="3" t="str">
        <f>VLOOKUP($E1440,'[1]Product Naming'!$A$1:$P$58,3)</f>
        <v>Coumaric acid</v>
      </c>
      <c r="U1440" s="3" t="str">
        <f>VLOOKUP($E1440,'[1]Product Naming'!$A$1:$P$58,4)</f>
        <v>E</v>
      </c>
      <c r="V1440" s="3" t="str">
        <f>VLOOKUP($E1440,'[1]Product Naming'!$A$1:$P$58,5)</f>
        <v>C9H7O3</v>
      </c>
      <c r="W1440" s="3">
        <f>VLOOKUP($E1440,'[1]Product Naming'!$A$1:$P$58,6)</f>
        <v>9</v>
      </c>
      <c r="X1440" s="3">
        <f>VLOOKUP($E1440,'[1]Product Naming'!$A$1:$P$58,7)</f>
        <v>7</v>
      </c>
      <c r="Y1440" s="3">
        <f>VLOOKUP($E1440,'[1]Product Naming'!$A$1:$P$58,8)</f>
        <v>3</v>
      </c>
      <c r="Z1440" s="3">
        <f>VLOOKUP($E1440,'[1]Product Naming'!$A$1:$P$58,9)</f>
        <v>0</v>
      </c>
      <c r="AA1440" s="3">
        <f>VLOOKUP($E1440,'[1]Product Naming'!$A$1:$P$58,10)</f>
        <v>-1</v>
      </c>
      <c r="AB1440" s="3">
        <f>VLOOKUP($E1440,'[1]Product Naming'!$A$1:$P$58,11)</f>
        <v>4.1111111111111107</v>
      </c>
      <c r="AC1440" s="3">
        <f>VLOOKUP($E1440,'[1]Product Naming'!$A$1:$P$58,12)</f>
        <v>163.14818</v>
      </c>
      <c r="AD1440" s="3">
        <f>VLOOKUP($E1440,'[1]Product Naming'!$A$1:$P$58,13)</f>
        <v>346</v>
      </c>
      <c r="AE1440" s="3" t="str">
        <f>VLOOKUP($E1440,'[1]Product Naming'!$A$1:$P$58,14)</f>
        <v>Aromatic + Alcohol + Carboxylate</v>
      </c>
      <c r="AF1440" s="3" t="str">
        <f>VLOOKUP($E1440,'[1]Product Naming'!$A$1:$P$58,15)</f>
        <v>E4P + L-glutamate</v>
      </c>
      <c r="AG1440" s="3" t="str">
        <f>VLOOKUP($E1440,'[1]Product Naming'!$A$1:$P$58,16)</f>
        <v>Proton symporter</v>
      </c>
      <c r="AH1440" s="3" t="str">
        <f>VLOOKUP($E1440,'[1]Product Naming'!$A$1:$Q$58,17)</f>
        <v>T4hcinnm_c</v>
      </c>
    </row>
    <row r="1441" spans="1:34" hidden="1" x14ac:dyDescent="0.2">
      <c r="A1441" s="8" t="s">
        <v>34</v>
      </c>
      <c r="B1441" s="9" t="s">
        <v>35</v>
      </c>
      <c r="C1441" s="1" t="s">
        <v>50</v>
      </c>
      <c r="D1441" s="13" t="s">
        <v>51</v>
      </c>
      <c r="E1441" s="1" t="s">
        <v>286</v>
      </c>
      <c r="F1441" s="1" t="s">
        <v>280</v>
      </c>
      <c r="G1441" s="1">
        <v>-10</v>
      </c>
      <c r="H1441" s="1">
        <v>-20</v>
      </c>
      <c r="I1441" s="1" t="s">
        <v>40</v>
      </c>
      <c r="J1441" s="1">
        <v>3.15</v>
      </c>
      <c r="K1441" s="1">
        <v>-10</v>
      </c>
      <c r="L1441" s="1">
        <v>-2.6560439560439502</v>
      </c>
      <c r="M1441" s="1" t="s">
        <v>40</v>
      </c>
      <c r="N1441" s="1">
        <v>8.4373626373626305</v>
      </c>
      <c r="O1441" s="1">
        <v>0.52087912087911903</v>
      </c>
      <c r="Q1441" s="1">
        <v>5.20879120879119E-2</v>
      </c>
      <c r="R1441" s="1">
        <v>6.8003232988920206E-2</v>
      </c>
      <c r="S1441" s="20" t="s">
        <v>287</v>
      </c>
      <c r="T1441" s="3" t="s">
        <v>288</v>
      </c>
      <c r="U1441" s="3" t="s">
        <v>174</v>
      </c>
      <c r="V1441" s="3" t="s">
        <v>283</v>
      </c>
      <c r="W1441" s="3">
        <v>3</v>
      </c>
      <c r="X1441" s="3">
        <v>8</v>
      </c>
      <c r="Y1441" s="3">
        <v>1</v>
      </c>
      <c r="Z1441" s="3">
        <v>0</v>
      </c>
      <c r="AA1441" s="3">
        <v>0</v>
      </c>
      <c r="AB1441" s="12">
        <f>(W1441*4+X1441*1+Y1441*-2+Z1441*-3)/W1441</f>
        <v>6</v>
      </c>
      <c r="AC1441" s="3">
        <f>W1441*12.0107+X1441*1.00784+Y1441*15.999+Z1441*14.0067</f>
        <v>60.093820000000001</v>
      </c>
      <c r="AD1441" s="12">
        <v>97</v>
      </c>
      <c r="AE1441" s="2" t="s">
        <v>262</v>
      </c>
      <c r="AF1441" s="3" t="s">
        <v>44</v>
      </c>
      <c r="AG1441" s="2" t="str">
        <f>IF(AD1441&gt;37,"Proton symporter", "Diffusion")</f>
        <v>Proton symporter</v>
      </c>
      <c r="AH1441" s="3" t="s">
        <v>285</v>
      </c>
    </row>
    <row r="1442" spans="1:34" hidden="1" x14ac:dyDescent="0.2">
      <c r="A1442" s="8" t="s">
        <v>34</v>
      </c>
      <c r="B1442" s="9" t="s">
        <v>35</v>
      </c>
      <c r="C1442" s="1" t="s">
        <v>50</v>
      </c>
      <c r="D1442" s="13" t="s">
        <v>51</v>
      </c>
      <c r="E1442" s="1" t="s">
        <v>172</v>
      </c>
      <c r="F1442" s="1" t="s">
        <v>173</v>
      </c>
      <c r="G1442" s="1">
        <v>-10</v>
      </c>
      <c r="H1442" s="1">
        <v>-20</v>
      </c>
      <c r="I1442" s="1" t="s">
        <v>40</v>
      </c>
      <c r="J1442" s="1">
        <v>3.15</v>
      </c>
      <c r="K1442" s="1">
        <v>-10</v>
      </c>
      <c r="L1442" s="1">
        <v>-2.6958333333333302</v>
      </c>
      <c r="M1442" s="1" t="s">
        <v>40</v>
      </c>
      <c r="N1442" s="1">
        <v>8.0250000000000004</v>
      </c>
      <c r="O1442" s="1">
        <v>0.329166666666667</v>
      </c>
      <c r="Q1442" s="1">
        <v>3.2916666666666698E-2</v>
      </c>
      <c r="R1442" s="1">
        <v>6.7300072127500596E-2</v>
      </c>
      <c r="S1442" s="20" t="s">
        <v>172</v>
      </c>
      <c r="T1442" s="3" t="s">
        <v>172</v>
      </c>
      <c r="U1442" s="3" t="s">
        <v>174</v>
      </c>
      <c r="V1442" s="3" t="s">
        <v>175</v>
      </c>
      <c r="W1442" s="3">
        <v>6</v>
      </c>
      <c r="X1442" s="3">
        <v>6</v>
      </c>
      <c r="Y1442" s="3">
        <v>1</v>
      </c>
      <c r="Z1442" s="3">
        <v>0</v>
      </c>
      <c r="AA1442" s="3">
        <v>0</v>
      </c>
      <c r="AB1442" s="12">
        <f>(W1442*4+X1442*1+Y1442*-2+Z1442*-3)/W1442</f>
        <v>4.666666666666667</v>
      </c>
      <c r="AC1442" s="3">
        <f>W1442*12.0107+X1442*1.00784+Y1442*15.999+Z1442*14.0067</f>
        <v>94.11023999999999</v>
      </c>
      <c r="AD1442" s="12">
        <v>181.7</v>
      </c>
      <c r="AE1442" s="3" t="s">
        <v>176</v>
      </c>
      <c r="AF1442" s="2" t="s">
        <v>150</v>
      </c>
      <c r="AG1442" s="2" t="str">
        <f>IF(AD1442&gt;37,"Proton symporter", "Diffusion")</f>
        <v>Proton symporter</v>
      </c>
      <c r="AH1442" s="3" t="s">
        <v>177</v>
      </c>
    </row>
    <row r="1443" spans="1:34" hidden="1" x14ac:dyDescent="0.2">
      <c r="A1443" s="8" t="s">
        <v>34</v>
      </c>
      <c r="B1443" s="9" t="s">
        <v>35</v>
      </c>
      <c r="C1443" s="1" t="s">
        <v>52</v>
      </c>
      <c r="D1443" s="13" t="s">
        <v>51</v>
      </c>
      <c r="E1443" s="1" t="s">
        <v>244</v>
      </c>
      <c r="F1443" s="1" t="s">
        <v>245</v>
      </c>
      <c r="G1443" s="1">
        <v>-10</v>
      </c>
      <c r="H1443" s="1">
        <v>-20</v>
      </c>
      <c r="I1443" s="1" t="s">
        <v>40</v>
      </c>
      <c r="J1443" s="1">
        <v>3.15</v>
      </c>
      <c r="K1443" s="1">
        <v>-10</v>
      </c>
      <c r="L1443" s="1">
        <v>-3.12446043165468</v>
      </c>
      <c r="M1443" s="1" t="s">
        <v>40</v>
      </c>
      <c r="N1443" s="1">
        <v>8.6359712230215795</v>
      </c>
      <c r="O1443" s="1">
        <v>0.34100719424460502</v>
      </c>
      <c r="Q1443" s="1">
        <v>3.4100719424460503E-2</v>
      </c>
      <c r="R1443" s="1">
        <v>6.6764202903280404E-2</v>
      </c>
      <c r="S1443" s="20" t="s">
        <v>246</v>
      </c>
      <c r="T1443" s="3" t="s">
        <v>247</v>
      </c>
      <c r="U1443" s="3" t="s">
        <v>106</v>
      </c>
      <c r="V1443" s="3" t="s">
        <v>238</v>
      </c>
      <c r="W1443" s="3">
        <v>4</v>
      </c>
      <c r="X1443" s="3">
        <v>10</v>
      </c>
      <c r="Y1443" s="3">
        <v>2</v>
      </c>
      <c r="Z1443" s="3">
        <v>0</v>
      </c>
      <c r="AA1443" s="3">
        <v>0</v>
      </c>
      <c r="AB1443" s="12">
        <f>(W1443*4+X1443*1+Y1443*-2+Z1443*-3)/W1443</f>
        <v>5.5</v>
      </c>
      <c r="AC1443" s="3">
        <f>W1443*12.0107+X1443*1.00784+Y1443*15.999+Z1443*14.0067</f>
        <v>90.119200000000006</v>
      </c>
      <c r="AD1443" s="12">
        <v>230</v>
      </c>
      <c r="AE1443" s="2" t="s">
        <v>220</v>
      </c>
      <c r="AF1443" s="3" t="s">
        <v>120</v>
      </c>
      <c r="AG1443" s="2" t="str">
        <f>IF(AD1443&gt;37,"Proton symporter", "Diffusion")</f>
        <v>Proton symporter</v>
      </c>
      <c r="AH1443" s="3" t="s">
        <v>248</v>
      </c>
    </row>
    <row r="1444" spans="1:34" hidden="1" x14ac:dyDescent="0.2">
      <c r="A1444" s="16" t="s">
        <v>63</v>
      </c>
      <c r="B1444" s="17" t="s">
        <v>64</v>
      </c>
      <c r="C1444" t="s">
        <v>70</v>
      </c>
      <c r="D1444" s="18" t="s">
        <v>66</v>
      </c>
      <c r="E1444" t="s">
        <v>268</v>
      </c>
      <c r="F1444" t="s">
        <v>269</v>
      </c>
      <c r="G1444">
        <v>-10</v>
      </c>
      <c r="H1444">
        <v>0</v>
      </c>
      <c r="I1444">
        <v>0</v>
      </c>
      <c r="J1444">
        <v>0.45</v>
      </c>
      <c r="K1444">
        <v>-10</v>
      </c>
      <c r="L1444">
        <v>0</v>
      </c>
      <c r="M1444">
        <v>0</v>
      </c>
      <c r="N1444">
        <v>5.8916666666666702</v>
      </c>
      <c r="O1444">
        <v>0.22291666666666701</v>
      </c>
      <c r="P1444"/>
      <c r="Q1444">
        <v>2.2291666666666699E-2</v>
      </c>
      <c r="R1444">
        <v>6.5975983751035597E-2</v>
      </c>
      <c r="S1444" s="3" t="s">
        <v>268</v>
      </c>
      <c r="T1444" s="3" t="s">
        <v>268</v>
      </c>
      <c r="U1444" s="3" t="s">
        <v>106</v>
      </c>
      <c r="V1444" s="3" t="s">
        <v>270</v>
      </c>
      <c r="W1444" s="3">
        <v>10</v>
      </c>
      <c r="X1444" s="3">
        <v>16</v>
      </c>
      <c r="Y1444" s="3">
        <v>0</v>
      </c>
      <c r="Z1444" s="3">
        <v>0</v>
      </c>
      <c r="AA1444" s="3">
        <v>0</v>
      </c>
      <c r="AB1444" s="12">
        <f>(W1444*4+X1444*1+Y1444*-2+Z1444*-3)/W1444</f>
        <v>5.6</v>
      </c>
      <c r="AC1444" s="3">
        <f>W1444*12.0107+X1444*1.00784+Y1444*15.999+Z1444*14.0067</f>
        <v>136.23244</v>
      </c>
      <c r="AD1444" s="12">
        <v>176</v>
      </c>
      <c r="AE1444" s="3" t="s">
        <v>271</v>
      </c>
      <c r="AF1444" s="3" t="s">
        <v>79</v>
      </c>
      <c r="AG1444" s="2" t="str">
        <f>IF(AD1444&gt;37,"Proton symporter", "Diffusion")</f>
        <v>Proton symporter</v>
      </c>
      <c r="AH1444" s="3" t="s">
        <v>272</v>
      </c>
    </row>
    <row r="1445" spans="1:34" hidden="1" x14ac:dyDescent="0.2">
      <c r="A1445" s="8" t="s">
        <v>34</v>
      </c>
      <c r="B1445" s="9" t="s">
        <v>35</v>
      </c>
      <c r="C1445" s="1" t="s">
        <v>50</v>
      </c>
      <c r="D1445" s="13" t="s">
        <v>51</v>
      </c>
      <c r="E1445" s="1" t="s">
        <v>178</v>
      </c>
      <c r="F1445" s="1" t="s">
        <v>179</v>
      </c>
      <c r="G1445" s="1">
        <v>-10</v>
      </c>
      <c r="H1445" s="1">
        <v>-20</v>
      </c>
      <c r="I1445" s="1" t="s">
        <v>40</v>
      </c>
      <c r="J1445" s="1">
        <v>3.15</v>
      </c>
      <c r="K1445" s="1">
        <v>-10</v>
      </c>
      <c r="L1445" s="1">
        <v>-2.6047872340425502</v>
      </c>
      <c r="M1445" s="1" t="s">
        <v>40</v>
      </c>
      <c r="N1445" s="1">
        <v>7.9829787234042504</v>
      </c>
      <c r="O1445" s="1">
        <v>0.25212765957446798</v>
      </c>
      <c r="Q1445" s="1">
        <v>2.52127659574468E-2</v>
      </c>
      <c r="R1445" s="1">
        <v>6.5810831716427404E-2</v>
      </c>
      <c r="S1445" s="20" t="s">
        <v>178</v>
      </c>
      <c r="T1445" s="3" t="s">
        <v>178</v>
      </c>
      <c r="U1445" s="3" t="s">
        <v>106</v>
      </c>
      <c r="V1445" s="3" t="s">
        <v>180</v>
      </c>
      <c r="W1445" s="3">
        <v>8</v>
      </c>
      <c r="X1445" s="3">
        <v>8</v>
      </c>
      <c r="Y1445" s="3">
        <v>1</v>
      </c>
      <c r="Z1445" s="3">
        <v>0</v>
      </c>
      <c r="AA1445" s="3">
        <v>0</v>
      </c>
      <c r="AB1445" s="12">
        <f>(W1445*4+X1445*1+Y1445*-2+Z1445*-3)/W1445</f>
        <v>4.75</v>
      </c>
      <c r="AC1445" s="3">
        <f>W1445*12.0107+X1445*1.00784+Y1445*15.999+Z1445*14.0067</f>
        <v>120.14731999999999</v>
      </c>
      <c r="AD1445" s="12">
        <v>229</v>
      </c>
      <c r="AE1445" s="3" t="s">
        <v>176</v>
      </c>
      <c r="AF1445" s="2" t="s">
        <v>150</v>
      </c>
      <c r="AG1445" s="2" t="str">
        <f>IF(AD1445&gt;37,"Proton symporter", "Diffusion")</f>
        <v>Proton symporter</v>
      </c>
      <c r="AH1445" s="3" t="s">
        <v>181</v>
      </c>
    </row>
    <row r="1446" spans="1:34" hidden="1" x14ac:dyDescent="0.2">
      <c r="A1446" s="8" t="s">
        <v>34</v>
      </c>
      <c r="B1446" s="9" t="s">
        <v>35</v>
      </c>
      <c r="C1446" s="1" t="s">
        <v>52</v>
      </c>
      <c r="D1446" s="13" t="s">
        <v>51</v>
      </c>
      <c r="E1446" s="1" t="s">
        <v>222</v>
      </c>
      <c r="F1446" s="1" t="s">
        <v>223</v>
      </c>
      <c r="G1446" s="1">
        <v>-10</v>
      </c>
      <c r="H1446" s="1">
        <v>-20</v>
      </c>
      <c r="I1446" s="1" t="s">
        <v>40</v>
      </c>
      <c r="J1446" s="1">
        <v>3.15</v>
      </c>
      <c r="K1446" s="1">
        <v>-10</v>
      </c>
      <c r="L1446" s="1">
        <v>-2.9164835164835199</v>
      </c>
      <c r="M1446" s="1" t="s">
        <v>40</v>
      </c>
      <c r="N1446" s="1">
        <v>8.4373626373626305</v>
      </c>
      <c r="O1446" s="1">
        <v>0.52087912087912003</v>
      </c>
      <c r="Q1446" s="1">
        <v>5.2087912087911997E-2</v>
      </c>
      <c r="R1446" s="1">
        <v>6.5722253735627595E-2</v>
      </c>
      <c r="S1446" s="11" t="s">
        <v>222</v>
      </c>
      <c r="T1446" s="2" t="s">
        <v>222</v>
      </c>
      <c r="U1446" s="3" t="s">
        <v>41</v>
      </c>
      <c r="V1446" s="2" t="s">
        <v>224</v>
      </c>
      <c r="W1446" s="2">
        <v>3</v>
      </c>
      <c r="X1446" s="2">
        <v>6</v>
      </c>
      <c r="Y1446" s="2">
        <v>1</v>
      </c>
      <c r="Z1446" s="2">
        <v>0</v>
      </c>
      <c r="AA1446" s="2">
        <v>0</v>
      </c>
      <c r="AB1446" s="12">
        <f>(W1446*4+X1446*1+Y1446*-2+Z1446*-3)/W1446</f>
        <v>5.333333333333333</v>
      </c>
      <c r="AC1446" s="3">
        <f>W1446*12.0107+X1446*1.00784+Y1446*15.999+Z1446*14.0067</f>
        <v>58.078140000000005</v>
      </c>
      <c r="AD1446" s="12">
        <v>56</v>
      </c>
      <c r="AE1446" s="2" t="s">
        <v>225</v>
      </c>
      <c r="AF1446" s="2" t="s">
        <v>79</v>
      </c>
      <c r="AG1446" s="2" t="str">
        <f>IF(AD1446&gt;37,"Proton symporter", "Diffusion")</f>
        <v>Proton symporter</v>
      </c>
      <c r="AH1446" s="3" t="s">
        <v>226</v>
      </c>
    </row>
    <row r="1447" spans="1:34" hidden="1" x14ac:dyDescent="0.2">
      <c r="A1447" s="16" t="s">
        <v>63</v>
      </c>
      <c r="B1447" s="17" t="s">
        <v>64</v>
      </c>
      <c r="C1447" t="s">
        <v>70</v>
      </c>
      <c r="D1447" s="18" t="s">
        <v>66</v>
      </c>
      <c r="E1447" t="s">
        <v>254</v>
      </c>
      <c r="F1447" t="s">
        <v>255</v>
      </c>
      <c r="G1447">
        <v>-10</v>
      </c>
      <c r="H1447">
        <v>0</v>
      </c>
      <c r="I1447">
        <v>0</v>
      </c>
      <c r="J1447">
        <v>0.45</v>
      </c>
      <c r="K1447">
        <v>-10</v>
      </c>
      <c r="L1447">
        <v>0</v>
      </c>
      <c r="M1447">
        <v>0</v>
      </c>
      <c r="N1447">
        <v>5.8855172413793104</v>
      </c>
      <c r="O1447">
        <v>0.147586206896552</v>
      </c>
      <c r="P1447"/>
      <c r="Q1447">
        <v>1.4758620689655199E-2</v>
      </c>
      <c r="R1447">
        <v>6.5520976966545699E-2</v>
      </c>
      <c r="S1447" s="11" t="s">
        <v>254</v>
      </c>
      <c r="T1447" s="2" t="s">
        <v>254</v>
      </c>
      <c r="U1447" s="3" t="s">
        <v>41</v>
      </c>
      <c r="V1447" s="2" t="s">
        <v>256</v>
      </c>
      <c r="W1447" s="2">
        <v>15</v>
      </c>
      <c r="X1447" s="2">
        <v>24</v>
      </c>
      <c r="Y1447" s="2">
        <v>0</v>
      </c>
      <c r="Z1447" s="2">
        <v>0</v>
      </c>
      <c r="AA1447" s="2">
        <v>0</v>
      </c>
      <c r="AB1447" s="12">
        <f>(W1447*4+X1447*1+Y1447*-2+Z1447*-3)/W1447+0.01</f>
        <v>5.6099999999999994</v>
      </c>
      <c r="AC1447" s="3">
        <f>W1447*12.0107+X1447*1.00784+Y1447*15.999+Z1447*14.0067</f>
        <v>204.34866000000002</v>
      </c>
      <c r="AD1447" s="12" t="s">
        <v>257</v>
      </c>
      <c r="AE1447" s="2" t="s">
        <v>231</v>
      </c>
      <c r="AF1447" s="2" t="s">
        <v>79</v>
      </c>
      <c r="AG1447" s="2" t="str">
        <f>IF(AD1447&gt;37,"Proton symporter", "Diffusion")</f>
        <v>Proton symporter</v>
      </c>
      <c r="AH1447" s="3" t="s">
        <v>258</v>
      </c>
    </row>
    <row r="1448" spans="1:34" hidden="1" x14ac:dyDescent="0.2">
      <c r="A1448" s="8" t="s">
        <v>34</v>
      </c>
      <c r="B1448" s="9" t="s">
        <v>35</v>
      </c>
      <c r="C1448" s="1" t="s">
        <v>50</v>
      </c>
      <c r="D1448" s="13" t="s">
        <v>51</v>
      </c>
      <c r="E1448" s="1" t="s">
        <v>310</v>
      </c>
      <c r="F1448" s="1" t="s">
        <v>311</v>
      </c>
      <c r="G1448" s="1">
        <v>-10</v>
      </c>
      <c r="H1448" s="1">
        <v>-20</v>
      </c>
      <c r="I1448" s="1" t="s">
        <v>40</v>
      </c>
      <c r="J1448" s="1">
        <v>3.15</v>
      </c>
      <c r="K1448" s="1">
        <v>-10</v>
      </c>
      <c r="L1448" s="1">
        <v>-2.44244604316546</v>
      </c>
      <c r="M1448" s="1" t="s">
        <v>40</v>
      </c>
      <c r="N1448" s="1">
        <v>8.2949640287769792</v>
      </c>
      <c r="O1448" s="1">
        <v>0.34100719424460502</v>
      </c>
      <c r="Q1448" s="1">
        <v>3.4100719424460503E-2</v>
      </c>
      <c r="R1448" s="1">
        <v>6.5302800650141601E-2</v>
      </c>
      <c r="S1448" s="20" t="s">
        <v>310</v>
      </c>
      <c r="T1448" s="3" t="s">
        <v>312</v>
      </c>
      <c r="U1448" s="3" t="s">
        <v>106</v>
      </c>
      <c r="V1448" s="3" t="s">
        <v>292</v>
      </c>
      <c r="W1448" s="3">
        <v>5</v>
      </c>
      <c r="X1448" s="3">
        <v>12</v>
      </c>
      <c r="Y1448" s="3">
        <v>1</v>
      </c>
      <c r="Z1448" s="3">
        <v>0</v>
      </c>
      <c r="AA1448" s="3">
        <v>0</v>
      </c>
      <c r="AB1448" s="12">
        <f>(W1448*4+X1448*1+Y1448*-2+Z1448*-3)/W1448</f>
        <v>6</v>
      </c>
      <c r="AC1448" s="3">
        <f>W1448*12.0107+X1448*1.00784+Y1448*15.999+Z1448*14.0067</f>
        <v>88.14658</v>
      </c>
      <c r="AD1448" s="12">
        <v>138</v>
      </c>
      <c r="AE1448" s="3" t="s">
        <v>262</v>
      </c>
      <c r="AF1448" s="2" t="s">
        <v>313</v>
      </c>
      <c r="AG1448" s="2" t="str">
        <f>IF(AD1448&gt;37,"Proton symporter", "Diffusion")</f>
        <v>Proton symporter</v>
      </c>
      <c r="AH1448" s="3" t="s">
        <v>314</v>
      </c>
    </row>
    <row r="1449" spans="1:34" hidden="1" x14ac:dyDescent="0.2">
      <c r="A1449" s="8" t="s">
        <v>34</v>
      </c>
      <c r="B1449" s="9" t="s">
        <v>35</v>
      </c>
      <c r="C1449" s="1" t="s">
        <v>50</v>
      </c>
      <c r="D1449" s="13" t="s">
        <v>51</v>
      </c>
      <c r="E1449" s="1" t="s">
        <v>305</v>
      </c>
      <c r="F1449" s="1" t="s">
        <v>301</v>
      </c>
      <c r="G1449" s="1">
        <v>-10</v>
      </c>
      <c r="H1449" s="1">
        <v>-20</v>
      </c>
      <c r="I1449" s="1" t="s">
        <v>40</v>
      </c>
      <c r="J1449" s="1">
        <v>3.15</v>
      </c>
      <c r="K1449" s="1">
        <v>-10</v>
      </c>
      <c r="L1449" s="1">
        <v>-2.5692307692307699</v>
      </c>
      <c r="M1449" s="1" t="s">
        <v>40</v>
      </c>
      <c r="N1449" s="1">
        <v>8.3794871794871799</v>
      </c>
      <c r="O1449" s="1">
        <v>0.40512820512820602</v>
      </c>
      <c r="Q1449" s="1">
        <v>4.0512820512820603E-2</v>
      </c>
      <c r="R1449" s="1">
        <v>6.5236681591288301E-2</v>
      </c>
      <c r="S1449" s="20" t="s">
        <v>305</v>
      </c>
      <c r="T1449" s="3" t="s">
        <v>306</v>
      </c>
      <c r="U1449" s="3" t="s">
        <v>106</v>
      </c>
      <c r="V1449" s="3" t="s">
        <v>303</v>
      </c>
      <c r="W1449" s="3">
        <v>4</v>
      </c>
      <c r="X1449" s="3">
        <v>10</v>
      </c>
      <c r="Y1449" s="3">
        <v>1</v>
      </c>
      <c r="Z1449" s="3">
        <v>0</v>
      </c>
      <c r="AA1449" s="3">
        <v>0</v>
      </c>
      <c r="AB1449" s="12">
        <f>(W1449*4+X1449*1+Y1449*-2+Z1449*-3)/W1449</f>
        <v>6</v>
      </c>
      <c r="AC1449" s="3">
        <f>W1449*12.0107+X1449*1.00784+Y1449*15.999+Z1449*14.0067</f>
        <v>74.120199999999997</v>
      </c>
      <c r="AD1449" s="12">
        <v>117.7</v>
      </c>
      <c r="AE1449" s="3" t="s">
        <v>262</v>
      </c>
      <c r="AF1449" s="3" t="s">
        <v>44</v>
      </c>
      <c r="AG1449" s="2" t="str">
        <f>IF(AD1449&gt;37,"Proton symporter", "Diffusion")</f>
        <v>Proton symporter</v>
      </c>
      <c r="AH1449" s="3" t="s">
        <v>304</v>
      </c>
    </row>
    <row r="1450" spans="1:34" hidden="1" x14ac:dyDescent="0.2">
      <c r="A1450" s="8" t="s">
        <v>368</v>
      </c>
      <c r="B1450" s="17" t="s">
        <v>64</v>
      </c>
      <c r="C1450" t="s">
        <v>369</v>
      </c>
      <c r="D1450" s="18" t="s">
        <v>66</v>
      </c>
      <c r="E1450" t="s">
        <v>178</v>
      </c>
      <c r="F1450" t="s">
        <v>179</v>
      </c>
      <c r="G1450">
        <v>-10</v>
      </c>
      <c r="H1450">
        <v>0</v>
      </c>
      <c r="I1450">
        <v>-20</v>
      </c>
      <c r="J1450">
        <v>0.45</v>
      </c>
      <c r="K1450">
        <v>-9.6246445497630297</v>
      </c>
      <c r="L1450">
        <v>0</v>
      </c>
      <c r="M1450">
        <v>-20</v>
      </c>
      <c r="N1450">
        <v>-9.6246445497630297</v>
      </c>
      <c r="O1450">
        <v>0.25023696682464402</v>
      </c>
      <c r="P1450"/>
      <c r="Q1450">
        <v>2.5999606066574699E-2</v>
      </c>
      <c r="R1450">
        <v>6.4809790069019796E-2</v>
      </c>
      <c r="S1450" s="1" t="str">
        <f>VLOOKUP($E1450,'[1]Product Naming'!$A$1:$P$58,2)</f>
        <v>4-Hydroxystyrene</v>
      </c>
      <c r="T1450" s="1" t="str">
        <f>VLOOKUP($E1450,'[1]Product Naming'!$A$1:$P$58,3)</f>
        <v>4-Hydroxystyrene</v>
      </c>
      <c r="U1450" s="1" t="str">
        <f>VLOOKUP($E1450,'[1]Product Naming'!$A$1:$P$58,4)</f>
        <v>E</v>
      </c>
      <c r="V1450" s="1" t="str">
        <f>VLOOKUP($E1450,'[1]Product Naming'!$A$1:$P$58,5)</f>
        <v>C8H8O</v>
      </c>
      <c r="W1450" s="1">
        <f>VLOOKUP($E1450,'[1]Product Naming'!$A$1:$P$58,6)</f>
        <v>8</v>
      </c>
      <c r="X1450" s="1">
        <f>VLOOKUP($E1450,'[1]Product Naming'!$A$1:$P$58,7)</f>
        <v>8</v>
      </c>
      <c r="Y1450" s="1">
        <f>VLOOKUP($E1450,'[1]Product Naming'!$A$1:$P$58,8)</f>
        <v>1</v>
      </c>
      <c r="Z1450" s="1">
        <f>VLOOKUP($E1450,'[1]Product Naming'!$A$1:$P$58,9)</f>
        <v>0</v>
      </c>
      <c r="AA1450" s="1">
        <f>VLOOKUP($E1450,'[1]Product Naming'!$A$1:$P$58,10)</f>
        <v>0</v>
      </c>
      <c r="AB1450" s="27">
        <f>VLOOKUP($E1450,'[1]Product Naming'!$A$1:$P$58,11)</f>
        <v>4.75</v>
      </c>
      <c r="AC1450" s="3">
        <f>VLOOKUP($E1450,'[1]Product Naming'!$A$1:$P$58,12)</f>
        <v>120.14731999999999</v>
      </c>
      <c r="AD1450" s="1">
        <f>VLOOKUP($E1450,'[1]Product Naming'!$A$1:$P$58,13)</f>
        <v>229</v>
      </c>
      <c r="AE1450" s="1" t="str">
        <f>VLOOKUP($E1450,'[1]Product Naming'!$A$1:$P$58,14)</f>
        <v>Aromatic + Alcohol</v>
      </c>
      <c r="AF1450" s="1" t="str">
        <f>VLOOKUP($E1450,'[1]Product Naming'!$A$1:$P$58,15)</f>
        <v>E4P + L-glutamate</v>
      </c>
      <c r="AG1450" s="28" t="str">
        <f>VLOOKUP($E1450,'[1]Product Naming'!$A$1:$P$58,16)</f>
        <v>Proton symporter</v>
      </c>
      <c r="AH1450" s="3" t="str">
        <f>VLOOKUP($E1450,'[1]Product Naming'!$A$1:$Q$58,17)</f>
        <v>4hxst_c</v>
      </c>
    </row>
    <row r="1451" spans="1:34" hidden="1" x14ac:dyDescent="0.2">
      <c r="A1451" s="16" t="s">
        <v>63</v>
      </c>
      <c r="B1451" s="17" t="s">
        <v>64</v>
      </c>
      <c r="C1451" t="s">
        <v>70</v>
      </c>
      <c r="D1451" s="18" t="s">
        <v>66</v>
      </c>
      <c r="E1451" t="s">
        <v>264</v>
      </c>
      <c r="F1451" t="s">
        <v>265</v>
      </c>
      <c r="G1451">
        <v>-10</v>
      </c>
      <c r="H1451">
        <v>0</v>
      </c>
      <c r="I1451">
        <v>0</v>
      </c>
      <c r="J1451">
        <v>0.45</v>
      </c>
      <c r="K1451">
        <v>-10</v>
      </c>
      <c r="L1451">
        <v>0</v>
      </c>
      <c r="M1451">
        <v>0</v>
      </c>
      <c r="N1451">
        <v>5.8734693877551098</v>
      </c>
      <c r="O1451">
        <v>0.43673469387755198</v>
      </c>
      <c r="P1451"/>
      <c r="Q1451">
        <v>4.3673469387755202E-2</v>
      </c>
      <c r="R1451">
        <v>6.4629535103055302E-2</v>
      </c>
      <c r="S1451" s="20" t="s">
        <v>264</v>
      </c>
      <c r="T1451" s="3" t="s">
        <v>264</v>
      </c>
      <c r="U1451" s="3" t="s">
        <v>106</v>
      </c>
      <c r="V1451" s="3" t="s">
        <v>266</v>
      </c>
      <c r="W1451" s="3">
        <v>5</v>
      </c>
      <c r="X1451" s="3">
        <v>8</v>
      </c>
      <c r="Y1451" s="3">
        <v>0</v>
      </c>
      <c r="Z1451" s="3">
        <v>0</v>
      </c>
      <c r="AA1451" s="3">
        <v>0</v>
      </c>
      <c r="AB1451" s="12">
        <f>(W1451*4+X1451*1+Y1451*-2+Z1451*-3)/W1451</f>
        <v>5.6</v>
      </c>
      <c r="AC1451" s="3">
        <f>W1451*12.0107+X1451*1.00784+Y1451*15.999+Z1451*14.0067</f>
        <v>68.116219999999998</v>
      </c>
      <c r="AD1451" s="24">
        <v>34.07</v>
      </c>
      <c r="AE1451" s="3" t="s">
        <v>231</v>
      </c>
      <c r="AF1451" s="3" t="s">
        <v>79</v>
      </c>
      <c r="AG1451" s="25" t="str">
        <f>IF(AD1451&gt;37,"Proton symporter", "Diffusion")</f>
        <v>Diffusion</v>
      </c>
      <c r="AH1451" s="3" t="s">
        <v>267</v>
      </c>
    </row>
    <row r="1452" spans="1:34" hidden="1" x14ac:dyDescent="0.2">
      <c r="A1452" s="16" t="s">
        <v>63</v>
      </c>
      <c r="B1452" s="17" t="s">
        <v>64</v>
      </c>
      <c r="C1452" t="s">
        <v>71</v>
      </c>
      <c r="D1452" s="18" t="s">
        <v>66</v>
      </c>
      <c r="E1452" t="s">
        <v>159</v>
      </c>
      <c r="F1452" t="s">
        <v>153</v>
      </c>
      <c r="G1452">
        <v>-10</v>
      </c>
      <c r="H1452">
        <v>0</v>
      </c>
      <c r="I1452">
        <v>-5</v>
      </c>
      <c r="J1452">
        <v>0.45</v>
      </c>
      <c r="K1452">
        <v>-10</v>
      </c>
      <c r="L1452">
        <v>0</v>
      </c>
      <c r="M1452">
        <v>-5</v>
      </c>
      <c r="N1452">
        <v>2.6251082251082201</v>
      </c>
      <c r="O1452">
        <v>0.25021645021645</v>
      </c>
      <c r="P1452"/>
      <c r="Q1452">
        <v>2.5021645021645E-2</v>
      </c>
      <c r="R1452">
        <v>6.4422826172542996E-2</v>
      </c>
      <c r="S1452" s="11" t="s">
        <v>159</v>
      </c>
      <c r="T1452" s="2" t="s">
        <v>160</v>
      </c>
      <c r="U1452" s="3" t="s">
        <v>41</v>
      </c>
      <c r="V1452" s="2" t="s">
        <v>155</v>
      </c>
      <c r="W1452" s="2">
        <v>7</v>
      </c>
      <c r="X1452" s="2">
        <v>5</v>
      </c>
      <c r="Y1452" s="2">
        <v>2</v>
      </c>
      <c r="Z1452" s="2">
        <v>0</v>
      </c>
      <c r="AA1452" s="2">
        <v>0</v>
      </c>
      <c r="AB1452" s="12">
        <f>(W1452*4+X1452*1+Y1452*-2+Z1452*-3)/W1452</f>
        <v>4.1428571428571432</v>
      </c>
      <c r="AC1452" s="3">
        <f>W1452*12.0107+X1452*1.00784+Y1452*15.999+Z1452*14.0067</f>
        <v>121.1121</v>
      </c>
      <c r="AD1452" s="12">
        <v>249.2</v>
      </c>
      <c r="AE1452" s="2" t="s">
        <v>156</v>
      </c>
      <c r="AF1452" s="2" t="s">
        <v>157</v>
      </c>
      <c r="AG1452" s="2" t="str">
        <f>IF(AD1452&gt;37,"Proton symporter", "Diffusion")</f>
        <v>Proton symporter</v>
      </c>
      <c r="AH1452" s="3" t="s">
        <v>158</v>
      </c>
    </row>
    <row r="1453" spans="1:34" hidden="1" x14ac:dyDescent="0.2">
      <c r="A1453" s="8" t="s">
        <v>34</v>
      </c>
      <c r="B1453" s="9" t="s">
        <v>35</v>
      </c>
      <c r="C1453" s="1" t="s">
        <v>50</v>
      </c>
      <c r="D1453" s="13" t="s">
        <v>51</v>
      </c>
      <c r="E1453" s="1" t="s">
        <v>315</v>
      </c>
      <c r="F1453" s="1" t="s">
        <v>311</v>
      </c>
      <c r="G1453" s="1">
        <v>-10</v>
      </c>
      <c r="H1453" s="1">
        <v>-20</v>
      </c>
      <c r="I1453" s="1" t="s">
        <v>40</v>
      </c>
      <c r="J1453" s="1">
        <v>3.15</v>
      </c>
      <c r="K1453" s="1">
        <v>-10</v>
      </c>
      <c r="L1453" s="1">
        <v>-2.5139860139860102</v>
      </c>
      <c r="M1453" s="1" t="s">
        <v>40</v>
      </c>
      <c r="N1453" s="1">
        <v>8.34265734265737</v>
      </c>
      <c r="O1453" s="1">
        <v>0.331468531468536</v>
      </c>
      <c r="Q1453" s="1">
        <v>3.3146853146853603E-2</v>
      </c>
      <c r="R1453" s="1">
        <v>6.3476148883704897E-2</v>
      </c>
      <c r="S1453" s="20" t="s">
        <v>315</v>
      </c>
      <c r="T1453" s="3" t="s">
        <v>316</v>
      </c>
      <c r="U1453" s="3" t="s">
        <v>106</v>
      </c>
      <c r="V1453" s="3" t="s">
        <v>292</v>
      </c>
      <c r="W1453" s="3">
        <v>5</v>
      </c>
      <c r="X1453" s="3">
        <v>12</v>
      </c>
      <c r="Y1453" s="3">
        <v>1</v>
      </c>
      <c r="Z1453" s="3">
        <v>0</v>
      </c>
      <c r="AA1453" s="3">
        <v>0</v>
      </c>
      <c r="AB1453" s="12">
        <f>(W1453*4+X1453*1+Y1453*-2+Z1453*-3)/W1453</f>
        <v>6</v>
      </c>
      <c r="AC1453" s="3">
        <f>W1453*12.0107+X1453*1.00784+Y1453*15.999+Z1453*14.0067</f>
        <v>88.14658</v>
      </c>
      <c r="AD1453" s="12">
        <v>138</v>
      </c>
      <c r="AE1453" s="3" t="s">
        <v>262</v>
      </c>
      <c r="AF1453" s="3" t="s">
        <v>44</v>
      </c>
      <c r="AG1453" s="2" t="str">
        <f>IF(AD1453&gt;37,"Proton symporter", "Diffusion")</f>
        <v>Proton symporter</v>
      </c>
      <c r="AH1453" s="3" t="s">
        <v>314</v>
      </c>
    </row>
    <row r="1454" spans="1:34" hidden="1" x14ac:dyDescent="0.2">
      <c r="A1454" s="8" t="s">
        <v>34</v>
      </c>
      <c r="B1454" s="9" t="s">
        <v>35</v>
      </c>
      <c r="C1454" s="1" t="s">
        <v>52</v>
      </c>
      <c r="D1454" s="13" t="s">
        <v>51</v>
      </c>
      <c r="E1454" s="1" t="s">
        <v>161</v>
      </c>
      <c r="F1454" s="1" t="s">
        <v>162</v>
      </c>
      <c r="G1454" s="1">
        <v>-10</v>
      </c>
      <c r="H1454" s="1">
        <v>-20</v>
      </c>
      <c r="I1454" s="1" t="s">
        <v>40</v>
      </c>
      <c r="J1454" s="1">
        <v>3.15</v>
      </c>
      <c r="K1454" s="1">
        <v>-10</v>
      </c>
      <c r="L1454" s="1">
        <v>-3.2787709497206698</v>
      </c>
      <c r="M1454" s="1" t="s">
        <v>40</v>
      </c>
      <c r="N1454" s="1">
        <v>8.4111731843575406</v>
      </c>
      <c r="O1454" s="1">
        <v>0.26480446927374401</v>
      </c>
      <c r="Q1454" s="1">
        <v>2.6480446927374401E-2</v>
      </c>
      <c r="R1454" s="1">
        <v>6.3344932087907202E-2</v>
      </c>
      <c r="S1454" s="20" t="s">
        <v>161</v>
      </c>
      <c r="T1454" s="3" t="s">
        <v>161</v>
      </c>
      <c r="U1454" s="3" t="s">
        <v>106</v>
      </c>
      <c r="V1454" s="20" t="s">
        <v>163</v>
      </c>
      <c r="W1454" s="3">
        <v>6</v>
      </c>
      <c r="X1454" s="3">
        <v>6</v>
      </c>
      <c r="Y1454" s="3">
        <v>2</v>
      </c>
      <c r="Z1454" s="3">
        <v>0</v>
      </c>
      <c r="AA1454" s="3">
        <v>0</v>
      </c>
      <c r="AB1454" s="12">
        <f>(W1454*4+X1454*1+Y1454*-2+Z1454*-3)/W1454</f>
        <v>4.333333333333333</v>
      </c>
      <c r="AC1454" s="3">
        <f>W1454*12.0107+X1454*1.00784+Y1454*15.999+Z1454*14.0067</f>
        <v>110.10924</v>
      </c>
      <c r="AD1454" s="12">
        <v>245</v>
      </c>
      <c r="AE1454" s="3" t="s">
        <v>164</v>
      </c>
      <c r="AF1454" s="2" t="s">
        <v>98</v>
      </c>
      <c r="AG1454" s="2" t="str">
        <f>IF(AD1454&gt;37,"Proton symporter", "Diffusion")</f>
        <v>Proton symporter</v>
      </c>
      <c r="AH1454" s="3" t="s">
        <v>165</v>
      </c>
    </row>
    <row r="1455" spans="1:34" hidden="1" x14ac:dyDescent="0.2">
      <c r="A1455" s="8" t="s">
        <v>34</v>
      </c>
      <c r="B1455" s="9" t="s">
        <v>35</v>
      </c>
      <c r="C1455" s="1" t="s">
        <v>50</v>
      </c>
      <c r="D1455" s="13" t="s">
        <v>51</v>
      </c>
      <c r="E1455" s="1" t="s">
        <v>289</v>
      </c>
      <c r="F1455" s="1" t="s">
        <v>290</v>
      </c>
      <c r="G1455" s="1">
        <v>-10</v>
      </c>
      <c r="H1455" s="1">
        <v>-20</v>
      </c>
      <c r="I1455" s="1" t="s">
        <v>40</v>
      </c>
      <c r="J1455" s="1">
        <v>3.15</v>
      </c>
      <c r="K1455" s="1">
        <v>-10</v>
      </c>
      <c r="L1455" s="1">
        <v>-2.53125</v>
      </c>
      <c r="M1455" s="1" t="s">
        <v>40</v>
      </c>
      <c r="N1455" s="1">
        <v>8.3541666666666696</v>
      </c>
      <c r="O1455" s="1">
        <v>0.329166666666668</v>
      </c>
      <c r="Q1455" s="1">
        <v>3.2916666666666802E-2</v>
      </c>
      <c r="R1455" s="1">
        <v>6.3035342294234104E-2</v>
      </c>
      <c r="S1455" s="11" t="s">
        <v>289</v>
      </c>
      <c r="T1455" s="2" t="s">
        <v>291</v>
      </c>
      <c r="U1455" s="3" t="s">
        <v>41</v>
      </c>
      <c r="V1455" s="2" t="s">
        <v>292</v>
      </c>
      <c r="W1455" s="2">
        <v>5</v>
      </c>
      <c r="X1455" s="2">
        <v>12</v>
      </c>
      <c r="Y1455" s="2">
        <v>1</v>
      </c>
      <c r="Z1455" s="2">
        <v>0</v>
      </c>
      <c r="AA1455" s="2">
        <v>0</v>
      </c>
      <c r="AB1455" s="12">
        <f>(W1455*4+X1455*1+Y1455*-2+Z1455*-3)/W1455</f>
        <v>6</v>
      </c>
      <c r="AC1455" s="3">
        <f>W1455*12.0107+X1455*1.00784+Y1455*15.999+Z1455*14.0067</f>
        <v>88.14658</v>
      </c>
      <c r="AD1455" s="12">
        <v>129</v>
      </c>
      <c r="AE1455" s="2" t="s">
        <v>262</v>
      </c>
      <c r="AF1455" s="2" t="s">
        <v>293</v>
      </c>
      <c r="AG1455" s="2" t="str">
        <f>IF(AD1455&gt;37,"Proton symporter", "Diffusion")</f>
        <v>Proton symporter</v>
      </c>
      <c r="AH1455" s="3" t="s">
        <v>294</v>
      </c>
    </row>
    <row r="1456" spans="1:34" hidden="1" x14ac:dyDescent="0.2">
      <c r="A1456" s="8" t="s">
        <v>34</v>
      </c>
      <c r="B1456" s="9" t="s">
        <v>35</v>
      </c>
      <c r="C1456" s="1" t="s">
        <v>52</v>
      </c>
      <c r="D1456" s="13" t="s">
        <v>51</v>
      </c>
      <c r="E1456" s="1" t="s">
        <v>189</v>
      </c>
      <c r="F1456" s="1" t="s">
        <v>190</v>
      </c>
      <c r="G1456" s="1">
        <v>-10</v>
      </c>
      <c r="H1456" s="1">
        <v>-20</v>
      </c>
      <c r="I1456" s="1" t="s">
        <v>40</v>
      </c>
      <c r="J1456" s="1">
        <v>3.15</v>
      </c>
      <c r="K1456" s="1">
        <v>-10</v>
      </c>
      <c r="L1456" s="1">
        <v>-3.5187499999999998</v>
      </c>
      <c r="M1456" s="1" t="s">
        <v>40</v>
      </c>
      <c r="N1456" s="1">
        <v>8.765625</v>
      </c>
      <c r="O1456" s="1">
        <v>0.24687500000000001</v>
      </c>
      <c r="Q1456" s="1">
        <v>2.4687500000000001E-2</v>
      </c>
      <c r="R1456" s="1">
        <v>6.2829209085023596E-2</v>
      </c>
      <c r="S1456" s="11" t="s">
        <v>189</v>
      </c>
      <c r="T1456" s="2" t="s">
        <v>189</v>
      </c>
      <c r="U1456" s="3" t="s">
        <v>41</v>
      </c>
      <c r="V1456" s="2" t="s">
        <v>191</v>
      </c>
      <c r="W1456" s="2">
        <v>5</v>
      </c>
      <c r="X1456" s="2">
        <v>11</v>
      </c>
      <c r="Y1456" s="2">
        <v>2</v>
      </c>
      <c r="Z1456" s="2">
        <v>1</v>
      </c>
      <c r="AA1456" s="2">
        <v>0</v>
      </c>
      <c r="AB1456" s="12">
        <f>(W1456*4+X1456*1+Y1456*-2+Z1456*-3)/W1456</f>
        <v>4.8</v>
      </c>
      <c r="AC1456" s="3">
        <f>W1456*12.0107+X1456*1.00784+Y1456*15.999+Z1456*14.0067</f>
        <v>117.14444</v>
      </c>
      <c r="AD1456" s="12">
        <v>247.5</v>
      </c>
      <c r="AE1456" s="2" t="s">
        <v>192</v>
      </c>
      <c r="AF1456" s="2" t="s">
        <v>44</v>
      </c>
      <c r="AG1456" s="2" t="str">
        <f>IF(AD1456&gt;37,"Proton symporter", "Diffusion")</f>
        <v>Proton symporter</v>
      </c>
      <c r="AH1456" s="3" t="s">
        <v>193</v>
      </c>
    </row>
    <row r="1457" spans="1:34" hidden="1" x14ac:dyDescent="0.2">
      <c r="A1457" s="8" t="s">
        <v>34</v>
      </c>
      <c r="B1457" s="9" t="s">
        <v>35</v>
      </c>
      <c r="C1457" s="1" t="s">
        <v>52</v>
      </c>
      <c r="D1457" s="13" t="s">
        <v>51</v>
      </c>
      <c r="E1457" s="1" t="s">
        <v>146</v>
      </c>
      <c r="F1457" s="1" t="s">
        <v>147</v>
      </c>
      <c r="G1457" s="1">
        <v>-10</v>
      </c>
      <c r="H1457" s="1">
        <v>-20</v>
      </c>
      <c r="I1457" s="1" t="s">
        <v>40</v>
      </c>
      <c r="J1457" s="1">
        <v>3.15</v>
      </c>
      <c r="K1457" s="1">
        <v>-10</v>
      </c>
      <c r="L1457" s="1">
        <v>-3.3197761194029898</v>
      </c>
      <c r="M1457" s="1" t="s">
        <v>40</v>
      </c>
      <c r="N1457" s="1">
        <v>8.4082089552238806</v>
      </c>
      <c r="O1457" s="1">
        <v>0.17686567164179201</v>
      </c>
      <c r="Q1457" s="1">
        <v>1.7686567164179198E-2</v>
      </c>
      <c r="R1457" s="1">
        <v>6.2688601319229306E-2</v>
      </c>
      <c r="S1457" s="20" t="s">
        <v>148</v>
      </c>
      <c r="T1457" s="3" t="s">
        <v>148</v>
      </c>
      <c r="U1457" s="3" t="s">
        <v>106</v>
      </c>
      <c r="V1457" s="3" t="s">
        <v>149</v>
      </c>
      <c r="W1457" s="3">
        <v>9</v>
      </c>
      <c r="X1457" s="3">
        <v>7</v>
      </c>
      <c r="Y1457" s="3">
        <v>3</v>
      </c>
      <c r="Z1457" s="3">
        <v>0</v>
      </c>
      <c r="AA1457" s="3">
        <v>-1</v>
      </c>
      <c r="AB1457" s="12">
        <f>(W1457*4+X1457*1+Y1457*-2+Z1457*-3)/W1457</f>
        <v>4.1111111111111107</v>
      </c>
      <c r="AC1457" s="3">
        <f>W1457*12.0107+X1457*1.00784+Y1457*15.999+Z1457*14.0067</f>
        <v>163.14818</v>
      </c>
      <c r="AD1457" s="12">
        <v>346</v>
      </c>
      <c r="AE1457" s="22" t="s">
        <v>139</v>
      </c>
      <c r="AF1457" s="2" t="s">
        <v>150</v>
      </c>
      <c r="AG1457" s="2" t="str">
        <f>IF(AD1457&gt;37,"Proton symporter", "Diffusion")</f>
        <v>Proton symporter</v>
      </c>
      <c r="AH1457" s="3" t="s">
        <v>151</v>
      </c>
    </row>
    <row r="1458" spans="1:34" hidden="1" x14ac:dyDescent="0.2">
      <c r="A1458" s="8" t="s">
        <v>368</v>
      </c>
      <c r="B1458" s="17" t="s">
        <v>64</v>
      </c>
      <c r="C1458" t="s">
        <v>369</v>
      </c>
      <c r="D1458" s="18" t="s">
        <v>66</v>
      </c>
      <c r="E1458" t="s">
        <v>152</v>
      </c>
      <c r="F1458" t="s">
        <v>153</v>
      </c>
      <c r="G1458">
        <v>-10</v>
      </c>
      <c r="H1458">
        <v>0</v>
      </c>
      <c r="I1458">
        <v>-20</v>
      </c>
      <c r="J1458">
        <v>0.45</v>
      </c>
      <c r="K1458">
        <v>-9.8772093023255803</v>
      </c>
      <c r="L1458">
        <v>0</v>
      </c>
      <c r="M1458">
        <v>-20</v>
      </c>
      <c r="N1458">
        <v>-9.8772093023255803</v>
      </c>
      <c r="O1458">
        <v>0.24558139534883699</v>
      </c>
      <c r="P1458"/>
      <c r="Q1458">
        <v>2.4863439442456101E-2</v>
      </c>
      <c r="R1458">
        <v>6.2614479673418197E-2</v>
      </c>
      <c r="S1458" s="1" t="str">
        <f>VLOOKUP($E1458,'[1]Product Naming'!$A$1:$P$58,2)</f>
        <v>Benzoate-PW1</v>
      </c>
      <c r="T1458" s="1" t="str">
        <f>VLOOKUP($E1458,'[1]Product Naming'!$A$1:$P$58,3)</f>
        <v>Benzoate (PW1)</v>
      </c>
      <c r="U1458" s="1" t="str">
        <f>VLOOKUP($E1458,'[1]Product Naming'!$A$1:$P$58,4)</f>
        <v>A</v>
      </c>
      <c r="V1458" s="1" t="str">
        <f>VLOOKUP($E1458,'[1]Product Naming'!$A$1:$P$58,5)</f>
        <v>C7H5O2</v>
      </c>
      <c r="W1458" s="1">
        <f>VLOOKUP($E1458,'[1]Product Naming'!$A$1:$P$58,6)</f>
        <v>7</v>
      </c>
      <c r="X1458" s="1">
        <f>VLOOKUP($E1458,'[1]Product Naming'!$A$1:$P$58,7)</f>
        <v>5</v>
      </c>
      <c r="Y1458" s="1">
        <f>VLOOKUP($E1458,'[1]Product Naming'!$A$1:$P$58,8)</f>
        <v>2</v>
      </c>
      <c r="Z1458" s="1">
        <f>VLOOKUP($E1458,'[1]Product Naming'!$A$1:$P$58,9)</f>
        <v>0</v>
      </c>
      <c r="AA1458" s="1">
        <f>VLOOKUP($E1458,'[1]Product Naming'!$A$1:$P$58,10)</f>
        <v>-1</v>
      </c>
      <c r="AB1458" s="27">
        <f>VLOOKUP($E1458,'[1]Product Naming'!$A$1:$P$58,11)</f>
        <v>4.1428571428571432</v>
      </c>
      <c r="AC1458" s="3">
        <f>VLOOKUP($E1458,'[1]Product Naming'!$A$1:$P$58,12)</f>
        <v>121.1121</v>
      </c>
      <c r="AD1458" s="1">
        <f>VLOOKUP($E1458,'[1]Product Naming'!$A$1:$P$58,13)</f>
        <v>249.2</v>
      </c>
      <c r="AE1458" s="1" t="str">
        <f>VLOOKUP($E1458,'[1]Product Naming'!$A$1:$P$58,14)</f>
        <v>Aromatic + Carboxylate</v>
      </c>
      <c r="AF1458" s="1" t="str">
        <f>VLOOKUP($E1458,'[1]Product Naming'!$A$1:$P$58,15)</f>
        <v>E4P + aKG</v>
      </c>
      <c r="AG1458" s="28" t="str">
        <f>VLOOKUP($E1458,'[1]Product Naming'!$A$1:$P$58,16)</f>
        <v>Proton symporter</v>
      </c>
      <c r="AH1458" s="3" t="str">
        <f>VLOOKUP($E1458,'[1]Product Naming'!$A$1:$Q$58,17)</f>
        <v>bz_c</v>
      </c>
    </row>
    <row r="1459" spans="1:34" hidden="1" x14ac:dyDescent="0.2">
      <c r="A1459" s="8" t="s">
        <v>34</v>
      </c>
      <c r="B1459" s="9" t="s">
        <v>35</v>
      </c>
      <c r="C1459" s="1" t="s">
        <v>50</v>
      </c>
      <c r="D1459" s="13" t="s">
        <v>51</v>
      </c>
      <c r="E1459" s="1" t="s">
        <v>295</v>
      </c>
      <c r="F1459" s="1" t="s">
        <v>296</v>
      </c>
      <c r="G1459" s="1">
        <v>-10</v>
      </c>
      <c r="H1459" s="1">
        <v>-20</v>
      </c>
      <c r="I1459" s="1" t="s">
        <v>40</v>
      </c>
      <c r="J1459" s="1">
        <v>3.15</v>
      </c>
      <c r="K1459" s="1">
        <v>-10</v>
      </c>
      <c r="L1459" s="1">
        <v>-2.4954990215264199</v>
      </c>
      <c r="M1459" s="1" t="s">
        <v>40</v>
      </c>
      <c r="N1459" s="1">
        <v>8.3303326810176106</v>
      </c>
      <c r="O1459" s="1">
        <v>0.27827788649706398</v>
      </c>
      <c r="Q1459" s="1">
        <v>2.7827788649706399E-2</v>
      </c>
      <c r="R1459" s="1">
        <v>6.1769981416195503E-2</v>
      </c>
      <c r="S1459" s="11" t="s">
        <v>295</v>
      </c>
      <c r="T1459" s="2" t="s">
        <v>297</v>
      </c>
      <c r="U1459" s="3" t="s">
        <v>41</v>
      </c>
      <c r="V1459" s="2" t="s">
        <v>298</v>
      </c>
      <c r="W1459" s="2">
        <v>6</v>
      </c>
      <c r="X1459" s="2">
        <v>14</v>
      </c>
      <c r="Y1459" s="2">
        <v>1</v>
      </c>
      <c r="Z1459" s="2">
        <v>0</v>
      </c>
      <c r="AA1459" s="2">
        <v>0</v>
      </c>
      <c r="AB1459" s="12">
        <f>(W1459*4+X1459*1+Y1459*-2+Z1459*-3)/W1459</f>
        <v>6</v>
      </c>
      <c r="AC1459" s="3">
        <f>W1459*12.0107+X1459*1.00784+Y1459*15.999+Z1459*14.0067</f>
        <v>102.17295999999999</v>
      </c>
      <c r="AD1459" s="12">
        <v>153</v>
      </c>
      <c r="AE1459" s="2" t="s">
        <v>262</v>
      </c>
      <c r="AF1459" s="2" t="s">
        <v>44</v>
      </c>
      <c r="AG1459" s="2" t="str">
        <f>IF(AD1459&gt;37,"Proton symporter", "Diffusion")</f>
        <v>Proton symporter</v>
      </c>
      <c r="AH1459" s="3" t="s">
        <v>299</v>
      </c>
    </row>
    <row r="1460" spans="1:34" hidden="1" x14ac:dyDescent="0.2">
      <c r="A1460" s="16" t="s">
        <v>63</v>
      </c>
      <c r="B1460" s="17" t="s">
        <v>64</v>
      </c>
      <c r="C1460" t="s">
        <v>71</v>
      </c>
      <c r="D1460" s="18" t="s">
        <v>66</v>
      </c>
      <c r="E1460" t="s">
        <v>211</v>
      </c>
      <c r="F1460" t="s">
        <v>212</v>
      </c>
      <c r="G1460">
        <v>-10</v>
      </c>
      <c r="H1460">
        <v>0</v>
      </c>
      <c r="I1460">
        <v>-5</v>
      </c>
      <c r="J1460">
        <v>0.45</v>
      </c>
      <c r="K1460">
        <v>-10</v>
      </c>
      <c r="L1460">
        <v>0</v>
      </c>
      <c r="M1460">
        <v>-5</v>
      </c>
      <c r="N1460">
        <v>3.0557692307692301</v>
      </c>
      <c r="O1460">
        <v>0.27788461538461501</v>
      </c>
      <c r="P1460"/>
      <c r="Q1460">
        <v>2.7788461538461501E-2</v>
      </c>
      <c r="R1460">
        <v>6.1525216724108697E-2</v>
      </c>
      <c r="S1460" s="20" t="s">
        <v>211</v>
      </c>
      <c r="T1460" s="3" t="s">
        <v>211</v>
      </c>
      <c r="U1460" s="3" t="s">
        <v>174</v>
      </c>
      <c r="V1460" s="3" t="s">
        <v>213</v>
      </c>
      <c r="W1460" s="3">
        <v>8</v>
      </c>
      <c r="X1460" s="3">
        <v>8</v>
      </c>
      <c r="Y1460" s="3">
        <v>0</v>
      </c>
      <c r="Z1460" s="3">
        <v>0</v>
      </c>
      <c r="AA1460" s="3">
        <v>0</v>
      </c>
      <c r="AB1460" s="12">
        <f>(W1460*4+X1460*1+Y1460*-2+Z1460*-3)/W1460</f>
        <v>5</v>
      </c>
      <c r="AC1460" s="3">
        <f>W1460*12.0107+X1460*1.00784+Y1460*15.999+Z1460*14.0067</f>
        <v>104.14832</v>
      </c>
      <c r="AD1460" s="12">
        <v>145</v>
      </c>
      <c r="AE1460" s="3" t="s">
        <v>214</v>
      </c>
      <c r="AF1460" s="3" t="s">
        <v>203</v>
      </c>
      <c r="AG1460" s="2" t="str">
        <f>IF(AD1460&gt;37,"Proton symporter", "Diffusion")</f>
        <v>Proton symporter</v>
      </c>
      <c r="AH1460" s="3" t="s">
        <v>215</v>
      </c>
    </row>
    <row r="1461" spans="1:34" hidden="1" x14ac:dyDescent="0.2">
      <c r="A1461" s="8" t="s">
        <v>34</v>
      </c>
      <c r="B1461" s="9" t="s">
        <v>35</v>
      </c>
      <c r="C1461" s="1" t="s">
        <v>52</v>
      </c>
      <c r="D1461" s="13" t="s">
        <v>51</v>
      </c>
      <c r="E1461" s="1" t="s">
        <v>259</v>
      </c>
      <c r="F1461" s="1" t="s">
        <v>260</v>
      </c>
      <c r="G1461" s="1">
        <v>-10</v>
      </c>
      <c r="H1461" s="1">
        <v>-20</v>
      </c>
      <c r="I1461" s="1" t="s">
        <v>40</v>
      </c>
      <c r="J1461" s="1">
        <v>3.15</v>
      </c>
      <c r="K1461" s="1">
        <v>-10</v>
      </c>
      <c r="L1461" s="1">
        <v>-3.0386206896551702</v>
      </c>
      <c r="M1461" s="1" t="s">
        <v>40</v>
      </c>
      <c r="N1461" s="1">
        <v>8.6924137931034497</v>
      </c>
      <c r="O1461" s="1">
        <v>0.32689655172413701</v>
      </c>
      <c r="Q1461" s="1">
        <v>3.2689655172413699E-2</v>
      </c>
      <c r="R1461" s="1">
        <v>6.1169104678069103E-2</v>
      </c>
      <c r="S1461" s="20" t="s">
        <v>259</v>
      </c>
      <c r="T1461" s="3" t="s">
        <v>259</v>
      </c>
      <c r="U1461" s="3" t="s">
        <v>106</v>
      </c>
      <c r="V1461" s="3" t="s">
        <v>261</v>
      </c>
      <c r="W1461" s="3">
        <v>5</v>
      </c>
      <c r="X1461" s="3">
        <v>10</v>
      </c>
      <c r="Y1461" s="3">
        <v>1</v>
      </c>
      <c r="Z1461" s="3">
        <v>0</v>
      </c>
      <c r="AA1461" s="3">
        <v>0</v>
      </c>
      <c r="AB1461" s="12">
        <f>(W1461*4+X1461*1+Y1461*-2+Z1461*-3)/W1461+0.02</f>
        <v>5.6199999999999992</v>
      </c>
      <c r="AC1461" s="3">
        <f>W1461*12.0107+X1461*1.00784+Y1461*15.999+Z1461*14.0067</f>
        <v>86.130899999999997</v>
      </c>
      <c r="AD1461" s="12">
        <v>108</v>
      </c>
      <c r="AE1461" s="3" t="s">
        <v>262</v>
      </c>
      <c r="AF1461" s="3" t="s">
        <v>135</v>
      </c>
      <c r="AG1461" s="2" t="str">
        <f>IF(AD1461&gt;37,"Proton symporter", "Diffusion")</f>
        <v>Proton symporter</v>
      </c>
      <c r="AH1461" s="3" t="s">
        <v>263</v>
      </c>
    </row>
    <row r="1462" spans="1:34" hidden="1" x14ac:dyDescent="0.2">
      <c r="A1462" s="16" t="s">
        <v>63</v>
      </c>
      <c r="B1462" s="17" t="s">
        <v>64</v>
      </c>
      <c r="C1462" t="s">
        <v>71</v>
      </c>
      <c r="D1462" s="18" t="s">
        <v>66</v>
      </c>
      <c r="E1462" t="s">
        <v>172</v>
      </c>
      <c r="F1462" t="s">
        <v>173</v>
      </c>
      <c r="G1462">
        <v>-10</v>
      </c>
      <c r="H1462">
        <v>0</v>
      </c>
      <c r="I1462">
        <v>-5</v>
      </c>
      <c r="J1462">
        <v>0.45</v>
      </c>
      <c r="K1462">
        <v>-10</v>
      </c>
      <c r="L1462">
        <v>0</v>
      </c>
      <c r="M1462">
        <v>-5</v>
      </c>
      <c r="N1462">
        <v>2.8042105263157899</v>
      </c>
      <c r="O1462">
        <v>0.30421052631578999</v>
      </c>
      <c r="P1462"/>
      <c r="Q1462">
        <v>3.0421052631579001E-2</v>
      </c>
      <c r="R1462">
        <v>6.0862179189672697E-2</v>
      </c>
      <c r="S1462" s="20" t="s">
        <v>172</v>
      </c>
      <c r="T1462" s="3" t="s">
        <v>172</v>
      </c>
      <c r="U1462" s="3" t="s">
        <v>174</v>
      </c>
      <c r="V1462" s="3" t="s">
        <v>175</v>
      </c>
      <c r="W1462" s="3">
        <v>6</v>
      </c>
      <c r="X1462" s="3">
        <v>6</v>
      </c>
      <c r="Y1462" s="3">
        <v>1</v>
      </c>
      <c r="Z1462" s="3">
        <v>0</v>
      </c>
      <c r="AA1462" s="3">
        <v>0</v>
      </c>
      <c r="AB1462" s="12">
        <f>(W1462*4+X1462*1+Y1462*-2+Z1462*-3)/W1462</f>
        <v>4.666666666666667</v>
      </c>
      <c r="AC1462" s="3">
        <f>W1462*12.0107+X1462*1.00784+Y1462*15.999+Z1462*14.0067</f>
        <v>94.11023999999999</v>
      </c>
      <c r="AD1462" s="12">
        <v>181.7</v>
      </c>
      <c r="AE1462" s="3" t="s">
        <v>176</v>
      </c>
      <c r="AF1462" s="2" t="s">
        <v>150</v>
      </c>
      <c r="AG1462" s="2" t="str">
        <f>IF(AD1462&gt;37,"Proton symporter", "Diffusion")</f>
        <v>Proton symporter</v>
      </c>
      <c r="AH1462" s="3" t="s">
        <v>177</v>
      </c>
    </row>
    <row r="1463" spans="1:34" hidden="1" x14ac:dyDescent="0.2">
      <c r="A1463" s="8" t="s">
        <v>34</v>
      </c>
      <c r="B1463" s="9" t="s">
        <v>35</v>
      </c>
      <c r="C1463" s="1" t="s">
        <v>50</v>
      </c>
      <c r="D1463" s="13" t="s">
        <v>51</v>
      </c>
      <c r="E1463" s="1" t="s">
        <v>199</v>
      </c>
      <c r="F1463" s="1" t="s">
        <v>200</v>
      </c>
      <c r="G1463" s="1">
        <v>-10</v>
      </c>
      <c r="H1463" s="1">
        <v>-20</v>
      </c>
      <c r="I1463" s="1" t="s">
        <v>40</v>
      </c>
      <c r="J1463" s="1">
        <v>3.15</v>
      </c>
      <c r="K1463" s="1">
        <v>-10</v>
      </c>
      <c r="L1463" s="1">
        <v>-2.8569148936170201</v>
      </c>
      <c r="M1463" s="1" t="s">
        <v>40</v>
      </c>
      <c r="N1463" s="1">
        <v>8.2351063829787208</v>
      </c>
      <c r="O1463" s="1">
        <v>0.25212765957446698</v>
      </c>
      <c r="Q1463" s="1">
        <v>2.52127659574467E-2</v>
      </c>
      <c r="R1463" s="1">
        <v>5.9231957077388299E-2</v>
      </c>
      <c r="S1463" s="20" t="s">
        <v>201</v>
      </c>
      <c r="T1463" s="3" t="s">
        <v>201</v>
      </c>
      <c r="U1463" s="3" t="s">
        <v>106</v>
      </c>
      <c r="V1463" s="3" t="s">
        <v>202</v>
      </c>
      <c r="W1463" s="3">
        <v>7</v>
      </c>
      <c r="X1463" s="3">
        <v>8</v>
      </c>
      <c r="Y1463" s="3">
        <v>1</v>
      </c>
      <c r="Z1463" s="3">
        <v>0</v>
      </c>
      <c r="AA1463" s="3">
        <v>0</v>
      </c>
      <c r="AB1463" s="12">
        <f>(W1463*4+X1463*1+Y1463*-2+Z1463*-3)/W1463</f>
        <v>4.8571428571428568</v>
      </c>
      <c r="AC1463" s="3">
        <f>W1463*12.0107+X1463*1.00784+Y1463*15.999+Z1463*14.0067</f>
        <v>108.13661999999999</v>
      </c>
      <c r="AD1463" s="12">
        <v>205</v>
      </c>
      <c r="AE1463" s="3" t="s">
        <v>176</v>
      </c>
      <c r="AF1463" s="3" t="s">
        <v>203</v>
      </c>
      <c r="AG1463" s="2" t="str">
        <f>IF(AD1463&gt;37,"Proton symporter", "Diffusion")</f>
        <v>Proton symporter</v>
      </c>
      <c r="AH1463" s="3" t="s">
        <v>204</v>
      </c>
    </row>
    <row r="1464" spans="1:34" hidden="1" x14ac:dyDescent="0.2">
      <c r="A1464" s="8" t="s">
        <v>34</v>
      </c>
      <c r="B1464" s="9" t="s">
        <v>35</v>
      </c>
      <c r="C1464" s="1" t="s">
        <v>52</v>
      </c>
      <c r="D1464" s="13" t="s">
        <v>51</v>
      </c>
      <c r="E1464" s="1" t="s">
        <v>307</v>
      </c>
      <c r="F1464" s="1" t="s">
        <v>308</v>
      </c>
      <c r="G1464" s="1">
        <v>-10</v>
      </c>
      <c r="H1464" s="1">
        <v>-20</v>
      </c>
      <c r="I1464" s="1" t="s">
        <v>40</v>
      </c>
      <c r="J1464" s="1">
        <v>3.15</v>
      </c>
      <c r="K1464" s="1">
        <v>-10</v>
      </c>
      <c r="L1464" s="1">
        <v>-2.9685714285714302</v>
      </c>
      <c r="M1464" s="1" t="s">
        <v>40</v>
      </c>
      <c r="N1464" s="1">
        <v>8.6457142857142806</v>
      </c>
      <c r="O1464" s="1">
        <v>0.45142857142857101</v>
      </c>
      <c r="Q1464" s="1">
        <v>4.5142857142857103E-2</v>
      </c>
      <c r="R1464" s="1">
        <v>5.8936135257064398E-2</v>
      </c>
      <c r="S1464" s="11" t="s">
        <v>307</v>
      </c>
      <c r="T1464" s="2" t="s">
        <v>307</v>
      </c>
      <c r="U1464" s="3" t="s">
        <v>41</v>
      </c>
      <c r="V1464" s="2" t="s">
        <v>283</v>
      </c>
      <c r="W1464" s="2">
        <v>3</v>
      </c>
      <c r="X1464" s="2">
        <v>8</v>
      </c>
      <c r="Y1464" s="2">
        <v>1</v>
      </c>
      <c r="Z1464" s="2">
        <v>0</v>
      </c>
      <c r="AA1464" s="2">
        <v>0</v>
      </c>
      <c r="AB1464" s="12">
        <f>(W1464*4+X1464*1+Y1464*-2+Z1464*-3)/W1464</f>
        <v>6</v>
      </c>
      <c r="AC1464" s="3">
        <f>W1464*12.0107+X1464*1.00784+Y1464*15.999+Z1464*14.0067</f>
        <v>60.093820000000001</v>
      </c>
      <c r="AD1464" s="12">
        <v>82.5</v>
      </c>
      <c r="AE1464" s="2" t="s">
        <v>262</v>
      </c>
      <c r="AF1464" s="2" t="s">
        <v>79</v>
      </c>
      <c r="AG1464" s="2" t="str">
        <f>IF(AD1464&gt;37,"Proton symporter", "Diffusion")</f>
        <v>Proton symporter</v>
      </c>
      <c r="AH1464" s="3" t="s">
        <v>309</v>
      </c>
    </row>
    <row r="1465" spans="1:34" hidden="1" x14ac:dyDescent="0.2">
      <c r="A1465" s="8" t="s">
        <v>368</v>
      </c>
      <c r="B1465" s="17" t="s">
        <v>64</v>
      </c>
      <c r="C1465" t="s">
        <v>369</v>
      </c>
      <c r="D1465" s="18" t="s">
        <v>66</v>
      </c>
      <c r="E1465" t="s">
        <v>159</v>
      </c>
      <c r="F1465" t="s">
        <v>153</v>
      </c>
      <c r="G1465">
        <v>-10</v>
      </c>
      <c r="H1465">
        <v>0</v>
      </c>
      <c r="I1465">
        <v>-20</v>
      </c>
      <c r="J1465">
        <v>0.45</v>
      </c>
      <c r="K1465">
        <v>-9.8857142857142897</v>
      </c>
      <c r="L1465">
        <v>0</v>
      </c>
      <c r="M1465">
        <v>-20</v>
      </c>
      <c r="N1465">
        <v>-9.8857142857142897</v>
      </c>
      <c r="O1465">
        <v>0.22857142857142801</v>
      </c>
      <c r="P1465"/>
      <c r="Q1465">
        <v>2.3121387283236899E-2</v>
      </c>
      <c r="R1465">
        <v>5.8231660482274301E-2</v>
      </c>
      <c r="S1465" s="1" t="str">
        <f>VLOOKUP($E1465,'[1]Product Naming'!$A$1:$P$58,2)</f>
        <v>Benzoate-PW2</v>
      </c>
      <c r="T1465" s="1" t="str">
        <f>VLOOKUP($E1465,'[1]Product Naming'!$A$1:$P$58,3)</f>
        <v>Benzoate (PW2)</v>
      </c>
      <c r="U1465" s="1" t="str">
        <f>VLOOKUP($E1465,'[1]Product Naming'!$A$1:$P$58,4)</f>
        <v>A</v>
      </c>
      <c r="V1465" s="1" t="str">
        <f>VLOOKUP($E1465,'[1]Product Naming'!$A$1:$P$58,5)</f>
        <v>C7H5O2</v>
      </c>
      <c r="W1465" s="1">
        <f>VLOOKUP($E1465,'[1]Product Naming'!$A$1:$P$58,6)</f>
        <v>7</v>
      </c>
      <c r="X1465" s="1">
        <f>VLOOKUP($E1465,'[1]Product Naming'!$A$1:$P$58,7)</f>
        <v>5</v>
      </c>
      <c r="Y1465" s="1">
        <f>VLOOKUP($E1465,'[1]Product Naming'!$A$1:$P$58,8)</f>
        <v>2</v>
      </c>
      <c r="Z1465" s="1">
        <f>VLOOKUP($E1465,'[1]Product Naming'!$A$1:$P$58,9)</f>
        <v>0</v>
      </c>
      <c r="AA1465" s="1">
        <f>VLOOKUP($E1465,'[1]Product Naming'!$A$1:$P$58,10)</f>
        <v>-1</v>
      </c>
      <c r="AB1465" s="27">
        <f>VLOOKUP($E1465,'[1]Product Naming'!$A$1:$P$58,11)</f>
        <v>4.1428571428571432</v>
      </c>
      <c r="AC1465" s="3">
        <f>VLOOKUP($E1465,'[1]Product Naming'!$A$1:$P$58,12)</f>
        <v>121.1121</v>
      </c>
      <c r="AD1465" s="1">
        <f>VLOOKUP($E1465,'[1]Product Naming'!$A$1:$P$58,13)</f>
        <v>249.2</v>
      </c>
      <c r="AE1465" s="1" t="str">
        <f>VLOOKUP($E1465,'[1]Product Naming'!$A$1:$P$58,14)</f>
        <v>Aromatic + Carboxylate</v>
      </c>
      <c r="AF1465" s="1" t="str">
        <f>VLOOKUP($E1465,'[1]Product Naming'!$A$1:$P$58,15)</f>
        <v>E4P + aKG</v>
      </c>
      <c r="AG1465" s="28" t="str">
        <f>VLOOKUP($E1465,'[1]Product Naming'!$A$1:$P$58,16)</f>
        <v>Proton symporter</v>
      </c>
      <c r="AH1465" s="3" t="str">
        <f>VLOOKUP($E1465,'[1]Product Naming'!$A$1:$Q$58,17)</f>
        <v>bz_c</v>
      </c>
    </row>
    <row r="1466" spans="1:34" hidden="1" x14ac:dyDescent="0.2">
      <c r="A1466" s="8" t="s">
        <v>34</v>
      </c>
      <c r="B1466" s="9" t="s">
        <v>35</v>
      </c>
      <c r="C1466" s="1" t="s">
        <v>52</v>
      </c>
      <c r="D1466" s="13" t="s">
        <v>51</v>
      </c>
      <c r="E1466" s="1" t="s">
        <v>279</v>
      </c>
      <c r="F1466" s="1" t="s">
        <v>280</v>
      </c>
      <c r="G1466" s="1">
        <v>-10</v>
      </c>
      <c r="H1466" s="1">
        <v>-20</v>
      </c>
      <c r="I1466" s="1" t="s">
        <v>40</v>
      </c>
      <c r="J1466" s="1">
        <v>3.15</v>
      </c>
      <c r="K1466" s="1">
        <v>-10</v>
      </c>
      <c r="L1466" s="1">
        <v>-3.0065420560747702</v>
      </c>
      <c r="M1466" s="1" t="s">
        <v>40</v>
      </c>
      <c r="N1466" s="1">
        <v>8.6710280373831807</v>
      </c>
      <c r="O1466" s="1">
        <v>0.44299065420560801</v>
      </c>
      <c r="Q1466" s="1">
        <v>4.42990654205608E-2</v>
      </c>
      <c r="R1466" s="1">
        <v>5.7834525252259503E-2</v>
      </c>
      <c r="S1466" s="20" t="s">
        <v>281</v>
      </c>
      <c r="T1466" s="3" t="s">
        <v>282</v>
      </c>
      <c r="U1466" s="3" t="s">
        <v>174</v>
      </c>
      <c r="V1466" s="3" t="s">
        <v>283</v>
      </c>
      <c r="W1466" s="3">
        <v>3</v>
      </c>
      <c r="X1466" s="3">
        <v>8</v>
      </c>
      <c r="Y1466" s="3">
        <v>1</v>
      </c>
      <c r="Z1466" s="3">
        <v>0</v>
      </c>
      <c r="AA1466" s="3">
        <v>0</v>
      </c>
      <c r="AB1466" s="12">
        <f>(W1466*4+X1466*1+Y1466*-2+Z1466*-3)/W1466</f>
        <v>6</v>
      </c>
      <c r="AC1466" s="3">
        <f>W1466*12.0107+X1466*1.00784+Y1466*15.999+Z1466*14.0067</f>
        <v>60.093820000000001</v>
      </c>
      <c r="AD1466" s="12">
        <v>97</v>
      </c>
      <c r="AE1466" s="2" t="s">
        <v>262</v>
      </c>
      <c r="AF1466" s="2" t="s">
        <v>284</v>
      </c>
      <c r="AG1466" s="2" t="str">
        <f>IF(AD1466&gt;37,"Proton symporter", "Diffusion")</f>
        <v>Proton symporter</v>
      </c>
      <c r="AH1466" s="3" t="s">
        <v>285</v>
      </c>
    </row>
    <row r="1467" spans="1:34" hidden="1" x14ac:dyDescent="0.2">
      <c r="A1467" s="8" t="s">
        <v>368</v>
      </c>
      <c r="B1467" s="17" t="s">
        <v>64</v>
      </c>
      <c r="C1467" t="s">
        <v>369</v>
      </c>
      <c r="D1467" s="18" t="s">
        <v>66</v>
      </c>
      <c r="E1467" t="s">
        <v>211</v>
      </c>
      <c r="F1467" t="s">
        <v>212</v>
      </c>
      <c r="G1467">
        <v>-10</v>
      </c>
      <c r="H1467">
        <v>0</v>
      </c>
      <c r="I1467">
        <v>-20</v>
      </c>
      <c r="J1467">
        <v>0.45</v>
      </c>
      <c r="K1467">
        <v>-9.4923076923076906</v>
      </c>
      <c r="L1467">
        <v>0</v>
      </c>
      <c r="M1467">
        <v>-20</v>
      </c>
      <c r="N1467">
        <v>-9.4923076923076906</v>
      </c>
      <c r="O1467">
        <v>0.253846153846154</v>
      </c>
      <c r="P1467"/>
      <c r="Q1467">
        <v>2.6742301458671E-2</v>
      </c>
      <c r="R1467">
        <v>5.7714492407549001E-2</v>
      </c>
      <c r="S1467" s="1" t="str">
        <f>VLOOKUP($E1467,'[1]Product Naming'!$A$1:$P$58,2)</f>
        <v>Styrene</v>
      </c>
      <c r="T1467" s="1" t="str">
        <f>VLOOKUP($E1467,'[1]Product Naming'!$A$1:$P$58,3)</f>
        <v>Styrene</v>
      </c>
      <c r="U1467" s="1" t="str">
        <f>VLOOKUP($E1467,'[1]Product Naming'!$A$1:$P$58,4)</f>
        <v>E-S</v>
      </c>
      <c r="V1467" s="1" t="str">
        <f>VLOOKUP($E1467,'[1]Product Naming'!$A$1:$P$58,5)</f>
        <v>C8H8</v>
      </c>
      <c r="W1467" s="1">
        <f>VLOOKUP($E1467,'[1]Product Naming'!$A$1:$P$58,6)</f>
        <v>8</v>
      </c>
      <c r="X1467" s="1">
        <f>VLOOKUP($E1467,'[1]Product Naming'!$A$1:$P$58,7)</f>
        <v>8</v>
      </c>
      <c r="Y1467" s="1">
        <f>VLOOKUP($E1467,'[1]Product Naming'!$A$1:$P$58,8)</f>
        <v>0</v>
      </c>
      <c r="Z1467" s="1">
        <f>VLOOKUP($E1467,'[1]Product Naming'!$A$1:$P$58,9)</f>
        <v>0</v>
      </c>
      <c r="AA1467" s="1">
        <f>VLOOKUP($E1467,'[1]Product Naming'!$A$1:$P$58,10)</f>
        <v>0</v>
      </c>
      <c r="AB1467" s="27">
        <f>VLOOKUP($E1467,'[1]Product Naming'!$A$1:$P$58,11)</f>
        <v>5</v>
      </c>
      <c r="AC1467" s="3">
        <f>VLOOKUP($E1467,'[1]Product Naming'!$A$1:$P$58,12)</f>
        <v>104.14832</v>
      </c>
      <c r="AD1467" s="1">
        <f>VLOOKUP($E1467,'[1]Product Naming'!$A$1:$P$58,13)</f>
        <v>145</v>
      </c>
      <c r="AE1467" s="1" t="str">
        <f>VLOOKUP($E1467,'[1]Product Naming'!$A$1:$P$58,14)</f>
        <v>Cycloalkane</v>
      </c>
      <c r="AF1467" s="1" t="str">
        <f>VLOOKUP($E1467,'[1]Product Naming'!$A$1:$P$58,15)</f>
        <v>E4P</v>
      </c>
      <c r="AG1467" s="28" t="str">
        <f>VLOOKUP($E1467,'[1]Product Naming'!$A$1:$P$58,16)</f>
        <v>Proton symporter</v>
      </c>
      <c r="AH1467" s="3" t="str">
        <f>VLOOKUP($E1467,'[1]Product Naming'!$A$1:$Q$58,17)</f>
        <v>styr_c</v>
      </c>
    </row>
    <row r="1468" spans="1:34" hidden="1" x14ac:dyDescent="0.2">
      <c r="A1468" s="8" t="s">
        <v>368</v>
      </c>
      <c r="B1468" s="17" t="s">
        <v>64</v>
      </c>
      <c r="C1468" t="s">
        <v>369</v>
      </c>
      <c r="D1468" s="18" t="s">
        <v>66</v>
      </c>
      <c r="E1468" t="s">
        <v>172</v>
      </c>
      <c r="F1468" t="s">
        <v>173</v>
      </c>
      <c r="G1468">
        <v>-10</v>
      </c>
      <c r="H1468">
        <v>0</v>
      </c>
      <c r="I1468">
        <v>-20</v>
      </c>
      <c r="J1468">
        <v>0.45</v>
      </c>
      <c r="K1468">
        <v>-9.7221052631578893</v>
      </c>
      <c r="L1468">
        <v>0</v>
      </c>
      <c r="M1468">
        <v>-20</v>
      </c>
      <c r="N1468">
        <v>-9.7221052631578893</v>
      </c>
      <c r="O1468">
        <v>0.27789473684210803</v>
      </c>
      <c r="P1468"/>
      <c r="Q1468">
        <v>2.85838025119102E-2</v>
      </c>
      <c r="R1468">
        <v>5.5859263570001802E-2</v>
      </c>
      <c r="S1468" s="1" t="str">
        <f>VLOOKUP($E1468,'[1]Product Naming'!$A$1:$P$58,2)</f>
        <v>Phenol</v>
      </c>
      <c r="T1468" s="1" t="str">
        <f>VLOOKUP($E1468,'[1]Product Naming'!$A$1:$P$58,3)</f>
        <v>Phenol</v>
      </c>
      <c r="U1468" s="1" t="str">
        <f>VLOOKUP($E1468,'[1]Product Naming'!$A$1:$P$58,4)</f>
        <v>E-S</v>
      </c>
      <c r="V1468" s="1" t="str">
        <f>VLOOKUP($E1468,'[1]Product Naming'!$A$1:$P$58,5)</f>
        <v>C6H6O</v>
      </c>
      <c r="W1468" s="1">
        <f>VLOOKUP($E1468,'[1]Product Naming'!$A$1:$P$58,6)</f>
        <v>6</v>
      </c>
      <c r="X1468" s="1">
        <f>VLOOKUP($E1468,'[1]Product Naming'!$A$1:$P$58,7)</f>
        <v>6</v>
      </c>
      <c r="Y1468" s="1">
        <f>VLOOKUP($E1468,'[1]Product Naming'!$A$1:$P$58,8)</f>
        <v>1</v>
      </c>
      <c r="Z1468" s="1">
        <f>VLOOKUP($E1468,'[1]Product Naming'!$A$1:$P$58,9)</f>
        <v>0</v>
      </c>
      <c r="AA1468" s="1">
        <f>VLOOKUP($E1468,'[1]Product Naming'!$A$1:$P$58,10)</f>
        <v>0</v>
      </c>
      <c r="AB1468" s="27">
        <f>VLOOKUP($E1468,'[1]Product Naming'!$A$1:$P$58,11)</f>
        <v>4.666666666666667</v>
      </c>
      <c r="AC1468" s="3">
        <f>VLOOKUP($E1468,'[1]Product Naming'!$A$1:$P$58,12)</f>
        <v>94.11023999999999</v>
      </c>
      <c r="AD1468" s="1">
        <f>VLOOKUP($E1468,'[1]Product Naming'!$A$1:$P$58,13)</f>
        <v>181.7</v>
      </c>
      <c r="AE1468" s="1" t="str">
        <f>VLOOKUP($E1468,'[1]Product Naming'!$A$1:$P$58,14)</f>
        <v>Aromatic + Alcohol</v>
      </c>
      <c r="AF1468" s="1" t="str">
        <f>VLOOKUP($E1468,'[1]Product Naming'!$A$1:$P$58,15)</f>
        <v>E4P + L-glutamate</v>
      </c>
      <c r="AG1468" s="28" t="str">
        <f>VLOOKUP($E1468,'[1]Product Naming'!$A$1:$P$58,16)</f>
        <v>Proton symporter</v>
      </c>
      <c r="AH1468" s="3" t="str">
        <f>VLOOKUP($E1468,'[1]Product Naming'!$A$1:$Q$58,17)</f>
        <v>phenol_c</v>
      </c>
    </row>
    <row r="1469" spans="1:34" hidden="1" x14ac:dyDescent="0.2">
      <c r="A1469" s="8" t="s">
        <v>34</v>
      </c>
      <c r="B1469" s="9" t="s">
        <v>35</v>
      </c>
      <c r="C1469" s="1" t="s">
        <v>52</v>
      </c>
      <c r="D1469" s="13" t="s">
        <v>51</v>
      </c>
      <c r="E1469" s="1" t="s">
        <v>159</v>
      </c>
      <c r="F1469" s="1" t="s">
        <v>153</v>
      </c>
      <c r="G1469" s="1">
        <v>-10</v>
      </c>
      <c r="H1469" s="1">
        <v>-20</v>
      </c>
      <c r="I1469" s="1" t="s">
        <v>40</v>
      </c>
      <c r="J1469" s="1">
        <v>3.15</v>
      </c>
      <c r="K1469" s="1">
        <v>-10</v>
      </c>
      <c r="L1469" s="1">
        <v>-3.4129464285714302</v>
      </c>
      <c r="M1469" s="1" t="s">
        <v>40</v>
      </c>
      <c r="N1469" s="1">
        <v>8.5187500000000007</v>
      </c>
      <c r="O1469" s="1">
        <v>0.21160714285714399</v>
      </c>
      <c r="Q1469" s="1">
        <v>2.1160714285714501E-2</v>
      </c>
      <c r="R1469" s="1">
        <v>5.5677619285044298E-2</v>
      </c>
      <c r="S1469" s="11" t="s">
        <v>159</v>
      </c>
      <c r="T1469" s="2" t="s">
        <v>160</v>
      </c>
      <c r="U1469" s="3" t="s">
        <v>41</v>
      </c>
      <c r="V1469" s="2" t="s">
        <v>155</v>
      </c>
      <c r="W1469" s="2">
        <v>7</v>
      </c>
      <c r="X1469" s="2">
        <v>5</v>
      </c>
      <c r="Y1469" s="2">
        <v>2</v>
      </c>
      <c r="Z1469" s="2">
        <v>0</v>
      </c>
      <c r="AA1469" s="2">
        <v>0</v>
      </c>
      <c r="AB1469" s="12">
        <f>(W1469*4+X1469*1+Y1469*-2+Z1469*-3)/W1469</f>
        <v>4.1428571428571432</v>
      </c>
      <c r="AC1469" s="3">
        <f>W1469*12.0107+X1469*1.00784+Y1469*15.999+Z1469*14.0067</f>
        <v>121.1121</v>
      </c>
      <c r="AD1469" s="12">
        <v>249.2</v>
      </c>
      <c r="AE1469" s="2" t="s">
        <v>156</v>
      </c>
      <c r="AF1469" s="2" t="s">
        <v>157</v>
      </c>
      <c r="AG1469" s="2" t="str">
        <f>IF(AD1469&gt;37,"Proton symporter", "Diffusion")</f>
        <v>Proton symporter</v>
      </c>
      <c r="AH1469" s="3" t="s">
        <v>158</v>
      </c>
    </row>
    <row r="1470" spans="1:34" hidden="1" x14ac:dyDescent="0.2">
      <c r="A1470" s="8" t="s">
        <v>34</v>
      </c>
      <c r="B1470" s="9" t="s">
        <v>35</v>
      </c>
      <c r="C1470" s="1" t="s">
        <v>52</v>
      </c>
      <c r="D1470" s="13" t="s">
        <v>51</v>
      </c>
      <c r="E1470" s="1" t="s">
        <v>152</v>
      </c>
      <c r="F1470" s="1" t="s">
        <v>153</v>
      </c>
      <c r="G1470" s="1">
        <v>-10</v>
      </c>
      <c r="H1470" s="1">
        <v>-20</v>
      </c>
      <c r="I1470" s="1" t="s">
        <v>40</v>
      </c>
      <c r="J1470" s="1">
        <v>3.15</v>
      </c>
      <c r="K1470" s="1">
        <v>-10</v>
      </c>
      <c r="L1470" s="1">
        <v>-3.4129464285714302</v>
      </c>
      <c r="M1470" s="1" t="s">
        <v>40</v>
      </c>
      <c r="N1470" s="1">
        <v>8.5187500000000007</v>
      </c>
      <c r="O1470" s="1">
        <v>0.21160714285714299</v>
      </c>
      <c r="Q1470" s="1">
        <v>2.11607142857143E-2</v>
      </c>
      <c r="R1470" s="1">
        <v>5.5677619285044E-2</v>
      </c>
      <c r="S1470" s="11" t="s">
        <v>152</v>
      </c>
      <c r="T1470" s="2" t="s">
        <v>154</v>
      </c>
      <c r="U1470" s="3" t="s">
        <v>41</v>
      </c>
      <c r="V1470" s="2" t="s">
        <v>155</v>
      </c>
      <c r="W1470" s="2">
        <v>7</v>
      </c>
      <c r="X1470" s="2">
        <v>5</v>
      </c>
      <c r="Y1470" s="2">
        <v>2</v>
      </c>
      <c r="Z1470" s="2">
        <v>0</v>
      </c>
      <c r="AA1470" s="2">
        <v>0</v>
      </c>
      <c r="AB1470" s="12">
        <f>(W1470*4+X1470*1+Y1470*-2+Z1470*-3)/W1470</f>
        <v>4.1428571428571432</v>
      </c>
      <c r="AC1470" s="3">
        <f>W1470*12.0107+X1470*1.00784+Y1470*15.999+Z1470*14.0067</f>
        <v>121.1121</v>
      </c>
      <c r="AD1470" s="12">
        <v>249.2</v>
      </c>
      <c r="AE1470" s="2" t="s">
        <v>156</v>
      </c>
      <c r="AF1470" s="2" t="s">
        <v>157</v>
      </c>
      <c r="AG1470" s="2" t="str">
        <f>IF(AD1470&gt;37,"Proton symporter", "Diffusion")</f>
        <v>Proton symporter</v>
      </c>
      <c r="AH1470" s="3" t="s">
        <v>158</v>
      </c>
    </row>
    <row r="1471" spans="1:34" hidden="1" x14ac:dyDescent="0.2">
      <c r="A1471" s="8" t="s">
        <v>350</v>
      </c>
      <c r="B1471" s="17" t="s">
        <v>64</v>
      </c>
      <c r="C1471" t="s">
        <v>351</v>
      </c>
      <c r="D1471" s="13" t="s">
        <v>51</v>
      </c>
      <c r="E1471" t="s">
        <v>178</v>
      </c>
      <c r="F1471" t="s">
        <v>179</v>
      </c>
      <c r="G1471">
        <v>-10</v>
      </c>
      <c r="H1471">
        <v>0</v>
      </c>
      <c r="I1471">
        <v>0</v>
      </c>
      <c r="J1471">
        <v>0.45</v>
      </c>
      <c r="K1471">
        <v>-10</v>
      </c>
      <c r="L1471">
        <v>0</v>
      </c>
      <c r="M1471" s="26">
        <v>0.72566371681414599</v>
      </c>
      <c r="N1471">
        <v>0</v>
      </c>
      <c r="O1471" s="26">
        <v>0.145132743362832</v>
      </c>
      <c r="P1471"/>
      <c r="Q1471" s="26">
        <v>1.4513274336283201E-2</v>
      </c>
      <c r="R1471" s="26">
        <v>5.4671384178997501E-2</v>
      </c>
      <c r="S1471" s="3" t="str">
        <f>VLOOKUP($E1471,'[1]Product Naming'!$A$1:$P$58,2)</f>
        <v>4-Hydroxystyrene</v>
      </c>
      <c r="T1471" s="3" t="str">
        <f>VLOOKUP($E1471,'[1]Product Naming'!$A$1:$P$58,3)</f>
        <v>4-Hydroxystyrene</v>
      </c>
      <c r="U1471" s="3" t="str">
        <f>VLOOKUP($E1471,'[1]Product Naming'!$A$1:$P$58,4)</f>
        <v>E</v>
      </c>
      <c r="V1471" s="3" t="str">
        <f>VLOOKUP($E1471,'[1]Product Naming'!$A$1:$P$58,5)</f>
        <v>C8H8O</v>
      </c>
      <c r="W1471" s="3">
        <f>VLOOKUP($E1471,'[1]Product Naming'!$A$1:$P$58,6)</f>
        <v>8</v>
      </c>
      <c r="X1471" s="3">
        <f>VLOOKUP($E1471,'[1]Product Naming'!$A$1:$P$58,7)</f>
        <v>8</v>
      </c>
      <c r="Y1471" s="3">
        <f>VLOOKUP($E1471,'[1]Product Naming'!$A$1:$P$58,8)</f>
        <v>1</v>
      </c>
      <c r="Z1471" s="3">
        <f>VLOOKUP($E1471,'[1]Product Naming'!$A$1:$P$58,9)</f>
        <v>0</v>
      </c>
      <c r="AA1471" s="3">
        <f>VLOOKUP($E1471,'[1]Product Naming'!$A$1:$P$58,10)</f>
        <v>0</v>
      </c>
      <c r="AB1471" s="3">
        <f>VLOOKUP($E1471,'[1]Product Naming'!$A$1:$P$58,11)</f>
        <v>4.75</v>
      </c>
      <c r="AC1471" s="3">
        <f>VLOOKUP($E1471,'[1]Product Naming'!$A$1:$P$58,12)</f>
        <v>120.14731999999999</v>
      </c>
      <c r="AD1471" s="3">
        <f>VLOOKUP($E1471,'[1]Product Naming'!$A$1:$P$58,13)</f>
        <v>229</v>
      </c>
      <c r="AE1471" s="3" t="str">
        <f>VLOOKUP($E1471,'[1]Product Naming'!$A$1:$P$58,14)</f>
        <v>Aromatic + Alcohol</v>
      </c>
      <c r="AF1471" s="3" t="str">
        <f>VLOOKUP($E1471,'[1]Product Naming'!$A$1:$P$58,15)</f>
        <v>E4P + L-glutamate</v>
      </c>
      <c r="AG1471" s="3" t="str">
        <f>VLOOKUP($E1471,'[1]Product Naming'!$A$1:$P$58,16)</f>
        <v>Proton symporter</v>
      </c>
      <c r="AH1471" s="3" t="str">
        <f>VLOOKUP($E1471,'[1]Product Naming'!$A$1:$Q$58,17)</f>
        <v>4hxst_c</v>
      </c>
    </row>
    <row r="1472" spans="1:34" hidden="1" x14ac:dyDescent="0.2">
      <c r="A1472" s="8" t="s">
        <v>34</v>
      </c>
      <c r="B1472" s="9" t="s">
        <v>35</v>
      </c>
      <c r="C1472" s="1" t="s">
        <v>50</v>
      </c>
      <c r="D1472" s="13" t="s">
        <v>51</v>
      </c>
      <c r="E1472" s="1" t="s">
        <v>211</v>
      </c>
      <c r="F1472" s="1" t="s">
        <v>212</v>
      </c>
      <c r="G1472" s="1">
        <v>-10</v>
      </c>
      <c r="H1472" s="1">
        <v>-20</v>
      </c>
      <c r="I1472" s="1" t="s">
        <v>40</v>
      </c>
      <c r="J1472" s="1">
        <v>3.15</v>
      </c>
      <c r="K1472" s="1">
        <v>-10</v>
      </c>
      <c r="L1472" s="1">
        <v>-2.59390862944162</v>
      </c>
      <c r="M1472" s="1" t="s">
        <v>40</v>
      </c>
      <c r="N1472" s="1">
        <v>8.07512690355329</v>
      </c>
      <c r="O1472" s="1">
        <v>0.240609137055837</v>
      </c>
      <c r="Q1472" s="1">
        <v>2.4060913705583699E-2</v>
      </c>
      <c r="R1472" s="1">
        <v>5.44411365751932E-2</v>
      </c>
      <c r="S1472" s="20" t="s">
        <v>211</v>
      </c>
      <c r="T1472" s="3" t="s">
        <v>211</v>
      </c>
      <c r="U1472" s="3" t="s">
        <v>174</v>
      </c>
      <c r="V1472" s="3" t="s">
        <v>213</v>
      </c>
      <c r="W1472" s="3">
        <v>8</v>
      </c>
      <c r="X1472" s="3">
        <v>8</v>
      </c>
      <c r="Y1472" s="3">
        <v>0</v>
      </c>
      <c r="Z1472" s="3">
        <v>0</v>
      </c>
      <c r="AA1472" s="3">
        <v>0</v>
      </c>
      <c r="AB1472" s="12">
        <f>(W1472*4+X1472*1+Y1472*-2+Z1472*-3)/W1472</f>
        <v>5</v>
      </c>
      <c r="AC1472" s="3">
        <f>W1472*12.0107+X1472*1.00784+Y1472*15.999+Z1472*14.0067</f>
        <v>104.14832</v>
      </c>
      <c r="AD1472" s="12">
        <v>145</v>
      </c>
      <c r="AE1472" s="3" t="s">
        <v>214</v>
      </c>
      <c r="AF1472" s="3" t="s">
        <v>203</v>
      </c>
      <c r="AG1472" s="2" t="str">
        <f>IF(AD1472&gt;37,"Proton symporter", "Diffusion")</f>
        <v>Proton symporter</v>
      </c>
      <c r="AH1472" s="3" t="s">
        <v>215</v>
      </c>
    </row>
    <row r="1473" spans="1:34" hidden="1" x14ac:dyDescent="0.2">
      <c r="A1473" s="16" t="s">
        <v>74</v>
      </c>
      <c r="B1473" s="9" t="s">
        <v>35</v>
      </c>
      <c r="C1473" t="s">
        <v>50</v>
      </c>
      <c r="D1473" s="13" t="s">
        <v>51</v>
      </c>
      <c r="E1473" t="s">
        <v>268</v>
      </c>
      <c r="F1473" t="s">
        <v>269</v>
      </c>
      <c r="G1473">
        <v>-10</v>
      </c>
      <c r="H1473">
        <v>-20</v>
      </c>
      <c r="I1473" s="1" t="s">
        <v>40</v>
      </c>
      <c r="J1473">
        <v>3.15</v>
      </c>
      <c r="K1473">
        <v>-10</v>
      </c>
      <c r="L1473">
        <v>-2.4574712643678098</v>
      </c>
      <c r="M1473" s="1" t="s">
        <v>40</v>
      </c>
      <c r="N1473">
        <v>8.1839080459770095</v>
      </c>
      <c r="O1473">
        <v>0.181609195402298</v>
      </c>
      <c r="P1473"/>
      <c r="Q1473">
        <v>1.8160919540229799E-2</v>
      </c>
      <c r="R1473">
        <v>5.3750334167778697E-2</v>
      </c>
      <c r="S1473" s="3" t="s">
        <v>268</v>
      </c>
      <c r="T1473" s="3" t="s">
        <v>268</v>
      </c>
      <c r="U1473" s="3" t="s">
        <v>106</v>
      </c>
      <c r="V1473" s="3" t="s">
        <v>270</v>
      </c>
      <c r="W1473" s="3">
        <v>10</v>
      </c>
      <c r="X1473" s="3">
        <v>16</v>
      </c>
      <c r="Y1473" s="3">
        <v>0</v>
      </c>
      <c r="Z1473" s="3">
        <v>0</v>
      </c>
      <c r="AA1473" s="3">
        <v>0</v>
      </c>
      <c r="AB1473" s="12">
        <f>(W1473*4+X1473*1+Y1473*-2+Z1473*-3)/W1473</f>
        <v>5.6</v>
      </c>
      <c r="AC1473" s="3">
        <f>W1473*12.0107+X1473*1.00784+Y1473*15.999+Z1473*14.0067</f>
        <v>136.23244</v>
      </c>
      <c r="AD1473" s="12">
        <v>176</v>
      </c>
      <c r="AE1473" s="3" t="s">
        <v>271</v>
      </c>
      <c r="AF1473" s="3" t="s">
        <v>79</v>
      </c>
      <c r="AG1473" s="2" t="str">
        <f>IF(AD1473&gt;37,"Proton symporter", "Diffusion")</f>
        <v>Proton symporter</v>
      </c>
      <c r="AH1473" s="3" t="s">
        <v>272</v>
      </c>
    </row>
    <row r="1474" spans="1:34" hidden="1" x14ac:dyDescent="0.2">
      <c r="A1474" s="8" t="s">
        <v>34</v>
      </c>
      <c r="B1474" s="9" t="s">
        <v>35</v>
      </c>
      <c r="C1474" s="1" t="s">
        <v>50</v>
      </c>
      <c r="D1474" s="13" t="s">
        <v>51</v>
      </c>
      <c r="E1474" s="1" t="s">
        <v>254</v>
      </c>
      <c r="F1474" s="1" t="s">
        <v>255</v>
      </c>
      <c r="G1474" s="1">
        <v>-10</v>
      </c>
      <c r="H1474" s="1">
        <v>-20</v>
      </c>
      <c r="I1474" s="1" t="s">
        <v>40</v>
      </c>
      <c r="J1474" s="1">
        <v>3.15</v>
      </c>
      <c r="K1474" s="1">
        <v>-10</v>
      </c>
      <c r="L1474" s="1">
        <v>-2.4607142857142801</v>
      </c>
      <c r="M1474" s="1" t="s">
        <v>40</v>
      </c>
      <c r="N1474" s="1">
        <v>8.1862244897959204</v>
      </c>
      <c r="O1474" s="1">
        <v>0.120918367346939</v>
      </c>
      <c r="Q1474" s="1">
        <v>1.2091836734693899E-2</v>
      </c>
      <c r="R1474" s="1">
        <v>5.3681775068075102E-2</v>
      </c>
      <c r="S1474" s="11" t="s">
        <v>254</v>
      </c>
      <c r="T1474" s="2" t="s">
        <v>254</v>
      </c>
      <c r="U1474" s="3" t="s">
        <v>41</v>
      </c>
      <c r="V1474" s="2" t="s">
        <v>256</v>
      </c>
      <c r="W1474" s="2">
        <v>15</v>
      </c>
      <c r="X1474" s="2">
        <v>24</v>
      </c>
      <c r="Y1474" s="2">
        <v>0</v>
      </c>
      <c r="Z1474" s="2">
        <v>0</v>
      </c>
      <c r="AA1474" s="2">
        <v>0</v>
      </c>
      <c r="AB1474" s="12">
        <f>(W1474*4+X1474*1+Y1474*-2+Z1474*-3)/W1474+0.01</f>
        <v>5.6099999999999994</v>
      </c>
      <c r="AC1474" s="3">
        <f>W1474*12.0107+X1474*1.00784+Y1474*15.999+Z1474*14.0067</f>
        <v>204.34866000000002</v>
      </c>
      <c r="AD1474" s="12" t="s">
        <v>257</v>
      </c>
      <c r="AE1474" s="2" t="s">
        <v>231</v>
      </c>
      <c r="AF1474" s="2" t="s">
        <v>79</v>
      </c>
      <c r="AG1474" s="2" t="str">
        <f>IF(AD1474&gt;37,"Proton symporter", "Diffusion")</f>
        <v>Proton symporter</v>
      </c>
      <c r="AH1474" s="3" t="s">
        <v>258</v>
      </c>
    </row>
    <row r="1475" spans="1:34" hidden="1" x14ac:dyDescent="0.2">
      <c r="A1475" s="8" t="s">
        <v>34</v>
      </c>
      <c r="B1475" s="9" t="s">
        <v>35</v>
      </c>
      <c r="C1475" s="1" t="s">
        <v>50</v>
      </c>
      <c r="D1475" s="13" t="s">
        <v>51</v>
      </c>
      <c r="E1475" s="1" t="s">
        <v>264</v>
      </c>
      <c r="F1475" s="1" t="s">
        <v>265</v>
      </c>
      <c r="G1475" s="1">
        <v>-10</v>
      </c>
      <c r="H1475" s="1">
        <v>-20</v>
      </c>
      <c r="I1475" s="1" t="s">
        <v>40</v>
      </c>
      <c r="J1475" s="1">
        <v>3.15</v>
      </c>
      <c r="K1475" s="1">
        <v>-10</v>
      </c>
      <c r="L1475" s="1">
        <v>-2.4671755725190798</v>
      </c>
      <c r="M1475" s="1" t="s">
        <v>40</v>
      </c>
      <c r="N1475" s="1">
        <v>8.1908396946564892</v>
      </c>
      <c r="O1475" s="1">
        <v>0.36183206106870303</v>
      </c>
      <c r="Q1475" s="1">
        <v>3.61832061068703E-2</v>
      </c>
      <c r="R1475" s="1">
        <v>5.35451802205738E-2</v>
      </c>
      <c r="S1475" s="20" t="s">
        <v>264</v>
      </c>
      <c r="T1475" s="3" t="s">
        <v>264</v>
      </c>
      <c r="U1475" s="3" t="s">
        <v>106</v>
      </c>
      <c r="V1475" s="3" t="s">
        <v>266</v>
      </c>
      <c r="W1475" s="3">
        <v>5</v>
      </c>
      <c r="X1475" s="3">
        <v>8</v>
      </c>
      <c r="Y1475" s="3">
        <v>0</v>
      </c>
      <c r="Z1475" s="3">
        <v>0</v>
      </c>
      <c r="AA1475" s="3">
        <v>0</v>
      </c>
      <c r="AB1475" s="12">
        <f>(W1475*4+X1475*1+Y1475*-2+Z1475*-3)/W1475</f>
        <v>5.6</v>
      </c>
      <c r="AC1475" s="3">
        <f>W1475*12.0107+X1475*1.00784+Y1475*15.999+Z1475*14.0067</f>
        <v>68.116219999999998</v>
      </c>
      <c r="AD1475" s="24">
        <v>34.07</v>
      </c>
      <c r="AE1475" s="3" t="s">
        <v>231</v>
      </c>
      <c r="AF1475" s="3" t="s">
        <v>79</v>
      </c>
      <c r="AG1475" s="25" t="str">
        <f>IF(AD1475&gt;37,"Proton symporter", "Diffusion")</f>
        <v>Diffusion</v>
      </c>
      <c r="AH1475" s="3" t="s">
        <v>267</v>
      </c>
    </row>
    <row r="1476" spans="1:34" hidden="1" x14ac:dyDescent="0.2">
      <c r="A1476" s="8" t="s">
        <v>34</v>
      </c>
      <c r="B1476" s="9" t="s">
        <v>35</v>
      </c>
      <c r="C1476" s="1" t="s">
        <v>52</v>
      </c>
      <c r="D1476" s="13" t="s">
        <v>51</v>
      </c>
      <c r="E1476" s="1" t="s">
        <v>300</v>
      </c>
      <c r="F1476" s="1" t="s">
        <v>301</v>
      </c>
      <c r="G1476" s="1">
        <v>-10</v>
      </c>
      <c r="H1476" s="1">
        <v>-20</v>
      </c>
      <c r="I1476" s="1" t="s">
        <v>40</v>
      </c>
      <c r="J1476" s="1">
        <v>3.15</v>
      </c>
      <c r="K1476" s="1">
        <v>-10</v>
      </c>
      <c r="L1476" s="1">
        <v>-3.0111888111888101</v>
      </c>
      <c r="M1476" s="1" t="s">
        <v>40</v>
      </c>
      <c r="N1476" s="1">
        <v>8.6741258741258793</v>
      </c>
      <c r="O1476" s="1">
        <v>0.331468531468531</v>
      </c>
      <c r="Q1476" s="1">
        <v>3.3146853146853103E-2</v>
      </c>
      <c r="R1476" s="1">
        <v>5.3375466756508498E-2</v>
      </c>
      <c r="S1476" s="20" t="s">
        <v>300</v>
      </c>
      <c r="T1476" s="3" t="s">
        <v>302</v>
      </c>
      <c r="U1476" s="3" t="s">
        <v>106</v>
      </c>
      <c r="V1476" s="3" t="s">
        <v>303</v>
      </c>
      <c r="W1476" s="3">
        <v>4</v>
      </c>
      <c r="X1476" s="3">
        <v>10</v>
      </c>
      <c r="Y1476" s="3">
        <v>1</v>
      </c>
      <c r="Z1476" s="3">
        <v>0</v>
      </c>
      <c r="AA1476" s="3">
        <v>0</v>
      </c>
      <c r="AB1476" s="12">
        <f>(W1476*4+X1476*1+Y1476*-2+Z1476*-3)/W1476</f>
        <v>6</v>
      </c>
      <c r="AC1476" s="3">
        <f>W1476*12.0107+X1476*1.00784+Y1476*15.999+Z1476*14.0067</f>
        <v>74.120199999999997</v>
      </c>
      <c r="AD1476" s="12">
        <v>117.7</v>
      </c>
      <c r="AE1476" s="3" t="s">
        <v>262</v>
      </c>
      <c r="AF1476" s="2" t="s">
        <v>79</v>
      </c>
      <c r="AG1476" s="2" t="str">
        <f>IF(AD1476&gt;37,"Proton symporter", "Diffusion")</f>
        <v>Proton symporter</v>
      </c>
      <c r="AH1476" s="3" t="s">
        <v>304</v>
      </c>
    </row>
    <row r="1477" spans="1:34" hidden="1" x14ac:dyDescent="0.2">
      <c r="A1477" s="16" t="s">
        <v>317</v>
      </c>
      <c r="B1477" s="9" t="s">
        <v>35</v>
      </c>
      <c r="C1477" t="s">
        <v>50</v>
      </c>
      <c r="D1477" s="13" t="s">
        <v>51</v>
      </c>
      <c r="E1477" t="s">
        <v>318</v>
      </c>
      <c r="F1477" t="s">
        <v>319</v>
      </c>
      <c r="G1477">
        <v>-10</v>
      </c>
      <c r="H1477">
        <v>-20</v>
      </c>
      <c r="I1477" s="1" t="s">
        <v>40</v>
      </c>
      <c r="J1477">
        <v>3.15</v>
      </c>
      <c r="K1477">
        <v>-10</v>
      </c>
      <c r="L1477">
        <v>-2.33493975903616</v>
      </c>
      <c r="M1477" s="1" t="s">
        <v>40</v>
      </c>
      <c r="N1477">
        <v>8.2867469879517905</v>
      </c>
      <c r="O1477">
        <v>0.190361445783129</v>
      </c>
      <c r="P1477"/>
      <c r="Q1477">
        <v>1.9036144578313E-2</v>
      </c>
      <c r="R1477">
        <v>5.30407510431729E-2</v>
      </c>
      <c r="S1477" s="20" t="s">
        <v>318</v>
      </c>
      <c r="T1477" s="3" t="s">
        <v>318</v>
      </c>
      <c r="U1477" s="3" t="s">
        <v>106</v>
      </c>
      <c r="V1477" s="3" t="s">
        <v>320</v>
      </c>
      <c r="W1477" s="3">
        <v>9</v>
      </c>
      <c r="X1477" s="3">
        <v>20</v>
      </c>
      <c r="Y1477" s="3">
        <v>0</v>
      </c>
      <c r="Z1477" s="3">
        <v>0</v>
      </c>
      <c r="AA1477" s="3">
        <v>0</v>
      </c>
      <c r="AB1477" s="12">
        <f>(W1477*4+X1477*1+Y1477*-2+Z1477*-3)/W1477</f>
        <v>6.2222222222222223</v>
      </c>
      <c r="AC1477" s="3">
        <f>W1477*12.0107+X1477*1.00784+Y1477*15.999+Z1477*14.0067</f>
        <v>128.25309999999999</v>
      </c>
      <c r="AD1477" s="12">
        <v>151</v>
      </c>
      <c r="AE1477" s="3" t="s">
        <v>321</v>
      </c>
      <c r="AF1477" s="2" t="s">
        <v>79</v>
      </c>
      <c r="AG1477" s="2" t="str">
        <f>IF(AD1477&gt;37,"Proton symporter", "Diffusion")</f>
        <v>Proton symporter</v>
      </c>
      <c r="AH1477" s="3" t="s">
        <v>322</v>
      </c>
    </row>
    <row r="1478" spans="1:34" hidden="1" x14ac:dyDescent="0.2">
      <c r="A1478" s="16" t="s">
        <v>63</v>
      </c>
      <c r="B1478" s="17" t="s">
        <v>64</v>
      </c>
      <c r="C1478" t="s">
        <v>70</v>
      </c>
      <c r="D1478" s="18" t="s">
        <v>66</v>
      </c>
      <c r="E1478" t="s">
        <v>178</v>
      </c>
      <c r="F1478" t="s">
        <v>179</v>
      </c>
      <c r="G1478">
        <v>-10</v>
      </c>
      <c r="H1478">
        <v>0</v>
      </c>
      <c r="I1478">
        <v>0</v>
      </c>
      <c r="J1478">
        <v>0.45</v>
      </c>
      <c r="K1478">
        <v>-10</v>
      </c>
      <c r="L1478">
        <v>0</v>
      </c>
      <c r="M1478">
        <v>0</v>
      </c>
      <c r="N1478">
        <v>5.3042654028436003</v>
      </c>
      <c r="O1478">
        <v>0.202843601895735</v>
      </c>
      <c r="P1478"/>
      <c r="Q1478">
        <v>2.0284360189574E-2</v>
      </c>
      <c r="R1478">
        <v>5.2946615106191003E-2</v>
      </c>
      <c r="S1478" s="20" t="s">
        <v>178</v>
      </c>
      <c r="T1478" s="3" t="s">
        <v>178</v>
      </c>
      <c r="U1478" s="3" t="s">
        <v>106</v>
      </c>
      <c r="V1478" s="3" t="s">
        <v>180</v>
      </c>
      <c r="W1478" s="3">
        <v>8</v>
      </c>
      <c r="X1478" s="3">
        <v>8</v>
      </c>
      <c r="Y1478" s="3">
        <v>1</v>
      </c>
      <c r="Z1478" s="3">
        <v>0</v>
      </c>
      <c r="AA1478" s="3">
        <v>0</v>
      </c>
      <c r="AB1478" s="12">
        <f>(W1478*4+X1478*1+Y1478*-2+Z1478*-3)/W1478</f>
        <v>4.75</v>
      </c>
      <c r="AC1478" s="3">
        <f>W1478*12.0107+X1478*1.00784+Y1478*15.999+Z1478*14.0067</f>
        <v>120.14731999999999</v>
      </c>
      <c r="AD1478" s="12">
        <v>229</v>
      </c>
      <c r="AE1478" s="3" t="s">
        <v>176</v>
      </c>
      <c r="AF1478" s="2" t="s">
        <v>150</v>
      </c>
      <c r="AG1478" s="2" t="str">
        <f>IF(AD1478&gt;37,"Proton symporter", "Diffusion")</f>
        <v>Proton symporter</v>
      </c>
      <c r="AH1478" s="3" t="s">
        <v>181</v>
      </c>
    </row>
    <row r="1479" spans="1:34" hidden="1" x14ac:dyDescent="0.2">
      <c r="A1479" s="16" t="s">
        <v>317</v>
      </c>
      <c r="B1479" s="9" t="s">
        <v>35</v>
      </c>
      <c r="C1479" t="s">
        <v>50</v>
      </c>
      <c r="D1479" s="13" t="s">
        <v>51</v>
      </c>
      <c r="E1479" t="s">
        <v>327</v>
      </c>
      <c r="F1479" t="s">
        <v>328</v>
      </c>
      <c r="G1479">
        <v>-10</v>
      </c>
      <c r="H1479">
        <v>-20</v>
      </c>
      <c r="I1479" s="1" t="s">
        <v>40</v>
      </c>
      <c r="J1479">
        <v>3.15</v>
      </c>
      <c r="K1479">
        <v>-10</v>
      </c>
      <c r="L1479">
        <v>-2.33979591836734</v>
      </c>
      <c r="M1479" s="1" t="s">
        <v>40</v>
      </c>
      <c r="N1479">
        <v>8.3071428571428498</v>
      </c>
      <c r="O1479">
        <v>0.24183673469387701</v>
      </c>
      <c r="P1479"/>
      <c r="Q1479">
        <v>2.4183673469387702E-2</v>
      </c>
      <c r="R1479">
        <v>5.26446526600629E-2</v>
      </c>
      <c r="S1479" s="20" t="s">
        <v>327</v>
      </c>
      <c r="T1479" s="3" t="s">
        <v>327</v>
      </c>
      <c r="U1479" s="3" t="s">
        <v>106</v>
      </c>
      <c r="V1479" s="3" t="s">
        <v>329</v>
      </c>
      <c r="W1479" s="3">
        <v>7</v>
      </c>
      <c r="X1479" s="3">
        <v>16</v>
      </c>
      <c r="Y1479" s="3">
        <v>0</v>
      </c>
      <c r="Z1479" s="3">
        <v>0</v>
      </c>
      <c r="AA1479" s="3">
        <v>0</v>
      </c>
      <c r="AB1479" s="12">
        <f>(W1479*4+X1479*1+Y1479*-2+Z1479*-3)/W1479</f>
        <v>6.2857142857142856</v>
      </c>
      <c r="AC1479" s="3">
        <f>W1479*12.0107+X1479*1.00784+Y1479*15.999+Z1479*14.0067</f>
        <v>100.20034</v>
      </c>
      <c r="AD1479" s="3">
        <v>98</v>
      </c>
      <c r="AE1479" s="3" t="s">
        <v>321</v>
      </c>
      <c r="AF1479" s="2" t="s">
        <v>79</v>
      </c>
      <c r="AG1479" s="2" t="str">
        <f>IF(AD1479&gt;37,"Proton symporter", "Diffusion")</f>
        <v>Proton symporter</v>
      </c>
      <c r="AH1479" s="3" t="s">
        <v>330</v>
      </c>
    </row>
    <row r="1480" spans="1:34" hidden="1" x14ac:dyDescent="0.2">
      <c r="A1480" s="16" t="s">
        <v>63</v>
      </c>
      <c r="B1480" s="17" t="s">
        <v>64</v>
      </c>
      <c r="C1480" t="s">
        <v>70</v>
      </c>
      <c r="D1480" s="18" t="s">
        <v>66</v>
      </c>
      <c r="E1480" t="s">
        <v>152</v>
      </c>
      <c r="F1480" t="s">
        <v>153</v>
      </c>
      <c r="G1480">
        <v>-10</v>
      </c>
      <c r="H1480">
        <v>0</v>
      </c>
      <c r="I1480">
        <v>0</v>
      </c>
      <c r="J1480">
        <v>0.45</v>
      </c>
      <c r="K1480">
        <v>-10</v>
      </c>
      <c r="L1480">
        <v>0</v>
      </c>
      <c r="M1480">
        <v>0</v>
      </c>
      <c r="N1480">
        <v>5.0995348837209296</v>
      </c>
      <c r="O1480">
        <v>0.199069767441861</v>
      </c>
      <c r="P1480"/>
      <c r="Q1480">
        <v>1.9906976744186001E-2</v>
      </c>
      <c r="R1480">
        <v>5.2378811854536002E-2</v>
      </c>
      <c r="S1480" s="11" t="s">
        <v>152</v>
      </c>
      <c r="T1480" s="2" t="s">
        <v>154</v>
      </c>
      <c r="U1480" s="3" t="s">
        <v>41</v>
      </c>
      <c r="V1480" s="2" t="s">
        <v>155</v>
      </c>
      <c r="W1480" s="2">
        <v>7</v>
      </c>
      <c r="X1480" s="2">
        <v>5</v>
      </c>
      <c r="Y1480" s="2">
        <v>2</v>
      </c>
      <c r="Z1480" s="2">
        <v>0</v>
      </c>
      <c r="AA1480" s="2">
        <v>0</v>
      </c>
      <c r="AB1480" s="12">
        <f>(W1480*4+X1480*1+Y1480*-2+Z1480*-3)/W1480</f>
        <v>4.1428571428571432</v>
      </c>
      <c r="AC1480" s="3">
        <f>W1480*12.0107+X1480*1.00784+Y1480*15.999+Z1480*14.0067</f>
        <v>121.1121</v>
      </c>
      <c r="AD1480" s="12">
        <v>249.2</v>
      </c>
      <c r="AE1480" s="2" t="s">
        <v>156</v>
      </c>
      <c r="AF1480" s="2" t="s">
        <v>157</v>
      </c>
      <c r="AG1480" s="2" t="str">
        <f>IF(AD1480&gt;37,"Proton symporter", "Diffusion")</f>
        <v>Proton symporter</v>
      </c>
      <c r="AH1480" s="3" t="s">
        <v>158</v>
      </c>
    </row>
    <row r="1481" spans="1:34" hidden="1" x14ac:dyDescent="0.2">
      <c r="A1481" s="16" t="s">
        <v>317</v>
      </c>
      <c r="B1481" s="9" t="s">
        <v>35</v>
      </c>
      <c r="C1481" t="s">
        <v>50</v>
      </c>
      <c r="D1481" s="13" t="s">
        <v>51</v>
      </c>
      <c r="E1481" t="s">
        <v>323</v>
      </c>
      <c r="F1481" t="s">
        <v>324</v>
      </c>
      <c r="G1481">
        <v>-10</v>
      </c>
      <c r="H1481">
        <v>-20</v>
      </c>
      <c r="I1481" s="1" t="s">
        <v>40</v>
      </c>
      <c r="J1481">
        <v>3.15</v>
      </c>
      <c r="K1481">
        <v>-10</v>
      </c>
      <c r="L1481">
        <v>-2.3783185840707999</v>
      </c>
      <c r="M1481" s="1" t="s">
        <v>40</v>
      </c>
      <c r="N1481">
        <v>8.3221238938053208</v>
      </c>
      <c r="O1481">
        <v>0.20973451327433701</v>
      </c>
      <c r="P1481"/>
      <c r="Q1481">
        <v>2.0973451327433699E-2</v>
      </c>
      <c r="R1481">
        <v>5.2047564006908499E-2</v>
      </c>
      <c r="S1481" s="11" t="s">
        <v>323</v>
      </c>
      <c r="T1481" s="2" t="s">
        <v>323</v>
      </c>
      <c r="U1481" s="3" t="s">
        <v>106</v>
      </c>
      <c r="V1481" s="2" t="s">
        <v>325</v>
      </c>
      <c r="W1481" s="2">
        <v>8</v>
      </c>
      <c r="X1481" s="2">
        <v>18</v>
      </c>
      <c r="Y1481" s="2">
        <v>0</v>
      </c>
      <c r="Z1481" s="2">
        <v>0</v>
      </c>
      <c r="AA1481" s="2">
        <v>0</v>
      </c>
      <c r="AB1481" s="12">
        <f>(W1481*4+X1481*1+Y1481*-2+Z1481*-3)/W1481</f>
        <v>6.25</v>
      </c>
      <c r="AC1481" s="3">
        <f>W1481*12.0107+X1481*1.00784+Y1481*15.999+Z1481*14.0067</f>
        <v>114.22672</v>
      </c>
      <c r="AD1481" s="12">
        <v>126</v>
      </c>
      <c r="AE1481" s="3" t="s">
        <v>321</v>
      </c>
      <c r="AF1481" s="2" t="s">
        <v>313</v>
      </c>
      <c r="AG1481" s="2" t="str">
        <f>IF(AD1481&gt;37,"Proton symporter", "Diffusion")</f>
        <v>Proton symporter</v>
      </c>
      <c r="AH1481" s="3" t="s">
        <v>326</v>
      </c>
    </row>
    <row r="1482" spans="1:34" hidden="1" x14ac:dyDescent="0.2">
      <c r="A1482" s="8" t="s">
        <v>350</v>
      </c>
      <c r="B1482" s="17" t="s">
        <v>64</v>
      </c>
      <c r="C1482" t="s">
        <v>351</v>
      </c>
      <c r="D1482" s="13" t="s">
        <v>51</v>
      </c>
      <c r="E1482" t="s">
        <v>152</v>
      </c>
      <c r="F1482" t="s">
        <v>153</v>
      </c>
      <c r="G1482">
        <v>-10</v>
      </c>
      <c r="H1482">
        <v>0</v>
      </c>
      <c r="I1482">
        <v>0</v>
      </c>
      <c r="J1482">
        <v>0.45</v>
      </c>
      <c r="K1482">
        <v>-10</v>
      </c>
      <c r="L1482">
        <v>0</v>
      </c>
      <c r="M1482" s="26">
        <v>0.82000000000001005</v>
      </c>
      <c r="N1482">
        <v>0</v>
      </c>
      <c r="O1482" s="26">
        <v>0.13666666666666599</v>
      </c>
      <c r="P1482"/>
      <c r="Q1482">
        <v>1.36666666666666E-2</v>
      </c>
      <c r="R1482">
        <v>5.19265838091078E-2</v>
      </c>
      <c r="S1482" s="3" t="str">
        <f>VLOOKUP($E1482,'[1]Product Naming'!$A$1:$P$58,2)</f>
        <v>Benzoate-PW1</v>
      </c>
      <c r="T1482" s="3" t="str">
        <f>VLOOKUP($E1482,'[1]Product Naming'!$A$1:$P$58,3)</f>
        <v>Benzoate (PW1)</v>
      </c>
      <c r="U1482" s="3" t="str">
        <f>VLOOKUP($E1482,'[1]Product Naming'!$A$1:$P$58,4)</f>
        <v>A</v>
      </c>
      <c r="V1482" s="3" t="str">
        <f>VLOOKUP($E1482,'[1]Product Naming'!$A$1:$P$58,5)</f>
        <v>C7H5O2</v>
      </c>
      <c r="W1482" s="3">
        <f>VLOOKUP($E1482,'[1]Product Naming'!$A$1:$P$58,6)</f>
        <v>7</v>
      </c>
      <c r="X1482" s="3">
        <f>VLOOKUP($E1482,'[1]Product Naming'!$A$1:$P$58,7)</f>
        <v>5</v>
      </c>
      <c r="Y1482" s="3">
        <f>VLOOKUP($E1482,'[1]Product Naming'!$A$1:$P$58,8)</f>
        <v>2</v>
      </c>
      <c r="Z1482" s="3">
        <f>VLOOKUP($E1482,'[1]Product Naming'!$A$1:$P$58,9)</f>
        <v>0</v>
      </c>
      <c r="AA1482" s="3">
        <f>VLOOKUP($E1482,'[1]Product Naming'!$A$1:$P$58,10)</f>
        <v>-1</v>
      </c>
      <c r="AB1482" s="3">
        <f>VLOOKUP($E1482,'[1]Product Naming'!$A$1:$P$58,11)</f>
        <v>4.1428571428571432</v>
      </c>
      <c r="AC1482" s="3">
        <f>VLOOKUP($E1482,'[1]Product Naming'!$A$1:$P$58,12)</f>
        <v>121.1121</v>
      </c>
      <c r="AD1482" s="3">
        <f>VLOOKUP($E1482,'[1]Product Naming'!$A$1:$P$58,13)</f>
        <v>249.2</v>
      </c>
      <c r="AE1482" s="3" t="str">
        <f>VLOOKUP($E1482,'[1]Product Naming'!$A$1:$P$58,14)</f>
        <v>Aromatic + Carboxylate</v>
      </c>
      <c r="AF1482" s="3" t="str">
        <f>VLOOKUP($E1482,'[1]Product Naming'!$A$1:$P$58,15)</f>
        <v>E4P + aKG</v>
      </c>
      <c r="AG1482" s="3" t="str">
        <f>VLOOKUP($E1482,'[1]Product Naming'!$A$1:$P$58,16)</f>
        <v>Proton symporter</v>
      </c>
      <c r="AH1482" s="3" t="str">
        <f>VLOOKUP($E1482,'[1]Product Naming'!$A$1:$Q$58,17)</f>
        <v>bz_c</v>
      </c>
    </row>
    <row r="1483" spans="1:34" hidden="1" x14ac:dyDescent="0.2">
      <c r="A1483" s="8" t="s">
        <v>34</v>
      </c>
      <c r="B1483" s="9" t="s">
        <v>35</v>
      </c>
      <c r="C1483" s="1" t="s">
        <v>50</v>
      </c>
      <c r="D1483" s="13" t="s">
        <v>51</v>
      </c>
      <c r="E1483" s="1" t="s">
        <v>335</v>
      </c>
      <c r="F1483" s="1" t="s">
        <v>336</v>
      </c>
      <c r="G1483" s="1">
        <v>-10</v>
      </c>
      <c r="H1483" s="1">
        <v>-20</v>
      </c>
      <c r="I1483" s="1" t="s">
        <v>40</v>
      </c>
      <c r="J1483" s="1">
        <v>3.15</v>
      </c>
      <c r="K1483" s="1">
        <v>-10</v>
      </c>
      <c r="L1483" s="1">
        <v>-2.3666666666666698</v>
      </c>
      <c r="M1483" s="1" t="s">
        <v>40</v>
      </c>
      <c r="N1483" s="1">
        <v>8.3541666666666696</v>
      </c>
      <c r="O1483" s="1">
        <v>0.329166666666667</v>
      </c>
      <c r="Q1483" s="1">
        <v>3.2916666666666698E-2</v>
      </c>
      <c r="R1483" s="1">
        <v>5.1594144673572401E-2</v>
      </c>
      <c r="S1483" s="11" t="s">
        <v>335</v>
      </c>
      <c r="T1483" s="2" t="s">
        <v>335</v>
      </c>
      <c r="U1483" s="3" t="s">
        <v>106</v>
      </c>
      <c r="V1483" s="2" t="s">
        <v>337</v>
      </c>
      <c r="W1483" s="2">
        <v>5</v>
      </c>
      <c r="X1483" s="2">
        <v>12</v>
      </c>
      <c r="Y1483" s="2">
        <v>0</v>
      </c>
      <c r="Z1483" s="2">
        <v>0</v>
      </c>
      <c r="AA1483" s="2">
        <v>0</v>
      </c>
      <c r="AB1483" s="12">
        <f>(W1483*4+X1483*1+Y1483*-2+Z1483*-3)/W1483</f>
        <v>6.4</v>
      </c>
      <c r="AC1483" s="3">
        <f>W1483*12.0107+X1483*1.00784+Y1483*15.999+Z1483*14.0067</f>
        <v>72.147580000000005</v>
      </c>
      <c r="AD1483" s="24">
        <v>36.1</v>
      </c>
      <c r="AE1483" s="3" t="s">
        <v>321</v>
      </c>
      <c r="AF1483" s="2" t="s">
        <v>79</v>
      </c>
      <c r="AG1483" s="25" t="str">
        <f>IF(AD1483&gt;37,"Proton symporter", "Diffusion")</f>
        <v>Diffusion</v>
      </c>
      <c r="AH1483" s="3" t="s">
        <v>338</v>
      </c>
    </row>
    <row r="1484" spans="1:34" hidden="1" x14ac:dyDescent="0.2">
      <c r="A1484" s="16" t="s">
        <v>317</v>
      </c>
      <c r="B1484" s="9" t="s">
        <v>35</v>
      </c>
      <c r="C1484" t="s">
        <v>50</v>
      </c>
      <c r="D1484" s="13" t="s">
        <v>51</v>
      </c>
      <c r="E1484" t="s">
        <v>331</v>
      </c>
      <c r="F1484" t="s">
        <v>332</v>
      </c>
      <c r="G1484">
        <v>-10</v>
      </c>
      <c r="H1484">
        <v>-20</v>
      </c>
      <c r="I1484" s="1" t="s">
        <v>40</v>
      </c>
      <c r="J1484">
        <v>3.15</v>
      </c>
      <c r="K1484">
        <v>-10</v>
      </c>
      <c r="L1484">
        <v>-2.39710982658959</v>
      </c>
      <c r="M1484" s="1" t="s">
        <v>40</v>
      </c>
      <c r="N1484">
        <v>8.3560693641618595</v>
      </c>
      <c r="O1484">
        <v>0.27398843930635902</v>
      </c>
      <c r="P1484"/>
      <c r="Q1484">
        <v>2.7398843930635901E-2</v>
      </c>
      <c r="R1484">
        <v>5.1294533972158399E-2</v>
      </c>
      <c r="S1484" s="11" t="s">
        <v>331</v>
      </c>
      <c r="T1484" s="2" t="s">
        <v>331</v>
      </c>
      <c r="U1484" s="3" t="s">
        <v>106</v>
      </c>
      <c r="V1484" s="3" t="s">
        <v>333</v>
      </c>
      <c r="W1484" s="2">
        <v>6</v>
      </c>
      <c r="X1484" s="2">
        <v>14</v>
      </c>
      <c r="Y1484" s="2">
        <v>0</v>
      </c>
      <c r="Z1484" s="2">
        <v>0</v>
      </c>
      <c r="AA1484" s="2">
        <v>0</v>
      </c>
      <c r="AB1484" s="12">
        <f>(W1484*4+X1484*1+Y1484*-2+Z1484*-3)/W1484</f>
        <v>6.333333333333333</v>
      </c>
      <c r="AC1484" s="3">
        <f>W1484*12.0107+X1484*1.00784+Y1484*15.999+Z1484*14.0067</f>
        <v>86.173959999999994</v>
      </c>
      <c r="AD1484" s="12">
        <v>69</v>
      </c>
      <c r="AE1484" s="3" t="s">
        <v>321</v>
      </c>
      <c r="AF1484" s="2" t="s">
        <v>313</v>
      </c>
      <c r="AG1484" s="2" t="str">
        <f>IF(AD1484&gt;37,"Proton symporter", "Diffusion")</f>
        <v>Proton symporter</v>
      </c>
      <c r="AH1484" s="3" t="s">
        <v>334</v>
      </c>
    </row>
    <row r="1485" spans="1:34" hidden="1" x14ac:dyDescent="0.2">
      <c r="A1485" s="8" t="s">
        <v>34</v>
      </c>
      <c r="B1485" s="9" t="s">
        <v>35</v>
      </c>
      <c r="C1485" s="1" t="s">
        <v>50</v>
      </c>
      <c r="D1485" s="13" t="s">
        <v>51</v>
      </c>
      <c r="E1485" s="1" t="s">
        <v>227</v>
      </c>
      <c r="F1485" s="1" t="s">
        <v>228</v>
      </c>
      <c r="G1485" s="1">
        <v>-10</v>
      </c>
      <c r="H1485" s="1">
        <v>-20</v>
      </c>
      <c r="I1485" s="1" t="s">
        <v>40</v>
      </c>
      <c r="J1485" s="1">
        <v>3.15</v>
      </c>
      <c r="K1485" s="1">
        <v>-10</v>
      </c>
      <c r="L1485" s="1">
        <v>-2.63</v>
      </c>
      <c r="M1485" s="1" t="s">
        <v>40</v>
      </c>
      <c r="N1485" s="1">
        <v>8.2444444444444507</v>
      </c>
      <c r="O1485" s="1">
        <v>4.3888888888888603E-2</v>
      </c>
      <c r="Q1485" s="1">
        <v>4.3888888888888597E-3</v>
      </c>
      <c r="R1485" s="1">
        <v>5.1189881873113199E-2</v>
      </c>
      <c r="S1485" s="11" t="s">
        <v>227</v>
      </c>
      <c r="T1485" s="2" t="s">
        <v>229</v>
      </c>
      <c r="U1485" s="3" t="s">
        <v>41</v>
      </c>
      <c r="V1485" s="2" t="s">
        <v>230</v>
      </c>
      <c r="W1485" s="2">
        <v>40</v>
      </c>
      <c r="X1485" s="2">
        <v>56</v>
      </c>
      <c r="Y1485" s="2">
        <v>0</v>
      </c>
      <c r="Z1485" s="2">
        <v>0</v>
      </c>
      <c r="AA1485" s="2">
        <v>0</v>
      </c>
      <c r="AB1485" s="12">
        <f>(W1485*4+X1485*1+Y1485*-2+Z1485*-3)/W1485</f>
        <v>5.4</v>
      </c>
      <c r="AC1485" s="3">
        <f>W1485*12.0107+X1485*1.00784+Y1485*15.999+Z1485*14.0067</f>
        <v>536.86703999999997</v>
      </c>
      <c r="AD1485" s="12">
        <v>633</v>
      </c>
      <c r="AE1485" s="2" t="s">
        <v>231</v>
      </c>
      <c r="AF1485" s="2" t="s">
        <v>79</v>
      </c>
      <c r="AG1485" s="2" t="s">
        <v>232</v>
      </c>
      <c r="AH1485" s="3" t="s">
        <v>233</v>
      </c>
    </row>
    <row r="1486" spans="1:34" hidden="1" x14ac:dyDescent="0.2">
      <c r="A1486" s="8" t="s">
        <v>34</v>
      </c>
      <c r="B1486" s="9" t="s">
        <v>35</v>
      </c>
      <c r="C1486" s="1" t="s">
        <v>50</v>
      </c>
      <c r="D1486" s="13" t="s">
        <v>51</v>
      </c>
      <c r="E1486" s="1" t="s">
        <v>343</v>
      </c>
      <c r="F1486" s="1" t="s">
        <v>344</v>
      </c>
      <c r="G1486" s="1">
        <v>-10</v>
      </c>
      <c r="H1486" s="1">
        <v>-20</v>
      </c>
      <c r="I1486" s="1" t="s">
        <v>40</v>
      </c>
      <c r="J1486" s="1">
        <v>3.15</v>
      </c>
      <c r="K1486" s="1">
        <v>-10</v>
      </c>
      <c r="L1486" s="1">
        <v>-2.3956043956044</v>
      </c>
      <c r="M1486" s="1" t="s">
        <v>40</v>
      </c>
      <c r="N1486" s="1">
        <v>8.4373626373626198</v>
      </c>
      <c r="O1486" s="1">
        <v>0.52087912087911603</v>
      </c>
      <c r="Q1486" s="1">
        <v>5.2087912087911602E-2</v>
      </c>
      <c r="R1486" s="1">
        <v>4.9898480710071101E-2</v>
      </c>
      <c r="S1486" s="20" t="s">
        <v>343</v>
      </c>
      <c r="T1486" s="3" t="s">
        <v>345</v>
      </c>
      <c r="U1486" s="3" t="s">
        <v>106</v>
      </c>
      <c r="V1486" s="3" t="s">
        <v>346</v>
      </c>
      <c r="W1486" s="3">
        <v>3</v>
      </c>
      <c r="X1486" s="3">
        <v>8</v>
      </c>
      <c r="Y1486" s="3">
        <v>0</v>
      </c>
      <c r="Z1486" s="3">
        <v>0</v>
      </c>
      <c r="AA1486" s="3">
        <v>0</v>
      </c>
      <c r="AB1486" s="12">
        <f>(W1486*4+X1486*1+Y1486*-2+Z1486*-3)/W1486</f>
        <v>6.666666666666667</v>
      </c>
      <c r="AC1486" s="3">
        <f>W1486*12.0107+X1486*1.00784+Y1486*15.999+Z1486*14.0067</f>
        <v>44.094819999999999</v>
      </c>
      <c r="AD1486" s="24">
        <v>-42</v>
      </c>
      <c r="AE1486" s="3" t="s">
        <v>231</v>
      </c>
      <c r="AF1486" s="2" t="s">
        <v>79</v>
      </c>
      <c r="AG1486" s="25" t="str">
        <f>IF(AD1486&gt;37,"Proton symporter", "Diffusion")</f>
        <v>Diffusion</v>
      </c>
      <c r="AH1486" s="3" t="s">
        <v>347</v>
      </c>
    </row>
    <row r="1487" spans="1:34" hidden="1" x14ac:dyDescent="0.2">
      <c r="A1487" s="16" t="s">
        <v>63</v>
      </c>
      <c r="B1487" s="17" t="s">
        <v>64</v>
      </c>
      <c r="C1487" t="s">
        <v>70</v>
      </c>
      <c r="D1487" s="18" t="s">
        <v>66</v>
      </c>
      <c r="E1487" t="s">
        <v>159</v>
      </c>
      <c r="F1487" t="s">
        <v>153</v>
      </c>
      <c r="G1487">
        <v>-10</v>
      </c>
      <c r="H1487">
        <v>0</v>
      </c>
      <c r="I1487">
        <v>0</v>
      </c>
      <c r="J1487">
        <v>0.45</v>
      </c>
      <c r="K1487">
        <v>-10</v>
      </c>
      <c r="L1487">
        <v>0</v>
      </c>
      <c r="M1487">
        <v>0</v>
      </c>
      <c r="N1487">
        <v>5.0926406926406997</v>
      </c>
      <c r="O1487">
        <v>0.18528138528138499</v>
      </c>
      <c r="P1487"/>
      <c r="Q1487">
        <v>1.8528138528139001E-2</v>
      </c>
      <c r="R1487">
        <v>4.8750842202273999E-2</v>
      </c>
      <c r="S1487" s="11" t="s">
        <v>159</v>
      </c>
      <c r="T1487" s="2" t="s">
        <v>160</v>
      </c>
      <c r="U1487" s="3" t="s">
        <v>41</v>
      </c>
      <c r="V1487" s="2" t="s">
        <v>155</v>
      </c>
      <c r="W1487" s="2">
        <v>7</v>
      </c>
      <c r="X1487" s="2">
        <v>5</v>
      </c>
      <c r="Y1487" s="2">
        <v>2</v>
      </c>
      <c r="Z1487" s="2">
        <v>0</v>
      </c>
      <c r="AA1487" s="2">
        <v>0</v>
      </c>
      <c r="AB1487" s="12">
        <f>(W1487*4+X1487*1+Y1487*-2+Z1487*-3)/W1487</f>
        <v>4.1428571428571432</v>
      </c>
      <c r="AC1487" s="3">
        <f>W1487*12.0107+X1487*1.00784+Y1487*15.999+Z1487*14.0067</f>
        <v>121.1121</v>
      </c>
      <c r="AD1487" s="12">
        <v>249.2</v>
      </c>
      <c r="AE1487" s="2" t="s">
        <v>156</v>
      </c>
      <c r="AF1487" s="2" t="s">
        <v>157</v>
      </c>
      <c r="AG1487" s="2" t="str">
        <f>IF(AD1487&gt;37,"Proton symporter", "Diffusion")</f>
        <v>Proton symporter</v>
      </c>
      <c r="AH1487" s="3" t="s">
        <v>158</v>
      </c>
    </row>
    <row r="1488" spans="1:34" hidden="1" x14ac:dyDescent="0.2">
      <c r="A1488" s="8" t="s">
        <v>350</v>
      </c>
      <c r="B1488" s="17" t="s">
        <v>64</v>
      </c>
      <c r="C1488" t="s">
        <v>351</v>
      </c>
      <c r="D1488" s="13" t="s">
        <v>51</v>
      </c>
      <c r="E1488" t="s">
        <v>159</v>
      </c>
      <c r="F1488" t="s">
        <v>153</v>
      </c>
      <c r="G1488">
        <v>-10</v>
      </c>
      <c r="H1488">
        <v>0</v>
      </c>
      <c r="I1488">
        <v>0</v>
      </c>
      <c r="J1488">
        <v>0.45</v>
      </c>
      <c r="K1488">
        <v>-10</v>
      </c>
      <c r="L1488">
        <v>0</v>
      </c>
      <c r="M1488" s="26">
        <v>0.76874999999999805</v>
      </c>
      <c r="N1488">
        <v>0</v>
      </c>
      <c r="O1488" s="26">
        <v>0.12812499999999999</v>
      </c>
      <c r="P1488"/>
      <c r="Q1488" s="26">
        <v>1.2812499999999999E-2</v>
      </c>
      <c r="R1488" s="26">
        <v>4.8665398231767597E-2</v>
      </c>
      <c r="S1488" s="3" t="str">
        <f>VLOOKUP($E1488,'[1]Product Naming'!$A$1:$P$58,2)</f>
        <v>Benzoate-PW2</v>
      </c>
      <c r="T1488" s="3" t="str">
        <f>VLOOKUP($E1488,'[1]Product Naming'!$A$1:$P$58,3)</f>
        <v>Benzoate (PW2)</v>
      </c>
      <c r="U1488" s="3" t="str">
        <f>VLOOKUP($E1488,'[1]Product Naming'!$A$1:$P$58,4)</f>
        <v>A</v>
      </c>
      <c r="V1488" s="3" t="str">
        <f>VLOOKUP($E1488,'[1]Product Naming'!$A$1:$P$58,5)</f>
        <v>C7H5O2</v>
      </c>
      <c r="W1488" s="3">
        <f>VLOOKUP($E1488,'[1]Product Naming'!$A$1:$P$58,6)</f>
        <v>7</v>
      </c>
      <c r="X1488" s="3">
        <f>VLOOKUP($E1488,'[1]Product Naming'!$A$1:$P$58,7)</f>
        <v>5</v>
      </c>
      <c r="Y1488" s="3">
        <f>VLOOKUP($E1488,'[1]Product Naming'!$A$1:$P$58,8)</f>
        <v>2</v>
      </c>
      <c r="Z1488" s="3">
        <f>VLOOKUP($E1488,'[1]Product Naming'!$A$1:$P$58,9)</f>
        <v>0</v>
      </c>
      <c r="AA1488" s="3">
        <f>VLOOKUP($E1488,'[1]Product Naming'!$A$1:$P$58,10)</f>
        <v>-1</v>
      </c>
      <c r="AB1488" s="3">
        <f>VLOOKUP($E1488,'[1]Product Naming'!$A$1:$P$58,11)</f>
        <v>4.1428571428571432</v>
      </c>
      <c r="AC1488" s="3">
        <f>VLOOKUP($E1488,'[1]Product Naming'!$A$1:$P$58,12)</f>
        <v>121.1121</v>
      </c>
      <c r="AD1488" s="3">
        <f>VLOOKUP($E1488,'[1]Product Naming'!$A$1:$P$58,13)</f>
        <v>249.2</v>
      </c>
      <c r="AE1488" s="3" t="str">
        <f>VLOOKUP($E1488,'[1]Product Naming'!$A$1:$P$58,14)</f>
        <v>Aromatic + Carboxylate</v>
      </c>
      <c r="AF1488" s="3" t="str">
        <f>VLOOKUP($E1488,'[1]Product Naming'!$A$1:$P$58,15)</f>
        <v>E4P + aKG</v>
      </c>
      <c r="AG1488" s="3" t="str">
        <f>VLOOKUP($E1488,'[1]Product Naming'!$A$1:$P$58,16)</f>
        <v>Proton symporter</v>
      </c>
      <c r="AH1488" s="3" t="str">
        <f>VLOOKUP($E1488,'[1]Product Naming'!$A$1:$Q$58,17)</f>
        <v>bz_c</v>
      </c>
    </row>
    <row r="1489" spans="1:34" hidden="1" x14ac:dyDescent="0.2">
      <c r="A1489" s="8" t="s">
        <v>350</v>
      </c>
      <c r="B1489" s="17" t="s">
        <v>64</v>
      </c>
      <c r="C1489" t="s">
        <v>351</v>
      </c>
      <c r="D1489" s="13" t="s">
        <v>51</v>
      </c>
      <c r="E1489" t="s">
        <v>211</v>
      </c>
      <c r="F1489" t="s">
        <v>212</v>
      </c>
      <c r="G1489">
        <v>-10</v>
      </c>
      <c r="H1489">
        <v>0</v>
      </c>
      <c r="I1489">
        <v>0</v>
      </c>
      <c r="J1489">
        <v>0.45</v>
      </c>
      <c r="K1489">
        <v>-10</v>
      </c>
      <c r="L1489">
        <v>0</v>
      </c>
      <c r="M1489" s="26">
        <v>0.59636363636363499</v>
      </c>
      <c r="N1489">
        <v>0</v>
      </c>
      <c r="O1489" s="26">
        <v>0.14909090909091</v>
      </c>
      <c r="P1489"/>
      <c r="Q1489" s="26">
        <v>1.4909090909091E-2</v>
      </c>
      <c r="R1489" s="26">
        <v>4.86439926704582E-2</v>
      </c>
      <c r="S1489" s="3" t="str">
        <f>VLOOKUP($E1489,'[1]Product Naming'!$A$1:$P$58,2)</f>
        <v>Styrene</v>
      </c>
      <c r="T1489" s="3" t="str">
        <f>VLOOKUP($E1489,'[1]Product Naming'!$A$1:$P$58,3)</f>
        <v>Styrene</v>
      </c>
      <c r="U1489" s="3" t="str">
        <f>VLOOKUP($E1489,'[1]Product Naming'!$A$1:$P$58,4)</f>
        <v>E-S</v>
      </c>
      <c r="V1489" s="3" t="str">
        <f>VLOOKUP($E1489,'[1]Product Naming'!$A$1:$P$58,5)</f>
        <v>C8H8</v>
      </c>
      <c r="W1489" s="3">
        <f>VLOOKUP($E1489,'[1]Product Naming'!$A$1:$P$58,6)</f>
        <v>8</v>
      </c>
      <c r="X1489" s="3">
        <f>VLOOKUP($E1489,'[1]Product Naming'!$A$1:$P$58,7)</f>
        <v>8</v>
      </c>
      <c r="Y1489" s="3">
        <f>VLOOKUP($E1489,'[1]Product Naming'!$A$1:$P$58,8)</f>
        <v>0</v>
      </c>
      <c r="Z1489" s="3">
        <f>VLOOKUP($E1489,'[1]Product Naming'!$A$1:$P$58,9)</f>
        <v>0</v>
      </c>
      <c r="AA1489" s="3">
        <f>VLOOKUP($E1489,'[1]Product Naming'!$A$1:$P$58,10)</f>
        <v>0</v>
      </c>
      <c r="AB1489" s="3">
        <f>VLOOKUP($E1489,'[1]Product Naming'!$A$1:$P$58,11)</f>
        <v>5</v>
      </c>
      <c r="AC1489" s="3">
        <f>VLOOKUP($E1489,'[1]Product Naming'!$A$1:$P$58,12)</f>
        <v>104.14832</v>
      </c>
      <c r="AD1489" s="3">
        <f>VLOOKUP($E1489,'[1]Product Naming'!$A$1:$P$58,13)</f>
        <v>145</v>
      </c>
      <c r="AE1489" s="3" t="str">
        <f>VLOOKUP($E1489,'[1]Product Naming'!$A$1:$P$58,14)</f>
        <v>Cycloalkane</v>
      </c>
      <c r="AF1489" s="3" t="str">
        <f>VLOOKUP($E1489,'[1]Product Naming'!$A$1:$P$58,15)</f>
        <v>E4P</v>
      </c>
      <c r="AG1489" s="3" t="str">
        <f>VLOOKUP($E1489,'[1]Product Naming'!$A$1:$P$58,16)</f>
        <v>Proton symporter</v>
      </c>
      <c r="AH1489" s="3" t="str">
        <f>VLOOKUP($E1489,'[1]Product Naming'!$A$1:$Q$58,17)</f>
        <v>styr_c</v>
      </c>
    </row>
    <row r="1490" spans="1:34" hidden="1" x14ac:dyDescent="0.2">
      <c r="A1490" s="8" t="s">
        <v>34</v>
      </c>
      <c r="B1490" s="9" t="s">
        <v>35</v>
      </c>
      <c r="C1490" s="1" t="s">
        <v>52</v>
      </c>
      <c r="D1490" s="13" t="s">
        <v>51</v>
      </c>
      <c r="E1490" s="1" t="s">
        <v>310</v>
      </c>
      <c r="F1490" s="1" t="s">
        <v>311</v>
      </c>
      <c r="G1490" s="1">
        <v>-10</v>
      </c>
      <c r="H1490" s="1">
        <v>-20</v>
      </c>
      <c r="I1490" s="1" t="s">
        <v>40</v>
      </c>
      <c r="J1490" s="1">
        <v>3.15</v>
      </c>
      <c r="K1490" s="1">
        <v>-10</v>
      </c>
      <c r="L1490" s="1">
        <v>-3.11904761904762</v>
      </c>
      <c r="M1490" s="1" t="s">
        <v>40</v>
      </c>
      <c r="N1490" s="1">
        <v>8.7460317460317505</v>
      </c>
      <c r="O1490" s="1">
        <v>0.25079365079365101</v>
      </c>
      <c r="Q1490" s="1">
        <v>2.5079365079365101E-2</v>
      </c>
      <c r="R1490" s="1">
        <v>4.8026927462273397E-2</v>
      </c>
      <c r="S1490" s="20" t="s">
        <v>310</v>
      </c>
      <c r="T1490" s="3" t="s">
        <v>312</v>
      </c>
      <c r="U1490" s="3" t="s">
        <v>106</v>
      </c>
      <c r="V1490" s="3" t="s">
        <v>292</v>
      </c>
      <c r="W1490" s="3">
        <v>5</v>
      </c>
      <c r="X1490" s="3">
        <v>12</v>
      </c>
      <c r="Y1490" s="3">
        <v>1</v>
      </c>
      <c r="Z1490" s="3">
        <v>0</v>
      </c>
      <c r="AA1490" s="3">
        <v>0</v>
      </c>
      <c r="AB1490" s="12">
        <f>(W1490*4+X1490*1+Y1490*-2+Z1490*-3)/W1490</f>
        <v>6</v>
      </c>
      <c r="AC1490" s="3">
        <f>W1490*12.0107+X1490*1.00784+Y1490*15.999+Z1490*14.0067</f>
        <v>88.14658</v>
      </c>
      <c r="AD1490" s="12">
        <v>138</v>
      </c>
      <c r="AE1490" s="3" t="s">
        <v>262</v>
      </c>
      <c r="AF1490" s="2" t="s">
        <v>313</v>
      </c>
      <c r="AG1490" s="2" t="str">
        <f>IF(AD1490&gt;37,"Proton symporter", "Diffusion")</f>
        <v>Proton symporter</v>
      </c>
      <c r="AH1490" s="3" t="s">
        <v>314</v>
      </c>
    </row>
    <row r="1491" spans="1:34" hidden="1" x14ac:dyDescent="0.2">
      <c r="A1491" s="8" t="s">
        <v>34</v>
      </c>
      <c r="B1491" s="9" t="s">
        <v>35</v>
      </c>
      <c r="C1491" s="1" t="s">
        <v>52</v>
      </c>
      <c r="D1491" s="13" t="s">
        <v>51</v>
      </c>
      <c r="E1491" s="1" t="s">
        <v>286</v>
      </c>
      <c r="F1491" s="1" t="s">
        <v>280</v>
      </c>
      <c r="G1491" s="1">
        <v>-10</v>
      </c>
      <c r="H1491" s="1">
        <v>-20</v>
      </c>
      <c r="I1491" s="1" t="s">
        <v>40</v>
      </c>
      <c r="J1491" s="1">
        <v>3.15</v>
      </c>
      <c r="K1491" s="1">
        <v>-10</v>
      </c>
      <c r="L1491" s="1">
        <v>-3.3465116279069802</v>
      </c>
      <c r="M1491" s="1" t="s">
        <v>40</v>
      </c>
      <c r="N1491" s="1">
        <v>8.8976744186046606</v>
      </c>
      <c r="O1491" s="1">
        <v>0.36744186046511701</v>
      </c>
      <c r="Q1491" s="1">
        <v>3.6744186046511702E-2</v>
      </c>
      <c r="R1491" s="1">
        <v>4.7971272883657101E-2</v>
      </c>
      <c r="S1491" s="20" t="s">
        <v>287</v>
      </c>
      <c r="T1491" s="3" t="s">
        <v>288</v>
      </c>
      <c r="U1491" s="3" t="s">
        <v>174</v>
      </c>
      <c r="V1491" s="3" t="s">
        <v>283</v>
      </c>
      <c r="W1491" s="3">
        <v>3</v>
      </c>
      <c r="X1491" s="3">
        <v>8</v>
      </c>
      <c r="Y1491" s="3">
        <v>1</v>
      </c>
      <c r="Z1491" s="3">
        <v>0</v>
      </c>
      <c r="AA1491" s="3">
        <v>0</v>
      </c>
      <c r="AB1491" s="12">
        <f>(W1491*4+X1491*1+Y1491*-2+Z1491*-3)/W1491</f>
        <v>6</v>
      </c>
      <c r="AC1491" s="3">
        <f>W1491*12.0107+X1491*1.00784+Y1491*15.999+Z1491*14.0067</f>
        <v>60.093820000000001</v>
      </c>
      <c r="AD1491" s="12">
        <v>97</v>
      </c>
      <c r="AE1491" s="2" t="s">
        <v>262</v>
      </c>
      <c r="AF1491" s="3" t="s">
        <v>44</v>
      </c>
      <c r="AG1491" s="2" t="str">
        <f>IF(AD1491&gt;37,"Proton symporter", "Diffusion")</f>
        <v>Proton symporter</v>
      </c>
      <c r="AH1491" s="3" t="s">
        <v>285</v>
      </c>
    </row>
    <row r="1492" spans="1:34" hidden="1" x14ac:dyDescent="0.2">
      <c r="A1492" s="8" t="s">
        <v>34</v>
      </c>
      <c r="B1492" s="9" t="s">
        <v>35</v>
      </c>
      <c r="C1492" s="1" t="s">
        <v>50</v>
      </c>
      <c r="D1492" s="13" t="s">
        <v>51</v>
      </c>
      <c r="E1492" s="1" t="s">
        <v>339</v>
      </c>
      <c r="F1492" s="1" t="s">
        <v>340</v>
      </c>
      <c r="G1492" s="1">
        <v>-10</v>
      </c>
      <c r="H1492" s="1">
        <v>-20</v>
      </c>
      <c r="I1492" s="1" t="s">
        <v>40</v>
      </c>
      <c r="J1492" s="1">
        <v>3.15</v>
      </c>
      <c r="K1492" s="1">
        <v>-10</v>
      </c>
      <c r="L1492" s="1">
        <v>-2.5352000000000001</v>
      </c>
      <c r="M1492" s="1" t="s">
        <v>40</v>
      </c>
      <c r="N1492" s="1">
        <v>8.4832000000000107</v>
      </c>
      <c r="O1492" s="1">
        <v>0.37920000000000198</v>
      </c>
      <c r="Q1492" s="1">
        <v>3.7920000000000197E-2</v>
      </c>
      <c r="R1492" s="1">
        <v>4.7881274310443901E-2</v>
      </c>
      <c r="S1492" s="11" t="s">
        <v>339</v>
      </c>
      <c r="T1492" s="2" t="s">
        <v>339</v>
      </c>
      <c r="U1492" s="3" t="s">
        <v>106</v>
      </c>
      <c r="V1492" s="2" t="s">
        <v>341</v>
      </c>
      <c r="W1492" s="2">
        <v>4</v>
      </c>
      <c r="X1492" s="2">
        <v>10</v>
      </c>
      <c r="Y1492" s="2">
        <v>0</v>
      </c>
      <c r="Z1492" s="2">
        <v>0</v>
      </c>
      <c r="AA1492" s="2">
        <v>0</v>
      </c>
      <c r="AB1492" s="12">
        <f>(W1492*4+X1492*1+Y1492*-2+Z1492*-3)/W1492</f>
        <v>6.5</v>
      </c>
      <c r="AC1492" s="3">
        <f>W1492*12.0107+X1492*1.00784+Y1492*15.999+Z1492*14.0067</f>
        <v>58.121200000000002</v>
      </c>
      <c r="AD1492" s="24">
        <v>-1</v>
      </c>
      <c r="AE1492" s="3" t="s">
        <v>321</v>
      </c>
      <c r="AF1492" s="2" t="s">
        <v>313</v>
      </c>
      <c r="AG1492" s="25" t="str">
        <f>IF(AD1492&gt;37,"Proton symporter", "Diffusion")</f>
        <v>Diffusion</v>
      </c>
      <c r="AH1492" s="3" t="s">
        <v>342</v>
      </c>
    </row>
    <row r="1493" spans="1:34" hidden="1" x14ac:dyDescent="0.2">
      <c r="A1493" s="8" t="s">
        <v>350</v>
      </c>
      <c r="B1493" s="17" t="s">
        <v>64</v>
      </c>
      <c r="C1493" t="s">
        <v>351</v>
      </c>
      <c r="D1493" s="13" t="s">
        <v>51</v>
      </c>
      <c r="E1493" t="s">
        <v>172</v>
      </c>
      <c r="F1493" t="s">
        <v>173</v>
      </c>
      <c r="G1493">
        <v>-10</v>
      </c>
      <c r="H1493">
        <v>0</v>
      </c>
      <c r="I1493">
        <v>0</v>
      </c>
      <c r="J1493">
        <v>0.45</v>
      </c>
      <c r="K1493">
        <v>-10</v>
      </c>
      <c r="L1493">
        <v>0</v>
      </c>
      <c r="M1493">
        <v>0.64313725490195495</v>
      </c>
      <c r="N1493">
        <v>0</v>
      </c>
      <c r="O1493" s="26">
        <v>0.16078431372549301</v>
      </c>
      <c r="P1493"/>
      <c r="Q1493">
        <v>1.6078431372549301E-2</v>
      </c>
      <c r="R1493">
        <v>4.7417063116622998E-2</v>
      </c>
      <c r="S1493" s="3" t="str">
        <f>VLOOKUP($E1493,'[1]Product Naming'!$A$1:$P$58,2)</f>
        <v>Phenol</v>
      </c>
      <c r="T1493" s="3" t="str">
        <f>VLOOKUP($E1493,'[1]Product Naming'!$A$1:$P$58,3)</f>
        <v>Phenol</v>
      </c>
      <c r="U1493" s="3" t="str">
        <f>VLOOKUP($E1493,'[1]Product Naming'!$A$1:$P$58,4)</f>
        <v>E-S</v>
      </c>
      <c r="V1493" s="3" t="str">
        <f>VLOOKUP($E1493,'[1]Product Naming'!$A$1:$P$58,5)</f>
        <v>C6H6O</v>
      </c>
      <c r="W1493" s="3">
        <f>VLOOKUP($E1493,'[1]Product Naming'!$A$1:$P$58,6)</f>
        <v>6</v>
      </c>
      <c r="X1493" s="3">
        <f>VLOOKUP($E1493,'[1]Product Naming'!$A$1:$P$58,7)</f>
        <v>6</v>
      </c>
      <c r="Y1493" s="3">
        <f>VLOOKUP($E1493,'[1]Product Naming'!$A$1:$P$58,8)</f>
        <v>1</v>
      </c>
      <c r="Z1493" s="3">
        <f>VLOOKUP($E1493,'[1]Product Naming'!$A$1:$P$58,9)</f>
        <v>0</v>
      </c>
      <c r="AA1493" s="3">
        <f>VLOOKUP($E1493,'[1]Product Naming'!$A$1:$P$58,10)</f>
        <v>0</v>
      </c>
      <c r="AB1493" s="3">
        <f>VLOOKUP($E1493,'[1]Product Naming'!$A$1:$P$58,11)</f>
        <v>4.666666666666667</v>
      </c>
      <c r="AC1493" s="3">
        <f>VLOOKUP($E1493,'[1]Product Naming'!$A$1:$P$58,12)</f>
        <v>94.11023999999999</v>
      </c>
      <c r="AD1493" s="3">
        <f>VLOOKUP($E1493,'[1]Product Naming'!$A$1:$P$58,13)</f>
        <v>181.7</v>
      </c>
      <c r="AE1493" s="3" t="str">
        <f>VLOOKUP($E1493,'[1]Product Naming'!$A$1:$P$58,14)</f>
        <v>Aromatic + Alcohol</v>
      </c>
      <c r="AF1493" s="3" t="str">
        <f>VLOOKUP($E1493,'[1]Product Naming'!$A$1:$P$58,15)</f>
        <v>E4P + L-glutamate</v>
      </c>
      <c r="AG1493" s="3" t="str">
        <f>VLOOKUP($E1493,'[1]Product Naming'!$A$1:$P$58,16)</f>
        <v>Proton symporter</v>
      </c>
      <c r="AH1493" s="3" t="str">
        <f>VLOOKUP($E1493,'[1]Product Naming'!$A$1:$Q$58,17)</f>
        <v>phenol_c</v>
      </c>
    </row>
    <row r="1494" spans="1:34" hidden="1" x14ac:dyDescent="0.2">
      <c r="A1494" s="8" t="s">
        <v>34</v>
      </c>
      <c r="B1494" s="9" t="s">
        <v>35</v>
      </c>
      <c r="C1494" s="1" t="s">
        <v>52</v>
      </c>
      <c r="D1494" s="13" t="s">
        <v>51</v>
      </c>
      <c r="E1494" s="1" t="s">
        <v>172</v>
      </c>
      <c r="F1494" s="1" t="s">
        <v>173</v>
      </c>
      <c r="G1494" s="1">
        <v>-10</v>
      </c>
      <c r="H1494" s="1">
        <v>-20</v>
      </c>
      <c r="I1494" s="1" t="s">
        <v>40</v>
      </c>
      <c r="J1494" s="1">
        <v>3.15</v>
      </c>
      <c r="K1494" s="1">
        <v>-10</v>
      </c>
      <c r="L1494" s="1">
        <v>-3.3971014492753602</v>
      </c>
      <c r="M1494" s="1" t="s">
        <v>40</v>
      </c>
      <c r="N1494" s="1">
        <v>8.6260869565217408</v>
      </c>
      <c r="O1494" s="1">
        <v>0.22898550724637801</v>
      </c>
      <c r="Q1494" s="1">
        <v>2.2898550724637801E-2</v>
      </c>
      <c r="R1494" s="1">
        <v>4.6817441480000603E-2</v>
      </c>
      <c r="S1494" s="20" t="s">
        <v>172</v>
      </c>
      <c r="T1494" s="3" t="s">
        <v>172</v>
      </c>
      <c r="U1494" s="3" t="s">
        <v>174</v>
      </c>
      <c r="V1494" s="3" t="s">
        <v>175</v>
      </c>
      <c r="W1494" s="3">
        <v>6</v>
      </c>
      <c r="X1494" s="3">
        <v>6</v>
      </c>
      <c r="Y1494" s="3">
        <v>1</v>
      </c>
      <c r="Z1494" s="3">
        <v>0</v>
      </c>
      <c r="AA1494" s="3">
        <v>0</v>
      </c>
      <c r="AB1494" s="12">
        <f>(W1494*4+X1494*1+Y1494*-2+Z1494*-3)/W1494</f>
        <v>4.666666666666667</v>
      </c>
      <c r="AC1494" s="3">
        <f>W1494*12.0107+X1494*1.00784+Y1494*15.999+Z1494*14.0067</f>
        <v>94.11023999999999</v>
      </c>
      <c r="AD1494" s="12">
        <v>181.7</v>
      </c>
      <c r="AE1494" s="3" t="s">
        <v>176</v>
      </c>
      <c r="AF1494" s="2" t="s">
        <v>150</v>
      </c>
      <c r="AG1494" s="2" t="str">
        <f>IF(AD1494&gt;37,"Proton symporter", "Diffusion")</f>
        <v>Proton symporter</v>
      </c>
      <c r="AH1494" s="3" t="s">
        <v>177</v>
      </c>
    </row>
    <row r="1495" spans="1:34" hidden="1" x14ac:dyDescent="0.2">
      <c r="A1495" s="16" t="s">
        <v>63</v>
      </c>
      <c r="B1495" s="17" t="s">
        <v>64</v>
      </c>
      <c r="C1495" t="s">
        <v>70</v>
      </c>
      <c r="D1495" s="18" t="s">
        <v>66</v>
      </c>
      <c r="E1495" t="s">
        <v>211</v>
      </c>
      <c r="F1495" t="s">
        <v>212</v>
      </c>
      <c r="G1495">
        <v>-10</v>
      </c>
      <c r="H1495">
        <v>0</v>
      </c>
      <c r="I1495">
        <v>0</v>
      </c>
      <c r="J1495">
        <v>0.45</v>
      </c>
      <c r="K1495">
        <v>-10</v>
      </c>
      <c r="L1495">
        <v>0</v>
      </c>
      <c r="M1495">
        <v>0</v>
      </c>
      <c r="N1495">
        <v>5.4115384615384601</v>
      </c>
      <c r="O1495">
        <v>0.20576923076923101</v>
      </c>
      <c r="P1495"/>
      <c r="Q1495">
        <v>2.05769230769231E-2</v>
      </c>
      <c r="R1495">
        <v>4.6558127144940897E-2</v>
      </c>
      <c r="S1495" s="20" t="s">
        <v>211</v>
      </c>
      <c r="T1495" s="3" t="s">
        <v>211</v>
      </c>
      <c r="U1495" s="3" t="s">
        <v>174</v>
      </c>
      <c r="V1495" s="3" t="s">
        <v>213</v>
      </c>
      <c r="W1495" s="3">
        <v>8</v>
      </c>
      <c r="X1495" s="3">
        <v>8</v>
      </c>
      <c r="Y1495" s="3">
        <v>0</v>
      </c>
      <c r="Z1495" s="3">
        <v>0</v>
      </c>
      <c r="AA1495" s="3">
        <v>0</v>
      </c>
      <c r="AB1495" s="12">
        <f>(W1495*4+X1495*1+Y1495*-2+Z1495*-3)/W1495</f>
        <v>5</v>
      </c>
      <c r="AC1495" s="3">
        <f>W1495*12.0107+X1495*1.00784+Y1495*15.999+Z1495*14.0067</f>
        <v>104.14832</v>
      </c>
      <c r="AD1495" s="12">
        <v>145</v>
      </c>
      <c r="AE1495" s="3" t="s">
        <v>214</v>
      </c>
      <c r="AF1495" s="3" t="s">
        <v>203</v>
      </c>
      <c r="AG1495" s="2" t="str">
        <f>IF(AD1495&gt;37,"Proton symporter", "Diffusion")</f>
        <v>Proton symporter</v>
      </c>
      <c r="AH1495" s="3" t="s">
        <v>215</v>
      </c>
    </row>
    <row r="1496" spans="1:34" hidden="1" x14ac:dyDescent="0.2">
      <c r="A1496" s="8" t="s">
        <v>34</v>
      </c>
      <c r="B1496" s="9" t="s">
        <v>35</v>
      </c>
      <c r="C1496" s="1" t="s">
        <v>52</v>
      </c>
      <c r="D1496" s="13" t="s">
        <v>51</v>
      </c>
      <c r="E1496" s="1" t="s">
        <v>178</v>
      </c>
      <c r="F1496" s="1" t="s">
        <v>179</v>
      </c>
      <c r="G1496" s="1">
        <v>-10</v>
      </c>
      <c r="H1496" s="1">
        <v>-20</v>
      </c>
      <c r="I1496" s="1" t="s">
        <v>40</v>
      </c>
      <c r="J1496" s="1">
        <v>3.15</v>
      </c>
      <c r="K1496" s="1">
        <v>-10</v>
      </c>
      <c r="L1496" s="1">
        <v>-3.3134831460674201</v>
      </c>
      <c r="M1496" s="1" t="s">
        <v>40</v>
      </c>
      <c r="N1496" s="1">
        <v>8.5797752808988808</v>
      </c>
      <c r="O1496" s="1">
        <v>0.17752808988763999</v>
      </c>
      <c r="Q1496" s="1">
        <v>1.7752808988764E-2</v>
      </c>
      <c r="R1496" s="1">
        <v>4.6338712968870301E-2</v>
      </c>
      <c r="S1496" s="20" t="s">
        <v>178</v>
      </c>
      <c r="T1496" s="3" t="s">
        <v>178</v>
      </c>
      <c r="U1496" s="3" t="s">
        <v>106</v>
      </c>
      <c r="V1496" s="3" t="s">
        <v>180</v>
      </c>
      <c r="W1496" s="3">
        <v>8</v>
      </c>
      <c r="X1496" s="3">
        <v>8</v>
      </c>
      <c r="Y1496" s="3">
        <v>1</v>
      </c>
      <c r="Z1496" s="3">
        <v>0</v>
      </c>
      <c r="AA1496" s="3">
        <v>0</v>
      </c>
      <c r="AB1496" s="12">
        <f>(W1496*4+X1496*1+Y1496*-2+Z1496*-3)/W1496</f>
        <v>4.75</v>
      </c>
      <c r="AC1496" s="3">
        <f>W1496*12.0107+X1496*1.00784+Y1496*15.999+Z1496*14.0067</f>
        <v>120.14731999999999</v>
      </c>
      <c r="AD1496" s="12">
        <v>229</v>
      </c>
      <c r="AE1496" s="3" t="s">
        <v>176</v>
      </c>
      <c r="AF1496" s="2" t="s">
        <v>150</v>
      </c>
      <c r="AG1496" s="2" t="str">
        <f>IF(AD1496&gt;37,"Proton symporter", "Diffusion")</f>
        <v>Proton symporter</v>
      </c>
      <c r="AH1496" s="3" t="s">
        <v>181</v>
      </c>
    </row>
    <row r="1497" spans="1:34" hidden="1" x14ac:dyDescent="0.2">
      <c r="A1497" s="8" t="s">
        <v>34</v>
      </c>
      <c r="B1497" s="9" t="s">
        <v>35</v>
      </c>
      <c r="C1497" s="1" t="s">
        <v>52</v>
      </c>
      <c r="D1497" s="13" t="s">
        <v>51</v>
      </c>
      <c r="E1497" s="1" t="s">
        <v>305</v>
      </c>
      <c r="F1497" s="1" t="s">
        <v>301</v>
      </c>
      <c r="G1497" s="1">
        <v>-10</v>
      </c>
      <c r="H1497" s="1">
        <v>-20</v>
      </c>
      <c r="I1497" s="1" t="s">
        <v>40</v>
      </c>
      <c r="J1497" s="1">
        <v>3.15</v>
      </c>
      <c r="K1497" s="1">
        <v>-10</v>
      </c>
      <c r="L1497" s="1">
        <v>-3.2763636363636301</v>
      </c>
      <c r="M1497" s="1" t="s">
        <v>40</v>
      </c>
      <c r="N1497" s="1">
        <v>8.8509090909090897</v>
      </c>
      <c r="O1497" s="1">
        <v>0.28727272727272701</v>
      </c>
      <c r="Q1497" s="1">
        <v>2.8727272727272699E-2</v>
      </c>
      <c r="R1497" s="1">
        <v>4.6258737855640698E-2</v>
      </c>
      <c r="S1497" s="20" t="s">
        <v>305</v>
      </c>
      <c r="T1497" s="3" t="s">
        <v>306</v>
      </c>
      <c r="U1497" s="3" t="s">
        <v>106</v>
      </c>
      <c r="V1497" s="3" t="s">
        <v>303</v>
      </c>
      <c r="W1497" s="3">
        <v>4</v>
      </c>
      <c r="X1497" s="3">
        <v>10</v>
      </c>
      <c r="Y1497" s="3">
        <v>1</v>
      </c>
      <c r="Z1497" s="3">
        <v>0</v>
      </c>
      <c r="AA1497" s="3">
        <v>0</v>
      </c>
      <c r="AB1497" s="12">
        <f>(W1497*4+X1497*1+Y1497*-2+Z1497*-3)/W1497</f>
        <v>6</v>
      </c>
      <c r="AC1497" s="3">
        <f>W1497*12.0107+X1497*1.00784+Y1497*15.999+Z1497*14.0067</f>
        <v>74.120199999999997</v>
      </c>
      <c r="AD1497" s="12">
        <v>117.7</v>
      </c>
      <c r="AE1497" s="3" t="s">
        <v>262</v>
      </c>
      <c r="AF1497" s="3" t="s">
        <v>44</v>
      </c>
      <c r="AG1497" s="2" t="str">
        <f>IF(AD1497&gt;37,"Proton symporter", "Diffusion")</f>
        <v>Proton symporter</v>
      </c>
      <c r="AH1497" s="3" t="s">
        <v>304</v>
      </c>
    </row>
    <row r="1498" spans="1:34" hidden="1" x14ac:dyDescent="0.2">
      <c r="A1498" s="16" t="s">
        <v>63</v>
      </c>
      <c r="B1498" s="17" t="s">
        <v>64</v>
      </c>
      <c r="C1498" t="s">
        <v>70</v>
      </c>
      <c r="D1498" s="18" t="s">
        <v>66</v>
      </c>
      <c r="E1498" t="s">
        <v>172</v>
      </c>
      <c r="F1498" t="s">
        <v>173</v>
      </c>
      <c r="G1498">
        <v>-10</v>
      </c>
      <c r="H1498">
        <v>0</v>
      </c>
      <c r="I1498">
        <v>0</v>
      </c>
      <c r="J1498">
        <v>0.45</v>
      </c>
      <c r="K1498">
        <v>-10</v>
      </c>
      <c r="L1498">
        <v>0</v>
      </c>
      <c r="M1498">
        <v>0</v>
      </c>
      <c r="N1498">
        <v>5.2252631578947399</v>
      </c>
      <c r="O1498">
        <v>0.225263157894737</v>
      </c>
      <c r="P1498"/>
      <c r="Q1498">
        <v>2.25263157894737E-2</v>
      </c>
      <c r="R1498">
        <v>4.6056385136155002E-2</v>
      </c>
      <c r="S1498" s="20" t="s">
        <v>172</v>
      </c>
      <c r="T1498" s="3" t="s">
        <v>172</v>
      </c>
      <c r="U1498" s="3" t="s">
        <v>174</v>
      </c>
      <c r="V1498" s="3" t="s">
        <v>175</v>
      </c>
      <c r="W1498" s="3">
        <v>6</v>
      </c>
      <c r="X1498" s="3">
        <v>6</v>
      </c>
      <c r="Y1498" s="3">
        <v>1</v>
      </c>
      <c r="Z1498" s="3">
        <v>0</v>
      </c>
      <c r="AA1498" s="3">
        <v>0</v>
      </c>
      <c r="AB1498" s="12">
        <f>(W1498*4+X1498*1+Y1498*-2+Z1498*-3)/W1498</f>
        <v>4.666666666666667</v>
      </c>
      <c r="AC1498" s="3">
        <f>W1498*12.0107+X1498*1.00784+Y1498*15.999+Z1498*14.0067</f>
        <v>94.11023999999999</v>
      </c>
      <c r="AD1498" s="12">
        <v>181.7</v>
      </c>
      <c r="AE1498" s="3" t="s">
        <v>176</v>
      </c>
      <c r="AF1498" s="2" t="s">
        <v>150</v>
      </c>
      <c r="AG1498" s="2" t="str">
        <f>IF(AD1498&gt;37,"Proton symporter", "Diffusion")</f>
        <v>Proton symporter</v>
      </c>
      <c r="AH1498" s="3" t="s">
        <v>177</v>
      </c>
    </row>
    <row r="1499" spans="1:34" hidden="1" x14ac:dyDescent="0.2">
      <c r="A1499" s="8" t="s">
        <v>34</v>
      </c>
      <c r="B1499" s="9" t="s">
        <v>35</v>
      </c>
      <c r="C1499" s="1" t="s">
        <v>52</v>
      </c>
      <c r="D1499" s="13" t="s">
        <v>51</v>
      </c>
      <c r="E1499" s="1" t="s">
        <v>315</v>
      </c>
      <c r="F1499" s="1" t="s">
        <v>311</v>
      </c>
      <c r="G1499" s="1">
        <v>-10</v>
      </c>
      <c r="H1499" s="1">
        <v>-20</v>
      </c>
      <c r="I1499" s="1" t="s">
        <v>40</v>
      </c>
      <c r="J1499" s="1">
        <v>3.15</v>
      </c>
      <c r="K1499" s="1">
        <v>-10</v>
      </c>
      <c r="L1499" s="1">
        <v>-3.2313432835820901</v>
      </c>
      <c r="M1499" s="1" t="s">
        <v>40</v>
      </c>
      <c r="N1499" s="1">
        <v>8.8208955223880192</v>
      </c>
      <c r="O1499" s="1">
        <v>0.23582089552238</v>
      </c>
      <c r="Q1499" s="1">
        <v>2.3582089552237999E-2</v>
      </c>
      <c r="R1499" s="1">
        <v>4.5159648210792901E-2</v>
      </c>
      <c r="S1499" s="20" t="s">
        <v>315</v>
      </c>
      <c r="T1499" s="3" t="s">
        <v>316</v>
      </c>
      <c r="U1499" s="3" t="s">
        <v>106</v>
      </c>
      <c r="V1499" s="3" t="s">
        <v>292</v>
      </c>
      <c r="W1499" s="3">
        <v>5</v>
      </c>
      <c r="X1499" s="3">
        <v>12</v>
      </c>
      <c r="Y1499" s="3">
        <v>1</v>
      </c>
      <c r="Z1499" s="3">
        <v>0</v>
      </c>
      <c r="AA1499" s="3">
        <v>0</v>
      </c>
      <c r="AB1499" s="12">
        <f>(W1499*4+X1499*1+Y1499*-2+Z1499*-3)/W1499</f>
        <v>6</v>
      </c>
      <c r="AC1499" s="3">
        <f>W1499*12.0107+X1499*1.00784+Y1499*15.999+Z1499*14.0067</f>
        <v>88.14658</v>
      </c>
      <c r="AD1499" s="12">
        <v>138</v>
      </c>
      <c r="AE1499" s="3" t="s">
        <v>262</v>
      </c>
      <c r="AF1499" s="3" t="s">
        <v>44</v>
      </c>
      <c r="AG1499" s="2" t="str">
        <f>IF(AD1499&gt;37,"Proton symporter", "Diffusion")</f>
        <v>Proton symporter</v>
      </c>
      <c r="AH1499" s="3" t="s">
        <v>314</v>
      </c>
    </row>
    <row r="1500" spans="1:34" hidden="1" x14ac:dyDescent="0.2">
      <c r="A1500" s="8" t="s">
        <v>34</v>
      </c>
      <c r="B1500" s="9" t="s">
        <v>35</v>
      </c>
      <c r="C1500" s="1" t="s">
        <v>52</v>
      </c>
      <c r="D1500" s="13" t="s">
        <v>51</v>
      </c>
      <c r="E1500" s="1" t="s">
        <v>289</v>
      </c>
      <c r="F1500" s="1" t="s">
        <v>290</v>
      </c>
      <c r="G1500" s="1">
        <v>-10</v>
      </c>
      <c r="H1500" s="1">
        <v>-20</v>
      </c>
      <c r="I1500" s="1" t="s">
        <v>40</v>
      </c>
      <c r="J1500" s="1">
        <v>3.15</v>
      </c>
      <c r="K1500" s="1">
        <v>-10</v>
      </c>
      <c r="L1500" s="1">
        <v>-3.2487684729064101</v>
      </c>
      <c r="M1500" s="1" t="s">
        <v>40</v>
      </c>
      <c r="N1500" s="1">
        <v>8.8325123152709395</v>
      </c>
      <c r="O1500" s="1">
        <v>0.23349753694581299</v>
      </c>
      <c r="Q1500" s="1">
        <v>2.33497536945813E-2</v>
      </c>
      <c r="R1500" s="1">
        <v>4.4714725568323503E-2</v>
      </c>
      <c r="S1500" s="11" t="s">
        <v>289</v>
      </c>
      <c r="T1500" s="2" t="s">
        <v>291</v>
      </c>
      <c r="U1500" s="3" t="s">
        <v>41</v>
      </c>
      <c r="V1500" s="2" t="s">
        <v>292</v>
      </c>
      <c r="W1500" s="2">
        <v>5</v>
      </c>
      <c r="X1500" s="2">
        <v>12</v>
      </c>
      <c r="Y1500" s="2">
        <v>1</v>
      </c>
      <c r="Z1500" s="2">
        <v>0</v>
      </c>
      <c r="AA1500" s="2">
        <v>0</v>
      </c>
      <c r="AB1500" s="12">
        <f>(W1500*4+X1500*1+Y1500*-2+Z1500*-3)/W1500</f>
        <v>6</v>
      </c>
      <c r="AC1500" s="3">
        <f>W1500*12.0107+X1500*1.00784+Y1500*15.999+Z1500*14.0067</f>
        <v>88.14658</v>
      </c>
      <c r="AD1500" s="12">
        <v>129</v>
      </c>
      <c r="AE1500" s="2" t="s">
        <v>262</v>
      </c>
      <c r="AF1500" s="2" t="s">
        <v>293</v>
      </c>
      <c r="AG1500" s="2" t="str">
        <f>IF(AD1500&gt;37,"Proton symporter", "Diffusion")</f>
        <v>Proton symporter</v>
      </c>
      <c r="AH1500" s="3" t="s">
        <v>294</v>
      </c>
    </row>
    <row r="1501" spans="1:34" hidden="1" x14ac:dyDescent="0.2">
      <c r="A1501" s="8" t="s">
        <v>34</v>
      </c>
      <c r="B1501" s="9" t="s">
        <v>35</v>
      </c>
      <c r="C1501" s="1" t="s">
        <v>52</v>
      </c>
      <c r="D1501" s="13" t="s">
        <v>51</v>
      </c>
      <c r="E1501" s="1" t="s">
        <v>295</v>
      </c>
      <c r="F1501" s="1" t="s">
        <v>296</v>
      </c>
      <c r="G1501" s="1">
        <v>-10</v>
      </c>
      <c r="H1501" s="1">
        <v>-20</v>
      </c>
      <c r="I1501" s="1" t="s">
        <v>40</v>
      </c>
      <c r="J1501" s="1">
        <v>3.15</v>
      </c>
      <c r="K1501" s="1">
        <v>-10</v>
      </c>
      <c r="L1501" s="1">
        <v>-3.2298755186722001</v>
      </c>
      <c r="M1501" s="1" t="s">
        <v>40</v>
      </c>
      <c r="N1501" s="1">
        <v>8.8199170124481405</v>
      </c>
      <c r="O1501" s="1">
        <v>0.196680497925311</v>
      </c>
      <c r="Q1501" s="1">
        <v>1.96680497925311E-2</v>
      </c>
      <c r="R1501" s="1">
        <v>4.36576217201603E-2</v>
      </c>
      <c r="S1501" s="11" t="s">
        <v>295</v>
      </c>
      <c r="T1501" s="2" t="s">
        <v>297</v>
      </c>
      <c r="U1501" s="3" t="s">
        <v>41</v>
      </c>
      <c r="V1501" s="2" t="s">
        <v>298</v>
      </c>
      <c r="W1501" s="2">
        <v>6</v>
      </c>
      <c r="X1501" s="2">
        <v>14</v>
      </c>
      <c r="Y1501" s="2">
        <v>1</v>
      </c>
      <c r="Z1501" s="2">
        <v>0</v>
      </c>
      <c r="AA1501" s="2">
        <v>0</v>
      </c>
      <c r="AB1501" s="12">
        <f>(W1501*4+X1501*1+Y1501*-2+Z1501*-3)/W1501</f>
        <v>6</v>
      </c>
      <c r="AC1501" s="3">
        <f>W1501*12.0107+X1501*1.00784+Y1501*15.999+Z1501*14.0067</f>
        <v>102.17295999999999</v>
      </c>
      <c r="AD1501" s="12">
        <v>153</v>
      </c>
      <c r="AE1501" s="2" t="s">
        <v>262</v>
      </c>
      <c r="AF1501" s="2" t="s">
        <v>44</v>
      </c>
      <c r="AG1501" s="2" t="str">
        <f>IF(AD1501&gt;37,"Proton symporter", "Diffusion")</f>
        <v>Proton symporter</v>
      </c>
      <c r="AH1501" s="3" t="s">
        <v>299</v>
      </c>
    </row>
    <row r="1502" spans="1:34" hidden="1" x14ac:dyDescent="0.2">
      <c r="A1502" s="8" t="s">
        <v>34</v>
      </c>
      <c r="B1502" s="9" t="s">
        <v>35</v>
      </c>
      <c r="C1502" s="1" t="s">
        <v>52</v>
      </c>
      <c r="D1502" s="13" t="s">
        <v>51</v>
      </c>
      <c r="E1502" s="1" t="s">
        <v>199</v>
      </c>
      <c r="F1502" s="1" t="s">
        <v>200</v>
      </c>
      <c r="G1502" s="1">
        <v>-10</v>
      </c>
      <c r="H1502" s="1">
        <v>-20</v>
      </c>
      <c r="I1502" s="1" t="s">
        <v>40</v>
      </c>
      <c r="J1502" s="1">
        <v>3.15</v>
      </c>
      <c r="K1502" s="1">
        <v>-10</v>
      </c>
      <c r="L1502" s="1">
        <v>-3.47962264150943</v>
      </c>
      <c r="M1502" s="1" t="s">
        <v>40</v>
      </c>
      <c r="N1502" s="1">
        <v>8.7479245283018905</v>
      </c>
      <c r="O1502" s="1">
        <v>0.178867924528302</v>
      </c>
      <c r="Q1502" s="1">
        <v>1.7886792452830199E-2</v>
      </c>
      <c r="R1502" s="1">
        <v>4.2021162002071802E-2</v>
      </c>
      <c r="S1502" s="20" t="s">
        <v>201</v>
      </c>
      <c r="T1502" s="3" t="s">
        <v>201</v>
      </c>
      <c r="U1502" s="3" t="s">
        <v>106</v>
      </c>
      <c r="V1502" s="3" t="s">
        <v>202</v>
      </c>
      <c r="W1502" s="3">
        <v>7</v>
      </c>
      <c r="X1502" s="3">
        <v>8</v>
      </c>
      <c r="Y1502" s="3">
        <v>1</v>
      </c>
      <c r="Z1502" s="3">
        <v>0</v>
      </c>
      <c r="AA1502" s="3">
        <v>0</v>
      </c>
      <c r="AB1502" s="12">
        <f>(W1502*4+X1502*1+Y1502*-2+Z1502*-3)/W1502</f>
        <v>4.8571428571428568</v>
      </c>
      <c r="AC1502" s="3">
        <f>W1502*12.0107+X1502*1.00784+Y1502*15.999+Z1502*14.0067</f>
        <v>108.13661999999999</v>
      </c>
      <c r="AD1502" s="12">
        <v>205</v>
      </c>
      <c r="AE1502" s="3" t="s">
        <v>176</v>
      </c>
      <c r="AF1502" s="3" t="s">
        <v>203</v>
      </c>
      <c r="AG1502" s="2" t="str">
        <f>IF(AD1502&gt;37,"Proton symporter", "Diffusion")</f>
        <v>Proton symporter</v>
      </c>
      <c r="AH1502" s="3" t="s">
        <v>204</v>
      </c>
    </row>
    <row r="1503" spans="1:34" hidden="1" x14ac:dyDescent="0.2">
      <c r="A1503" s="8" t="s">
        <v>34</v>
      </c>
      <c r="B1503" s="9" t="s">
        <v>35</v>
      </c>
      <c r="C1503" s="1" t="s">
        <v>50</v>
      </c>
      <c r="D1503" s="13" t="s">
        <v>51</v>
      </c>
      <c r="E1503" s="1" t="s">
        <v>348</v>
      </c>
      <c r="F1503" s="1" t="s">
        <v>344</v>
      </c>
      <c r="G1503" s="1">
        <v>-10</v>
      </c>
      <c r="H1503" s="1">
        <v>-20</v>
      </c>
      <c r="I1503" s="1" t="s">
        <v>40</v>
      </c>
      <c r="J1503" s="1">
        <v>3.15</v>
      </c>
      <c r="K1503" s="1">
        <v>-10</v>
      </c>
      <c r="L1503" s="1">
        <v>-2.8256880733944998</v>
      </c>
      <c r="M1503" s="1" t="s">
        <v>40</v>
      </c>
      <c r="N1503" s="1">
        <v>8.6954128440366905</v>
      </c>
      <c r="O1503" s="1">
        <v>0.434862385321099</v>
      </c>
      <c r="Q1503" s="1">
        <v>4.3486238532109901E-2</v>
      </c>
      <c r="R1503" s="1">
        <v>4.1658364629509101E-2</v>
      </c>
      <c r="S1503" s="20" t="s">
        <v>348</v>
      </c>
      <c r="T1503" s="3" t="s">
        <v>349</v>
      </c>
      <c r="U1503" s="3" t="s">
        <v>106</v>
      </c>
      <c r="V1503" s="3" t="s">
        <v>346</v>
      </c>
      <c r="W1503" s="3">
        <v>3</v>
      </c>
      <c r="X1503" s="3">
        <v>8</v>
      </c>
      <c r="Y1503" s="3">
        <v>0</v>
      </c>
      <c r="Z1503" s="3">
        <v>0</v>
      </c>
      <c r="AA1503" s="3">
        <v>0</v>
      </c>
      <c r="AB1503" s="12">
        <f>(W1503*4+X1503*1+Y1503*-2+Z1503*-3)/W1503</f>
        <v>6.666666666666667</v>
      </c>
      <c r="AC1503" s="3">
        <f>W1503*12.0107+X1503*1.00784+Y1503*15.999+Z1503*14.0067</f>
        <v>44.094819999999999</v>
      </c>
      <c r="AD1503" s="24">
        <v>-42</v>
      </c>
      <c r="AE1503" s="3" t="s">
        <v>231</v>
      </c>
      <c r="AF1503" s="3" t="s">
        <v>44</v>
      </c>
      <c r="AG1503" s="25" t="str">
        <f>IF(AD1503&gt;37,"Proton symporter", "Diffusion")</f>
        <v>Diffusion</v>
      </c>
      <c r="AH1503" s="3" t="s">
        <v>347</v>
      </c>
    </row>
    <row r="1504" spans="1:34" hidden="1" x14ac:dyDescent="0.2">
      <c r="A1504" s="16" t="s">
        <v>74</v>
      </c>
      <c r="B1504" s="9" t="s">
        <v>35</v>
      </c>
      <c r="C1504" t="s">
        <v>52</v>
      </c>
      <c r="D1504" s="13" t="s">
        <v>51</v>
      </c>
      <c r="E1504" t="s">
        <v>268</v>
      </c>
      <c r="F1504" t="s">
        <v>269</v>
      </c>
      <c r="G1504">
        <v>-10</v>
      </c>
      <c r="H1504">
        <v>-20</v>
      </c>
      <c r="I1504" s="1" t="s">
        <v>40</v>
      </c>
      <c r="J1504">
        <v>3.15</v>
      </c>
      <c r="K1504">
        <v>-10</v>
      </c>
      <c r="L1504">
        <v>-3.1515320334261898</v>
      </c>
      <c r="M1504" s="1" t="s">
        <v>40</v>
      </c>
      <c r="N1504">
        <v>8.6796657381615603</v>
      </c>
      <c r="O1504">
        <v>0.13203342618384301</v>
      </c>
      <c r="P1504"/>
      <c r="Q1504">
        <v>1.32033426183843E-2</v>
      </c>
      <c r="R1504">
        <v>3.9077540996630002E-2</v>
      </c>
      <c r="S1504" s="3" t="s">
        <v>268</v>
      </c>
      <c r="T1504" s="3" t="s">
        <v>268</v>
      </c>
      <c r="U1504" s="3" t="s">
        <v>106</v>
      </c>
      <c r="V1504" s="3" t="s">
        <v>270</v>
      </c>
      <c r="W1504" s="3">
        <v>10</v>
      </c>
      <c r="X1504" s="3">
        <v>16</v>
      </c>
      <c r="Y1504" s="3">
        <v>0</v>
      </c>
      <c r="Z1504" s="3">
        <v>0</v>
      </c>
      <c r="AA1504" s="3">
        <v>0</v>
      </c>
      <c r="AB1504" s="12">
        <f>(W1504*4+X1504*1+Y1504*-2+Z1504*-3)/W1504</f>
        <v>5.6</v>
      </c>
      <c r="AC1504" s="3">
        <f>W1504*12.0107+X1504*1.00784+Y1504*15.999+Z1504*14.0067</f>
        <v>136.23244</v>
      </c>
      <c r="AD1504" s="12">
        <v>176</v>
      </c>
      <c r="AE1504" s="3" t="s">
        <v>271</v>
      </c>
      <c r="AF1504" s="3" t="s">
        <v>79</v>
      </c>
      <c r="AG1504" s="2" t="str">
        <f>IF(AD1504&gt;37,"Proton symporter", "Diffusion")</f>
        <v>Proton symporter</v>
      </c>
      <c r="AH1504" s="3" t="s">
        <v>272</v>
      </c>
    </row>
    <row r="1505" spans="1:34" hidden="1" x14ac:dyDescent="0.2">
      <c r="A1505" s="8" t="s">
        <v>34</v>
      </c>
      <c r="B1505" s="9" t="s">
        <v>35</v>
      </c>
      <c r="C1505" s="1" t="s">
        <v>52</v>
      </c>
      <c r="D1505" s="13" t="s">
        <v>51</v>
      </c>
      <c r="E1505" s="1" t="s">
        <v>254</v>
      </c>
      <c r="F1505" s="1" t="s">
        <v>255</v>
      </c>
      <c r="G1505" s="1">
        <v>-10</v>
      </c>
      <c r="H1505" s="1">
        <v>-20</v>
      </c>
      <c r="I1505" s="1" t="s">
        <v>40</v>
      </c>
      <c r="J1505" s="1">
        <v>3.15</v>
      </c>
      <c r="K1505" s="1">
        <v>-10</v>
      </c>
      <c r="L1505" s="1">
        <v>-3.1532467532467501</v>
      </c>
      <c r="M1505" s="1" t="s">
        <v>40</v>
      </c>
      <c r="N1505" s="1">
        <v>8.6808905380333901</v>
      </c>
      <c r="O1505" s="1">
        <v>8.7940630797773395E-2</v>
      </c>
      <c r="Q1505" s="1">
        <v>8.7940630797773405E-3</v>
      </c>
      <c r="R1505" s="1">
        <v>3.9041290958599997E-2</v>
      </c>
      <c r="S1505" s="11" t="s">
        <v>254</v>
      </c>
      <c r="T1505" s="2" t="s">
        <v>254</v>
      </c>
      <c r="U1505" s="3" t="s">
        <v>41</v>
      </c>
      <c r="V1505" s="2" t="s">
        <v>256</v>
      </c>
      <c r="W1505" s="2">
        <v>15</v>
      </c>
      <c r="X1505" s="2">
        <v>24</v>
      </c>
      <c r="Y1505" s="2">
        <v>0</v>
      </c>
      <c r="Z1505" s="2">
        <v>0</v>
      </c>
      <c r="AA1505" s="2">
        <v>0</v>
      </c>
      <c r="AB1505" s="12">
        <f>(W1505*4+X1505*1+Y1505*-2+Z1505*-3)/W1505+0.01</f>
        <v>5.6099999999999994</v>
      </c>
      <c r="AC1505" s="3">
        <f>W1505*12.0107+X1505*1.00784+Y1505*15.999+Z1505*14.0067</f>
        <v>204.34866000000002</v>
      </c>
      <c r="AD1505" s="12" t="s">
        <v>257</v>
      </c>
      <c r="AE1505" s="2" t="s">
        <v>231</v>
      </c>
      <c r="AF1505" s="2" t="s">
        <v>79</v>
      </c>
      <c r="AG1505" s="2" t="str">
        <f>IF(AD1505&gt;37,"Proton symporter", "Diffusion")</f>
        <v>Proton symporter</v>
      </c>
      <c r="AH1505" s="3" t="s">
        <v>258</v>
      </c>
    </row>
    <row r="1506" spans="1:34" hidden="1" x14ac:dyDescent="0.2">
      <c r="A1506" s="8" t="s">
        <v>34</v>
      </c>
      <c r="B1506" s="9" t="s">
        <v>35</v>
      </c>
      <c r="C1506" s="1" t="s">
        <v>52</v>
      </c>
      <c r="D1506" s="13" t="s">
        <v>51</v>
      </c>
      <c r="E1506" s="1" t="s">
        <v>264</v>
      </c>
      <c r="F1506" s="1" t="s">
        <v>265</v>
      </c>
      <c r="G1506" s="1">
        <v>-10</v>
      </c>
      <c r="H1506" s="1">
        <v>-20</v>
      </c>
      <c r="I1506" s="1" t="s">
        <v>40</v>
      </c>
      <c r="J1506" s="1">
        <v>3.15</v>
      </c>
      <c r="K1506" s="1">
        <v>-10</v>
      </c>
      <c r="L1506" s="1">
        <v>-3.1566666666666698</v>
      </c>
      <c r="M1506" s="1" t="s">
        <v>40</v>
      </c>
      <c r="N1506" s="1">
        <v>8.6833333333333194</v>
      </c>
      <c r="O1506" s="1">
        <v>0.26333333333332898</v>
      </c>
      <c r="Q1506" s="1">
        <v>2.63333333333329E-2</v>
      </c>
      <c r="R1506" s="1">
        <v>3.8968992271638997E-2</v>
      </c>
      <c r="S1506" s="20" t="s">
        <v>264</v>
      </c>
      <c r="T1506" s="3" t="s">
        <v>264</v>
      </c>
      <c r="U1506" s="3" t="s">
        <v>106</v>
      </c>
      <c r="V1506" s="3" t="s">
        <v>266</v>
      </c>
      <c r="W1506" s="3">
        <v>5</v>
      </c>
      <c r="X1506" s="3">
        <v>8</v>
      </c>
      <c r="Y1506" s="3">
        <v>0</v>
      </c>
      <c r="Z1506" s="3">
        <v>0</v>
      </c>
      <c r="AA1506" s="3">
        <v>0</v>
      </c>
      <c r="AB1506" s="12">
        <f>(W1506*4+X1506*1+Y1506*-2+Z1506*-3)/W1506</f>
        <v>5.6</v>
      </c>
      <c r="AC1506" s="3">
        <f>W1506*12.0107+X1506*1.00784+Y1506*15.999+Z1506*14.0067</f>
        <v>68.116219999999998</v>
      </c>
      <c r="AD1506" s="24">
        <v>34.07</v>
      </c>
      <c r="AE1506" s="3" t="s">
        <v>231</v>
      </c>
      <c r="AF1506" s="3" t="s">
        <v>79</v>
      </c>
      <c r="AG1506" s="25" t="str">
        <f>IF(AD1506&gt;37,"Proton symporter", "Diffusion")</f>
        <v>Diffusion</v>
      </c>
      <c r="AH1506" s="3" t="s">
        <v>267</v>
      </c>
    </row>
    <row r="1507" spans="1:34" hidden="1" x14ac:dyDescent="0.2">
      <c r="A1507" s="16" t="s">
        <v>317</v>
      </c>
      <c r="B1507" s="9" t="s">
        <v>35</v>
      </c>
      <c r="C1507" t="s">
        <v>52</v>
      </c>
      <c r="D1507" s="13" t="s">
        <v>51</v>
      </c>
      <c r="E1507" t="s">
        <v>318</v>
      </c>
      <c r="F1507" t="s">
        <v>319</v>
      </c>
      <c r="G1507">
        <v>-10</v>
      </c>
      <c r="H1507">
        <v>-20</v>
      </c>
      <c r="I1507" s="1" t="s">
        <v>40</v>
      </c>
      <c r="J1507">
        <v>3.15</v>
      </c>
      <c r="K1507">
        <v>-10</v>
      </c>
      <c r="L1507">
        <v>-3.0539589442815198</v>
      </c>
      <c r="M1507" s="1" t="s">
        <v>40</v>
      </c>
      <c r="N1507">
        <v>8.7489736070381294</v>
      </c>
      <c r="O1507">
        <v>0.13900293255132001</v>
      </c>
      <c r="P1507"/>
      <c r="Q1507">
        <v>1.3900293255132101E-2</v>
      </c>
      <c r="R1507">
        <v>3.8730636392229699E-2</v>
      </c>
      <c r="S1507" s="20" t="s">
        <v>318</v>
      </c>
      <c r="T1507" s="3" t="s">
        <v>318</v>
      </c>
      <c r="U1507" s="3" t="s">
        <v>106</v>
      </c>
      <c r="V1507" s="3" t="s">
        <v>320</v>
      </c>
      <c r="W1507" s="3">
        <v>9</v>
      </c>
      <c r="X1507" s="3">
        <v>20</v>
      </c>
      <c r="Y1507" s="3">
        <v>0</v>
      </c>
      <c r="Z1507" s="3">
        <v>0</v>
      </c>
      <c r="AA1507" s="3">
        <v>0</v>
      </c>
      <c r="AB1507" s="12">
        <f>(W1507*4+X1507*1+Y1507*-2+Z1507*-3)/W1507</f>
        <v>6.2222222222222223</v>
      </c>
      <c r="AC1507" s="3">
        <f>W1507*12.0107+X1507*1.00784+Y1507*15.999+Z1507*14.0067</f>
        <v>128.25309999999999</v>
      </c>
      <c r="AD1507" s="12">
        <v>151</v>
      </c>
      <c r="AE1507" s="3" t="s">
        <v>321</v>
      </c>
      <c r="AF1507" s="2" t="s">
        <v>79</v>
      </c>
      <c r="AG1507" s="2" t="str">
        <f>IF(AD1507&gt;37,"Proton symporter", "Diffusion")</f>
        <v>Proton symporter</v>
      </c>
      <c r="AH1507" s="3" t="s">
        <v>322</v>
      </c>
    </row>
    <row r="1508" spans="1:34" hidden="1" x14ac:dyDescent="0.2">
      <c r="A1508" s="8" t="s">
        <v>34</v>
      </c>
      <c r="B1508" s="9" t="s">
        <v>35</v>
      </c>
      <c r="C1508" s="1" t="s">
        <v>52</v>
      </c>
      <c r="D1508" s="13" t="s">
        <v>51</v>
      </c>
      <c r="E1508" s="1" t="s">
        <v>211</v>
      </c>
      <c r="F1508" s="1" t="s">
        <v>212</v>
      </c>
      <c r="G1508" s="1">
        <v>-10</v>
      </c>
      <c r="H1508" s="1">
        <v>-20</v>
      </c>
      <c r="I1508" s="1" t="s">
        <v>40</v>
      </c>
      <c r="J1508" s="1">
        <v>3.15</v>
      </c>
      <c r="K1508" s="1">
        <v>-10</v>
      </c>
      <c r="L1508" s="1">
        <v>-3.3010752688172</v>
      </c>
      <c r="M1508" s="1" t="s">
        <v>40</v>
      </c>
      <c r="N1508" s="1">
        <v>8.6408602150537703</v>
      </c>
      <c r="O1508" s="1">
        <v>0.16989247311828001</v>
      </c>
      <c r="Q1508" s="1">
        <v>1.6989247311828E-2</v>
      </c>
      <c r="R1508" s="1">
        <v>3.84405157896529E-2</v>
      </c>
      <c r="S1508" s="20" t="s">
        <v>211</v>
      </c>
      <c r="T1508" s="3" t="s">
        <v>211</v>
      </c>
      <c r="U1508" s="3" t="s">
        <v>174</v>
      </c>
      <c r="V1508" s="3" t="s">
        <v>213</v>
      </c>
      <c r="W1508" s="3">
        <v>8</v>
      </c>
      <c r="X1508" s="3">
        <v>8</v>
      </c>
      <c r="Y1508" s="3">
        <v>0</v>
      </c>
      <c r="Z1508" s="3">
        <v>0</v>
      </c>
      <c r="AA1508" s="3">
        <v>0</v>
      </c>
      <c r="AB1508" s="12">
        <f>(W1508*4+X1508*1+Y1508*-2+Z1508*-3)/W1508</f>
        <v>5</v>
      </c>
      <c r="AC1508" s="3">
        <f>W1508*12.0107+X1508*1.00784+Y1508*15.999+Z1508*14.0067</f>
        <v>104.14832</v>
      </c>
      <c r="AD1508" s="12">
        <v>145</v>
      </c>
      <c r="AE1508" s="3" t="s">
        <v>214</v>
      </c>
      <c r="AF1508" s="3" t="s">
        <v>203</v>
      </c>
      <c r="AG1508" s="2" t="str">
        <f>IF(AD1508&gt;37,"Proton symporter", "Diffusion")</f>
        <v>Proton symporter</v>
      </c>
      <c r="AH1508" s="3" t="s">
        <v>215</v>
      </c>
    </row>
    <row r="1509" spans="1:34" hidden="1" x14ac:dyDescent="0.2">
      <c r="A1509" s="16" t="s">
        <v>317</v>
      </c>
      <c r="B1509" s="9" t="s">
        <v>35</v>
      </c>
      <c r="C1509" t="s">
        <v>52</v>
      </c>
      <c r="D1509" s="13" t="s">
        <v>51</v>
      </c>
      <c r="E1509" t="s">
        <v>327</v>
      </c>
      <c r="F1509" t="s">
        <v>328</v>
      </c>
      <c r="G1509">
        <v>-10</v>
      </c>
      <c r="H1509">
        <v>-20</v>
      </c>
      <c r="I1509" s="1" t="s">
        <v>40</v>
      </c>
      <c r="J1509">
        <v>3.15</v>
      </c>
      <c r="K1509">
        <v>-10</v>
      </c>
      <c r="L1509">
        <v>-3.0617100371747199</v>
      </c>
      <c r="M1509" s="1" t="s">
        <v>40</v>
      </c>
      <c r="N1509">
        <v>8.7665427509293607</v>
      </c>
      <c r="O1509">
        <v>0.17620817843866099</v>
      </c>
      <c r="P1509"/>
      <c r="Q1509">
        <v>1.7620817843866099E-2</v>
      </c>
      <c r="R1509">
        <v>3.8358185581309698E-2</v>
      </c>
      <c r="S1509" s="20" t="s">
        <v>327</v>
      </c>
      <c r="T1509" s="3" t="s">
        <v>327</v>
      </c>
      <c r="U1509" s="3" t="s">
        <v>106</v>
      </c>
      <c r="V1509" s="3" t="s">
        <v>329</v>
      </c>
      <c r="W1509" s="3">
        <v>7</v>
      </c>
      <c r="X1509" s="3">
        <v>16</v>
      </c>
      <c r="Y1509" s="3">
        <v>0</v>
      </c>
      <c r="Z1509" s="3">
        <v>0</v>
      </c>
      <c r="AA1509" s="3">
        <v>0</v>
      </c>
      <c r="AB1509" s="12">
        <f>(W1509*4+X1509*1+Y1509*-2+Z1509*-3)/W1509</f>
        <v>6.2857142857142856</v>
      </c>
      <c r="AC1509" s="3">
        <f>W1509*12.0107+X1509*1.00784+Y1509*15.999+Z1509*14.0067</f>
        <v>100.20034</v>
      </c>
      <c r="AD1509" s="3">
        <v>98</v>
      </c>
      <c r="AE1509" s="3" t="s">
        <v>321</v>
      </c>
      <c r="AF1509" s="2" t="s">
        <v>79</v>
      </c>
      <c r="AG1509" s="2" t="str">
        <f>IF(AD1509&gt;37,"Proton symporter", "Diffusion")</f>
        <v>Proton symporter</v>
      </c>
      <c r="AH1509" s="3" t="s">
        <v>330</v>
      </c>
    </row>
    <row r="1510" spans="1:34" hidden="1" x14ac:dyDescent="0.2">
      <c r="A1510" s="16" t="s">
        <v>74</v>
      </c>
      <c r="B1510" s="9" t="s">
        <v>35</v>
      </c>
      <c r="C1510" t="s">
        <v>53</v>
      </c>
      <c r="D1510" s="13" t="s">
        <v>51</v>
      </c>
      <c r="E1510" t="s">
        <v>194</v>
      </c>
      <c r="F1510" t="s">
        <v>195</v>
      </c>
      <c r="G1510">
        <v>-10</v>
      </c>
      <c r="H1510">
        <v>-20</v>
      </c>
      <c r="I1510" s="1" t="s">
        <v>40</v>
      </c>
      <c r="J1510">
        <v>3.15</v>
      </c>
      <c r="K1510">
        <v>-10</v>
      </c>
      <c r="L1510">
        <v>-4.16633165829146</v>
      </c>
      <c r="M1510" s="1" t="s">
        <v>40</v>
      </c>
      <c r="N1510">
        <v>9.2854271356784004</v>
      </c>
      <c r="O1510">
        <v>0.119095477386935</v>
      </c>
      <c r="P1510"/>
      <c r="Q1510">
        <v>1.19095477386935E-2</v>
      </c>
      <c r="R1510">
        <v>3.8084285811978903E-2</v>
      </c>
      <c r="S1510" s="3" t="s">
        <v>194</v>
      </c>
      <c r="T1510" s="2" t="s">
        <v>196</v>
      </c>
      <c r="U1510" s="3" t="s">
        <v>35</v>
      </c>
      <c r="V1510" s="3" t="s">
        <v>197</v>
      </c>
      <c r="W1510" s="3">
        <v>6</v>
      </c>
      <c r="X1510" s="3">
        <v>15</v>
      </c>
      <c r="Y1510" s="3">
        <v>2</v>
      </c>
      <c r="Z1510" s="3">
        <v>2</v>
      </c>
      <c r="AA1510" s="3">
        <v>1</v>
      </c>
      <c r="AB1510" s="12">
        <f>(W1510*4+X1510*1+Y1510*-2+Z1510*-3)/W1510</f>
        <v>4.833333333333333</v>
      </c>
      <c r="AC1510" s="3">
        <f>W1510*12.0107+X1510*1.00784+Y1510*15.999+Z1510*14.0067</f>
        <v>147.19319999999999</v>
      </c>
      <c r="AD1510" s="12" t="s">
        <v>40</v>
      </c>
      <c r="AE1510" s="3" t="s">
        <v>119</v>
      </c>
      <c r="AF1510" s="3" t="s">
        <v>44</v>
      </c>
      <c r="AG1510" s="2" t="s">
        <v>80</v>
      </c>
      <c r="AH1510" s="2" t="s">
        <v>198</v>
      </c>
    </row>
    <row r="1511" spans="1:34" hidden="1" x14ac:dyDescent="0.2">
      <c r="A1511" s="8" t="s">
        <v>34</v>
      </c>
      <c r="B1511" s="9" t="s">
        <v>35</v>
      </c>
      <c r="C1511" s="1" t="s">
        <v>52</v>
      </c>
      <c r="D1511" s="13" t="s">
        <v>51</v>
      </c>
      <c r="E1511" s="1" t="s">
        <v>227</v>
      </c>
      <c r="F1511" s="1" t="s">
        <v>228</v>
      </c>
      <c r="G1511" s="1">
        <v>-10</v>
      </c>
      <c r="H1511" s="1">
        <v>-20</v>
      </c>
      <c r="I1511" s="1" t="s">
        <v>40</v>
      </c>
      <c r="J1511" s="1">
        <v>3.15</v>
      </c>
      <c r="K1511" s="1">
        <v>-10</v>
      </c>
      <c r="L1511" s="1">
        <v>-3.2371900826446298</v>
      </c>
      <c r="M1511" s="1" t="s">
        <v>40</v>
      </c>
      <c r="N1511" s="1">
        <v>8.69421487603306</v>
      </c>
      <c r="O1511" s="1">
        <v>3.2644628099173401E-2</v>
      </c>
      <c r="Q1511" s="1">
        <v>3.2644628099173399E-3</v>
      </c>
      <c r="R1511" s="1">
        <v>3.8075118748596697E-2</v>
      </c>
      <c r="S1511" s="11" t="s">
        <v>227</v>
      </c>
      <c r="T1511" s="2" t="s">
        <v>229</v>
      </c>
      <c r="U1511" s="3" t="s">
        <v>41</v>
      </c>
      <c r="V1511" s="2" t="s">
        <v>230</v>
      </c>
      <c r="W1511" s="2">
        <v>40</v>
      </c>
      <c r="X1511" s="2">
        <v>56</v>
      </c>
      <c r="Y1511" s="2">
        <v>0</v>
      </c>
      <c r="Z1511" s="2">
        <v>0</v>
      </c>
      <c r="AA1511" s="2">
        <v>0</v>
      </c>
      <c r="AB1511" s="12">
        <f>(W1511*4+X1511*1+Y1511*-2+Z1511*-3)/W1511</f>
        <v>5.4</v>
      </c>
      <c r="AC1511" s="3">
        <f>W1511*12.0107+X1511*1.00784+Y1511*15.999+Z1511*14.0067</f>
        <v>536.86703999999997</v>
      </c>
      <c r="AD1511" s="12">
        <v>633</v>
      </c>
      <c r="AE1511" s="2" t="s">
        <v>231</v>
      </c>
      <c r="AF1511" s="2" t="s">
        <v>79</v>
      </c>
      <c r="AG1511" s="2" t="s">
        <v>232</v>
      </c>
      <c r="AH1511" s="3" t="s">
        <v>233</v>
      </c>
    </row>
    <row r="1512" spans="1:34" hidden="1" x14ac:dyDescent="0.2">
      <c r="A1512" s="16" t="s">
        <v>317</v>
      </c>
      <c r="B1512" s="9" t="s">
        <v>35</v>
      </c>
      <c r="C1512" t="s">
        <v>52</v>
      </c>
      <c r="D1512" s="13" t="s">
        <v>51</v>
      </c>
      <c r="E1512" t="s">
        <v>323</v>
      </c>
      <c r="F1512" t="s">
        <v>324</v>
      </c>
      <c r="G1512">
        <v>-10</v>
      </c>
      <c r="H1512">
        <v>-20</v>
      </c>
      <c r="I1512" s="1" t="s">
        <v>40</v>
      </c>
      <c r="J1512">
        <v>3.15</v>
      </c>
      <c r="K1512">
        <v>-10</v>
      </c>
      <c r="L1512">
        <v>-3.0825242718446599</v>
      </c>
      <c r="M1512" s="1" t="s">
        <v>40</v>
      </c>
      <c r="N1512">
        <v>8.7728155339805802</v>
      </c>
      <c r="O1512">
        <v>0.153398058252426</v>
      </c>
      <c r="P1512"/>
      <c r="Q1512">
        <v>1.53398058252426E-2</v>
      </c>
      <c r="R1512">
        <v>3.80671503739844E-2</v>
      </c>
      <c r="S1512" s="11" t="s">
        <v>323</v>
      </c>
      <c r="T1512" s="2" t="s">
        <v>323</v>
      </c>
      <c r="U1512" s="3" t="s">
        <v>106</v>
      </c>
      <c r="V1512" s="2" t="s">
        <v>325</v>
      </c>
      <c r="W1512" s="2">
        <v>8</v>
      </c>
      <c r="X1512" s="2">
        <v>18</v>
      </c>
      <c r="Y1512" s="2">
        <v>0</v>
      </c>
      <c r="Z1512" s="2">
        <v>0</v>
      </c>
      <c r="AA1512" s="2">
        <v>0</v>
      </c>
      <c r="AB1512" s="12">
        <f>(W1512*4+X1512*1+Y1512*-2+Z1512*-3)/W1512</f>
        <v>6.25</v>
      </c>
      <c r="AC1512" s="3">
        <f>W1512*12.0107+X1512*1.00784+Y1512*15.999+Z1512*14.0067</f>
        <v>114.22672</v>
      </c>
      <c r="AD1512" s="12">
        <v>126</v>
      </c>
      <c r="AE1512" s="3" t="s">
        <v>321</v>
      </c>
      <c r="AF1512" s="2" t="s">
        <v>313</v>
      </c>
      <c r="AG1512" s="2" t="str">
        <f>IF(AD1512&gt;37,"Proton symporter", "Diffusion")</f>
        <v>Proton symporter</v>
      </c>
      <c r="AH1512" s="3" t="s">
        <v>326</v>
      </c>
    </row>
    <row r="1513" spans="1:34" hidden="1" x14ac:dyDescent="0.2">
      <c r="A1513" s="8" t="s">
        <v>34</v>
      </c>
      <c r="B1513" s="9" t="s">
        <v>35</v>
      </c>
      <c r="C1513" s="1" t="s">
        <v>52</v>
      </c>
      <c r="D1513" s="13" t="s">
        <v>51</v>
      </c>
      <c r="E1513" s="1" t="s">
        <v>335</v>
      </c>
      <c r="F1513" s="1" t="s">
        <v>336</v>
      </c>
      <c r="G1513" s="1">
        <v>-10</v>
      </c>
      <c r="H1513" s="1">
        <v>-20</v>
      </c>
      <c r="I1513" s="1" t="s">
        <v>40</v>
      </c>
      <c r="J1513" s="1">
        <v>3.15</v>
      </c>
      <c r="K1513" s="1">
        <v>-10</v>
      </c>
      <c r="L1513" s="1">
        <v>-3.0848484848484898</v>
      </c>
      <c r="M1513" s="1" t="s">
        <v>40</v>
      </c>
      <c r="N1513" s="1">
        <v>8.8030303030303099</v>
      </c>
      <c r="O1513" s="1">
        <v>0.23939393939393999</v>
      </c>
      <c r="Q1513" s="1">
        <v>2.3939393939394E-2</v>
      </c>
      <c r="R1513" s="1">
        <v>3.7523014308052702E-2</v>
      </c>
      <c r="S1513" s="11" t="s">
        <v>335</v>
      </c>
      <c r="T1513" s="2" t="s">
        <v>335</v>
      </c>
      <c r="U1513" s="3" t="s">
        <v>106</v>
      </c>
      <c r="V1513" s="2" t="s">
        <v>337</v>
      </c>
      <c r="W1513" s="2">
        <v>5</v>
      </c>
      <c r="X1513" s="2">
        <v>12</v>
      </c>
      <c r="Y1513" s="2">
        <v>0</v>
      </c>
      <c r="Z1513" s="2">
        <v>0</v>
      </c>
      <c r="AA1513" s="2">
        <v>0</v>
      </c>
      <c r="AB1513" s="12">
        <f>(W1513*4+X1513*1+Y1513*-2+Z1513*-3)/W1513</f>
        <v>6.4</v>
      </c>
      <c r="AC1513" s="3">
        <f>W1513*12.0107+X1513*1.00784+Y1513*15.999+Z1513*14.0067</f>
        <v>72.147580000000005</v>
      </c>
      <c r="AD1513" s="24">
        <v>36.1</v>
      </c>
      <c r="AE1513" s="3" t="s">
        <v>321</v>
      </c>
      <c r="AF1513" s="2" t="s">
        <v>79</v>
      </c>
      <c r="AG1513" s="25" t="str">
        <f>IF(AD1513&gt;37,"Proton symporter", "Diffusion")</f>
        <v>Diffusion</v>
      </c>
      <c r="AH1513" s="3" t="s">
        <v>338</v>
      </c>
    </row>
    <row r="1514" spans="1:34" hidden="1" x14ac:dyDescent="0.2">
      <c r="A1514" s="16" t="s">
        <v>317</v>
      </c>
      <c r="B1514" s="9" t="s">
        <v>35</v>
      </c>
      <c r="C1514" t="s">
        <v>52</v>
      </c>
      <c r="D1514" s="13" t="s">
        <v>51</v>
      </c>
      <c r="E1514" t="s">
        <v>331</v>
      </c>
      <c r="F1514" t="s">
        <v>332</v>
      </c>
      <c r="G1514">
        <v>-10</v>
      </c>
      <c r="H1514">
        <v>-20</v>
      </c>
      <c r="I1514" s="1" t="s">
        <v>40</v>
      </c>
      <c r="J1514">
        <v>3.15</v>
      </c>
      <c r="K1514">
        <v>-10</v>
      </c>
      <c r="L1514">
        <v>-3.1</v>
      </c>
      <c r="M1514" s="1" t="s">
        <v>40</v>
      </c>
      <c r="N1514">
        <v>8.8000000000000007</v>
      </c>
      <c r="O1514">
        <v>0.20000000000000101</v>
      </c>
      <c r="P1514"/>
      <c r="Q1514">
        <v>2.0000000000000101E-2</v>
      </c>
      <c r="R1514">
        <v>3.7442845473347697E-2</v>
      </c>
      <c r="S1514" s="11" t="s">
        <v>331</v>
      </c>
      <c r="T1514" s="2" t="s">
        <v>331</v>
      </c>
      <c r="U1514" s="3" t="s">
        <v>106</v>
      </c>
      <c r="V1514" s="3" t="s">
        <v>333</v>
      </c>
      <c r="W1514" s="2">
        <v>6</v>
      </c>
      <c r="X1514" s="2">
        <v>14</v>
      </c>
      <c r="Y1514" s="2">
        <v>0</v>
      </c>
      <c r="Z1514" s="2">
        <v>0</v>
      </c>
      <c r="AA1514" s="2">
        <v>0</v>
      </c>
      <c r="AB1514" s="12">
        <f>(W1514*4+X1514*1+Y1514*-2+Z1514*-3)/W1514</f>
        <v>6.333333333333333</v>
      </c>
      <c r="AC1514" s="3">
        <f>W1514*12.0107+X1514*1.00784+Y1514*15.999+Z1514*14.0067</f>
        <v>86.173959999999994</v>
      </c>
      <c r="AD1514" s="12">
        <v>69</v>
      </c>
      <c r="AE1514" s="3" t="s">
        <v>321</v>
      </c>
      <c r="AF1514" s="2" t="s">
        <v>313</v>
      </c>
      <c r="AG1514" s="2" t="str">
        <f>IF(AD1514&gt;37,"Proton symporter", "Diffusion")</f>
        <v>Proton symporter</v>
      </c>
      <c r="AH1514" s="3" t="s">
        <v>334</v>
      </c>
    </row>
    <row r="1515" spans="1:34" hidden="1" x14ac:dyDescent="0.2">
      <c r="A1515" s="8" t="s">
        <v>34</v>
      </c>
      <c r="B1515" s="9" t="s">
        <v>35</v>
      </c>
      <c r="C1515" s="1" t="s">
        <v>52</v>
      </c>
      <c r="D1515" s="13" t="s">
        <v>51</v>
      </c>
      <c r="E1515" s="1" t="s">
        <v>343</v>
      </c>
      <c r="F1515" s="1" t="s">
        <v>344</v>
      </c>
      <c r="G1515" s="1">
        <v>-10</v>
      </c>
      <c r="H1515" s="1">
        <v>-20</v>
      </c>
      <c r="I1515" s="1" t="s">
        <v>40</v>
      </c>
      <c r="J1515" s="1">
        <v>3.15</v>
      </c>
      <c r="K1515" s="1">
        <v>-10</v>
      </c>
      <c r="L1515" s="1">
        <v>-3.11904761904762</v>
      </c>
      <c r="M1515" s="1" t="s">
        <v>40</v>
      </c>
      <c r="N1515" s="1">
        <v>8.8714285714285701</v>
      </c>
      <c r="O1515" s="1">
        <v>0.37619047619047502</v>
      </c>
      <c r="Q1515" s="1">
        <v>3.7619047619047503E-2</v>
      </c>
      <c r="R1515" s="1">
        <v>3.6037791623940503E-2</v>
      </c>
      <c r="S1515" s="20" t="s">
        <v>343</v>
      </c>
      <c r="T1515" s="3" t="s">
        <v>345</v>
      </c>
      <c r="U1515" s="3" t="s">
        <v>106</v>
      </c>
      <c r="V1515" s="3" t="s">
        <v>346</v>
      </c>
      <c r="W1515" s="3">
        <v>3</v>
      </c>
      <c r="X1515" s="3">
        <v>8</v>
      </c>
      <c r="Y1515" s="3">
        <v>0</v>
      </c>
      <c r="Z1515" s="3">
        <v>0</v>
      </c>
      <c r="AA1515" s="3">
        <v>0</v>
      </c>
      <c r="AB1515" s="12">
        <f>(W1515*4+X1515*1+Y1515*-2+Z1515*-3)/W1515</f>
        <v>6.666666666666667</v>
      </c>
      <c r="AC1515" s="3">
        <f>W1515*12.0107+X1515*1.00784+Y1515*15.999+Z1515*14.0067</f>
        <v>44.094819999999999</v>
      </c>
      <c r="AD1515" s="24">
        <v>-42</v>
      </c>
      <c r="AE1515" s="3" t="s">
        <v>231</v>
      </c>
      <c r="AF1515" s="2" t="s">
        <v>79</v>
      </c>
      <c r="AG1515" s="25" t="str">
        <f>IF(AD1515&gt;37,"Proton symporter", "Diffusion")</f>
        <v>Diffusion</v>
      </c>
      <c r="AH1515" s="3" t="s">
        <v>347</v>
      </c>
    </row>
    <row r="1516" spans="1:34" hidden="1" x14ac:dyDescent="0.2">
      <c r="A1516" s="8" t="s">
        <v>34</v>
      </c>
      <c r="B1516" s="9" t="s">
        <v>35</v>
      </c>
      <c r="C1516" s="1" t="s">
        <v>53</v>
      </c>
      <c r="D1516" s="13" t="s">
        <v>51</v>
      </c>
      <c r="E1516" s="1" t="s">
        <v>166</v>
      </c>
      <c r="F1516" s="1" t="s">
        <v>167</v>
      </c>
      <c r="G1516" s="1">
        <v>-10</v>
      </c>
      <c r="H1516" s="1">
        <v>-20</v>
      </c>
      <c r="I1516" s="1" t="s">
        <v>40</v>
      </c>
      <c r="J1516" s="1">
        <v>3.15</v>
      </c>
      <c r="K1516" s="1">
        <v>-10</v>
      </c>
      <c r="L1516" s="1">
        <v>-4.1350364963503603</v>
      </c>
      <c r="M1516" s="1" t="s">
        <v>40</v>
      </c>
      <c r="N1516" s="1">
        <v>9.2311435523114298</v>
      </c>
      <c r="O1516" s="1">
        <v>0.192214111922141</v>
      </c>
      <c r="Q1516" s="1">
        <v>1.92214111922141E-2</v>
      </c>
      <c r="R1516" s="1">
        <v>3.5949253769086399E-2</v>
      </c>
      <c r="S1516" s="11" t="s">
        <v>166</v>
      </c>
      <c r="T1516" s="2" t="s">
        <v>168</v>
      </c>
      <c r="U1516" s="3" t="s">
        <v>41</v>
      </c>
      <c r="V1516" s="2" t="s">
        <v>169</v>
      </c>
      <c r="W1516" s="2">
        <v>4</v>
      </c>
      <c r="X1516" s="2">
        <v>6</v>
      </c>
      <c r="Y1516" s="2">
        <v>2</v>
      </c>
      <c r="Z1516" s="2">
        <v>0</v>
      </c>
      <c r="AA1516" s="2">
        <v>0</v>
      </c>
      <c r="AB1516" s="12">
        <f>(W1516*4+X1516*1+Y1516*-2+Z1516*-3)/W1516</f>
        <v>4.5</v>
      </c>
      <c r="AC1516" s="3">
        <f>W1516*12.0107+X1516*1.00784+Y1516*15.999+Z1516*14.0067</f>
        <v>86.08784</v>
      </c>
      <c r="AD1516" s="12">
        <v>204</v>
      </c>
      <c r="AE1516" s="2" t="s">
        <v>170</v>
      </c>
      <c r="AF1516" s="2" t="s">
        <v>120</v>
      </c>
      <c r="AG1516" s="2" t="str">
        <f>IF(AD1516&gt;37,"Proton symporter", "Diffusion")</f>
        <v>Proton symporter</v>
      </c>
      <c r="AH1516" s="3" t="s">
        <v>171</v>
      </c>
    </row>
    <row r="1517" spans="1:34" x14ac:dyDescent="0.2">
      <c r="A1517" s="8" t="s">
        <v>34</v>
      </c>
      <c r="B1517" s="9" t="s">
        <v>35</v>
      </c>
      <c r="C1517" s="1" t="s">
        <v>53</v>
      </c>
      <c r="D1517" s="13" t="s">
        <v>51</v>
      </c>
      <c r="E1517" s="1" t="s">
        <v>216</v>
      </c>
      <c r="F1517" s="1" t="s">
        <v>217</v>
      </c>
      <c r="G1517" s="1">
        <v>-10</v>
      </c>
      <c r="H1517" s="1">
        <v>-20</v>
      </c>
      <c r="I1517" s="1" t="s">
        <v>40</v>
      </c>
      <c r="J1517" s="1">
        <v>3.15</v>
      </c>
      <c r="K1517" s="1">
        <v>-10</v>
      </c>
      <c r="L1517" s="1">
        <v>-4.1573333333333302</v>
      </c>
      <c r="M1517" s="1" t="s">
        <v>40</v>
      </c>
      <c r="N1517" s="1">
        <v>9.3680000000000092</v>
      </c>
      <c r="O1517" s="1">
        <v>0.210666666666669</v>
      </c>
      <c r="Q1517" s="1">
        <v>2.10666666666669E-2</v>
      </c>
      <c r="R1517" s="1">
        <v>3.4825896263853698E-2</v>
      </c>
      <c r="S1517" s="11" t="s">
        <v>216</v>
      </c>
      <c r="T1517" s="2" t="s">
        <v>218</v>
      </c>
      <c r="U1517" s="3" t="s">
        <v>41</v>
      </c>
      <c r="V1517" s="2" t="s">
        <v>219</v>
      </c>
      <c r="W1517" s="2">
        <v>3</v>
      </c>
      <c r="X1517" s="2">
        <v>8</v>
      </c>
      <c r="Y1517" s="2">
        <v>2</v>
      </c>
      <c r="Z1517" s="2">
        <v>0</v>
      </c>
      <c r="AA1517" s="2">
        <v>0</v>
      </c>
      <c r="AB1517" s="12">
        <f>(W1517*4+X1517*1+Y1517*-2+Z1517*-3)/W1517</f>
        <v>5.333333333333333</v>
      </c>
      <c r="AC1517" s="3">
        <f>W1517*12.0107+X1517*1.00784+Y1517*15.999+Z1517*14.0067</f>
        <v>76.092820000000003</v>
      </c>
      <c r="AD1517" s="12">
        <v>213</v>
      </c>
      <c r="AE1517" s="2" t="s">
        <v>220</v>
      </c>
      <c r="AF1517" s="2" t="s">
        <v>98</v>
      </c>
      <c r="AG1517" s="2" t="str">
        <f>IF(AD1517&gt;37,"Proton symporter", "Diffusion")</f>
        <v>Proton symporter</v>
      </c>
      <c r="AH1517" s="3" t="s">
        <v>221</v>
      </c>
    </row>
    <row r="1518" spans="1:34" hidden="1" x14ac:dyDescent="0.2">
      <c r="A1518" s="8" t="s">
        <v>34</v>
      </c>
      <c r="B1518" s="9" t="s">
        <v>35</v>
      </c>
      <c r="C1518" s="1" t="s">
        <v>52</v>
      </c>
      <c r="D1518" s="13" t="s">
        <v>51</v>
      </c>
      <c r="E1518" s="1" t="s">
        <v>339</v>
      </c>
      <c r="F1518" s="1" t="s">
        <v>340</v>
      </c>
      <c r="G1518" s="1">
        <v>-10</v>
      </c>
      <c r="H1518" s="1">
        <v>-20</v>
      </c>
      <c r="I1518" s="1" t="s">
        <v>40</v>
      </c>
      <c r="J1518" s="1">
        <v>3.15</v>
      </c>
      <c r="K1518" s="1">
        <v>-10</v>
      </c>
      <c r="L1518" s="1">
        <v>-3.2087209302325599</v>
      </c>
      <c r="M1518" s="1" t="s">
        <v>40</v>
      </c>
      <c r="N1518" s="1">
        <v>8.8976744186046499</v>
      </c>
      <c r="O1518" s="1">
        <v>0.27558139534883702</v>
      </c>
      <c r="Q1518" s="1">
        <v>2.7558139534883699E-2</v>
      </c>
      <c r="R1518" s="1">
        <v>3.4797437725613202E-2</v>
      </c>
      <c r="S1518" s="11" t="s">
        <v>339</v>
      </c>
      <c r="T1518" s="2" t="s">
        <v>339</v>
      </c>
      <c r="U1518" s="3" t="s">
        <v>106</v>
      </c>
      <c r="V1518" s="2" t="s">
        <v>341</v>
      </c>
      <c r="W1518" s="2">
        <v>4</v>
      </c>
      <c r="X1518" s="2">
        <v>10</v>
      </c>
      <c r="Y1518" s="2">
        <v>0</v>
      </c>
      <c r="Z1518" s="2">
        <v>0</v>
      </c>
      <c r="AA1518" s="2">
        <v>0</v>
      </c>
      <c r="AB1518" s="12">
        <f>(W1518*4+X1518*1+Y1518*-2+Z1518*-3)/W1518</f>
        <v>6.5</v>
      </c>
      <c r="AC1518" s="3">
        <f>W1518*12.0107+X1518*1.00784+Y1518*15.999+Z1518*14.0067</f>
        <v>58.121200000000002</v>
      </c>
      <c r="AD1518" s="24">
        <v>-1</v>
      </c>
      <c r="AE1518" s="3" t="s">
        <v>321</v>
      </c>
      <c r="AF1518" s="2" t="s">
        <v>313</v>
      </c>
      <c r="AG1518" s="25" t="str">
        <f>IF(AD1518&gt;37,"Proton symporter", "Diffusion")</f>
        <v>Diffusion</v>
      </c>
      <c r="AH1518" s="3" t="s">
        <v>342</v>
      </c>
    </row>
    <row r="1519" spans="1:34" hidden="1" x14ac:dyDescent="0.2">
      <c r="A1519" s="8" t="s">
        <v>34</v>
      </c>
      <c r="B1519" s="9" t="s">
        <v>35</v>
      </c>
      <c r="C1519" s="1" t="s">
        <v>53</v>
      </c>
      <c r="D1519" s="13" t="s">
        <v>51</v>
      </c>
      <c r="E1519" s="1" t="s">
        <v>205</v>
      </c>
      <c r="F1519" s="1" t="s">
        <v>206</v>
      </c>
      <c r="G1519" s="1">
        <v>-10</v>
      </c>
      <c r="H1519" s="1">
        <v>-20</v>
      </c>
      <c r="I1519" s="1" t="s">
        <v>40</v>
      </c>
      <c r="J1519" s="1">
        <v>3.15</v>
      </c>
      <c r="K1519" s="1">
        <v>-10</v>
      </c>
      <c r="L1519" s="1">
        <v>-4.0988593155893502</v>
      </c>
      <c r="M1519" s="1" t="s">
        <v>40</v>
      </c>
      <c r="N1519" s="1">
        <v>9.2790874524714795</v>
      </c>
      <c r="O1519" s="1">
        <v>0.18022813688212999</v>
      </c>
      <c r="Q1519" s="1">
        <v>1.8022813688212999E-2</v>
      </c>
      <c r="R1519" s="1">
        <v>3.44967874201762E-2</v>
      </c>
      <c r="S1519" s="20" t="s">
        <v>205</v>
      </c>
      <c r="T1519" s="3" t="s">
        <v>207</v>
      </c>
      <c r="U1519" s="3" t="s">
        <v>106</v>
      </c>
      <c r="V1519" s="3" t="s">
        <v>208</v>
      </c>
      <c r="W1519" s="3">
        <v>4</v>
      </c>
      <c r="X1519" s="3">
        <v>8</v>
      </c>
      <c r="Y1519" s="3">
        <v>2</v>
      </c>
      <c r="Z1519" s="3">
        <v>0</v>
      </c>
      <c r="AA1519" s="3">
        <v>0</v>
      </c>
      <c r="AB1519" s="12">
        <f>(W1519*4+X1519*1+Y1519*-2+Z1519*-3)/W1519</f>
        <v>5</v>
      </c>
      <c r="AC1519" s="3">
        <f>W1519*12.0107+X1519*1.00784+Y1519*15.999+Z1519*14.0067</f>
        <v>88.103520000000003</v>
      </c>
      <c r="AD1519" s="12">
        <v>77.099999999999994</v>
      </c>
      <c r="AE1519" s="3" t="s">
        <v>209</v>
      </c>
      <c r="AF1519" s="3" t="s">
        <v>79</v>
      </c>
      <c r="AG1519" s="2" t="str">
        <f>IF(AD1519&gt;37,"Proton symporter", "Diffusion")</f>
        <v>Proton symporter</v>
      </c>
      <c r="AH1519" s="3" t="s">
        <v>210</v>
      </c>
    </row>
    <row r="1520" spans="1:34" hidden="1" x14ac:dyDescent="0.2">
      <c r="A1520" s="8" t="s">
        <v>34</v>
      </c>
      <c r="B1520" s="9" t="s">
        <v>35</v>
      </c>
      <c r="C1520" s="1" t="s">
        <v>53</v>
      </c>
      <c r="D1520" s="13" t="s">
        <v>51</v>
      </c>
      <c r="E1520" s="1" t="s">
        <v>182</v>
      </c>
      <c r="F1520" s="1" t="s">
        <v>183</v>
      </c>
      <c r="G1520" s="1">
        <v>-10</v>
      </c>
      <c r="H1520" s="1">
        <v>-20</v>
      </c>
      <c r="I1520" s="1" t="s">
        <v>40</v>
      </c>
      <c r="J1520" s="1">
        <v>3.15</v>
      </c>
      <c r="K1520" s="1">
        <v>-10</v>
      </c>
      <c r="L1520" s="1">
        <v>-4.0884615384615302</v>
      </c>
      <c r="M1520" s="1" t="s">
        <v>40</v>
      </c>
      <c r="N1520" s="1">
        <v>9.2707692307692202</v>
      </c>
      <c r="O1520" s="1">
        <v>0.182307692307694</v>
      </c>
      <c r="Q1520" s="1">
        <v>1.8230769230769401E-2</v>
      </c>
      <c r="R1520" s="1">
        <v>3.4495655905698398E-2</v>
      </c>
      <c r="S1520" s="11" t="s">
        <v>182</v>
      </c>
      <c r="T1520" s="2" t="s">
        <v>182</v>
      </c>
      <c r="U1520" s="3" t="s">
        <v>41</v>
      </c>
      <c r="V1520" s="2" t="s">
        <v>184</v>
      </c>
      <c r="W1520" s="2">
        <v>4</v>
      </c>
      <c r="X1520" s="2">
        <v>7</v>
      </c>
      <c r="Y1520" s="2">
        <v>2</v>
      </c>
      <c r="Z1520" s="2">
        <v>0</v>
      </c>
      <c r="AA1520" s="2">
        <v>0</v>
      </c>
      <c r="AB1520" s="12">
        <f>(W1520*4+X1520*1+Y1520*-2+Z1520*-3)/W1520</f>
        <v>4.75</v>
      </c>
      <c r="AC1520" s="3">
        <f>W1520*12.0107+X1520*1.00784+Y1520*15.999+Z1520*14.0067</f>
        <v>87.095680000000002</v>
      </c>
      <c r="AD1520" s="12">
        <v>163.5</v>
      </c>
      <c r="AE1520" s="2" t="s">
        <v>131</v>
      </c>
      <c r="AF1520" s="2" t="s">
        <v>79</v>
      </c>
      <c r="AG1520" s="2" t="str">
        <f>IF(AD1520&gt;37,"Proton symporter", "Diffusion")</f>
        <v>Proton symporter</v>
      </c>
      <c r="AH1520" s="3" t="s">
        <v>185</v>
      </c>
    </row>
    <row r="1521" spans="1:34" hidden="1" x14ac:dyDescent="0.2">
      <c r="A1521" s="8" t="s">
        <v>34</v>
      </c>
      <c r="B1521" s="9" t="s">
        <v>35</v>
      </c>
      <c r="C1521" s="1" t="s">
        <v>53</v>
      </c>
      <c r="D1521" s="13" t="s">
        <v>51</v>
      </c>
      <c r="E1521" s="1" t="s">
        <v>273</v>
      </c>
      <c r="F1521" s="1" t="s">
        <v>274</v>
      </c>
      <c r="G1521" s="1">
        <v>-10</v>
      </c>
      <c r="H1521" s="1">
        <v>-20</v>
      </c>
      <c r="I1521" s="1" t="s">
        <v>40</v>
      </c>
      <c r="J1521" s="1">
        <v>3.15</v>
      </c>
      <c r="K1521" s="1">
        <v>-10</v>
      </c>
      <c r="L1521" s="1">
        <v>-4.1749347258485701</v>
      </c>
      <c r="M1521" s="1" t="s">
        <v>40</v>
      </c>
      <c r="N1521" s="1">
        <v>9.3812010443864295</v>
      </c>
      <c r="O1521" s="1">
        <v>0.20626631853786001</v>
      </c>
      <c r="Q1521" s="1">
        <v>2.0626631853786E-2</v>
      </c>
      <c r="R1521" s="1">
        <v>3.4119416335616298E-2</v>
      </c>
      <c r="S1521" s="22" t="s">
        <v>273</v>
      </c>
      <c r="T1521" s="3" t="s">
        <v>275</v>
      </c>
      <c r="U1521" s="3" t="s">
        <v>41</v>
      </c>
      <c r="V1521" s="2" t="s">
        <v>276</v>
      </c>
      <c r="W1521" s="2">
        <v>3</v>
      </c>
      <c r="X1521" s="2">
        <v>12</v>
      </c>
      <c r="Y1521" s="2">
        <v>0</v>
      </c>
      <c r="Z1521" s="2">
        <v>2</v>
      </c>
      <c r="AA1521" s="2">
        <v>0</v>
      </c>
      <c r="AB1521" s="12">
        <f>(W1521*4+X1521*1+Y1521*-2+Z1521*-3)/W1521</f>
        <v>6</v>
      </c>
      <c r="AC1521" s="3">
        <f>W1521*12.0107+X1521*1.00784+Y1521*15.999+Z1521*14.0067</f>
        <v>76.139580000000009</v>
      </c>
      <c r="AD1521" s="12">
        <v>139.30000000000001</v>
      </c>
      <c r="AE1521" s="2" t="s">
        <v>277</v>
      </c>
      <c r="AF1521" s="2" t="s">
        <v>125</v>
      </c>
      <c r="AG1521" s="2" t="str">
        <f>IF(AD1521&gt;37,"Proton symporter", "Diffusion")</f>
        <v>Proton symporter</v>
      </c>
      <c r="AH1521" s="3" t="s">
        <v>278</v>
      </c>
    </row>
    <row r="1522" spans="1:34" hidden="1" x14ac:dyDescent="0.2">
      <c r="A1522" s="8" t="s">
        <v>34</v>
      </c>
      <c r="B1522" s="9" t="s">
        <v>35</v>
      </c>
      <c r="C1522" s="1" t="s">
        <v>53</v>
      </c>
      <c r="D1522" s="13" t="s">
        <v>51</v>
      </c>
      <c r="E1522" s="1" t="s">
        <v>186</v>
      </c>
      <c r="F1522" s="1" t="s">
        <v>187</v>
      </c>
      <c r="G1522" s="1">
        <v>-10</v>
      </c>
      <c r="H1522" s="1">
        <v>-20</v>
      </c>
      <c r="I1522" s="1" t="s">
        <v>40</v>
      </c>
      <c r="J1522" s="1">
        <v>3.15</v>
      </c>
      <c r="K1522" s="1">
        <v>-10</v>
      </c>
      <c r="L1522" s="1">
        <v>-4.1049848942598199</v>
      </c>
      <c r="M1522" s="1" t="s">
        <v>40</v>
      </c>
      <c r="N1522" s="1">
        <v>9.2839879154078595</v>
      </c>
      <c r="O1522" s="1">
        <v>0.17900302114803601</v>
      </c>
      <c r="Q1522" s="1">
        <v>1.7900302114803601E-2</v>
      </c>
      <c r="R1522" s="1">
        <v>3.3870357007105403E-2</v>
      </c>
      <c r="S1522" s="11" t="s">
        <v>186</v>
      </c>
      <c r="T1522" s="2" t="s">
        <v>186</v>
      </c>
      <c r="U1522" s="3" t="s">
        <v>41</v>
      </c>
      <c r="V1522" s="2" t="s">
        <v>184</v>
      </c>
      <c r="W1522" s="2">
        <v>4</v>
      </c>
      <c r="X1522" s="2">
        <v>7</v>
      </c>
      <c r="Y1522" s="2">
        <v>2</v>
      </c>
      <c r="Z1522" s="2">
        <v>0</v>
      </c>
      <c r="AA1522" s="2">
        <v>0</v>
      </c>
      <c r="AB1522" s="12">
        <f>(W1522*4+X1522*1+Y1522*-2+Z1522*-3)/W1522</f>
        <v>4.75</v>
      </c>
      <c r="AC1522" s="3">
        <f>W1522*12.0107+X1522*1.00784+Y1522*15.999+Z1522*14.0067</f>
        <v>87.095680000000002</v>
      </c>
      <c r="AD1522" s="12">
        <v>155</v>
      </c>
      <c r="AE1522" s="2" t="s">
        <v>131</v>
      </c>
      <c r="AF1522" s="2" t="s">
        <v>135</v>
      </c>
      <c r="AG1522" s="2" t="str">
        <f>IF(AD1522&gt;37,"Proton symporter", "Diffusion")</f>
        <v>Proton symporter</v>
      </c>
      <c r="AH1522" s="3" t="s">
        <v>188</v>
      </c>
    </row>
    <row r="1523" spans="1:34" hidden="1" x14ac:dyDescent="0.2">
      <c r="A1523" s="8" t="s">
        <v>34</v>
      </c>
      <c r="B1523" s="9" t="s">
        <v>35</v>
      </c>
      <c r="C1523" s="1" t="s">
        <v>53</v>
      </c>
      <c r="D1523" s="13" t="s">
        <v>51</v>
      </c>
      <c r="E1523" s="1" t="s">
        <v>240</v>
      </c>
      <c r="F1523" s="1" t="s">
        <v>235</v>
      </c>
      <c r="G1523" s="1">
        <v>-10</v>
      </c>
      <c r="H1523" s="1">
        <v>-20</v>
      </c>
      <c r="I1523" s="1" t="s">
        <v>40</v>
      </c>
      <c r="J1523" s="1">
        <v>3.15</v>
      </c>
      <c r="K1523" s="1">
        <v>-10</v>
      </c>
      <c r="L1523" s="1">
        <v>-4.10535346602608</v>
      </c>
      <c r="M1523" s="1" t="s">
        <v>40</v>
      </c>
      <c r="N1523" s="1">
        <v>9.3493479752916997</v>
      </c>
      <c r="O1523" s="1">
        <v>0.16266300617707899</v>
      </c>
      <c r="Q1523" s="1">
        <v>1.62663006177079E-2</v>
      </c>
      <c r="R1523" s="1">
        <v>3.1847028838559201E-2</v>
      </c>
      <c r="S1523" s="20" t="s">
        <v>241</v>
      </c>
      <c r="T1523" s="3" t="s">
        <v>242</v>
      </c>
      <c r="U1523" s="3" t="s">
        <v>106</v>
      </c>
      <c r="V1523" s="3" t="s">
        <v>238</v>
      </c>
      <c r="W1523" s="3">
        <v>4</v>
      </c>
      <c r="X1523" s="3">
        <v>10</v>
      </c>
      <c r="Y1523" s="3">
        <v>2</v>
      </c>
      <c r="Z1523" s="3">
        <v>0</v>
      </c>
      <c r="AA1523" s="3">
        <v>0</v>
      </c>
      <c r="AB1523" s="12">
        <f>(W1523*4+X1523*1+Y1523*-2+Z1523*-3)/W1523</f>
        <v>5.5</v>
      </c>
      <c r="AC1523" s="3">
        <f>W1523*12.0107+X1523*1.00784+Y1523*15.999+Z1523*14.0067</f>
        <v>90.119200000000006</v>
      </c>
      <c r="AD1523" s="12">
        <v>207</v>
      </c>
      <c r="AE1523" s="2" t="s">
        <v>220</v>
      </c>
      <c r="AF1523" s="3" t="s">
        <v>243</v>
      </c>
      <c r="AG1523" s="2" t="str">
        <f>IF(AD1523&gt;37,"Proton symporter", "Diffusion")</f>
        <v>Proton symporter</v>
      </c>
      <c r="AH1523" s="3" t="s">
        <v>239</v>
      </c>
    </row>
    <row r="1524" spans="1:34" hidden="1" x14ac:dyDescent="0.2">
      <c r="A1524" s="8" t="s">
        <v>34</v>
      </c>
      <c r="B1524" s="9" t="s">
        <v>35</v>
      </c>
      <c r="C1524" s="1" t="s">
        <v>53</v>
      </c>
      <c r="D1524" s="13" t="s">
        <v>51</v>
      </c>
      <c r="E1524" s="1" t="s">
        <v>234</v>
      </c>
      <c r="F1524" s="1" t="s">
        <v>235</v>
      </c>
      <c r="G1524" s="1">
        <v>-10</v>
      </c>
      <c r="H1524" s="1">
        <v>-20</v>
      </c>
      <c r="I1524" s="1" t="s">
        <v>40</v>
      </c>
      <c r="J1524" s="1">
        <v>3.15</v>
      </c>
      <c r="K1524" s="1">
        <v>-10</v>
      </c>
      <c r="L1524" s="1">
        <v>-4.1065798492117898</v>
      </c>
      <c r="M1524" s="1" t="s">
        <v>40</v>
      </c>
      <c r="N1524" s="1">
        <v>9.3502398903358408</v>
      </c>
      <c r="O1524" s="1">
        <v>0.162440027416038</v>
      </c>
      <c r="Q1524" s="1">
        <v>1.62440027416038E-2</v>
      </c>
      <c r="R1524" s="1">
        <v>3.1803372870308197E-2</v>
      </c>
      <c r="S1524" s="20" t="s">
        <v>236</v>
      </c>
      <c r="T1524" s="3" t="s">
        <v>237</v>
      </c>
      <c r="U1524" s="3" t="s">
        <v>106</v>
      </c>
      <c r="V1524" s="3" t="s">
        <v>238</v>
      </c>
      <c r="W1524" s="3">
        <v>4</v>
      </c>
      <c r="X1524" s="3">
        <v>10</v>
      </c>
      <c r="Y1524" s="3">
        <v>2</v>
      </c>
      <c r="Z1524" s="3">
        <v>0</v>
      </c>
      <c r="AA1524" s="3">
        <v>0</v>
      </c>
      <c r="AB1524" s="12">
        <f>(W1524*4+X1524*1+Y1524*-2+Z1524*-3)/W1524</f>
        <v>5.5</v>
      </c>
      <c r="AC1524" s="3">
        <f>W1524*12.0107+X1524*1.00784+Y1524*15.999+Z1524*14.0067</f>
        <v>90.119200000000006</v>
      </c>
      <c r="AD1524" s="12">
        <v>207</v>
      </c>
      <c r="AE1524" s="2" t="s">
        <v>220</v>
      </c>
      <c r="AF1524" s="3" t="s">
        <v>79</v>
      </c>
      <c r="AG1524" s="2" t="str">
        <f>IF(AD1524&gt;37,"Proton symporter", "Diffusion")</f>
        <v>Proton symporter</v>
      </c>
      <c r="AH1524" s="3" t="s">
        <v>239</v>
      </c>
    </row>
    <row r="1525" spans="1:34" hidden="1" x14ac:dyDescent="0.2">
      <c r="A1525" s="8" t="s">
        <v>34</v>
      </c>
      <c r="B1525" s="9" t="s">
        <v>35</v>
      </c>
      <c r="C1525" s="1" t="s">
        <v>53</v>
      </c>
      <c r="D1525" s="13" t="s">
        <v>51</v>
      </c>
      <c r="E1525" s="1" t="s">
        <v>249</v>
      </c>
      <c r="F1525" s="1" t="s">
        <v>250</v>
      </c>
      <c r="G1525" s="1">
        <v>-10</v>
      </c>
      <c r="H1525" s="1">
        <v>-20</v>
      </c>
      <c r="I1525" s="1" t="s">
        <v>40</v>
      </c>
      <c r="J1525" s="1">
        <v>3.15</v>
      </c>
      <c r="K1525" s="1">
        <v>-10</v>
      </c>
      <c r="L1525" s="1">
        <v>-4.1078028747433297</v>
      </c>
      <c r="M1525" s="1" t="s">
        <v>40</v>
      </c>
      <c r="N1525" s="1">
        <v>9.3511293634497008</v>
      </c>
      <c r="O1525" s="1">
        <v>0.16221765913757899</v>
      </c>
      <c r="Q1525" s="1">
        <v>1.6221765913757898E-2</v>
      </c>
      <c r="R1525" s="1">
        <v>3.17598364255854E-2</v>
      </c>
      <c r="S1525" s="20" t="s">
        <v>251</v>
      </c>
      <c r="T1525" s="3" t="s">
        <v>252</v>
      </c>
      <c r="U1525" s="3" t="s">
        <v>106</v>
      </c>
      <c r="V1525" s="3" t="s">
        <v>238</v>
      </c>
      <c r="W1525" s="3">
        <v>4</v>
      </c>
      <c r="X1525" s="3">
        <v>10</v>
      </c>
      <c r="Y1525" s="3">
        <v>2</v>
      </c>
      <c r="Z1525" s="3">
        <v>0</v>
      </c>
      <c r="AA1525" s="3">
        <v>0</v>
      </c>
      <c r="AB1525" s="12">
        <f>(W1525*4+X1525*1+Y1525*-2+Z1525*-3)/W1525</f>
        <v>5.5</v>
      </c>
      <c r="AC1525" s="3">
        <f>W1525*12.0107+X1525*1.00784+Y1525*15.999+Z1525*14.0067</f>
        <v>90.119200000000006</v>
      </c>
      <c r="AD1525" s="12">
        <v>177</v>
      </c>
      <c r="AE1525" s="3" t="s">
        <v>220</v>
      </c>
      <c r="AF1525" s="3" t="s">
        <v>135</v>
      </c>
      <c r="AG1525" s="2" t="str">
        <f>IF(AD1525&gt;37,"Proton symporter", "Diffusion")</f>
        <v>Proton symporter</v>
      </c>
      <c r="AH1525" s="3" t="s">
        <v>253</v>
      </c>
    </row>
    <row r="1526" spans="1:34" hidden="1" x14ac:dyDescent="0.2">
      <c r="A1526" s="8" t="s">
        <v>34</v>
      </c>
      <c r="B1526" s="9" t="s">
        <v>35</v>
      </c>
      <c r="C1526" s="1" t="s">
        <v>53</v>
      </c>
      <c r="D1526" s="13" t="s">
        <v>51</v>
      </c>
      <c r="E1526" s="1" t="s">
        <v>244</v>
      </c>
      <c r="F1526" s="1" t="s">
        <v>245</v>
      </c>
      <c r="G1526" s="1">
        <v>-10</v>
      </c>
      <c r="H1526" s="1">
        <v>-20</v>
      </c>
      <c r="I1526" s="1" t="s">
        <v>40</v>
      </c>
      <c r="J1526" s="1">
        <v>3.15</v>
      </c>
      <c r="K1526" s="1">
        <v>-10</v>
      </c>
      <c r="L1526" s="1">
        <v>-4.11145194274029</v>
      </c>
      <c r="M1526" s="1" t="s">
        <v>40</v>
      </c>
      <c r="N1526" s="1">
        <v>9.35378323108384</v>
      </c>
      <c r="O1526" s="1">
        <v>0.16155419222903999</v>
      </c>
      <c r="Q1526" s="1">
        <v>1.6155419222904002E-2</v>
      </c>
      <c r="R1526" s="1">
        <v>3.1629939344090197E-2</v>
      </c>
      <c r="S1526" s="20" t="s">
        <v>246</v>
      </c>
      <c r="T1526" s="3" t="s">
        <v>247</v>
      </c>
      <c r="U1526" s="3" t="s">
        <v>106</v>
      </c>
      <c r="V1526" s="3" t="s">
        <v>238</v>
      </c>
      <c r="W1526" s="3">
        <v>4</v>
      </c>
      <c r="X1526" s="3">
        <v>10</v>
      </c>
      <c r="Y1526" s="3">
        <v>2</v>
      </c>
      <c r="Z1526" s="3">
        <v>0</v>
      </c>
      <c r="AA1526" s="3">
        <v>0</v>
      </c>
      <c r="AB1526" s="12">
        <f>(W1526*4+X1526*1+Y1526*-2+Z1526*-3)/W1526</f>
        <v>5.5</v>
      </c>
      <c r="AC1526" s="3">
        <f>W1526*12.0107+X1526*1.00784+Y1526*15.999+Z1526*14.0067</f>
        <v>90.119200000000006</v>
      </c>
      <c r="AD1526" s="12">
        <v>230</v>
      </c>
      <c r="AE1526" s="2" t="s">
        <v>220</v>
      </c>
      <c r="AF1526" s="3" t="s">
        <v>120</v>
      </c>
      <c r="AG1526" s="2" t="str">
        <f>IF(AD1526&gt;37,"Proton symporter", "Diffusion")</f>
        <v>Proton symporter</v>
      </c>
      <c r="AH1526" s="3" t="s">
        <v>248</v>
      </c>
    </row>
    <row r="1527" spans="1:34" hidden="1" x14ac:dyDescent="0.2">
      <c r="A1527" s="8" t="s">
        <v>34</v>
      </c>
      <c r="B1527" s="9" t="s">
        <v>35</v>
      </c>
      <c r="C1527" s="1" t="s">
        <v>53</v>
      </c>
      <c r="D1527" s="13" t="s">
        <v>51</v>
      </c>
      <c r="E1527" s="1" t="s">
        <v>146</v>
      </c>
      <c r="F1527" s="1" t="s">
        <v>147</v>
      </c>
      <c r="G1527" s="1">
        <v>-10</v>
      </c>
      <c r="H1527" s="1">
        <v>-20</v>
      </c>
      <c r="I1527" s="1" t="s">
        <v>40</v>
      </c>
      <c r="J1527" s="1">
        <v>3.15</v>
      </c>
      <c r="K1527" s="1">
        <v>-10</v>
      </c>
      <c r="L1527" s="1">
        <v>-4.1728508449669404</v>
      </c>
      <c r="M1527" s="1" t="s">
        <v>40</v>
      </c>
      <c r="N1527" s="1">
        <v>9.2163850110213197</v>
      </c>
      <c r="O1527" s="1">
        <v>8.7068332108743707E-2</v>
      </c>
      <c r="Q1527" s="1">
        <v>8.7068332108743707E-3</v>
      </c>
      <c r="R1527" s="1">
        <v>3.0860663397416201E-2</v>
      </c>
      <c r="S1527" s="20" t="s">
        <v>148</v>
      </c>
      <c r="T1527" s="3" t="s">
        <v>148</v>
      </c>
      <c r="U1527" s="3" t="s">
        <v>106</v>
      </c>
      <c r="V1527" s="3" t="s">
        <v>149</v>
      </c>
      <c r="W1527" s="3">
        <v>9</v>
      </c>
      <c r="X1527" s="3">
        <v>7</v>
      </c>
      <c r="Y1527" s="3">
        <v>3</v>
      </c>
      <c r="Z1527" s="3">
        <v>0</v>
      </c>
      <c r="AA1527" s="3">
        <v>-1</v>
      </c>
      <c r="AB1527" s="12">
        <f>(W1527*4+X1527*1+Y1527*-2+Z1527*-3)/W1527</f>
        <v>4.1111111111111107</v>
      </c>
      <c r="AC1527" s="3">
        <f>W1527*12.0107+X1527*1.00784+Y1527*15.999+Z1527*14.0067</f>
        <v>163.14818</v>
      </c>
      <c r="AD1527" s="12">
        <v>346</v>
      </c>
      <c r="AE1527" s="22" t="s">
        <v>139</v>
      </c>
      <c r="AF1527" s="2" t="s">
        <v>150</v>
      </c>
      <c r="AG1527" s="2" t="str">
        <f>IF(AD1527&gt;37,"Proton symporter", "Diffusion")</f>
        <v>Proton symporter</v>
      </c>
      <c r="AH1527" s="3" t="s">
        <v>151</v>
      </c>
    </row>
    <row r="1528" spans="1:34" hidden="1" x14ac:dyDescent="0.2">
      <c r="A1528" s="8" t="s">
        <v>34</v>
      </c>
      <c r="B1528" s="9" t="s">
        <v>35</v>
      </c>
      <c r="C1528" s="1" t="s">
        <v>53</v>
      </c>
      <c r="D1528" s="13" t="s">
        <v>51</v>
      </c>
      <c r="E1528" s="1" t="s">
        <v>161</v>
      </c>
      <c r="F1528" s="1" t="s">
        <v>162</v>
      </c>
      <c r="G1528" s="1">
        <v>-10</v>
      </c>
      <c r="H1528" s="1">
        <v>-20</v>
      </c>
      <c r="I1528" s="1" t="s">
        <v>40</v>
      </c>
      <c r="J1528" s="1">
        <v>3.15</v>
      </c>
      <c r="K1528" s="1">
        <v>-10</v>
      </c>
      <c r="L1528" s="1">
        <v>-4.1668469442942104</v>
      </c>
      <c r="M1528" s="1" t="s">
        <v>40</v>
      </c>
      <c r="N1528" s="1">
        <v>9.2309356408869601</v>
      </c>
      <c r="O1528" s="1">
        <v>0.128177393185506</v>
      </c>
      <c r="Q1528" s="1">
        <v>1.2817739318550601E-2</v>
      </c>
      <c r="R1528" s="1">
        <v>3.06618248884135E-2</v>
      </c>
      <c r="S1528" s="20" t="s">
        <v>161</v>
      </c>
      <c r="T1528" s="3" t="s">
        <v>161</v>
      </c>
      <c r="U1528" s="3" t="s">
        <v>106</v>
      </c>
      <c r="V1528" s="20" t="s">
        <v>163</v>
      </c>
      <c r="W1528" s="3">
        <v>6</v>
      </c>
      <c r="X1528" s="3">
        <v>6</v>
      </c>
      <c r="Y1528" s="3">
        <v>2</v>
      </c>
      <c r="Z1528" s="3">
        <v>0</v>
      </c>
      <c r="AA1528" s="3">
        <v>0</v>
      </c>
      <c r="AB1528" s="12">
        <f>(W1528*4+X1528*1+Y1528*-2+Z1528*-3)/W1528</f>
        <v>4.333333333333333</v>
      </c>
      <c r="AC1528" s="3">
        <f>W1528*12.0107+X1528*1.00784+Y1528*15.999+Z1528*14.0067</f>
        <v>110.10924</v>
      </c>
      <c r="AD1528" s="12">
        <v>245</v>
      </c>
      <c r="AE1528" s="3" t="s">
        <v>164</v>
      </c>
      <c r="AF1528" s="2" t="s">
        <v>98</v>
      </c>
      <c r="AG1528" s="2" t="str">
        <f>IF(AD1528&gt;37,"Proton symporter", "Diffusion")</f>
        <v>Proton symporter</v>
      </c>
      <c r="AH1528" s="3" t="s">
        <v>165</v>
      </c>
    </row>
    <row r="1529" spans="1:34" hidden="1" x14ac:dyDescent="0.2">
      <c r="A1529" s="8" t="s">
        <v>34</v>
      </c>
      <c r="B1529" s="9" t="s">
        <v>35</v>
      </c>
      <c r="C1529" s="1" t="s">
        <v>53</v>
      </c>
      <c r="D1529" s="13" t="s">
        <v>51</v>
      </c>
      <c r="E1529" s="1" t="s">
        <v>189</v>
      </c>
      <c r="F1529" s="1" t="s">
        <v>190</v>
      </c>
      <c r="G1529" s="1">
        <v>-10</v>
      </c>
      <c r="H1529" s="1">
        <v>-20</v>
      </c>
      <c r="I1529" s="1" t="s">
        <v>40</v>
      </c>
      <c r="J1529" s="1">
        <v>3.15</v>
      </c>
      <c r="K1529" s="1">
        <v>-10</v>
      </c>
      <c r="L1529" s="1">
        <v>-4.2818181818181804</v>
      </c>
      <c r="M1529" s="1" t="s">
        <v>40</v>
      </c>
      <c r="N1529" s="1">
        <v>9.4015151515151594</v>
      </c>
      <c r="O1529" s="1">
        <v>0.11969696969697199</v>
      </c>
      <c r="Q1529" s="1">
        <v>1.1969696969697199E-2</v>
      </c>
      <c r="R1529" s="1">
        <v>3.04626468291028E-2</v>
      </c>
      <c r="S1529" s="11" t="s">
        <v>189</v>
      </c>
      <c r="T1529" s="2" t="s">
        <v>189</v>
      </c>
      <c r="U1529" s="3" t="s">
        <v>41</v>
      </c>
      <c r="V1529" s="2" t="s">
        <v>191</v>
      </c>
      <c r="W1529" s="2">
        <v>5</v>
      </c>
      <c r="X1529" s="2">
        <v>11</v>
      </c>
      <c r="Y1529" s="2">
        <v>2</v>
      </c>
      <c r="Z1529" s="2">
        <v>1</v>
      </c>
      <c r="AA1529" s="2">
        <v>0</v>
      </c>
      <c r="AB1529" s="12">
        <f>(W1529*4+X1529*1+Y1529*-2+Z1529*-3)/W1529</f>
        <v>4.8</v>
      </c>
      <c r="AC1529" s="3">
        <f>W1529*12.0107+X1529*1.00784+Y1529*15.999+Z1529*14.0067</f>
        <v>117.14444</v>
      </c>
      <c r="AD1529" s="12">
        <v>247.5</v>
      </c>
      <c r="AE1529" s="2" t="s">
        <v>192</v>
      </c>
      <c r="AF1529" s="2" t="s">
        <v>44</v>
      </c>
      <c r="AG1529" s="2" t="str">
        <f>IF(AD1529&gt;37,"Proton symporter", "Diffusion")</f>
        <v>Proton symporter</v>
      </c>
      <c r="AH1529" s="3" t="s">
        <v>193</v>
      </c>
    </row>
    <row r="1530" spans="1:34" hidden="1" x14ac:dyDescent="0.2">
      <c r="A1530" s="8" t="s">
        <v>34</v>
      </c>
      <c r="B1530" s="9" t="s">
        <v>35</v>
      </c>
      <c r="C1530" s="1" t="s">
        <v>53</v>
      </c>
      <c r="D1530" s="13" t="s">
        <v>51</v>
      </c>
      <c r="E1530" s="1" t="s">
        <v>222</v>
      </c>
      <c r="F1530" s="1" t="s">
        <v>223</v>
      </c>
      <c r="G1530" s="1">
        <v>-10</v>
      </c>
      <c r="H1530" s="1">
        <v>-20</v>
      </c>
      <c r="I1530" s="1" t="s">
        <v>40</v>
      </c>
      <c r="J1530" s="1">
        <v>3.15</v>
      </c>
      <c r="K1530" s="1">
        <v>-10</v>
      </c>
      <c r="L1530" s="1">
        <v>-4.0623145400593499</v>
      </c>
      <c r="M1530" s="1" t="s">
        <v>40</v>
      </c>
      <c r="N1530" s="1">
        <v>9.2967359050445104</v>
      </c>
      <c r="O1530" s="1">
        <v>0.234421364985164</v>
      </c>
      <c r="Q1530" s="1">
        <v>2.3442136498516401E-2</v>
      </c>
      <c r="R1530" s="1">
        <v>2.9578264539773198E-2</v>
      </c>
      <c r="S1530" s="11" t="s">
        <v>222</v>
      </c>
      <c r="T1530" s="2" t="s">
        <v>222</v>
      </c>
      <c r="U1530" s="3" t="s">
        <v>41</v>
      </c>
      <c r="V1530" s="2" t="s">
        <v>224</v>
      </c>
      <c r="W1530" s="2">
        <v>3</v>
      </c>
      <c r="X1530" s="2">
        <v>6</v>
      </c>
      <c r="Y1530" s="2">
        <v>1</v>
      </c>
      <c r="Z1530" s="2">
        <v>0</v>
      </c>
      <c r="AA1530" s="2">
        <v>0</v>
      </c>
      <c r="AB1530" s="12">
        <f>(W1530*4+X1530*1+Y1530*-2+Z1530*-3)/W1530</f>
        <v>5.333333333333333</v>
      </c>
      <c r="AC1530" s="3">
        <f>W1530*12.0107+X1530*1.00784+Y1530*15.999+Z1530*14.0067</f>
        <v>58.078140000000005</v>
      </c>
      <c r="AD1530" s="12">
        <v>56</v>
      </c>
      <c r="AE1530" s="2" t="s">
        <v>225</v>
      </c>
      <c r="AF1530" s="2" t="s">
        <v>79</v>
      </c>
      <c r="AG1530" s="2" t="str">
        <f>IF(AD1530&gt;37,"Proton symporter", "Diffusion")</f>
        <v>Proton symporter</v>
      </c>
      <c r="AH1530" s="3" t="s">
        <v>226</v>
      </c>
    </row>
    <row r="1531" spans="1:34" hidden="1" x14ac:dyDescent="0.2">
      <c r="A1531" s="8" t="s">
        <v>34</v>
      </c>
      <c r="B1531" s="9" t="s">
        <v>35</v>
      </c>
      <c r="C1531" s="1" t="s">
        <v>52</v>
      </c>
      <c r="D1531" s="13" t="s">
        <v>51</v>
      </c>
      <c r="E1531" s="1" t="s">
        <v>348</v>
      </c>
      <c r="F1531" s="1" t="s">
        <v>344</v>
      </c>
      <c r="G1531" s="1">
        <v>-10</v>
      </c>
      <c r="H1531" s="1">
        <v>-20</v>
      </c>
      <c r="I1531" s="1" t="s">
        <v>40</v>
      </c>
      <c r="J1531" s="1">
        <v>3.15</v>
      </c>
      <c r="K1531" s="1">
        <v>-10</v>
      </c>
      <c r="L1531" s="1">
        <v>-3.4807692307692299</v>
      </c>
      <c r="M1531" s="1" t="s">
        <v>40</v>
      </c>
      <c r="N1531" s="1">
        <v>9.0884615384615195</v>
      </c>
      <c r="O1531" s="1">
        <v>0.30384615384614899</v>
      </c>
      <c r="Q1531" s="1">
        <v>3.0384615384614899E-2</v>
      </c>
      <c r="R1531" s="1">
        <v>2.91074470808746E-2</v>
      </c>
      <c r="S1531" s="20" t="s">
        <v>348</v>
      </c>
      <c r="T1531" s="3" t="s">
        <v>349</v>
      </c>
      <c r="U1531" s="3" t="s">
        <v>106</v>
      </c>
      <c r="V1531" s="3" t="s">
        <v>346</v>
      </c>
      <c r="W1531" s="3">
        <v>3</v>
      </c>
      <c r="X1531" s="3">
        <v>8</v>
      </c>
      <c r="Y1531" s="3">
        <v>0</v>
      </c>
      <c r="Z1531" s="3">
        <v>0</v>
      </c>
      <c r="AA1531" s="3">
        <v>0</v>
      </c>
      <c r="AB1531" s="12">
        <f>(W1531*4+X1531*1+Y1531*-2+Z1531*-3)/W1531</f>
        <v>6.666666666666667</v>
      </c>
      <c r="AC1531" s="3">
        <f>W1531*12.0107+X1531*1.00784+Y1531*15.999+Z1531*14.0067</f>
        <v>44.094819999999999</v>
      </c>
      <c r="AD1531" s="24">
        <v>-42</v>
      </c>
      <c r="AE1531" s="3" t="s">
        <v>231</v>
      </c>
      <c r="AF1531" s="3" t="s">
        <v>44</v>
      </c>
      <c r="AG1531" s="25" t="str">
        <f>IF(AD1531&gt;37,"Proton symporter", "Diffusion")</f>
        <v>Diffusion</v>
      </c>
      <c r="AH1531" s="3" t="s">
        <v>347</v>
      </c>
    </row>
    <row r="1532" spans="1:34" hidden="1" x14ac:dyDescent="0.2">
      <c r="A1532" s="8" t="s">
        <v>34</v>
      </c>
      <c r="B1532" s="9" t="s">
        <v>35</v>
      </c>
      <c r="C1532" s="1" t="s">
        <v>53</v>
      </c>
      <c r="D1532" s="13" t="s">
        <v>51</v>
      </c>
      <c r="E1532" s="1" t="s">
        <v>152</v>
      </c>
      <c r="F1532" s="1" t="s">
        <v>153</v>
      </c>
      <c r="G1532" s="1">
        <v>-10</v>
      </c>
      <c r="H1532" s="1">
        <v>-20</v>
      </c>
      <c r="I1532" s="1" t="s">
        <v>40</v>
      </c>
      <c r="J1532" s="1">
        <v>3.15</v>
      </c>
      <c r="K1532" s="1">
        <v>-10</v>
      </c>
      <c r="L1532" s="1">
        <v>-4.2007643884892101</v>
      </c>
      <c r="M1532" s="1" t="s">
        <v>40</v>
      </c>
      <c r="N1532" s="1">
        <v>9.2540467625899296</v>
      </c>
      <c r="O1532" s="1">
        <v>0.10656474820143901</v>
      </c>
      <c r="Q1532" s="1">
        <v>1.06564748201439E-2</v>
      </c>
      <c r="R1532" s="1">
        <v>2.8039088848583402E-2</v>
      </c>
      <c r="S1532" s="11" t="s">
        <v>152</v>
      </c>
      <c r="T1532" s="2" t="s">
        <v>154</v>
      </c>
      <c r="U1532" s="3" t="s">
        <v>41</v>
      </c>
      <c r="V1532" s="2" t="s">
        <v>155</v>
      </c>
      <c r="W1532" s="2">
        <v>7</v>
      </c>
      <c r="X1532" s="2">
        <v>5</v>
      </c>
      <c r="Y1532" s="2">
        <v>2</v>
      </c>
      <c r="Z1532" s="2">
        <v>0</v>
      </c>
      <c r="AA1532" s="2">
        <v>0</v>
      </c>
      <c r="AB1532" s="12">
        <f>(W1532*4+X1532*1+Y1532*-2+Z1532*-3)/W1532</f>
        <v>4.1428571428571432</v>
      </c>
      <c r="AC1532" s="3">
        <f>W1532*12.0107+X1532*1.00784+Y1532*15.999+Z1532*14.0067</f>
        <v>121.1121</v>
      </c>
      <c r="AD1532" s="12">
        <v>249.2</v>
      </c>
      <c r="AE1532" s="2" t="s">
        <v>156</v>
      </c>
      <c r="AF1532" s="2" t="s">
        <v>157</v>
      </c>
      <c r="AG1532" s="2" t="str">
        <f>IF(AD1532&gt;37,"Proton symporter", "Diffusion")</f>
        <v>Proton symporter</v>
      </c>
      <c r="AH1532" s="3" t="s">
        <v>158</v>
      </c>
    </row>
    <row r="1533" spans="1:34" hidden="1" x14ac:dyDescent="0.2">
      <c r="A1533" s="8" t="s">
        <v>34</v>
      </c>
      <c r="B1533" s="9" t="s">
        <v>35</v>
      </c>
      <c r="C1533" s="1" t="s">
        <v>53</v>
      </c>
      <c r="D1533" s="13" t="s">
        <v>51</v>
      </c>
      <c r="E1533" s="1" t="s">
        <v>159</v>
      </c>
      <c r="F1533" s="1" t="s">
        <v>153</v>
      </c>
      <c r="G1533" s="1">
        <v>-10</v>
      </c>
      <c r="H1533" s="1">
        <v>-20</v>
      </c>
      <c r="I1533" s="1" t="s">
        <v>40</v>
      </c>
      <c r="J1533" s="1">
        <v>3.15</v>
      </c>
      <c r="K1533" s="1">
        <v>-10</v>
      </c>
      <c r="L1533" s="1">
        <v>-4.2007643884892101</v>
      </c>
      <c r="M1533" s="1" t="s">
        <v>40</v>
      </c>
      <c r="N1533" s="1">
        <v>9.2540467625899208</v>
      </c>
      <c r="O1533" s="1">
        <v>0.10656474820143801</v>
      </c>
      <c r="Q1533" s="1">
        <v>1.0656474820143799E-2</v>
      </c>
      <c r="R1533" s="1">
        <v>2.80390888485831E-2</v>
      </c>
      <c r="S1533" s="11" t="s">
        <v>159</v>
      </c>
      <c r="T1533" s="2" t="s">
        <v>160</v>
      </c>
      <c r="U1533" s="3" t="s">
        <v>41</v>
      </c>
      <c r="V1533" s="2" t="s">
        <v>155</v>
      </c>
      <c r="W1533" s="2">
        <v>7</v>
      </c>
      <c r="X1533" s="2">
        <v>5</v>
      </c>
      <c r="Y1533" s="2">
        <v>2</v>
      </c>
      <c r="Z1533" s="2">
        <v>0</v>
      </c>
      <c r="AA1533" s="2">
        <v>0</v>
      </c>
      <c r="AB1533" s="12">
        <f>(W1533*4+X1533*1+Y1533*-2+Z1533*-3)/W1533</f>
        <v>4.1428571428571432</v>
      </c>
      <c r="AC1533" s="3">
        <f>W1533*12.0107+X1533*1.00784+Y1533*15.999+Z1533*14.0067</f>
        <v>121.1121</v>
      </c>
      <c r="AD1533" s="12">
        <v>249.2</v>
      </c>
      <c r="AE1533" s="2" t="s">
        <v>156</v>
      </c>
      <c r="AF1533" s="2" t="s">
        <v>157</v>
      </c>
      <c r="AG1533" s="2" t="str">
        <f>IF(AD1533&gt;37,"Proton symporter", "Diffusion")</f>
        <v>Proton symporter</v>
      </c>
      <c r="AH1533" s="3" t="s">
        <v>158</v>
      </c>
    </row>
    <row r="1534" spans="1:34" hidden="1" x14ac:dyDescent="0.2">
      <c r="A1534" s="8" t="s">
        <v>34</v>
      </c>
      <c r="B1534" s="9" t="s">
        <v>35</v>
      </c>
      <c r="C1534" s="1" t="s">
        <v>53</v>
      </c>
      <c r="D1534" s="13" t="s">
        <v>51</v>
      </c>
      <c r="E1534" s="1" t="s">
        <v>259</v>
      </c>
      <c r="F1534" s="1" t="s">
        <v>260</v>
      </c>
      <c r="G1534" s="1">
        <v>-10</v>
      </c>
      <c r="H1534" s="1">
        <v>-20</v>
      </c>
      <c r="I1534" s="1" t="s">
        <v>40</v>
      </c>
      <c r="J1534" s="1">
        <v>3.15</v>
      </c>
      <c r="K1534" s="1">
        <v>-10</v>
      </c>
      <c r="L1534" s="1">
        <v>-4.1140186915887904</v>
      </c>
      <c r="M1534" s="1" t="s">
        <v>40</v>
      </c>
      <c r="N1534" s="1">
        <v>9.4093457943925092</v>
      </c>
      <c r="O1534" s="1">
        <v>0.14766355140186399</v>
      </c>
      <c r="Q1534" s="1">
        <v>1.4766355140186401E-2</v>
      </c>
      <c r="R1534" s="1">
        <v>2.76309039823045E-2</v>
      </c>
      <c r="S1534" s="20" t="s">
        <v>259</v>
      </c>
      <c r="T1534" s="3" t="s">
        <v>259</v>
      </c>
      <c r="U1534" s="3" t="s">
        <v>106</v>
      </c>
      <c r="V1534" s="3" t="s">
        <v>261</v>
      </c>
      <c r="W1534" s="3">
        <v>5</v>
      </c>
      <c r="X1534" s="3">
        <v>10</v>
      </c>
      <c r="Y1534" s="3">
        <v>1</v>
      </c>
      <c r="Z1534" s="3">
        <v>0</v>
      </c>
      <c r="AA1534" s="3">
        <v>0</v>
      </c>
      <c r="AB1534" s="12">
        <f>(W1534*4+X1534*1+Y1534*-2+Z1534*-3)/W1534+0.02</f>
        <v>5.6199999999999992</v>
      </c>
      <c r="AC1534" s="3">
        <f>W1534*12.0107+X1534*1.00784+Y1534*15.999+Z1534*14.0067</f>
        <v>86.130899999999997</v>
      </c>
      <c r="AD1534" s="12">
        <v>108</v>
      </c>
      <c r="AE1534" s="3" t="s">
        <v>262</v>
      </c>
      <c r="AF1534" s="3" t="s">
        <v>135</v>
      </c>
      <c r="AG1534" s="2" t="str">
        <f>IF(AD1534&gt;37,"Proton symporter", "Diffusion")</f>
        <v>Proton symporter</v>
      </c>
      <c r="AH1534" s="3" t="s">
        <v>263</v>
      </c>
    </row>
    <row r="1535" spans="1:34" hidden="1" x14ac:dyDescent="0.2">
      <c r="A1535" s="8" t="s">
        <v>34</v>
      </c>
      <c r="B1535" s="9" t="s">
        <v>35</v>
      </c>
      <c r="C1535" s="1" t="s">
        <v>53</v>
      </c>
      <c r="D1535" s="13" t="s">
        <v>51</v>
      </c>
      <c r="E1535" s="1" t="s">
        <v>307</v>
      </c>
      <c r="F1535" s="1" t="s">
        <v>308</v>
      </c>
      <c r="G1535" s="1">
        <v>-10</v>
      </c>
      <c r="H1535" s="1">
        <v>-20</v>
      </c>
      <c r="I1535" s="1" t="s">
        <v>40</v>
      </c>
      <c r="J1535" s="1">
        <v>3.15</v>
      </c>
      <c r="K1535" s="1">
        <v>-10</v>
      </c>
      <c r="L1535" s="1">
        <v>-4.0766233766233801</v>
      </c>
      <c r="M1535" s="1" t="s">
        <v>40</v>
      </c>
      <c r="N1535" s="1">
        <v>9.3844155844155708</v>
      </c>
      <c r="O1535" s="1">
        <v>0.20519480519479999</v>
      </c>
      <c r="Q1535" s="1">
        <v>2.051948051948E-2</v>
      </c>
      <c r="R1535" s="1">
        <v>2.6789152389574099E-2</v>
      </c>
      <c r="S1535" s="11" t="s">
        <v>307</v>
      </c>
      <c r="T1535" s="2" t="s">
        <v>307</v>
      </c>
      <c r="U1535" s="3" t="s">
        <v>41</v>
      </c>
      <c r="V1535" s="2" t="s">
        <v>283</v>
      </c>
      <c r="W1535" s="2">
        <v>3</v>
      </c>
      <c r="X1535" s="2">
        <v>8</v>
      </c>
      <c r="Y1535" s="2">
        <v>1</v>
      </c>
      <c r="Z1535" s="2">
        <v>0</v>
      </c>
      <c r="AA1535" s="2">
        <v>0</v>
      </c>
      <c r="AB1535" s="12">
        <f>(W1535*4+X1535*1+Y1535*-2+Z1535*-3)/W1535</f>
        <v>6</v>
      </c>
      <c r="AC1535" s="3">
        <f>W1535*12.0107+X1535*1.00784+Y1535*15.999+Z1535*14.0067</f>
        <v>60.093820000000001</v>
      </c>
      <c r="AD1535" s="12">
        <v>82.5</v>
      </c>
      <c r="AE1535" s="2" t="s">
        <v>262</v>
      </c>
      <c r="AF1535" s="2" t="s">
        <v>79</v>
      </c>
      <c r="AG1535" s="2" t="str">
        <f>IF(AD1535&gt;37,"Proton symporter", "Diffusion")</f>
        <v>Proton symporter</v>
      </c>
      <c r="AH1535" s="3" t="s">
        <v>309</v>
      </c>
    </row>
    <row r="1536" spans="1:34" hidden="1" x14ac:dyDescent="0.2">
      <c r="A1536" s="8" t="s">
        <v>34</v>
      </c>
      <c r="B1536" s="9" t="s">
        <v>35</v>
      </c>
      <c r="C1536" s="1" t="s">
        <v>53</v>
      </c>
      <c r="D1536" s="13" t="s">
        <v>51</v>
      </c>
      <c r="E1536" s="1" t="s">
        <v>279</v>
      </c>
      <c r="F1536" s="1" t="s">
        <v>280</v>
      </c>
      <c r="G1536" s="1">
        <v>-10</v>
      </c>
      <c r="H1536" s="1">
        <v>-20</v>
      </c>
      <c r="I1536" s="1" t="s">
        <v>40</v>
      </c>
      <c r="J1536" s="1">
        <v>3.15</v>
      </c>
      <c r="K1536" s="1">
        <v>-10</v>
      </c>
      <c r="L1536" s="1">
        <v>-4.1700389105058404</v>
      </c>
      <c r="M1536" s="1" t="s">
        <v>40</v>
      </c>
      <c r="N1536" s="1">
        <v>9.4466926070038895</v>
      </c>
      <c r="O1536" s="1">
        <v>0.18443579766536999</v>
      </c>
      <c r="Q1536" s="1">
        <v>1.8443579766536999E-2</v>
      </c>
      <c r="R1536" s="1">
        <v>2.4078965766504999E-2</v>
      </c>
      <c r="S1536" s="20" t="s">
        <v>281</v>
      </c>
      <c r="T1536" s="3" t="s">
        <v>282</v>
      </c>
      <c r="U1536" s="3" t="s">
        <v>174</v>
      </c>
      <c r="V1536" s="3" t="s">
        <v>283</v>
      </c>
      <c r="W1536" s="3">
        <v>3</v>
      </c>
      <c r="X1536" s="3">
        <v>8</v>
      </c>
      <c r="Y1536" s="3">
        <v>1</v>
      </c>
      <c r="Z1536" s="3">
        <v>0</v>
      </c>
      <c r="AA1536" s="3">
        <v>0</v>
      </c>
      <c r="AB1536" s="12">
        <f>(W1536*4+X1536*1+Y1536*-2+Z1536*-3)/W1536</f>
        <v>6</v>
      </c>
      <c r="AC1536" s="3">
        <f>W1536*12.0107+X1536*1.00784+Y1536*15.999+Z1536*14.0067</f>
        <v>60.093820000000001</v>
      </c>
      <c r="AD1536" s="12">
        <v>97</v>
      </c>
      <c r="AE1536" s="2" t="s">
        <v>262</v>
      </c>
      <c r="AF1536" s="2" t="s">
        <v>284</v>
      </c>
      <c r="AG1536" s="2" t="str">
        <f>IF(AD1536&gt;37,"Proton symporter", "Diffusion")</f>
        <v>Proton symporter</v>
      </c>
      <c r="AH1536" s="3" t="s">
        <v>285</v>
      </c>
    </row>
    <row r="1537" spans="1:34" hidden="1" x14ac:dyDescent="0.2">
      <c r="A1537" s="8" t="s">
        <v>34</v>
      </c>
      <c r="B1537" s="9" t="s">
        <v>35</v>
      </c>
      <c r="C1537" s="1" t="s">
        <v>53</v>
      </c>
      <c r="D1537" s="13" t="s">
        <v>51</v>
      </c>
      <c r="E1537" s="1" t="s">
        <v>300</v>
      </c>
      <c r="F1537" s="1" t="s">
        <v>301</v>
      </c>
      <c r="G1537" s="1">
        <v>-10</v>
      </c>
      <c r="H1537" s="1">
        <v>-20</v>
      </c>
      <c r="I1537" s="1" t="s">
        <v>40</v>
      </c>
      <c r="J1537" s="1">
        <v>3.15</v>
      </c>
      <c r="K1537" s="1">
        <v>-10</v>
      </c>
      <c r="L1537" s="1">
        <v>-4.1106941838649202</v>
      </c>
      <c r="M1537" s="1" t="s">
        <v>40</v>
      </c>
      <c r="N1537" s="1">
        <v>9.4071294559099403</v>
      </c>
      <c r="O1537" s="1">
        <v>0.148217636022515</v>
      </c>
      <c r="Q1537" s="1">
        <v>1.48217636022515E-2</v>
      </c>
      <c r="R1537" s="1">
        <v>2.3867078630959201E-2</v>
      </c>
      <c r="S1537" s="20" t="s">
        <v>300</v>
      </c>
      <c r="T1537" s="3" t="s">
        <v>302</v>
      </c>
      <c r="U1537" s="3" t="s">
        <v>106</v>
      </c>
      <c r="V1537" s="3" t="s">
        <v>303</v>
      </c>
      <c r="W1537" s="3">
        <v>4</v>
      </c>
      <c r="X1537" s="3">
        <v>10</v>
      </c>
      <c r="Y1537" s="3">
        <v>1</v>
      </c>
      <c r="Z1537" s="3">
        <v>0</v>
      </c>
      <c r="AA1537" s="3">
        <v>0</v>
      </c>
      <c r="AB1537" s="12">
        <f>(W1537*4+X1537*1+Y1537*-2+Z1537*-3)/W1537</f>
        <v>6</v>
      </c>
      <c r="AC1537" s="3">
        <f>W1537*12.0107+X1537*1.00784+Y1537*15.999+Z1537*14.0067</f>
        <v>74.120199999999997</v>
      </c>
      <c r="AD1537" s="12">
        <v>117.7</v>
      </c>
      <c r="AE1537" s="3" t="s">
        <v>262</v>
      </c>
      <c r="AF1537" s="2" t="s">
        <v>79</v>
      </c>
      <c r="AG1537" s="2" t="str">
        <f>IF(AD1537&gt;37,"Proton symporter", "Diffusion")</f>
        <v>Proton symporter</v>
      </c>
      <c r="AH1537" s="3" t="s">
        <v>304</v>
      </c>
    </row>
    <row r="1538" spans="1:34" hidden="1" x14ac:dyDescent="0.2">
      <c r="A1538" s="8" t="s">
        <v>34</v>
      </c>
      <c r="B1538" s="9" t="s">
        <v>35</v>
      </c>
      <c r="C1538" s="1" t="s">
        <v>53</v>
      </c>
      <c r="D1538" s="13" t="s">
        <v>51</v>
      </c>
      <c r="E1538" s="1" t="s">
        <v>286</v>
      </c>
      <c r="F1538" s="1" t="s">
        <v>280</v>
      </c>
      <c r="G1538" s="1">
        <v>-10</v>
      </c>
      <c r="H1538" s="1">
        <v>-20</v>
      </c>
      <c r="I1538" s="1" t="s">
        <v>40</v>
      </c>
      <c r="J1538" s="1">
        <v>3.15</v>
      </c>
      <c r="K1538" s="1">
        <v>-10</v>
      </c>
      <c r="L1538" s="1">
        <v>-4.1864988558352403</v>
      </c>
      <c r="M1538" s="1" t="s">
        <v>40</v>
      </c>
      <c r="N1538" s="1">
        <v>9.4576659038901596</v>
      </c>
      <c r="O1538" s="1">
        <v>0.18077803203661399</v>
      </c>
      <c r="Q1538" s="1">
        <v>1.80778032036614E-2</v>
      </c>
      <c r="R1538" s="1">
        <v>2.3601427162440101E-2</v>
      </c>
      <c r="S1538" s="20" t="s">
        <v>287</v>
      </c>
      <c r="T1538" s="3" t="s">
        <v>288</v>
      </c>
      <c r="U1538" s="3" t="s">
        <v>174</v>
      </c>
      <c r="V1538" s="3" t="s">
        <v>283</v>
      </c>
      <c r="W1538" s="3">
        <v>3</v>
      </c>
      <c r="X1538" s="3">
        <v>8</v>
      </c>
      <c r="Y1538" s="3">
        <v>1</v>
      </c>
      <c r="Z1538" s="3">
        <v>0</v>
      </c>
      <c r="AA1538" s="3">
        <v>0</v>
      </c>
      <c r="AB1538" s="12">
        <f>(W1538*4+X1538*1+Y1538*-2+Z1538*-3)/W1538</f>
        <v>6</v>
      </c>
      <c r="AC1538" s="3">
        <f>W1538*12.0107+X1538*1.00784+Y1538*15.999+Z1538*14.0067</f>
        <v>60.093820000000001</v>
      </c>
      <c r="AD1538" s="12">
        <v>97</v>
      </c>
      <c r="AE1538" s="2" t="s">
        <v>262</v>
      </c>
      <c r="AF1538" s="3" t="s">
        <v>44</v>
      </c>
      <c r="AG1538" s="2" t="str">
        <f>IF(AD1538&gt;37,"Proton symporter", "Diffusion")</f>
        <v>Proton symporter</v>
      </c>
      <c r="AH1538" s="3" t="s">
        <v>285</v>
      </c>
    </row>
    <row r="1539" spans="1:34" hidden="1" x14ac:dyDescent="0.2">
      <c r="A1539" s="8" t="s">
        <v>34</v>
      </c>
      <c r="B1539" s="9" t="s">
        <v>35</v>
      </c>
      <c r="C1539" s="1" t="s">
        <v>53</v>
      </c>
      <c r="D1539" s="13" t="s">
        <v>51</v>
      </c>
      <c r="E1539" s="1" t="s">
        <v>172</v>
      </c>
      <c r="F1539" s="1" t="s">
        <v>173</v>
      </c>
      <c r="G1539" s="1">
        <v>-10</v>
      </c>
      <c r="H1539" s="1">
        <v>-20</v>
      </c>
      <c r="I1539" s="1" t="s">
        <v>40</v>
      </c>
      <c r="J1539" s="1">
        <v>3.15</v>
      </c>
      <c r="K1539" s="1">
        <v>-10</v>
      </c>
      <c r="L1539" s="1">
        <v>-4.1927007299270098</v>
      </c>
      <c r="M1539" s="1" t="s">
        <v>40</v>
      </c>
      <c r="N1539" s="1">
        <v>9.3080291970803</v>
      </c>
      <c r="O1539" s="1">
        <v>0.115328467153285</v>
      </c>
      <c r="Q1539" s="1">
        <v>1.1532846715328501E-2</v>
      </c>
      <c r="R1539" s="1">
        <v>2.3579587314744899E-2</v>
      </c>
      <c r="S1539" s="20" t="s">
        <v>172</v>
      </c>
      <c r="T1539" s="3" t="s">
        <v>172</v>
      </c>
      <c r="U1539" s="3" t="s">
        <v>174</v>
      </c>
      <c r="V1539" s="3" t="s">
        <v>175</v>
      </c>
      <c r="W1539" s="3">
        <v>6</v>
      </c>
      <c r="X1539" s="3">
        <v>6</v>
      </c>
      <c r="Y1539" s="3">
        <v>1</v>
      </c>
      <c r="Z1539" s="3">
        <v>0</v>
      </c>
      <c r="AA1539" s="3">
        <v>0</v>
      </c>
      <c r="AB1539" s="12">
        <f>(W1539*4+X1539*1+Y1539*-2+Z1539*-3)/W1539</f>
        <v>4.666666666666667</v>
      </c>
      <c r="AC1539" s="3">
        <f>W1539*12.0107+X1539*1.00784+Y1539*15.999+Z1539*14.0067</f>
        <v>94.11023999999999</v>
      </c>
      <c r="AD1539" s="12">
        <v>181.7</v>
      </c>
      <c r="AE1539" s="3" t="s">
        <v>176</v>
      </c>
      <c r="AF1539" s="2" t="s">
        <v>150</v>
      </c>
      <c r="AG1539" s="2" t="str">
        <f>IF(AD1539&gt;37,"Proton symporter", "Diffusion")</f>
        <v>Proton symporter</v>
      </c>
      <c r="AH1539" s="3" t="s">
        <v>177</v>
      </c>
    </row>
    <row r="1540" spans="1:34" hidden="1" x14ac:dyDescent="0.2">
      <c r="A1540" s="8" t="s">
        <v>34</v>
      </c>
      <c r="B1540" s="9" t="s">
        <v>35</v>
      </c>
      <c r="C1540" s="1" t="s">
        <v>53</v>
      </c>
      <c r="D1540" s="13" t="s">
        <v>51</v>
      </c>
      <c r="E1540" s="1" t="s">
        <v>310</v>
      </c>
      <c r="F1540" s="1" t="s">
        <v>311</v>
      </c>
      <c r="G1540" s="1">
        <v>-10</v>
      </c>
      <c r="H1540" s="1">
        <v>-20</v>
      </c>
      <c r="I1540" s="1" t="s">
        <v>40</v>
      </c>
      <c r="J1540" s="1">
        <v>3.15</v>
      </c>
      <c r="K1540" s="1">
        <v>-10</v>
      </c>
      <c r="L1540" s="1">
        <v>-4.1054353296426802</v>
      </c>
      <c r="M1540" s="1" t="s">
        <v>40</v>
      </c>
      <c r="N1540" s="1">
        <v>9.4036235530951195</v>
      </c>
      <c r="O1540" s="1">
        <v>0.11927528938097701</v>
      </c>
      <c r="Q1540" s="1">
        <v>1.19275289380977E-2</v>
      </c>
      <c r="R1540" s="1">
        <v>2.28411909672111E-2</v>
      </c>
      <c r="S1540" s="20" t="s">
        <v>310</v>
      </c>
      <c r="T1540" s="3" t="s">
        <v>312</v>
      </c>
      <c r="U1540" s="3" t="s">
        <v>106</v>
      </c>
      <c r="V1540" s="3" t="s">
        <v>292</v>
      </c>
      <c r="W1540" s="3">
        <v>5</v>
      </c>
      <c r="X1540" s="3">
        <v>12</v>
      </c>
      <c r="Y1540" s="3">
        <v>1</v>
      </c>
      <c r="Z1540" s="3">
        <v>0</v>
      </c>
      <c r="AA1540" s="3">
        <v>0</v>
      </c>
      <c r="AB1540" s="12">
        <f>(W1540*4+X1540*1+Y1540*-2+Z1540*-3)/W1540</f>
        <v>6</v>
      </c>
      <c r="AC1540" s="3">
        <f>W1540*12.0107+X1540*1.00784+Y1540*15.999+Z1540*14.0067</f>
        <v>88.14658</v>
      </c>
      <c r="AD1540" s="12">
        <v>138</v>
      </c>
      <c r="AE1540" s="3" t="s">
        <v>262</v>
      </c>
      <c r="AF1540" s="2" t="s">
        <v>313</v>
      </c>
      <c r="AG1540" s="2" t="str">
        <f>IF(AD1540&gt;37,"Proton symporter", "Diffusion")</f>
        <v>Proton symporter</v>
      </c>
      <c r="AH1540" s="3" t="s">
        <v>314</v>
      </c>
    </row>
    <row r="1541" spans="1:34" hidden="1" x14ac:dyDescent="0.2">
      <c r="A1541" s="8" t="s">
        <v>34</v>
      </c>
      <c r="B1541" s="9" t="s">
        <v>35</v>
      </c>
      <c r="C1541" s="1" t="s">
        <v>53</v>
      </c>
      <c r="D1541" s="13" t="s">
        <v>51</v>
      </c>
      <c r="E1541" s="1" t="s">
        <v>178</v>
      </c>
      <c r="F1541" s="1" t="s">
        <v>179</v>
      </c>
      <c r="G1541" s="1">
        <v>-10</v>
      </c>
      <c r="H1541" s="1">
        <v>-20</v>
      </c>
      <c r="I1541" s="1" t="s">
        <v>40</v>
      </c>
      <c r="J1541" s="1">
        <v>3.15</v>
      </c>
      <c r="K1541" s="1">
        <v>-10</v>
      </c>
      <c r="L1541" s="1">
        <v>-4.1713286713286699</v>
      </c>
      <c r="M1541" s="1" t="s">
        <v>40</v>
      </c>
      <c r="N1541" s="1">
        <v>9.3021715126978197</v>
      </c>
      <c r="O1541" s="1">
        <v>8.7228560912770994E-2</v>
      </c>
      <c r="Q1541" s="1">
        <v>8.7228560912770998E-3</v>
      </c>
      <c r="R1541" s="1">
        <v>2.2768561580214002E-2</v>
      </c>
      <c r="S1541" s="20" t="s">
        <v>178</v>
      </c>
      <c r="T1541" s="3" t="s">
        <v>178</v>
      </c>
      <c r="U1541" s="3" t="s">
        <v>106</v>
      </c>
      <c r="V1541" s="3" t="s">
        <v>180</v>
      </c>
      <c r="W1541" s="3">
        <v>8</v>
      </c>
      <c r="X1541" s="3">
        <v>8</v>
      </c>
      <c r="Y1541" s="3">
        <v>1</v>
      </c>
      <c r="Z1541" s="3">
        <v>0</v>
      </c>
      <c r="AA1541" s="3">
        <v>0</v>
      </c>
      <c r="AB1541" s="12">
        <f>(W1541*4+X1541*1+Y1541*-2+Z1541*-3)/W1541</f>
        <v>4.75</v>
      </c>
      <c r="AC1541" s="3">
        <f>W1541*12.0107+X1541*1.00784+Y1541*15.999+Z1541*14.0067</f>
        <v>120.14731999999999</v>
      </c>
      <c r="AD1541" s="12">
        <v>229</v>
      </c>
      <c r="AE1541" s="3" t="s">
        <v>176</v>
      </c>
      <c r="AF1541" s="2" t="s">
        <v>150</v>
      </c>
      <c r="AG1541" s="2" t="str">
        <f>IF(AD1541&gt;37,"Proton symporter", "Diffusion")</f>
        <v>Proton symporter</v>
      </c>
      <c r="AH1541" s="3" t="s">
        <v>181</v>
      </c>
    </row>
    <row r="1542" spans="1:34" hidden="1" x14ac:dyDescent="0.2">
      <c r="A1542" s="8" t="s">
        <v>34</v>
      </c>
      <c r="B1542" s="9" t="s">
        <v>35</v>
      </c>
      <c r="C1542" s="1" t="s">
        <v>53</v>
      </c>
      <c r="D1542" s="13" t="s">
        <v>51</v>
      </c>
      <c r="E1542" s="1" t="s">
        <v>305</v>
      </c>
      <c r="F1542" s="1" t="s">
        <v>301</v>
      </c>
      <c r="G1542" s="1">
        <v>-10</v>
      </c>
      <c r="H1542" s="1">
        <v>-20</v>
      </c>
      <c r="I1542" s="1" t="s">
        <v>40</v>
      </c>
      <c r="J1542" s="1">
        <v>3.15</v>
      </c>
      <c r="K1542" s="1">
        <v>-10</v>
      </c>
      <c r="L1542" s="1">
        <v>-4.1570835803200996</v>
      </c>
      <c r="M1542" s="1" t="s">
        <v>40</v>
      </c>
      <c r="N1542" s="1">
        <v>9.4380557202134003</v>
      </c>
      <c r="O1542" s="1">
        <v>0.14048606994665</v>
      </c>
      <c r="Q1542" s="1">
        <v>1.4048606994665E-2</v>
      </c>
      <c r="R1542" s="1">
        <v>2.2622085791881099E-2</v>
      </c>
      <c r="S1542" s="20" t="s">
        <v>305</v>
      </c>
      <c r="T1542" s="3" t="s">
        <v>306</v>
      </c>
      <c r="U1542" s="3" t="s">
        <v>106</v>
      </c>
      <c r="V1542" s="3" t="s">
        <v>303</v>
      </c>
      <c r="W1542" s="3">
        <v>4</v>
      </c>
      <c r="X1542" s="3">
        <v>10</v>
      </c>
      <c r="Y1542" s="3">
        <v>1</v>
      </c>
      <c r="Z1542" s="3">
        <v>0</v>
      </c>
      <c r="AA1542" s="3">
        <v>0</v>
      </c>
      <c r="AB1542" s="12">
        <f>(W1542*4+X1542*1+Y1542*-2+Z1542*-3)/W1542</f>
        <v>6</v>
      </c>
      <c r="AC1542" s="3">
        <f>W1542*12.0107+X1542*1.00784+Y1542*15.999+Z1542*14.0067</f>
        <v>74.120199999999997</v>
      </c>
      <c r="AD1542" s="12">
        <v>117.7</v>
      </c>
      <c r="AE1542" s="3" t="s">
        <v>262</v>
      </c>
      <c r="AF1542" s="3" t="s">
        <v>44</v>
      </c>
      <c r="AG1542" s="2" t="str">
        <f>IF(AD1542&gt;37,"Proton symporter", "Diffusion")</f>
        <v>Proton symporter</v>
      </c>
      <c r="AH1542" s="3" t="s">
        <v>304</v>
      </c>
    </row>
    <row r="1543" spans="1:34" hidden="1" x14ac:dyDescent="0.2">
      <c r="A1543" s="8" t="s">
        <v>34</v>
      </c>
      <c r="B1543" s="9" t="s">
        <v>35</v>
      </c>
      <c r="C1543" s="1" t="s">
        <v>53</v>
      </c>
      <c r="D1543" s="13" t="s">
        <v>51</v>
      </c>
      <c r="E1543" s="1" t="s">
        <v>315</v>
      </c>
      <c r="F1543" s="1" t="s">
        <v>311</v>
      </c>
      <c r="G1543" s="1">
        <v>-10</v>
      </c>
      <c r="H1543" s="1">
        <v>-20</v>
      </c>
      <c r="I1543" s="1" t="s">
        <v>40</v>
      </c>
      <c r="J1543" s="1">
        <v>3.15</v>
      </c>
      <c r="K1543" s="1">
        <v>-10</v>
      </c>
      <c r="L1543" s="1">
        <v>-4.1383906931652898</v>
      </c>
      <c r="M1543" s="1" t="s">
        <v>40</v>
      </c>
      <c r="N1543" s="1">
        <v>9.4255937954435307</v>
      </c>
      <c r="O1543" s="1">
        <v>0.11488124091129399</v>
      </c>
      <c r="Q1543" s="1">
        <v>1.14881240911294E-2</v>
      </c>
      <c r="R1543" s="1">
        <v>2.1999731678065099E-2</v>
      </c>
      <c r="S1543" s="20" t="s">
        <v>315</v>
      </c>
      <c r="T1543" s="3" t="s">
        <v>316</v>
      </c>
      <c r="U1543" s="3" t="s">
        <v>106</v>
      </c>
      <c r="V1543" s="3" t="s">
        <v>292</v>
      </c>
      <c r="W1543" s="3">
        <v>5</v>
      </c>
      <c r="X1543" s="3">
        <v>12</v>
      </c>
      <c r="Y1543" s="3">
        <v>1</v>
      </c>
      <c r="Z1543" s="3">
        <v>0</v>
      </c>
      <c r="AA1543" s="3">
        <v>0</v>
      </c>
      <c r="AB1543" s="12">
        <f>(W1543*4+X1543*1+Y1543*-2+Z1543*-3)/W1543</f>
        <v>6</v>
      </c>
      <c r="AC1543" s="3">
        <f>W1543*12.0107+X1543*1.00784+Y1543*15.999+Z1543*14.0067</f>
        <v>88.14658</v>
      </c>
      <c r="AD1543" s="12">
        <v>138</v>
      </c>
      <c r="AE1543" s="3" t="s">
        <v>262</v>
      </c>
      <c r="AF1543" s="3" t="s">
        <v>44</v>
      </c>
      <c r="AG1543" s="2" t="str">
        <f>IF(AD1543&gt;37,"Proton symporter", "Diffusion")</f>
        <v>Proton symporter</v>
      </c>
      <c r="AH1543" s="3" t="s">
        <v>314</v>
      </c>
    </row>
    <row r="1544" spans="1:34" hidden="1" x14ac:dyDescent="0.2">
      <c r="A1544" s="8" t="s">
        <v>34</v>
      </c>
      <c r="B1544" s="9" t="s">
        <v>35</v>
      </c>
      <c r="C1544" s="1" t="s">
        <v>53</v>
      </c>
      <c r="D1544" s="13" t="s">
        <v>51</v>
      </c>
      <c r="E1544" s="1" t="s">
        <v>289</v>
      </c>
      <c r="F1544" s="1" t="s">
        <v>290</v>
      </c>
      <c r="G1544" s="1">
        <v>-10</v>
      </c>
      <c r="H1544" s="1">
        <v>-20</v>
      </c>
      <c r="I1544" s="1" t="s">
        <v>40</v>
      </c>
      <c r="J1544" s="1">
        <v>3.15</v>
      </c>
      <c r="K1544" s="1">
        <v>-10</v>
      </c>
      <c r="L1544" s="1">
        <v>-4.1603684459140302</v>
      </c>
      <c r="M1544" s="1" t="s">
        <v>40</v>
      </c>
      <c r="N1544" s="1">
        <v>9.4402456306093203</v>
      </c>
      <c r="O1544" s="1">
        <v>0.111950873878121</v>
      </c>
      <c r="Q1544" s="1">
        <v>1.11950873878121E-2</v>
      </c>
      <c r="R1544" s="1">
        <v>2.14385670533042E-2</v>
      </c>
      <c r="S1544" s="11" t="s">
        <v>289</v>
      </c>
      <c r="T1544" s="2" t="s">
        <v>291</v>
      </c>
      <c r="U1544" s="3" t="s">
        <v>41</v>
      </c>
      <c r="V1544" s="2" t="s">
        <v>292</v>
      </c>
      <c r="W1544" s="2">
        <v>5</v>
      </c>
      <c r="X1544" s="2">
        <v>12</v>
      </c>
      <c r="Y1544" s="2">
        <v>1</v>
      </c>
      <c r="Z1544" s="2">
        <v>0</v>
      </c>
      <c r="AA1544" s="2">
        <v>0</v>
      </c>
      <c r="AB1544" s="12">
        <f>(W1544*4+X1544*1+Y1544*-2+Z1544*-3)/W1544</f>
        <v>6</v>
      </c>
      <c r="AC1544" s="3">
        <f>W1544*12.0107+X1544*1.00784+Y1544*15.999+Z1544*14.0067</f>
        <v>88.14658</v>
      </c>
      <c r="AD1544" s="12">
        <v>129</v>
      </c>
      <c r="AE1544" s="2" t="s">
        <v>262</v>
      </c>
      <c r="AF1544" s="2" t="s">
        <v>293</v>
      </c>
      <c r="AG1544" s="2" t="str">
        <f>IF(AD1544&gt;37,"Proton symporter", "Diffusion")</f>
        <v>Proton symporter</v>
      </c>
      <c r="AH1544" s="3" t="s">
        <v>294</v>
      </c>
    </row>
    <row r="1545" spans="1:34" hidden="1" x14ac:dyDescent="0.2">
      <c r="A1545" s="8" t="s">
        <v>34</v>
      </c>
      <c r="B1545" s="9" t="s">
        <v>35</v>
      </c>
      <c r="C1545" s="1" t="s">
        <v>53</v>
      </c>
      <c r="D1545" s="13" t="s">
        <v>51</v>
      </c>
      <c r="E1545" s="1" t="s">
        <v>295</v>
      </c>
      <c r="F1545" s="1" t="s">
        <v>296</v>
      </c>
      <c r="G1545" s="1">
        <v>-10</v>
      </c>
      <c r="H1545" s="1">
        <v>-20</v>
      </c>
      <c r="I1545" s="1" t="s">
        <v>40</v>
      </c>
      <c r="J1545" s="1">
        <v>3.15</v>
      </c>
      <c r="K1545" s="1">
        <v>-10</v>
      </c>
      <c r="L1545" s="1">
        <v>-4.1450901803607199</v>
      </c>
      <c r="M1545" s="1" t="s">
        <v>40</v>
      </c>
      <c r="N1545" s="1">
        <v>9.4300601202404906</v>
      </c>
      <c r="O1545" s="1">
        <v>9.4989979959922699E-2</v>
      </c>
      <c r="Q1545" s="1">
        <v>9.4989979959922699E-3</v>
      </c>
      <c r="R1545" s="1">
        <v>2.1085143957031999E-2</v>
      </c>
      <c r="S1545" s="11" t="s">
        <v>295</v>
      </c>
      <c r="T1545" s="2" t="s">
        <v>297</v>
      </c>
      <c r="U1545" s="3" t="s">
        <v>41</v>
      </c>
      <c r="V1545" s="2" t="s">
        <v>298</v>
      </c>
      <c r="W1545" s="2">
        <v>6</v>
      </c>
      <c r="X1545" s="2">
        <v>14</v>
      </c>
      <c r="Y1545" s="2">
        <v>1</v>
      </c>
      <c r="Z1545" s="2">
        <v>0</v>
      </c>
      <c r="AA1545" s="2">
        <v>0</v>
      </c>
      <c r="AB1545" s="12">
        <f>(W1545*4+X1545*1+Y1545*-2+Z1545*-3)/W1545</f>
        <v>6</v>
      </c>
      <c r="AC1545" s="3">
        <f>W1545*12.0107+X1545*1.00784+Y1545*15.999+Z1545*14.0067</f>
        <v>102.17295999999999</v>
      </c>
      <c r="AD1545" s="12">
        <v>153</v>
      </c>
      <c r="AE1545" s="2" t="s">
        <v>262</v>
      </c>
      <c r="AF1545" s="2" t="s">
        <v>44</v>
      </c>
      <c r="AG1545" s="2" t="str">
        <f>IF(AD1545&gt;37,"Proton symporter", "Diffusion")</f>
        <v>Proton symporter</v>
      </c>
      <c r="AH1545" s="3" t="s">
        <v>299</v>
      </c>
    </row>
    <row r="1546" spans="1:34" hidden="1" x14ac:dyDescent="0.2">
      <c r="A1546" s="8" t="s">
        <v>34</v>
      </c>
      <c r="B1546" s="9" t="s">
        <v>35</v>
      </c>
      <c r="C1546" s="1" t="s">
        <v>53</v>
      </c>
      <c r="D1546" s="13" t="s">
        <v>51</v>
      </c>
      <c r="E1546" s="1" t="s">
        <v>199</v>
      </c>
      <c r="F1546" s="1" t="s">
        <v>200</v>
      </c>
      <c r="G1546" s="1">
        <v>-10</v>
      </c>
      <c r="H1546" s="1">
        <v>-20</v>
      </c>
      <c r="I1546" s="1" t="s">
        <v>40</v>
      </c>
      <c r="J1546" s="1">
        <v>3.15</v>
      </c>
      <c r="K1546" s="1">
        <v>-10</v>
      </c>
      <c r="L1546" s="1">
        <v>-4.2580110497237502</v>
      </c>
      <c r="M1546" s="1" t="s">
        <v>40</v>
      </c>
      <c r="N1546" s="1">
        <v>9.3889502762430794</v>
      </c>
      <c r="O1546" s="1">
        <v>8.7292817679557599E-2</v>
      </c>
      <c r="Q1546" s="1">
        <v>8.7292817679557599E-3</v>
      </c>
      <c r="R1546" s="1">
        <v>2.0507565249629801E-2</v>
      </c>
      <c r="S1546" s="20" t="s">
        <v>201</v>
      </c>
      <c r="T1546" s="3" t="s">
        <v>201</v>
      </c>
      <c r="U1546" s="3" t="s">
        <v>106</v>
      </c>
      <c r="V1546" s="3" t="s">
        <v>202</v>
      </c>
      <c r="W1546" s="3">
        <v>7</v>
      </c>
      <c r="X1546" s="3">
        <v>8</v>
      </c>
      <c r="Y1546" s="3">
        <v>1</v>
      </c>
      <c r="Z1546" s="3">
        <v>0</v>
      </c>
      <c r="AA1546" s="3">
        <v>0</v>
      </c>
      <c r="AB1546" s="12">
        <f>(W1546*4+X1546*1+Y1546*-2+Z1546*-3)/W1546</f>
        <v>4.8571428571428568</v>
      </c>
      <c r="AC1546" s="3">
        <f>W1546*12.0107+X1546*1.00784+Y1546*15.999+Z1546*14.0067</f>
        <v>108.13661999999999</v>
      </c>
      <c r="AD1546" s="12">
        <v>205</v>
      </c>
      <c r="AE1546" s="3" t="s">
        <v>176</v>
      </c>
      <c r="AF1546" s="3" t="s">
        <v>203</v>
      </c>
      <c r="AG1546" s="2" t="str">
        <f>IF(AD1546&gt;37,"Proton symporter", "Diffusion")</f>
        <v>Proton symporter</v>
      </c>
      <c r="AH1546" s="3" t="s">
        <v>204</v>
      </c>
    </row>
    <row r="1547" spans="1:34" hidden="1" x14ac:dyDescent="0.2">
      <c r="A1547" s="8" t="s">
        <v>34</v>
      </c>
      <c r="B1547" s="9" t="s">
        <v>35</v>
      </c>
      <c r="C1547" s="1" t="s">
        <v>53</v>
      </c>
      <c r="D1547" s="13" t="s">
        <v>51</v>
      </c>
      <c r="E1547" s="1" t="s">
        <v>211</v>
      </c>
      <c r="F1547" s="1" t="s">
        <v>212</v>
      </c>
      <c r="G1547" s="1">
        <v>-10</v>
      </c>
      <c r="H1547" s="1">
        <v>-20</v>
      </c>
      <c r="I1547" s="1" t="s">
        <v>40</v>
      </c>
      <c r="J1547" s="1">
        <v>3.15</v>
      </c>
      <c r="K1547" s="1">
        <v>-10</v>
      </c>
      <c r="L1547" s="1">
        <v>-4.1710388247639001</v>
      </c>
      <c r="M1547" s="1" t="s">
        <v>40</v>
      </c>
      <c r="N1547" s="1">
        <v>9.3368310598111499</v>
      </c>
      <c r="O1547" s="1">
        <v>8.2896117523615601E-2</v>
      </c>
      <c r="Q1547" s="1">
        <v>8.2896117523615608E-3</v>
      </c>
      <c r="R1547" s="1">
        <v>1.8756390180681801E-2</v>
      </c>
      <c r="S1547" s="20" t="s">
        <v>211</v>
      </c>
      <c r="T1547" s="3" t="s">
        <v>211</v>
      </c>
      <c r="U1547" s="3" t="s">
        <v>174</v>
      </c>
      <c r="V1547" s="3" t="s">
        <v>213</v>
      </c>
      <c r="W1547" s="3">
        <v>8</v>
      </c>
      <c r="X1547" s="3">
        <v>8</v>
      </c>
      <c r="Y1547" s="3">
        <v>0</v>
      </c>
      <c r="Z1547" s="3">
        <v>0</v>
      </c>
      <c r="AA1547" s="3">
        <v>0</v>
      </c>
      <c r="AB1547" s="12">
        <f>(W1547*4+X1547*1+Y1547*-2+Z1547*-3)/W1547</f>
        <v>5</v>
      </c>
      <c r="AC1547" s="3">
        <f>W1547*12.0107+X1547*1.00784+Y1547*15.999+Z1547*14.0067</f>
        <v>104.14832</v>
      </c>
      <c r="AD1547" s="12">
        <v>145</v>
      </c>
      <c r="AE1547" s="3" t="s">
        <v>214</v>
      </c>
      <c r="AF1547" s="3" t="s">
        <v>203</v>
      </c>
      <c r="AG1547" s="2" t="str">
        <f>IF(AD1547&gt;37,"Proton symporter", "Diffusion")</f>
        <v>Proton symporter</v>
      </c>
      <c r="AH1547" s="3" t="s">
        <v>215</v>
      </c>
    </row>
    <row r="1548" spans="1:34" hidden="1" x14ac:dyDescent="0.2">
      <c r="A1548" s="16" t="s">
        <v>74</v>
      </c>
      <c r="B1548" s="9" t="s">
        <v>35</v>
      </c>
      <c r="C1548" t="s">
        <v>53</v>
      </c>
      <c r="D1548" s="13" t="s">
        <v>51</v>
      </c>
      <c r="E1548" t="s">
        <v>268</v>
      </c>
      <c r="F1548" t="s">
        <v>269</v>
      </c>
      <c r="G1548">
        <v>-10</v>
      </c>
      <c r="H1548">
        <v>-20</v>
      </c>
      <c r="I1548" s="1" t="s">
        <v>40</v>
      </c>
      <c r="J1548">
        <v>3.15</v>
      </c>
      <c r="K1548">
        <v>-10</v>
      </c>
      <c r="L1548">
        <v>-4.1173184357541901</v>
      </c>
      <c r="M1548" s="1" t="s">
        <v>40</v>
      </c>
      <c r="N1548">
        <v>9.3695131683958497</v>
      </c>
      <c r="O1548">
        <v>6.3048683160413996E-2</v>
      </c>
      <c r="P1548"/>
      <c r="Q1548">
        <v>6.3048683160413996E-3</v>
      </c>
      <c r="R1548">
        <v>1.86603314947992E-2</v>
      </c>
      <c r="S1548" s="3" t="s">
        <v>268</v>
      </c>
      <c r="T1548" s="3" t="s">
        <v>268</v>
      </c>
      <c r="U1548" s="3" t="s">
        <v>106</v>
      </c>
      <c r="V1548" s="3" t="s">
        <v>270</v>
      </c>
      <c r="W1548" s="3">
        <v>10</v>
      </c>
      <c r="X1548" s="3">
        <v>16</v>
      </c>
      <c r="Y1548" s="3">
        <v>0</v>
      </c>
      <c r="Z1548" s="3">
        <v>0</v>
      </c>
      <c r="AA1548" s="3">
        <v>0</v>
      </c>
      <c r="AB1548" s="12">
        <f>(W1548*4+X1548*1+Y1548*-2+Z1548*-3)/W1548</f>
        <v>5.6</v>
      </c>
      <c r="AC1548" s="3">
        <f>W1548*12.0107+X1548*1.00784+Y1548*15.999+Z1548*14.0067</f>
        <v>136.23244</v>
      </c>
      <c r="AD1548" s="12">
        <v>176</v>
      </c>
      <c r="AE1548" s="3" t="s">
        <v>271</v>
      </c>
      <c r="AF1548" s="3" t="s">
        <v>79</v>
      </c>
      <c r="AG1548" s="2" t="str">
        <f>IF(AD1548&gt;37,"Proton symporter", "Diffusion")</f>
        <v>Proton symporter</v>
      </c>
      <c r="AH1548" s="3" t="s">
        <v>272</v>
      </c>
    </row>
    <row r="1549" spans="1:34" hidden="1" x14ac:dyDescent="0.2">
      <c r="A1549" s="8" t="s">
        <v>34</v>
      </c>
      <c r="B1549" s="9" t="s">
        <v>35</v>
      </c>
      <c r="C1549" s="1" t="s">
        <v>53</v>
      </c>
      <c r="D1549" s="13" t="s">
        <v>51</v>
      </c>
      <c r="E1549" s="1" t="s">
        <v>254</v>
      </c>
      <c r="F1549" s="1" t="s">
        <v>255</v>
      </c>
      <c r="G1549" s="1">
        <v>-10</v>
      </c>
      <c r="H1549" s="1">
        <v>-20</v>
      </c>
      <c r="I1549" s="1" t="s">
        <v>40</v>
      </c>
      <c r="J1549" s="1">
        <v>3.15</v>
      </c>
      <c r="K1549" s="1">
        <v>-10</v>
      </c>
      <c r="L1549" s="1">
        <v>-4.1177096259528501</v>
      </c>
      <c r="M1549" s="1" t="s">
        <v>40</v>
      </c>
      <c r="N1549" s="1">
        <v>9.3697925899663197</v>
      </c>
      <c r="O1549" s="1">
        <v>4.2013827335578798E-2</v>
      </c>
      <c r="Q1549" s="1">
        <v>4.2013827335578803E-3</v>
      </c>
      <c r="R1549" s="1">
        <v>1.8652061537569101E-2</v>
      </c>
      <c r="S1549" s="11" t="s">
        <v>254</v>
      </c>
      <c r="T1549" s="2" t="s">
        <v>254</v>
      </c>
      <c r="U1549" s="3" t="s">
        <v>41</v>
      </c>
      <c r="V1549" s="2" t="s">
        <v>256</v>
      </c>
      <c r="W1549" s="2">
        <v>15</v>
      </c>
      <c r="X1549" s="2">
        <v>24</v>
      </c>
      <c r="Y1549" s="2">
        <v>0</v>
      </c>
      <c r="Z1549" s="2">
        <v>0</v>
      </c>
      <c r="AA1549" s="2">
        <v>0</v>
      </c>
      <c r="AB1549" s="12">
        <f>(W1549*4+X1549*1+Y1549*-2+Z1549*-3)/W1549+0.01</f>
        <v>5.6099999999999994</v>
      </c>
      <c r="AC1549" s="3">
        <f>W1549*12.0107+X1549*1.00784+Y1549*15.999+Z1549*14.0067</f>
        <v>204.34866000000002</v>
      </c>
      <c r="AD1549" s="12" t="s">
        <v>257</v>
      </c>
      <c r="AE1549" s="2" t="s">
        <v>231</v>
      </c>
      <c r="AF1549" s="2" t="s">
        <v>79</v>
      </c>
      <c r="AG1549" s="2" t="str">
        <f>IF(AD1549&gt;37,"Proton symporter", "Diffusion")</f>
        <v>Proton symporter</v>
      </c>
      <c r="AH1549" s="3" t="s">
        <v>258</v>
      </c>
    </row>
    <row r="1550" spans="1:34" hidden="1" x14ac:dyDescent="0.2">
      <c r="A1550" s="8" t="s">
        <v>34</v>
      </c>
      <c r="B1550" s="9" t="s">
        <v>35</v>
      </c>
      <c r="C1550" s="1" t="s">
        <v>53</v>
      </c>
      <c r="D1550" s="13" t="s">
        <v>51</v>
      </c>
      <c r="E1550" s="1" t="s">
        <v>264</v>
      </c>
      <c r="F1550" s="1" t="s">
        <v>265</v>
      </c>
      <c r="G1550" s="1">
        <v>-10</v>
      </c>
      <c r="H1550" s="1">
        <v>-20</v>
      </c>
      <c r="I1550" s="1" t="s">
        <v>40</v>
      </c>
      <c r="J1550" s="1">
        <v>3.15</v>
      </c>
      <c r="K1550" s="1">
        <v>-10</v>
      </c>
      <c r="L1550" s="1">
        <v>-4.1184909670563297</v>
      </c>
      <c r="M1550" s="1" t="s">
        <v>40</v>
      </c>
      <c r="N1550" s="1">
        <v>9.3703506907545293</v>
      </c>
      <c r="O1550" s="1">
        <v>0.12592986184909799</v>
      </c>
      <c r="Q1550" s="1">
        <v>1.25929861849098E-2</v>
      </c>
      <c r="R1550" s="1">
        <v>1.86355435943019E-2</v>
      </c>
      <c r="S1550" s="20" t="s">
        <v>264</v>
      </c>
      <c r="T1550" s="3" t="s">
        <v>264</v>
      </c>
      <c r="U1550" s="3" t="s">
        <v>106</v>
      </c>
      <c r="V1550" s="3" t="s">
        <v>266</v>
      </c>
      <c r="W1550" s="3">
        <v>5</v>
      </c>
      <c r="X1550" s="3">
        <v>8</v>
      </c>
      <c r="Y1550" s="3">
        <v>0</v>
      </c>
      <c r="Z1550" s="3">
        <v>0</v>
      </c>
      <c r="AA1550" s="3">
        <v>0</v>
      </c>
      <c r="AB1550" s="12">
        <f>(W1550*4+X1550*1+Y1550*-2+Z1550*-3)/W1550</f>
        <v>5.6</v>
      </c>
      <c r="AC1550" s="3">
        <f>W1550*12.0107+X1550*1.00784+Y1550*15.999+Z1550*14.0067</f>
        <v>68.116219999999998</v>
      </c>
      <c r="AD1550" s="24">
        <v>34.07</v>
      </c>
      <c r="AE1550" s="3" t="s">
        <v>231</v>
      </c>
      <c r="AF1550" s="3" t="s">
        <v>79</v>
      </c>
      <c r="AG1550" s="25" t="str">
        <f>IF(AD1550&gt;37,"Proton symporter", "Diffusion")</f>
        <v>Diffusion</v>
      </c>
      <c r="AH1550" s="3" t="s">
        <v>267</v>
      </c>
    </row>
    <row r="1551" spans="1:34" hidden="1" x14ac:dyDescent="0.2">
      <c r="A1551" s="8" t="s">
        <v>34</v>
      </c>
      <c r="B1551" s="9" t="s">
        <v>35</v>
      </c>
      <c r="C1551" s="1" t="s">
        <v>53</v>
      </c>
      <c r="D1551" s="13" t="s">
        <v>51</v>
      </c>
      <c r="E1551" s="1" t="s">
        <v>227</v>
      </c>
      <c r="F1551" s="1" t="s">
        <v>228</v>
      </c>
      <c r="G1551" s="1">
        <v>-10</v>
      </c>
      <c r="H1551" s="1">
        <v>-20</v>
      </c>
      <c r="I1551" s="1" t="s">
        <v>40</v>
      </c>
      <c r="J1551" s="1">
        <v>3.15</v>
      </c>
      <c r="K1551" s="1">
        <v>-10</v>
      </c>
      <c r="L1551" s="1">
        <v>-4.1604565730779299</v>
      </c>
      <c r="M1551" s="1" t="s">
        <v>40</v>
      </c>
      <c r="N1551" s="1">
        <v>9.3781159800577196</v>
      </c>
      <c r="O1551" s="1">
        <v>1.5547100498556799E-2</v>
      </c>
      <c r="Q1551" s="1">
        <v>1.5547100498556801E-3</v>
      </c>
      <c r="R1551" s="1">
        <v>1.8133387701050399E-2</v>
      </c>
      <c r="S1551" s="11" t="s">
        <v>227</v>
      </c>
      <c r="T1551" s="2" t="s">
        <v>229</v>
      </c>
      <c r="U1551" s="3" t="s">
        <v>41</v>
      </c>
      <c r="V1551" s="2" t="s">
        <v>230</v>
      </c>
      <c r="W1551" s="2">
        <v>40</v>
      </c>
      <c r="X1551" s="2">
        <v>56</v>
      </c>
      <c r="Y1551" s="2">
        <v>0</v>
      </c>
      <c r="Z1551" s="2">
        <v>0</v>
      </c>
      <c r="AA1551" s="2">
        <v>0</v>
      </c>
      <c r="AB1551" s="12">
        <f>(W1551*4+X1551*1+Y1551*-2+Z1551*-3)/W1551</f>
        <v>5.4</v>
      </c>
      <c r="AC1551" s="3">
        <f>W1551*12.0107+X1551*1.00784+Y1551*15.999+Z1551*14.0067</f>
        <v>536.86703999999997</v>
      </c>
      <c r="AD1551" s="12">
        <v>633</v>
      </c>
      <c r="AE1551" s="2" t="s">
        <v>231</v>
      </c>
      <c r="AF1551" s="2" t="s">
        <v>79</v>
      </c>
      <c r="AG1551" s="2" t="s">
        <v>232</v>
      </c>
      <c r="AH1551" s="3" t="s">
        <v>233</v>
      </c>
    </row>
    <row r="1552" spans="1:34" hidden="1" x14ac:dyDescent="0.2">
      <c r="A1552" s="16" t="s">
        <v>317</v>
      </c>
      <c r="B1552" s="9" t="s">
        <v>35</v>
      </c>
      <c r="C1552" t="s">
        <v>53</v>
      </c>
      <c r="D1552" s="13" t="s">
        <v>51</v>
      </c>
      <c r="E1552" t="s">
        <v>323</v>
      </c>
      <c r="F1552" t="s">
        <v>324</v>
      </c>
      <c r="G1552">
        <v>-10</v>
      </c>
      <c r="H1552">
        <v>-20</v>
      </c>
      <c r="I1552" s="1" t="s">
        <v>40</v>
      </c>
      <c r="J1552">
        <v>3.15</v>
      </c>
      <c r="K1552">
        <v>-10</v>
      </c>
      <c r="L1552">
        <v>-4.1279069767441801</v>
      </c>
      <c r="M1552" s="1" t="s">
        <v>40</v>
      </c>
      <c r="N1552">
        <v>9.4418604651162692</v>
      </c>
      <c r="O1552">
        <v>6.9767441860464102E-2</v>
      </c>
      <c r="P1552"/>
      <c r="Q1552">
        <v>6.97674418604641E-3</v>
      </c>
      <c r="R1552">
        <v>1.7313437541302799E-2</v>
      </c>
      <c r="S1552" s="11" t="s">
        <v>323</v>
      </c>
      <c r="T1552" s="2" t="s">
        <v>323</v>
      </c>
      <c r="U1552" s="3" t="s">
        <v>106</v>
      </c>
      <c r="V1552" s="2" t="s">
        <v>325</v>
      </c>
      <c r="W1552" s="2">
        <v>8</v>
      </c>
      <c r="X1552" s="2">
        <v>18</v>
      </c>
      <c r="Y1552" s="2">
        <v>0</v>
      </c>
      <c r="Z1552" s="2">
        <v>0</v>
      </c>
      <c r="AA1552" s="2">
        <v>0</v>
      </c>
      <c r="AB1552" s="12">
        <f>(W1552*4+X1552*1+Y1552*-2+Z1552*-3)/W1552</f>
        <v>6.25</v>
      </c>
      <c r="AC1552" s="3">
        <f>W1552*12.0107+X1552*1.00784+Y1552*15.999+Z1552*14.0067</f>
        <v>114.22672</v>
      </c>
      <c r="AD1552" s="12">
        <v>126</v>
      </c>
      <c r="AE1552" s="3" t="s">
        <v>321</v>
      </c>
      <c r="AF1552" s="2" t="s">
        <v>313</v>
      </c>
      <c r="AG1552" s="2" t="str">
        <f>IF(AD1552&gt;37,"Proton symporter", "Diffusion")</f>
        <v>Proton symporter</v>
      </c>
      <c r="AH1552" s="3" t="s">
        <v>326</v>
      </c>
    </row>
    <row r="1553" spans="1:34" hidden="1" x14ac:dyDescent="0.2">
      <c r="A1553" s="16" t="s">
        <v>317</v>
      </c>
      <c r="B1553" s="9" t="s">
        <v>35</v>
      </c>
      <c r="C1553" t="s">
        <v>53</v>
      </c>
      <c r="D1553" s="13" t="s">
        <v>51</v>
      </c>
      <c r="E1553" t="s">
        <v>318</v>
      </c>
      <c r="F1553" t="s">
        <v>319</v>
      </c>
      <c r="G1553">
        <v>-10</v>
      </c>
      <c r="H1553">
        <v>-20</v>
      </c>
      <c r="I1553" s="1" t="s">
        <v>40</v>
      </c>
      <c r="J1553">
        <v>3.15</v>
      </c>
      <c r="K1553">
        <v>-10</v>
      </c>
      <c r="L1553">
        <v>-4.1343595095225698</v>
      </c>
      <c r="M1553" s="1" t="s">
        <v>40</v>
      </c>
      <c r="N1553">
        <v>9.4435168275502193</v>
      </c>
      <c r="O1553">
        <v>6.1831463605531101E-2</v>
      </c>
      <c r="P1553"/>
      <c r="Q1553">
        <v>6.1831463605531104E-3</v>
      </c>
      <c r="R1553">
        <v>1.7228211596334801E-2</v>
      </c>
      <c r="S1553" s="20" t="s">
        <v>318</v>
      </c>
      <c r="T1553" s="3" t="s">
        <v>318</v>
      </c>
      <c r="U1553" s="3" t="s">
        <v>106</v>
      </c>
      <c r="V1553" s="3" t="s">
        <v>320</v>
      </c>
      <c r="W1553" s="3">
        <v>9</v>
      </c>
      <c r="X1553" s="3">
        <v>20</v>
      </c>
      <c r="Y1553" s="3">
        <v>0</v>
      </c>
      <c r="Z1553" s="3">
        <v>0</v>
      </c>
      <c r="AA1553" s="3">
        <v>0</v>
      </c>
      <c r="AB1553" s="12">
        <f>(W1553*4+X1553*1+Y1553*-2+Z1553*-3)/W1553</f>
        <v>6.2222222222222223</v>
      </c>
      <c r="AC1553" s="3">
        <f>W1553*12.0107+X1553*1.00784+Y1553*15.999+Z1553*14.0067</f>
        <v>128.25309999999999</v>
      </c>
      <c r="AD1553" s="12">
        <v>151</v>
      </c>
      <c r="AE1553" s="3" t="s">
        <v>321</v>
      </c>
      <c r="AF1553" s="2" t="s">
        <v>79</v>
      </c>
      <c r="AG1553" s="2" t="str">
        <f>IF(AD1553&gt;37,"Proton symporter", "Diffusion")</f>
        <v>Proton symporter</v>
      </c>
      <c r="AH1553" s="3" t="s">
        <v>322</v>
      </c>
    </row>
    <row r="1554" spans="1:34" hidden="1" x14ac:dyDescent="0.2">
      <c r="A1554" s="16" t="s">
        <v>317</v>
      </c>
      <c r="B1554" s="9" t="s">
        <v>35</v>
      </c>
      <c r="C1554" t="s">
        <v>53</v>
      </c>
      <c r="D1554" s="13" t="s">
        <v>51</v>
      </c>
      <c r="E1554" t="s">
        <v>331</v>
      </c>
      <c r="F1554" t="s">
        <v>332</v>
      </c>
      <c r="G1554">
        <v>-10</v>
      </c>
      <c r="H1554">
        <v>-20</v>
      </c>
      <c r="I1554" s="1" t="s">
        <v>40</v>
      </c>
      <c r="J1554">
        <v>3.15</v>
      </c>
      <c r="K1554">
        <v>-10</v>
      </c>
      <c r="L1554">
        <v>-4.1323699421965401</v>
      </c>
      <c r="M1554" s="1" t="s">
        <v>40</v>
      </c>
      <c r="N1554">
        <v>9.4520231213872492</v>
      </c>
      <c r="O1554">
        <v>9.1329479768780295E-2</v>
      </c>
      <c r="P1554"/>
      <c r="Q1554">
        <v>9.1329479768780305E-3</v>
      </c>
      <c r="R1554">
        <v>1.7098177990718302E-2</v>
      </c>
      <c r="S1554" s="11" t="s">
        <v>331</v>
      </c>
      <c r="T1554" s="2" t="s">
        <v>331</v>
      </c>
      <c r="U1554" s="3" t="s">
        <v>106</v>
      </c>
      <c r="V1554" s="3" t="s">
        <v>333</v>
      </c>
      <c r="W1554" s="2">
        <v>6</v>
      </c>
      <c r="X1554" s="2">
        <v>14</v>
      </c>
      <c r="Y1554" s="2">
        <v>0</v>
      </c>
      <c r="Z1554" s="2">
        <v>0</v>
      </c>
      <c r="AA1554" s="2">
        <v>0</v>
      </c>
      <c r="AB1554" s="12">
        <f>(W1554*4+X1554*1+Y1554*-2+Z1554*-3)/W1554</f>
        <v>6.333333333333333</v>
      </c>
      <c r="AC1554" s="3">
        <f>W1554*12.0107+X1554*1.00784+Y1554*15.999+Z1554*14.0067</f>
        <v>86.173959999999994</v>
      </c>
      <c r="AD1554" s="12">
        <v>69</v>
      </c>
      <c r="AE1554" s="3" t="s">
        <v>321</v>
      </c>
      <c r="AF1554" s="2" t="s">
        <v>313</v>
      </c>
      <c r="AG1554" s="2" t="str">
        <f>IF(AD1554&gt;37,"Proton symporter", "Diffusion")</f>
        <v>Proton symporter</v>
      </c>
      <c r="AH1554" s="3" t="s">
        <v>334</v>
      </c>
    </row>
    <row r="1555" spans="1:34" hidden="1" x14ac:dyDescent="0.2">
      <c r="A1555" s="16" t="s">
        <v>317</v>
      </c>
      <c r="B1555" s="9" t="s">
        <v>35</v>
      </c>
      <c r="C1555" t="s">
        <v>53</v>
      </c>
      <c r="D1555" s="13" t="s">
        <v>51</v>
      </c>
      <c r="E1555" t="s">
        <v>327</v>
      </c>
      <c r="F1555" t="s">
        <v>328</v>
      </c>
      <c r="G1555">
        <v>-10</v>
      </c>
      <c r="H1555">
        <v>-20</v>
      </c>
      <c r="I1555" s="1" t="s">
        <v>40</v>
      </c>
      <c r="J1555">
        <v>3.15</v>
      </c>
      <c r="K1555">
        <v>-10</v>
      </c>
      <c r="L1555">
        <v>-4.13988782580007</v>
      </c>
      <c r="M1555" s="1" t="s">
        <v>40</v>
      </c>
      <c r="N1555">
        <v>9.4526558891455004</v>
      </c>
      <c r="O1555">
        <v>7.8192015836357903E-2</v>
      </c>
      <c r="P1555"/>
      <c r="Q1555">
        <v>7.8192015836357903E-3</v>
      </c>
      <c r="R1555">
        <v>1.7021365756140501E-2</v>
      </c>
      <c r="S1555" s="20" t="s">
        <v>327</v>
      </c>
      <c r="T1555" s="3" t="s">
        <v>327</v>
      </c>
      <c r="U1555" s="3" t="s">
        <v>106</v>
      </c>
      <c r="V1555" s="3" t="s">
        <v>329</v>
      </c>
      <c r="W1555" s="3">
        <v>7</v>
      </c>
      <c r="X1555" s="3">
        <v>16</v>
      </c>
      <c r="Y1555" s="3">
        <v>0</v>
      </c>
      <c r="Z1555" s="3">
        <v>0</v>
      </c>
      <c r="AA1555" s="3">
        <v>0</v>
      </c>
      <c r="AB1555" s="12">
        <f>(W1555*4+X1555*1+Y1555*-2+Z1555*-3)/W1555</f>
        <v>6.2857142857142856</v>
      </c>
      <c r="AC1555" s="3">
        <f>W1555*12.0107+X1555*1.00784+Y1555*15.999+Z1555*14.0067</f>
        <v>100.20034</v>
      </c>
      <c r="AD1555" s="3">
        <v>98</v>
      </c>
      <c r="AE1555" s="3" t="s">
        <v>321</v>
      </c>
      <c r="AF1555" s="2" t="s">
        <v>79</v>
      </c>
      <c r="AG1555" s="2" t="str">
        <f>IF(AD1555&gt;37,"Proton symporter", "Diffusion")</f>
        <v>Proton symporter</v>
      </c>
      <c r="AH1555" s="3" t="s">
        <v>330</v>
      </c>
    </row>
    <row r="1556" spans="1:34" hidden="1" x14ac:dyDescent="0.2">
      <c r="A1556" s="8" t="s">
        <v>34</v>
      </c>
      <c r="B1556" s="9" t="s">
        <v>35</v>
      </c>
      <c r="C1556" s="1" t="s">
        <v>53</v>
      </c>
      <c r="D1556" s="13" t="s">
        <v>51</v>
      </c>
      <c r="E1556" s="1" t="s">
        <v>335</v>
      </c>
      <c r="F1556" s="1" t="s">
        <v>336</v>
      </c>
      <c r="G1556" s="1">
        <v>-10</v>
      </c>
      <c r="H1556" s="1">
        <v>-20</v>
      </c>
      <c r="I1556" s="1" t="s">
        <v>40</v>
      </c>
      <c r="J1556" s="1">
        <v>3.15</v>
      </c>
      <c r="K1556" s="1">
        <v>-10</v>
      </c>
      <c r="L1556" s="1">
        <v>-4.1512981199641903</v>
      </c>
      <c r="M1556" s="1" t="s">
        <v>40</v>
      </c>
      <c r="N1556" s="1">
        <v>9.4695613249776205</v>
      </c>
      <c r="O1556" s="1">
        <v>0.106087735004477</v>
      </c>
      <c r="Q1556" s="1">
        <v>1.0608773500447701E-2</v>
      </c>
      <c r="R1556" s="1">
        <v>1.6628372499987599E-2</v>
      </c>
      <c r="S1556" s="11" t="s">
        <v>335</v>
      </c>
      <c r="T1556" s="2" t="s">
        <v>335</v>
      </c>
      <c r="U1556" s="3" t="s">
        <v>106</v>
      </c>
      <c r="V1556" s="2" t="s">
        <v>337</v>
      </c>
      <c r="W1556" s="2">
        <v>5</v>
      </c>
      <c r="X1556" s="2">
        <v>12</v>
      </c>
      <c r="Y1556" s="2">
        <v>0</v>
      </c>
      <c r="Z1556" s="2">
        <v>0</v>
      </c>
      <c r="AA1556" s="2">
        <v>0</v>
      </c>
      <c r="AB1556" s="12">
        <f>(W1556*4+X1556*1+Y1556*-2+Z1556*-3)/W1556</f>
        <v>6.4</v>
      </c>
      <c r="AC1556" s="3">
        <f>W1556*12.0107+X1556*1.00784+Y1556*15.999+Z1556*14.0067</f>
        <v>72.147580000000005</v>
      </c>
      <c r="AD1556" s="24">
        <v>36.1</v>
      </c>
      <c r="AE1556" s="3" t="s">
        <v>321</v>
      </c>
      <c r="AF1556" s="2" t="s">
        <v>79</v>
      </c>
      <c r="AG1556" s="25" t="str">
        <f>IF(AD1556&gt;37,"Proton symporter", "Diffusion")</f>
        <v>Diffusion</v>
      </c>
      <c r="AH1556" s="3" t="s">
        <v>338</v>
      </c>
    </row>
    <row r="1557" spans="1:34" hidden="1" x14ac:dyDescent="0.2">
      <c r="A1557" s="8" t="s">
        <v>34</v>
      </c>
      <c r="B1557" s="9" t="s">
        <v>35</v>
      </c>
      <c r="C1557" s="1" t="s">
        <v>53</v>
      </c>
      <c r="D1557" s="13" t="s">
        <v>51</v>
      </c>
      <c r="E1557" s="1" t="s">
        <v>339</v>
      </c>
      <c r="F1557" s="1" t="s">
        <v>340</v>
      </c>
      <c r="G1557" s="1">
        <v>-10</v>
      </c>
      <c r="H1557" s="1">
        <v>-20</v>
      </c>
      <c r="I1557" s="1" t="s">
        <v>40</v>
      </c>
      <c r="J1557" s="1">
        <v>3.15</v>
      </c>
      <c r="K1557" s="1">
        <v>-10</v>
      </c>
      <c r="L1557" s="1">
        <v>-4.1535714285714302</v>
      </c>
      <c r="M1557" s="1" t="s">
        <v>40</v>
      </c>
      <c r="N1557" s="1">
        <v>9.4791208791208899</v>
      </c>
      <c r="O1557" s="1">
        <v>0.13021978021978101</v>
      </c>
      <c r="Q1557" s="1">
        <v>1.30219780219781E-2</v>
      </c>
      <c r="R1557" s="1">
        <v>1.6442745298916199E-2</v>
      </c>
      <c r="S1557" s="11" t="s">
        <v>339</v>
      </c>
      <c r="T1557" s="2" t="s">
        <v>339</v>
      </c>
      <c r="U1557" s="3" t="s">
        <v>106</v>
      </c>
      <c r="V1557" s="2" t="s">
        <v>341</v>
      </c>
      <c r="W1557" s="2">
        <v>4</v>
      </c>
      <c r="X1557" s="2">
        <v>10</v>
      </c>
      <c r="Y1557" s="2">
        <v>0</v>
      </c>
      <c r="Z1557" s="2">
        <v>0</v>
      </c>
      <c r="AA1557" s="2">
        <v>0</v>
      </c>
      <c r="AB1557" s="12">
        <f>(W1557*4+X1557*1+Y1557*-2+Z1557*-3)/W1557</f>
        <v>6.5</v>
      </c>
      <c r="AC1557" s="3">
        <f>W1557*12.0107+X1557*1.00784+Y1557*15.999+Z1557*14.0067</f>
        <v>58.121200000000002</v>
      </c>
      <c r="AD1557" s="24">
        <v>-1</v>
      </c>
      <c r="AE1557" s="3" t="s">
        <v>321</v>
      </c>
      <c r="AF1557" s="2" t="s">
        <v>313</v>
      </c>
      <c r="AG1557" s="25" t="str">
        <f>IF(AD1557&gt;37,"Proton symporter", "Diffusion")</f>
        <v>Diffusion</v>
      </c>
      <c r="AH1557" s="3" t="s">
        <v>342</v>
      </c>
    </row>
    <row r="1558" spans="1:34" hidden="1" x14ac:dyDescent="0.2">
      <c r="A1558" s="8" t="s">
        <v>34</v>
      </c>
      <c r="B1558" s="9" t="s">
        <v>35</v>
      </c>
      <c r="C1558" s="1" t="s">
        <v>53</v>
      </c>
      <c r="D1558" s="13" t="s">
        <v>51</v>
      </c>
      <c r="E1558" s="1" t="s">
        <v>343</v>
      </c>
      <c r="F1558" s="1" t="s">
        <v>344</v>
      </c>
      <c r="G1558" s="1">
        <v>-10</v>
      </c>
      <c r="H1558" s="1">
        <v>-20</v>
      </c>
      <c r="I1558" s="1" t="s">
        <v>40</v>
      </c>
      <c r="J1558" s="1">
        <v>3.15</v>
      </c>
      <c r="K1558" s="1">
        <v>-10</v>
      </c>
      <c r="L1558" s="1">
        <v>-4.1724860335195499</v>
      </c>
      <c r="M1558" s="1" t="s">
        <v>40</v>
      </c>
      <c r="N1558" s="1">
        <v>9.5034916201117294</v>
      </c>
      <c r="O1558" s="1">
        <v>0.165502793296089</v>
      </c>
      <c r="Q1558" s="1">
        <v>1.65502793296089E-2</v>
      </c>
      <c r="R1558" s="1">
        <v>1.5854615030085499E-2</v>
      </c>
      <c r="S1558" s="20" t="s">
        <v>343</v>
      </c>
      <c r="T1558" s="3" t="s">
        <v>345</v>
      </c>
      <c r="U1558" s="3" t="s">
        <v>106</v>
      </c>
      <c r="V1558" s="3" t="s">
        <v>346</v>
      </c>
      <c r="W1558" s="3">
        <v>3</v>
      </c>
      <c r="X1558" s="3">
        <v>8</v>
      </c>
      <c r="Y1558" s="3">
        <v>0</v>
      </c>
      <c r="Z1558" s="3">
        <v>0</v>
      </c>
      <c r="AA1558" s="3">
        <v>0</v>
      </c>
      <c r="AB1558" s="12">
        <f>(W1558*4+X1558*1+Y1558*-2+Z1558*-3)/W1558</f>
        <v>6.666666666666667</v>
      </c>
      <c r="AC1558" s="3">
        <f>W1558*12.0107+X1558*1.00784+Y1558*15.999+Z1558*14.0067</f>
        <v>44.094819999999999</v>
      </c>
      <c r="AD1558" s="24">
        <v>-42</v>
      </c>
      <c r="AE1558" s="3" t="s">
        <v>231</v>
      </c>
      <c r="AF1558" s="2" t="s">
        <v>79</v>
      </c>
      <c r="AG1558" s="25" t="str">
        <f>IF(AD1558&gt;37,"Proton symporter", "Diffusion")</f>
        <v>Diffusion</v>
      </c>
      <c r="AH1558" s="3" t="s">
        <v>347</v>
      </c>
    </row>
    <row r="1559" spans="1:34" hidden="1" x14ac:dyDescent="0.2">
      <c r="A1559" s="8" t="s">
        <v>34</v>
      </c>
      <c r="B1559" s="9" t="s">
        <v>35</v>
      </c>
      <c r="C1559" s="1" t="s">
        <v>53</v>
      </c>
      <c r="D1559" s="13" t="s">
        <v>51</v>
      </c>
      <c r="E1559" s="1" t="s">
        <v>348</v>
      </c>
      <c r="F1559" s="1" t="s">
        <v>344</v>
      </c>
      <c r="G1559" s="1">
        <v>-10</v>
      </c>
      <c r="H1559" s="1">
        <v>-20</v>
      </c>
      <c r="I1559" s="1" t="s">
        <v>40</v>
      </c>
      <c r="J1559" s="1">
        <v>3.15</v>
      </c>
      <c r="K1559" s="1">
        <v>-10</v>
      </c>
      <c r="L1559" s="1">
        <v>-4.31344148319815</v>
      </c>
      <c r="M1559" s="1" t="s">
        <v>40</v>
      </c>
      <c r="N1559" s="1">
        <v>9.5880648899188792</v>
      </c>
      <c r="O1559" s="1">
        <v>0.13731170336036899</v>
      </c>
      <c r="Q1559" s="1">
        <v>1.3731170336036901E-2</v>
      </c>
      <c r="R1559" s="1">
        <v>1.3154002736432399E-2</v>
      </c>
      <c r="S1559" s="20" t="s">
        <v>348</v>
      </c>
      <c r="T1559" s="3" t="s">
        <v>349</v>
      </c>
      <c r="U1559" s="3" t="s">
        <v>106</v>
      </c>
      <c r="V1559" s="3" t="s">
        <v>346</v>
      </c>
      <c r="W1559" s="3">
        <v>3</v>
      </c>
      <c r="X1559" s="3">
        <v>8</v>
      </c>
      <c r="Y1559" s="3">
        <v>0</v>
      </c>
      <c r="Z1559" s="3">
        <v>0</v>
      </c>
      <c r="AA1559" s="3">
        <v>0</v>
      </c>
      <c r="AB1559" s="12">
        <f>(W1559*4+X1559*1+Y1559*-2+Z1559*-3)/W1559</f>
        <v>6.666666666666667</v>
      </c>
      <c r="AC1559" s="3">
        <f>W1559*12.0107+X1559*1.00784+Y1559*15.999+Z1559*14.0067</f>
        <v>44.094819999999999</v>
      </c>
      <c r="AD1559" s="24">
        <v>-42</v>
      </c>
      <c r="AE1559" s="3" t="s">
        <v>231</v>
      </c>
      <c r="AF1559" s="3" t="s">
        <v>44</v>
      </c>
      <c r="AG1559" s="25" t="str">
        <f>IF(AD1559&gt;37,"Proton symporter", "Diffusion")</f>
        <v>Diffusion</v>
      </c>
      <c r="AH1559" s="3" t="s">
        <v>347</v>
      </c>
    </row>
    <row r="1560" spans="1:34" hidden="1" x14ac:dyDescent="0.2">
      <c r="A1560" s="8" t="s">
        <v>350</v>
      </c>
      <c r="B1560" s="17" t="s">
        <v>64</v>
      </c>
      <c r="C1560" t="s">
        <v>351</v>
      </c>
      <c r="D1560" s="13" t="s">
        <v>51</v>
      </c>
      <c r="E1560" t="s">
        <v>189</v>
      </c>
      <c r="F1560" t="s">
        <v>190</v>
      </c>
      <c r="G1560">
        <v>-10</v>
      </c>
      <c r="H1560">
        <v>0</v>
      </c>
      <c r="I1560">
        <v>0</v>
      </c>
      <c r="J1560">
        <v>0.45</v>
      </c>
      <c r="K1560">
        <v>-1.8</v>
      </c>
      <c r="L1560">
        <v>0</v>
      </c>
      <c r="M1560">
        <v>0</v>
      </c>
      <c r="N1560">
        <v>0</v>
      </c>
      <c r="O1560">
        <v>0</v>
      </c>
      <c r="P1560"/>
      <c r="Q1560">
        <v>0</v>
      </c>
      <c r="R1560">
        <v>0</v>
      </c>
      <c r="S1560" s="3" t="str">
        <f>VLOOKUP($E1560,'[1]Product Naming'!$A$1:$P$58,2)</f>
        <v>5-Aminopentanoate</v>
      </c>
      <c r="T1560" s="3" t="str">
        <f>VLOOKUP($E1560,'[1]Product Naming'!$A$1:$P$58,3)</f>
        <v>5-Aminopentanoate</v>
      </c>
      <c r="U1560" s="3" t="str">
        <f>VLOOKUP($E1560,'[1]Product Naming'!$A$1:$P$58,4)</f>
        <v>A</v>
      </c>
      <c r="V1560" s="3" t="str">
        <f>VLOOKUP($E1560,'[1]Product Naming'!$A$1:$P$58,5)</f>
        <v>C5H11NO2</v>
      </c>
      <c r="W1560" s="3">
        <f>VLOOKUP($E1560,'[1]Product Naming'!$A$1:$P$58,6)</f>
        <v>5</v>
      </c>
      <c r="X1560" s="3">
        <f>VLOOKUP($E1560,'[1]Product Naming'!$A$1:$P$58,7)</f>
        <v>11</v>
      </c>
      <c r="Y1560" s="3">
        <f>VLOOKUP($E1560,'[1]Product Naming'!$A$1:$P$58,8)</f>
        <v>2</v>
      </c>
      <c r="Z1560" s="3">
        <f>VLOOKUP($E1560,'[1]Product Naming'!$A$1:$P$58,9)</f>
        <v>1</v>
      </c>
      <c r="AA1560" s="3">
        <f>VLOOKUP($E1560,'[1]Product Naming'!$A$1:$P$58,10)</f>
        <v>0</v>
      </c>
      <c r="AB1560" s="3">
        <f>VLOOKUP($E1560,'[1]Product Naming'!$A$1:$P$58,11)</f>
        <v>4.8</v>
      </c>
      <c r="AC1560" s="3">
        <f>VLOOKUP($E1560,'[1]Product Naming'!$A$1:$P$58,12)</f>
        <v>117.14444</v>
      </c>
      <c r="AD1560" s="3">
        <f>VLOOKUP($E1560,'[1]Product Naming'!$A$1:$P$58,13)</f>
        <v>247.5</v>
      </c>
      <c r="AE1560" s="3" t="str">
        <f>VLOOKUP($E1560,'[1]Product Naming'!$A$1:$P$58,14)</f>
        <v>D-Amino Acid</v>
      </c>
      <c r="AF1560" s="3" t="str">
        <f>VLOOKUP($E1560,'[1]Product Naming'!$A$1:$P$58,15)</f>
        <v>Oxaloacetate</v>
      </c>
      <c r="AG1560" s="3" t="str">
        <f>VLOOKUP($E1560,'[1]Product Naming'!$A$1:$P$58,16)</f>
        <v>Proton symporter</v>
      </c>
      <c r="AH1560" s="3" t="str">
        <f>VLOOKUP($E1560,'[1]Product Naming'!$A$1:$Q$58,17)</f>
        <v>5aptn_c</v>
      </c>
    </row>
    <row r="1561" spans="1:34" hidden="1" x14ac:dyDescent="0.2">
      <c r="A1561" s="8" t="s">
        <v>350</v>
      </c>
      <c r="B1561" s="17" t="s">
        <v>64</v>
      </c>
      <c r="C1561" t="s">
        <v>352</v>
      </c>
      <c r="D1561" s="13" t="s">
        <v>51</v>
      </c>
      <c r="E1561" t="s">
        <v>189</v>
      </c>
      <c r="F1561" t="s">
        <v>190</v>
      </c>
      <c r="G1561">
        <v>-10</v>
      </c>
      <c r="H1561">
        <v>0</v>
      </c>
      <c r="I1561">
        <v>0</v>
      </c>
      <c r="J1561">
        <v>0.45</v>
      </c>
      <c r="K1561">
        <v>-1.02857142857142</v>
      </c>
      <c r="L1561">
        <v>0</v>
      </c>
      <c r="M1561">
        <v>0</v>
      </c>
      <c r="N1561">
        <v>0</v>
      </c>
      <c r="O1561">
        <v>0</v>
      </c>
      <c r="P1561"/>
      <c r="Q1561">
        <v>0</v>
      </c>
      <c r="R1561">
        <v>0</v>
      </c>
      <c r="S1561" s="3" t="str">
        <f>VLOOKUP($E1561,'[1]Product Naming'!$A$1:$P$58,2)</f>
        <v>5-Aminopentanoate</v>
      </c>
      <c r="T1561" s="3" t="str">
        <f>VLOOKUP($E1561,'[1]Product Naming'!$A$1:$P$58,3)</f>
        <v>5-Aminopentanoate</v>
      </c>
      <c r="U1561" s="3" t="str">
        <f>VLOOKUP($E1561,'[1]Product Naming'!$A$1:$P$58,4)</f>
        <v>A</v>
      </c>
      <c r="V1561" s="3" t="str">
        <f>VLOOKUP($E1561,'[1]Product Naming'!$A$1:$P$58,5)</f>
        <v>C5H11NO2</v>
      </c>
      <c r="W1561" s="3">
        <f>VLOOKUP($E1561,'[1]Product Naming'!$A$1:$P$58,6)</f>
        <v>5</v>
      </c>
      <c r="X1561" s="3">
        <f>VLOOKUP($E1561,'[1]Product Naming'!$A$1:$P$58,7)</f>
        <v>11</v>
      </c>
      <c r="Y1561" s="3">
        <f>VLOOKUP($E1561,'[1]Product Naming'!$A$1:$P$58,8)</f>
        <v>2</v>
      </c>
      <c r="Z1561" s="3">
        <f>VLOOKUP($E1561,'[1]Product Naming'!$A$1:$P$58,9)</f>
        <v>1</v>
      </c>
      <c r="AA1561" s="3">
        <f>VLOOKUP($E1561,'[1]Product Naming'!$A$1:$P$58,10)</f>
        <v>0</v>
      </c>
      <c r="AB1561" s="3">
        <f>VLOOKUP($E1561,'[1]Product Naming'!$A$1:$P$58,11)</f>
        <v>4.8</v>
      </c>
      <c r="AC1561" s="3">
        <f>VLOOKUP($E1561,'[1]Product Naming'!$A$1:$P$58,12)</f>
        <v>117.14444</v>
      </c>
      <c r="AD1561" s="3">
        <f>VLOOKUP($E1561,'[1]Product Naming'!$A$1:$P$58,13)</f>
        <v>247.5</v>
      </c>
      <c r="AE1561" s="3" t="str">
        <f>VLOOKUP($E1561,'[1]Product Naming'!$A$1:$P$58,14)</f>
        <v>D-Amino Acid</v>
      </c>
      <c r="AF1561" s="3" t="str">
        <f>VLOOKUP($E1561,'[1]Product Naming'!$A$1:$P$58,15)</f>
        <v>Oxaloacetate</v>
      </c>
      <c r="AG1561" s="3" t="str">
        <f>VLOOKUP($E1561,'[1]Product Naming'!$A$1:$P$58,16)</f>
        <v>Proton symporter</v>
      </c>
      <c r="AH1561" s="3" t="str">
        <f>VLOOKUP($E1561,'[1]Product Naming'!$A$1:$Q$58,17)</f>
        <v>5aptn_c</v>
      </c>
    </row>
    <row r="1562" spans="1:34" hidden="1" x14ac:dyDescent="0.2">
      <c r="A1562" s="8" t="s">
        <v>350</v>
      </c>
      <c r="B1562" s="17" t="s">
        <v>64</v>
      </c>
      <c r="C1562" t="s">
        <v>353</v>
      </c>
      <c r="D1562" s="13" t="s">
        <v>51</v>
      </c>
      <c r="E1562" t="s">
        <v>189</v>
      </c>
      <c r="F1562" t="s">
        <v>190</v>
      </c>
      <c r="G1562">
        <v>-10</v>
      </c>
      <c r="H1562">
        <v>0</v>
      </c>
      <c r="I1562">
        <v>0</v>
      </c>
      <c r="J1562">
        <v>0.45</v>
      </c>
      <c r="K1562">
        <v>-0.76595744680850997</v>
      </c>
      <c r="L1562">
        <v>0</v>
      </c>
      <c r="M1562">
        <v>0</v>
      </c>
      <c r="N1562">
        <v>0</v>
      </c>
      <c r="O1562">
        <v>0</v>
      </c>
      <c r="P1562"/>
      <c r="Q1562">
        <v>0</v>
      </c>
      <c r="R1562">
        <v>0</v>
      </c>
      <c r="S1562" s="3" t="str">
        <f>VLOOKUP($E1562,'[1]Product Naming'!$A$1:$P$58,2)</f>
        <v>5-Aminopentanoate</v>
      </c>
      <c r="T1562" s="3" t="str">
        <f>VLOOKUP($E1562,'[1]Product Naming'!$A$1:$P$58,3)</f>
        <v>5-Aminopentanoate</v>
      </c>
      <c r="U1562" s="3" t="str">
        <f>VLOOKUP($E1562,'[1]Product Naming'!$A$1:$P$58,4)</f>
        <v>A</v>
      </c>
      <c r="V1562" s="3" t="str">
        <f>VLOOKUP($E1562,'[1]Product Naming'!$A$1:$P$58,5)</f>
        <v>C5H11NO2</v>
      </c>
      <c r="W1562" s="3">
        <f>VLOOKUP($E1562,'[1]Product Naming'!$A$1:$P$58,6)</f>
        <v>5</v>
      </c>
      <c r="X1562" s="3">
        <f>VLOOKUP($E1562,'[1]Product Naming'!$A$1:$P$58,7)</f>
        <v>11</v>
      </c>
      <c r="Y1562" s="3">
        <f>VLOOKUP($E1562,'[1]Product Naming'!$A$1:$P$58,8)</f>
        <v>2</v>
      </c>
      <c r="Z1562" s="3">
        <f>VLOOKUP($E1562,'[1]Product Naming'!$A$1:$P$58,9)</f>
        <v>1</v>
      </c>
      <c r="AA1562" s="3">
        <f>VLOOKUP($E1562,'[1]Product Naming'!$A$1:$P$58,10)</f>
        <v>0</v>
      </c>
      <c r="AB1562" s="3">
        <f>VLOOKUP($E1562,'[1]Product Naming'!$A$1:$P$58,11)</f>
        <v>4.8</v>
      </c>
      <c r="AC1562" s="3">
        <f>VLOOKUP($E1562,'[1]Product Naming'!$A$1:$P$58,12)</f>
        <v>117.14444</v>
      </c>
      <c r="AD1562" s="3">
        <f>VLOOKUP($E1562,'[1]Product Naming'!$A$1:$P$58,13)</f>
        <v>247.5</v>
      </c>
      <c r="AE1562" s="3" t="str">
        <f>VLOOKUP($E1562,'[1]Product Naming'!$A$1:$P$58,14)</f>
        <v>D-Amino Acid</v>
      </c>
      <c r="AF1562" s="3" t="str">
        <f>VLOOKUP($E1562,'[1]Product Naming'!$A$1:$P$58,15)</f>
        <v>Oxaloacetate</v>
      </c>
      <c r="AG1562" s="3" t="str">
        <f>VLOOKUP($E1562,'[1]Product Naming'!$A$1:$P$58,16)</f>
        <v>Proton symporter</v>
      </c>
      <c r="AH1562" s="3" t="str">
        <f>VLOOKUP($E1562,'[1]Product Naming'!$A$1:$Q$58,17)</f>
        <v>5aptn_c</v>
      </c>
    </row>
    <row r="1563" spans="1:34" hidden="1" x14ac:dyDescent="0.2">
      <c r="A1563" s="8" t="s">
        <v>350</v>
      </c>
      <c r="B1563" s="17" t="s">
        <v>64</v>
      </c>
      <c r="C1563" t="s">
        <v>354</v>
      </c>
      <c r="D1563" s="13" t="s">
        <v>51</v>
      </c>
      <c r="E1563" t="s">
        <v>189</v>
      </c>
      <c r="F1563" t="s">
        <v>190</v>
      </c>
      <c r="G1563">
        <v>-10</v>
      </c>
      <c r="H1563">
        <v>0</v>
      </c>
      <c r="I1563">
        <v>0</v>
      </c>
      <c r="J1563">
        <v>0.45</v>
      </c>
      <c r="K1563">
        <v>-0.71999999999999897</v>
      </c>
      <c r="L1563">
        <v>0</v>
      </c>
      <c r="M1563">
        <v>0</v>
      </c>
      <c r="N1563">
        <v>0</v>
      </c>
      <c r="O1563">
        <v>0</v>
      </c>
      <c r="P1563"/>
      <c r="Q1563">
        <v>0</v>
      </c>
      <c r="R1563">
        <v>0</v>
      </c>
      <c r="S1563" s="3" t="str">
        <f>VLOOKUP($E1563,'[1]Product Naming'!$A$1:$P$58,2)</f>
        <v>5-Aminopentanoate</v>
      </c>
      <c r="T1563" s="3" t="str">
        <f>VLOOKUP($E1563,'[1]Product Naming'!$A$1:$P$58,3)</f>
        <v>5-Aminopentanoate</v>
      </c>
      <c r="U1563" s="3" t="str">
        <f>VLOOKUP($E1563,'[1]Product Naming'!$A$1:$P$58,4)</f>
        <v>A</v>
      </c>
      <c r="V1563" s="3" t="str">
        <f>VLOOKUP($E1563,'[1]Product Naming'!$A$1:$P$58,5)</f>
        <v>C5H11NO2</v>
      </c>
      <c r="W1563" s="3">
        <f>VLOOKUP($E1563,'[1]Product Naming'!$A$1:$P$58,6)</f>
        <v>5</v>
      </c>
      <c r="X1563" s="3">
        <f>VLOOKUP($E1563,'[1]Product Naming'!$A$1:$P$58,7)</f>
        <v>11</v>
      </c>
      <c r="Y1563" s="3">
        <f>VLOOKUP($E1563,'[1]Product Naming'!$A$1:$P$58,8)</f>
        <v>2</v>
      </c>
      <c r="Z1563" s="3">
        <f>VLOOKUP($E1563,'[1]Product Naming'!$A$1:$P$58,9)</f>
        <v>1</v>
      </c>
      <c r="AA1563" s="3">
        <f>VLOOKUP($E1563,'[1]Product Naming'!$A$1:$P$58,10)</f>
        <v>0</v>
      </c>
      <c r="AB1563" s="3">
        <f>VLOOKUP($E1563,'[1]Product Naming'!$A$1:$P$58,11)</f>
        <v>4.8</v>
      </c>
      <c r="AC1563" s="3">
        <f>VLOOKUP($E1563,'[1]Product Naming'!$A$1:$P$58,12)</f>
        <v>117.14444</v>
      </c>
      <c r="AD1563" s="3">
        <f>VLOOKUP($E1563,'[1]Product Naming'!$A$1:$P$58,13)</f>
        <v>247.5</v>
      </c>
      <c r="AE1563" s="3" t="str">
        <f>VLOOKUP($E1563,'[1]Product Naming'!$A$1:$P$58,14)</f>
        <v>D-Amino Acid</v>
      </c>
      <c r="AF1563" s="3" t="str">
        <f>VLOOKUP($E1563,'[1]Product Naming'!$A$1:$P$58,15)</f>
        <v>Oxaloacetate</v>
      </c>
      <c r="AG1563" s="3" t="str">
        <f>VLOOKUP($E1563,'[1]Product Naming'!$A$1:$P$58,16)</f>
        <v>Proton symporter</v>
      </c>
      <c r="AH1563" s="3" t="str">
        <f>VLOOKUP($E1563,'[1]Product Naming'!$A$1:$Q$58,17)</f>
        <v>5aptn_c</v>
      </c>
    </row>
    <row r="1564" spans="1:34" hidden="1" x14ac:dyDescent="0.2">
      <c r="A1564" s="8" t="s">
        <v>368</v>
      </c>
      <c r="B1564" s="17" t="s">
        <v>64</v>
      </c>
      <c r="C1564" t="s">
        <v>369</v>
      </c>
      <c r="D1564" s="18" t="s">
        <v>66</v>
      </c>
      <c r="E1564" t="s">
        <v>189</v>
      </c>
      <c r="F1564" t="s">
        <v>190</v>
      </c>
      <c r="G1564">
        <v>-10</v>
      </c>
      <c r="H1564">
        <v>0</v>
      </c>
      <c r="I1564">
        <v>-20</v>
      </c>
      <c r="J1564">
        <v>0.45</v>
      </c>
      <c r="K1564">
        <v>-0.9</v>
      </c>
      <c r="L1564">
        <v>0</v>
      </c>
      <c r="M1564">
        <v>-2.7</v>
      </c>
      <c r="N1564">
        <v>-0.9</v>
      </c>
      <c r="O1564">
        <v>0</v>
      </c>
      <c r="P1564"/>
      <c r="Q1564">
        <v>0</v>
      </c>
      <c r="R1564">
        <v>0</v>
      </c>
      <c r="S1564" s="1" t="str">
        <f>VLOOKUP($E1564,'[1]Product Naming'!$A$1:$P$58,2)</f>
        <v>5-Aminopentanoate</v>
      </c>
      <c r="T1564" s="1" t="str">
        <f>VLOOKUP($E1564,'[1]Product Naming'!$A$1:$P$58,3)</f>
        <v>5-Aminopentanoate</v>
      </c>
      <c r="U1564" s="1" t="str">
        <f>VLOOKUP($E1564,'[1]Product Naming'!$A$1:$P$58,4)</f>
        <v>A</v>
      </c>
      <c r="V1564" s="1" t="str">
        <f>VLOOKUP($E1564,'[1]Product Naming'!$A$1:$P$58,5)</f>
        <v>C5H11NO2</v>
      </c>
      <c r="W1564" s="1">
        <f>VLOOKUP($E1564,'[1]Product Naming'!$A$1:$P$58,6)</f>
        <v>5</v>
      </c>
      <c r="X1564" s="1">
        <f>VLOOKUP($E1564,'[1]Product Naming'!$A$1:$P$58,7)</f>
        <v>11</v>
      </c>
      <c r="Y1564" s="1">
        <f>VLOOKUP($E1564,'[1]Product Naming'!$A$1:$P$58,8)</f>
        <v>2</v>
      </c>
      <c r="Z1564" s="1">
        <f>VLOOKUP($E1564,'[1]Product Naming'!$A$1:$P$58,9)</f>
        <v>1</v>
      </c>
      <c r="AA1564" s="1">
        <f>VLOOKUP($E1564,'[1]Product Naming'!$A$1:$P$58,10)</f>
        <v>0</v>
      </c>
      <c r="AB1564" s="27">
        <f>VLOOKUP($E1564,'[1]Product Naming'!$A$1:$P$58,11)</f>
        <v>4.8</v>
      </c>
      <c r="AC1564" s="3">
        <f>VLOOKUP($E1564,'[1]Product Naming'!$A$1:$P$58,12)</f>
        <v>117.14444</v>
      </c>
      <c r="AD1564" s="1">
        <f>VLOOKUP($E1564,'[1]Product Naming'!$A$1:$P$58,13)</f>
        <v>247.5</v>
      </c>
      <c r="AE1564" s="1" t="str">
        <f>VLOOKUP($E1564,'[1]Product Naming'!$A$1:$P$58,14)</f>
        <v>D-Amino Acid</v>
      </c>
      <c r="AF1564" s="1" t="str">
        <f>VLOOKUP($E1564,'[1]Product Naming'!$A$1:$P$58,15)</f>
        <v>Oxaloacetate</v>
      </c>
      <c r="AG1564" s="28" t="str">
        <f>VLOOKUP($E1564,'[1]Product Naming'!$A$1:$P$58,16)</f>
        <v>Proton symporter</v>
      </c>
      <c r="AH1564" s="3" t="str">
        <f>VLOOKUP($E1564,'[1]Product Naming'!$A$1:$Q$58,17)</f>
        <v>5aptn_c</v>
      </c>
    </row>
    <row r="1565" spans="1:34" hidden="1" x14ac:dyDescent="0.2">
      <c r="A1565" s="8" t="s">
        <v>350</v>
      </c>
      <c r="B1565" s="17" t="s">
        <v>64</v>
      </c>
      <c r="C1565" t="s">
        <v>351</v>
      </c>
      <c r="D1565" s="13" t="s">
        <v>51</v>
      </c>
      <c r="E1565" t="s">
        <v>199</v>
      </c>
      <c r="F1565" t="s">
        <v>200</v>
      </c>
      <c r="G1565">
        <v>-10</v>
      </c>
      <c r="H1565">
        <v>0</v>
      </c>
      <c r="I1565">
        <v>0</v>
      </c>
      <c r="J1565">
        <v>0.45</v>
      </c>
      <c r="K1565">
        <v>-1.7999999999999901</v>
      </c>
      <c r="L1565">
        <v>0</v>
      </c>
      <c r="M1565">
        <v>0</v>
      </c>
      <c r="N1565">
        <v>0</v>
      </c>
      <c r="O1565">
        <v>0</v>
      </c>
      <c r="P1565"/>
      <c r="Q1565">
        <v>0</v>
      </c>
      <c r="R1565">
        <v>0</v>
      </c>
      <c r="S1565" s="3" t="str">
        <f>VLOOKUP($E1565,'[1]Product Naming'!$A$1:$P$58,2)</f>
        <v>Benzyl alcohol</v>
      </c>
      <c r="T1565" s="3" t="str">
        <f>VLOOKUP($E1565,'[1]Product Naming'!$A$1:$P$58,3)</f>
        <v>Benzyl alcohol</v>
      </c>
      <c r="U1565" s="3" t="str">
        <f>VLOOKUP($E1565,'[1]Product Naming'!$A$1:$P$58,4)</f>
        <v>E</v>
      </c>
      <c r="V1565" s="3" t="str">
        <f>VLOOKUP($E1565,'[1]Product Naming'!$A$1:$P$58,5)</f>
        <v>C7H8O</v>
      </c>
      <c r="W1565" s="3">
        <f>VLOOKUP($E1565,'[1]Product Naming'!$A$1:$P$58,6)</f>
        <v>7</v>
      </c>
      <c r="X1565" s="3">
        <f>VLOOKUP($E1565,'[1]Product Naming'!$A$1:$P$58,7)</f>
        <v>8</v>
      </c>
      <c r="Y1565" s="3">
        <f>VLOOKUP($E1565,'[1]Product Naming'!$A$1:$P$58,8)</f>
        <v>1</v>
      </c>
      <c r="Z1565" s="3">
        <f>VLOOKUP($E1565,'[1]Product Naming'!$A$1:$P$58,9)</f>
        <v>0</v>
      </c>
      <c r="AA1565" s="3">
        <f>VLOOKUP($E1565,'[1]Product Naming'!$A$1:$P$58,10)</f>
        <v>0</v>
      </c>
      <c r="AB1565" s="3">
        <f>VLOOKUP($E1565,'[1]Product Naming'!$A$1:$P$58,11)</f>
        <v>4.8571428571428568</v>
      </c>
      <c r="AC1565" s="3">
        <f>VLOOKUP($E1565,'[1]Product Naming'!$A$1:$P$58,12)</f>
        <v>108.13661999999999</v>
      </c>
      <c r="AD1565" s="3">
        <f>VLOOKUP($E1565,'[1]Product Naming'!$A$1:$P$58,13)</f>
        <v>205</v>
      </c>
      <c r="AE1565" s="3" t="str">
        <f>VLOOKUP($E1565,'[1]Product Naming'!$A$1:$P$58,14)</f>
        <v>Aromatic + Alcohol</v>
      </c>
      <c r="AF1565" s="3" t="str">
        <f>VLOOKUP($E1565,'[1]Product Naming'!$A$1:$P$58,15)</f>
        <v>E4P</v>
      </c>
      <c r="AG1565" s="3" t="str">
        <f>VLOOKUP($E1565,'[1]Product Naming'!$A$1:$P$58,16)</f>
        <v>Proton symporter</v>
      </c>
      <c r="AH1565" s="3" t="str">
        <f>VLOOKUP($E1565,'[1]Product Naming'!$A$1:$Q$58,17)</f>
        <v>bzalc_c</v>
      </c>
    </row>
    <row r="1566" spans="1:34" hidden="1" x14ac:dyDescent="0.2">
      <c r="A1566" s="8" t="s">
        <v>350</v>
      </c>
      <c r="B1566" s="17" t="s">
        <v>64</v>
      </c>
      <c r="C1566" t="s">
        <v>352</v>
      </c>
      <c r="D1566" s="13" t="s">
        <v>51</v>
      </c>
      <c r="E1566" t="s">
        <v>199</v>
      </c>
      <c r="F1566" t="s">
        <v>200</v>
      </c>
      <c r="G1566">
        <v>-10</v>
      </c>
      <c r="H1566">
        <v>0</v>
      </c>
      <c r="I1566">
        <v>0</v>
      </c>
      <c r="J1566">
        <v>0.45</v>
      </c>
      <c r="K1566">
        <v>-1.02857142857142</v>
      </c>
      <c r="L1566">
        <v>0</v>
      </c>
      <c r="M1566">
        <v>0</v>
      </c>
      <c r="N1566">
        <v>0</v>
      </c>
      <c r="O1566">
        <v>0</v>
      </c>
      <c r="P1566"/>
      <c r="Q1566">
        <v>0</v>
      </c>
      <c r="R1566">
        <v>0</v>
      </c>
      <c r="S1566" s="3" t="str">
        <f>VLOOKUP($E1566,'[1]Product Naming'!$A$1:$P$58,2)</f>
        <v>Benzyl alcohol</v>
      </c>
      <c r="T1566" s="3" t="str">
        <f>VLOOKUP($E1566,'[1]Product Naming'!$A$1:$P$58,3)</f>
        <v>Benzyl alcohol</v>
      </c>
      <c r="U1566" s="3" t="str">
        <f>VLOOKUP($E1566,'[1]Product Naming'!$A$1:$P$58,4)</f>
        <v>E</v>
      </c>
      <c r="V1566" s="3" t="str">
        <f>VLOOKUP($E1566,'[1]Product Naming'!$A$1:$P$58,5)</f>
        <v>C7H8O</v>
      </c>
      <c r="W1566" s="3">
        <f>VLOOKUP($E1566,'[1]Product Naming'!$A$1:$P$58,6)</f>
        <v>7</v>
      </c>
      <c r="X1566" s="3">
        <f>VLOOKUP($E1566,'[1]Product Naming'!$A$1:$P$58,7)</f>
        <v>8</v>
      </c>
      <c r="Y1566" s="3">
        <f>VLOOKUP($E1566,'[1]Product Naming'!$A$1:$P$58,8)</f>
        <v>1</v>
      </c>
      <c r="Z1566" s="3">
        <f>VLOOKUP($E1566,'[1]Product Naming'!$A$1:$P$58,9)</f>
        <v>0</v>
      </c>
      <c r="AA1566" s="3">
        <f>VLOOKUP($E1566,'[1]Product Naming'!$A$1:$P$58,10)</f>
        <v>0</v>
      </c>
      <c r="AB1566" s="3">
        <f>VLOOKUP($E1566,'[1]Product Naming'!$A$1:$P$58,11)</f>
        <v>4.8571428571428568</v>
      </c>
      <c r="AC1566" s="3">
        <f>VLOOKUP($E1566,'[1]Product Naming'!$A$1:$P$58,12)</f>
        <v>108.13661999999999</v>
      </c>
      <c r="AD1566" s="3">
        <f>VLOOKUP($E1566,'[1]Product Naming'!$A$1:$P$58,13)</f>
        <v>205</v>
      </c>
      <c r="AE1566" s="3" t="str">
        <f>VLOOKUP($E1566,'[1]Product Naming'!$A$1:$P$58,14)</f>
        <v>Aromatic + Alcohol</v>
      </c>
      <c r="AF1566" s="3" t="str">
        <f>VLOOKUP($E1566,'[1]Product Naming'!$A$1:$P$58,15)</f>
        <v>E4P</v>
      </c>
      <c r="AG1566" s="3" t="str">
        <f>VLOOKUP($E1566,'[1]Product Naming'!$A$1:$P$58,16)</f>
        <v>Proton symporter</v>
      </c>
      <c r="AH1566" s="3" t="str">
        <f>VLOOKUP($E1566,'[1]Product Naming'!$A$1:$Q$58,17)</f>
        <v>bzalc_c</v>
      </c>
    </row>
    <row r="1567" spans="1:34" hidden="1" x14ac:dyDescent="0.2">
      <c r="A1567" s="8" t="s">
        <v>350</v>
      </c>
      <c r="B1567" s="17" t="s">
        <v>64</v>
      </c>
      <c r="C1567" t="s">
        <v>353</v>
      </c>
      <c r="D1567" s="13" t="s">
        <v>51</v>
      </c>
      <c r="E1567" t="s">
        <v>199</v>
      </c>
      <c r="F1567" t="s">
        <v>200</v>
      </c>
      <c r="G1567">
        <v>-10</v>
      </c>
      <c r="H1567">
        <v>0</v>
      </c>
      <c r="I1567">
        <v>0</v>
      </c>
      <c r="J1567">
        <v>0.45</v>
      </c>
      <c r="K1567">
        <v>-0.76595744680850997</v>
      </c>
      <c r="L1567">
        <v>0</v>
      </c>
      <c r="M1567">
        <v>0</v>
      </c>
      <c r="N1567">
        <v>0</v>
      </c>
      <c r="O1567">
        <v>0</v>
      </c>
      <c r="P1567"/>
      <c r="Q1567">
        <v>0</v>
      </c>
      <c r="R1567">
        <v>0</v>
      </c>
      <c r="S1567" s="3" t="str">
        <f>VLOOKUP($E1567,'[1]Product Naming'!$A$1:$P$58,2)</f>
        <v>Benzyl alcohol</v>
      </c>
      <c r="T1567" s="3" t="str">
        <f>VLOOKUP($E1567,'[1]Product Naming'!$A$1:$P$58,3)</f>
        <v>Benzyl alcohol</v>
      </c>
      <c r="U1567" s="3" t="str">
        <f>VLOOKUP($E1567,'[1]Product Naming'!$A$1:$P$58,4)</f>
        <v>E</v>
      </c>
      <c r="V1567" s="3" t="str">
        <f>VLOOKUP($E1567,'[1]Product Naming'!$A$1:$P$58,5)</f>
        <v>C7H8O</v>
      </c>
      <c r="W1567" s="3">
        <f>VLOOKUP($E1567,'[1]Product Naming'!$A$1:$P$58,6)</f>
        <v>7</v>
      </c>
      <c r="X1567" s="3">
        <f>VLOOKUP($E1567,'[1]Product Naming'!$A$1:$P$58,7)</f>
        <v>8</v>
      </c>
      <c r="Y1567" s="3">
        <f>VLOOKUP($E1567,'[1]Product Naming'!$A$1:$P$58,8)</f>
        <v>1</v>
      </c>
      <c r="Z1567" s="3">
        <f>VLOOKUP($E1567,'[1]Product Naming'!$A$1:$P$58,9)</f>
        <v>0</v>
      </c>
      <c r="AA1567" s="3">
        <f>VLOOKUP($E1567,'[1]Product Naming'!$A$1:$P$58,10)</f>
        <v>0</v>
      </c>
      <c r="AB1567" s="3">
        <f>VLOOKUP($E1567,'[1]Product Naming'!$A$1:$P$58,11)</f>
        <v>4.8571428571428568</v>
      </c>
      <c r="AC1567" s="3">
        <f>VLOOKUP($E1567,'[1]Product Naming'!$A$1:$P$58,12)</f>
        <v>108.13661999999999</v>
      </c>
      <c r="AD1567" s="3">
        <f>VLOOKUP($E1567,'[1]Product Naming'!$A$1:$P$58,13)</f>
        <v>205</v>
      </c>
      <c r="AE1567" s="3" t="str">
        <f>VLOOKUP($E1567,'[1]Product Naming'!$A$1:$P$58,14)</f>
        <v>Aromatic + Alcohol</v>
      </c>
      <c r="AF1567" s="3" t="str">
        <f>VLOOKUP($E1567,'[1]Product Naming'!$A$1:$P$58,15)</f>
        <v>E4P</v>
      </c>
      <c r="AG1567" s="3" t="str">
        <f>VLOOKUP($E1567,'[1]Product Naming'!$A$1:$P$58,16)</f>
        <v>Proton symporter</v>
      </c>
      <c r="AH1567" s="3" t="str">
        <f>VLOOKUP($E1567,'[1]Product Naming'!$A$1:$Q$58,17)</f>
        <v>bzalc_c</v>
      </c>
    </row>
    <row r="1568" spans="1:34" hidden="1" x14ac:dyDescent="0.2">
      <c r="A1568" s="8" t="s">
        <v>350</v>
      </c>
      <c r="B1568" s="17" t="s">
        <v>64</v>
      </c>
      <c r="C1568" t="s">
        <v>354</v>
      </c>
      <c r="D1568" s="13" t="s">
        <v>51</v>
      </c>
      <c r="E1568" t="s">
        <v>199</v>
      </c>
      <c r="F1568" t="s">
        <v>200</v>
      </c>
      <c r="G1568">
        <v>-10</v>
      </c>
      <c r="H1568">
        <v>0</v>
      </c>
      <c r="I1568">
        <v>0</v>
      </c>
      <c r="J1568">
        <v>0.45</v>
      </c>
      <c r="K1568">
        <v>-0.72</v>
      </c>
      <c r="L1568">
        <v>0</v>
      </c>
      <c r="M1568">
        <v>0</v>
      </c>
      <c r="N1568">
        <v>0</v>
      </c>
      <c r="O1568">
        <v>0</v>
      </c>
      <c r="P1568"/>
      <c r="Q1568">
        <v>0</v>
      </c>
      <c r="R1568">
        <v>0</v>
      </c>
      <c r="S1568" s="3" t="str">
        <f>VLOOKUP($E1568,'[1]Product Naming'!$A$1:$P$58,2)</f>
        <v>Benzyl alcohol</v>
      </c>
      <c r="T1568" s="3" t="str">
        <f>VLOOKUP($E1568,'[1]Product Naming'!$A$1:$P$58,3)</f>
        <v>Benzyl alcohol</v>
      </c>
      <c r="U1568" s="3" t="str">
        <f>VLOOKUP($E1568,'[1]Product Naming'!$A$1:$P$58,4)</f>
        <v>E</v>
      </c>
      <c r="V1568" s="3" t="str">
        <f>VLOOKUP($E1568,'[1]Product Naming'!$A$1:$P$58,5)</f>
        <v>C7H8O</v>
      </c>
      <c r="W1568" s="3">
        <f>VLOOKUP($E1568,'[1]Product Naming'!$A$1:$P$58,6)</f>
        <v>7</v>
      </c>
      <c r="X1568" s="3">
        <f>VLOOKUP($E1568,'[1]Product Naming'!$A$1:$P$58,7)</f>
        <v>8</v>
      </c>
      <c r="Y1568" s="3">
        <f>VLOOKUP($E1568,'[1]Product Naming'!$A$1:$P$58,8)</f>
        <v>1</v>
      </c>
      <c r="Z1568" s="3">
        <f>VLOOKUP($E1568,'[1]Product Naming'!$A$1:$P$58,9)</f>
        <v>0</v>
      </c>
      <c r="AA1568" s="3">
        <f>VLOOKUP($E1568,'[1]Product Naming'!$A$1:$P$58,10)</f>
        <v>0</v>
      </c>
      <c r="AB1568" s="3">
        <f>VLOOKUP($E1568,'[1]Product Naming'!$A$1:$P$58,11)</f>
        <v>4.8571428571428568</v>
      </c>
      <c r="AC1568" s="3">
        <f>VLOOKUP($E1568,'[1]Product Naming'!$A$1:$P$58,12)</f>
        <v>108.13661999999999</v>
      </c>
      <c r="AD1568" s="3">
        <f>VLOOKUP($E1568,'[1]Product Naming'!$A$1:$P$58,13)</f>
        <v>205</v>
      </c>
      <c r="AE1568" s="3" t="str">
        <f>VLOOKUP($E1568,'[1]Product Naming'!$A$1:$P$58,14)</f>
        <v>Aromatic + Alcohol</v>
      </c>
      <c r="AF1568" s="3" t="str">
        <f>VLOOKUP($E1568,'[1]Product Naming'!$A$1:$P$58,15)</f>
        <v>E4P</v>
      </c>
      <c r="AG1568" s="3" t="str">
        <f>VLOOKUP($E1568,'[1]Product Naming'!$A$1:$P$58,16)</f>
        <v>Proton symporter</v>
      </c>
      <c r="AH1568" s="3" t="str">
        <f>VLOOKUP($E1568,'[1]Product Naming'!$A$1:$Q$58,17)</f>
        <v>bzalc_c</v>
      </c>
    </row>
    <row r="1569" spans="1:34" hidden="1" x14ac:dyDescent="0.2">
      <c r="A1569" s="8" t="s">
        <v>368</v>
      </c>
      <c r="B1569" s="17" t="s">
        <v>64</v>
      </c>
      <c r="C1569" t="s">
        <v>369</v>
      </c>
      <c r="D1569" s="18" t="s">
        <v>66</v>
      </c>
      <c r="E1569" t="s">
        <v>199</v>
      </c>
      <c r="F1569" t="s">
        <v>200</v>
      </c>
      <c r="G1569">
        <v>-10</v>
      </c>
      <c r="H1569">
        <v>0</v>
      </c>
      <c r="I1569">
        <v>-20</v>
      </c>
      <c r="J1569">
        <v>0.45</v>
      </c>
      <c r="K1569">
        <v>-0.89999999999999902</v>
      </c>
      <c r="L1569">
        <v>0</v>
      </c>
      <c r="M1569">
        <v>-2.7</v>
      </c>
      <c r="N1569">
        <v>-0.89999999999999902</v>
      </c>
      <c r="O1569">
        <v>0</v>
      </c>
      <c r="P1569"/>
      <c r="Q1569">
        <v>0</v>
      </c>
      <c r="R1569">
        <v>0</v>
      </c>
      <c r="S1569" s="1" t="str">
        <f>VLOOKUP($E1569,'[1]Product Naming'!$A$1:$P$58,2)</f>
        <v>Benzyl alcohol</v>
      </c>
      <c r="T1569" s="1" t="str">
        <f>VLOOKUP($E1569,'[1]Product Naming'!$A$1:$P$58,3)</f>
        <v>Benzyl alcohol</v>
      </c>
      <c r="U1569" s="1" t="str">
        <f>VLOOKUP($E1569,'[1]Product Naming'!$A$1:$P$58,4)</f>
        <v>E</v>
      </c>
      <c r="V1569" s="1" t="str">
        <f>VLOOKUP($E1569,'[1]Product Naming'!$A$1:$P$58,5)</f>
        <v>C7H8O</v>
      </c>
      <c r="W1569" s="1">
        <f>VLOOKUP($E1569,'[1]Product Naming'!$A$1:$P$58,6)</f>
        <v>7</v>
      </c>
      <c r="X1569" s="1">
        <f>VLOOKUP($E1569,'[1]Product Naming'!$A$1:$P$58,7)</f>
        <v>8</v>
      </c>
      <c r="Y1569" s="1">
        <f>VLOOKUP($E1569,'[1]Product Naming'!$A$1:$P$58,8)</f>
        <v>1</v>
      </c>
      <c r="Z1569" s="1">
        <f>VLOOKUP($E1569,'[1]Product Naming'!$A$1:$P$58,9)</f>
        <v>0</v>
      </c>
      <c r="AA1569" s="1">
        <f>VLOOKUP($E1569,'[1]Product Naming'!$A$1:$P$58,10)</f>
        <v>0</v>
      </c>
      <c r="AB1569" s="27">
        <f>VLOOKUP($E1569,'[1]Product Naming'!$A$1:$P$58,11)</f>
        <v>4.8571428571428568</v>
      </c>
      <c r="AC1569" s="3">
        <f>VLOOKUP($E1569,'[1]Product Naming'!$A$1:$P$58,12)</f>
        <v>108.13661999999999</v>
      </c>
      <c r="AD1569" s="1">
        <f>VLOOKUP($E1569,'[1]Product Naming'!$A$1:$P$58,13)</f>
        <v>205</v>
      </c>
      <c r="AE1569" s="1" t="str">
        <f>VLOOKUP($E1569,'[1]Product Naming'!$A$1:$P$58,14)</f>
        <v>Aromatic + Alcohol</v>
      </c>
      <c r="AF1569" s="1" t="str">
        <f>VLOOKUP($E1569,'[1]Product Naming'!$A$1:$P$58,15)</f>
        <v>E4P</v>
      </c>
      <c r="AG1569" s="28" t="str">
        <f>VLOOKUP($E1569,'[1]Product Naming'!$A$1:$P$58,16)</f>
        <v>Proton symporter</v>
      </c>
      <c r="AH1569" s="3" t="str">
        <f>VLOOKUP($E1569,'[1]Product Naming'!$A$1:$Q$58,17)</f>
        <v>bzalc_c</v>
      </c>
    </row>
    <row r="1570" spans="1:34" hidden="1" x14ac:dyDescent="0.2">
      <c r="A1570" s="8" t="s">
        <v>350</v>
      </c>
      <c r="B1570" s="17" t="s">
        <v>64</v>
      </c>
      <c r="C1570" t="s">
        <v>351</v>
      </c>
      <c r="D1570" s="13" t="s">
        <v>51</v>
      </c>
      <c r="E1570" t="s">
        <v>227</v>
      </c>
      <c r="F1570" t="s">
        <v>228</v>
      </c>
      <c r="G1570">
        <v>-10</v>
      </c>
      <c r="H1570">
        <v>0</v>
      </c>
      <c r="I1570">
        <v>0</v>
      </c>
      <c r="J1570">
        <v>0.45</v>
      </c>
      <c r="K1570">
        <v>-1.8</v>
      </c>
      <c r="L1570">
        <v>0</v>
      </c>
      <c r="M1570">
        <v>0</v>
      </c>
      <c r="N1570">
        <v>0</v>
      </c>
      <c r="O1570">
        <v>0</v>
      </c>
      <c r="P1570"/>
      <c r="Q1570">
        <v>0</v>
      </c>
      <c r="R1570">
        <v>0</v>
      </c>
      <c r="S1570" s="3" t="str">
        <f>VLOOKUP($E1570,'[1]Product Naming'!$A$1:$P$58,2)</f>
        <v>BetaCarotene</v>
      </c>
      <c r="T1570" s="3" t="str">
        <f>VLOOKUP($E1570,'[1]Product Naming'!$A$1:$P$58,3)</f>
        <v>Beta carotene</v>
      </c>
      <c r="U1570" s="3" t="str">
        <f>VLOOKUP($E1570,'[1]Product Naming'!$A$1:$P$58,4)</f>
        <v>A</v>
      </c>
      <c r="V1570" s="3" t="str">
        <f>VLOOKUP($E1570,'[1]Product Naming'!$A$1:$P$58,5)</f>
        <v>C40H56</v>
      </c>
      <c r="W1570" s="3">
        <f>VLOOKUP($E1570,'[1]Product Naming'!$A$1:$P$58,6)</f>
        <v>40</v>
      </c>
      <c r="X1570" s="3">
        <f>VLOOKUP($E1570,'[1]Product Naming'!$A$1:$P$58,7)</f>
        <v>56</v>
      </c>
      <c r="Y1570" s="3">
        <f>VLOOKUP($E1570,'[1]Product Naming'!$A$1:$P$58,8)</f>
        <v>0</v>
      </c>
      <c r="Z1570" s="3">
        <f>VLOOKUP($E1570,'[1]Product Naming'!$A$1:$P$58,9)</f>
        <v>0</v>
      </c>
      <c r="AA1570" s="3">
        <f>VLOOKUP($E1570,'[1]Product Naming'!$A$1:$P$58,10)</f>
        <v>0</v>
      </c>
      <c r="AB1570" s="3">
        <f>VLOOKUP($E1570,'[1]Product Naming'!$A$1:$P$58,11)</f>
        <v>5.4</v>
      </c>
      <c r="AC1570" s="3">
        <f>VLOOKUP($E1570,'[1]Product Naming'!$A$1:$P$58,12)</f>
        <v>536.86703999999997</v>
      </c>
      <c r="AD1570" s="3">
        <f>VLOOKUP($E1570,'[1]Product Naming'!$A$1:$P$58,13)</f>
        <v>633</v>
      </c>
      <c r="AE1570" s="3" t="str">
        <f>VLOOKUP($E1570,'[1]Product Naming'!$A$1:$P$58,14)</f>
        <v>Hydrocarbon</v>
      </c>
      <c r="AF1570" s="3" t="str">
        <f>VLOOKUP($E1570,'[1]Product Naming'!$A$1:$P$58,15)</f>
        <v>Acetyl-CoA</v>
      </c>
      <c r="AG1570" s="3" t="str">
        <f>VLOOKUP($E1570,'[1]Product Naming'!$A$1:$P$58,16)</f>
        <v>ABC Transporter</v>
      </c>
      <c r="AH1570" s="3" t="str">
        <f>VLOOKUP($E1570,'[1]Product Naming'!$A$1:$Q$58,17)</f>
        <v>caro_c</v>
      </c>
    </row>
    <row r="1571" spans="1:34" hidden="1" x14ac:dyDescent="0.2">
      <c r="A1571" s="8" t="s">
        <v>350</v>
      </c>
      <c r="B1571" s="17" t="s">
        <v>64</v>
      </c>
      <c r="C1571" t="s">
        <v>352</v>
      </c>
      <c r="D1571" s="13" t="s">
        <v>51</v>
      </c>
      <c r="E1571" t="s">
        <v>227</v>
      </c>
      <c r="F1571" t="s">
        <v>228</v>
      </c>
      <c r="G1571">
        <v>-10</v>
      </c>
      <c r="H1571">
        <v>0</v>
      </c>
      <c r="I1571">
        <v>0</v>
      </c>
      <c r="J1571">
        <v>0.45</v>
      </c>
      <c r="K1571">
        <v>-1.02857142857142</v>
      </c>
      <c r="L1571">
        <v>0</v>
      </c>
      <c r="M1571">
        <v>0</v>
      </c>
      <c r="N1571">
        <v>0</v>
      </c>
      <c r="O1571">
        <v>0</v>
      </c>
      <c r="P1571"/>
      <c r="Q1571">
        <v>0</v>
      </c>
      <c r="R1571">
        <v>0</v>
      </c>
      <c r="S1571" s="3" t="str">
        <f>VLOOKUP($E1571,'[1]Product Naming'!$A$1:$P$58,2)</f>
        <v>BetaCarotene</v>
      </c>
      <c r="T1571" s="3" t="str">
        <f>VLOOKUP($E1571,'[1]Product Naming'!$A$1:$P$58,3)</f>
        <v>Beta carotene</v>
      </c>
      <c r="U1571" s="3" t="str">
        <f>VLOOKUP($E1571,'[1]Product Naming'!$A$1:$P$58,4)</f>
        <v>A</v>
      </c>
      <c r="V1571" s="3" t="str">
        <f>VLOOKUP($E1571,'[1]Product Naming'!$A$1:$P$58,5)</f>
        <v>C40H56</v>
      </c>
      <c r="W1571" s="3">
        <f>VLOOKUP($E1571,'[1]Product Naming'!$A$1:$P$58,6)</f>
        <v>40</v>
      </c>
      <c r="X1571" s="3">
        <f>VLOOKUP($E1571,'[1]Product Naming'!$A$1:$P$58,7)</f>
        <v>56</v>
      </c>
      <c r="Y1571" s="3">
        <f>VLOOKUP($E1571,'[1]Product Naming'!$A$1:$P$58,8)</f>
        <v>0</v>
      </c>
      <c r="Z1571" s="3">
        <f>VLOOKUP($E1571,'[1]Product Naming'!$A$1:$P$58,9)</f>
        <v>0</v>
      </c>
      <c r="AA1571" s="3">
        <f>VLOOKUP($E1571,'[1]Product Naming'!$A$1:$P$58,10)</f>
        <v>0</v>
      </c>
      <c r="AB1571" s="3">
        <f>VLOOKUP($E1571,'[1]Product Naming'!$A$1:$P$58,11)</f>
        <v>5.4</v>
      </c>
      <c r="AC1571" s="3">
        <f>VLOOKUP($E1571,'[1]Product Naming'!$A$1:$P$58,12)</f>
        <v>536.86703999999997</v>
      </c>
      <c r="AD1571" s="3">
        <f>VLOOKUP($E1571,'[1]Product Naming'!$A$1:$P$58,13)</f>
        <v>633</v>
      </c>
      <c r="AE1571" s="3" t="str">
        <f>VLOOKUP($E1571,'[1]Product Naming'!$A$1:$P$58,14)</f>
        <v>Hydrocarbon</v>
      </c>
      <c r="AF1571" s="3" t="str">
        <f>VLOOKUP($E1571,'[1]Product Naming'!$A$1:$P$58,15)</f>
        <v>Acetyl-CoA</v>
      </c>
      <c r="AG1571" s="3" t="str">
        <f>VLOOKUP($E1571,'[1]Product Naming'!$A$1:$P$58,16)</f>
        <v>ABC Transporter</v>
      </c>
      <c r="AH1571" s="3" t="str">
        <f>VLOOKUP($E1571,'[1]Product Naming'!$A$1:$Q$58,17)</f>
        <v>caro_c</v>
      </c>
    </row>
    <row r="1572" spans="1:34" hidden="1" x14ac:dyDescent="0.2">
      <c r="A1572" s="8" t="s">
        <v>350</v>
      </c>
      <c r="B1572" s="17" t="s">
        <v>64</v>
      </c>
      <c r="C1572" t="s">
        <v>353</v>
      </c>
      <c r="D1572" s="13" t="s">
        <v>51</v>
      </c>
      <c r="E1572" t="s">
        <v>227</v>
      </c>
      <c r="F1572" t="s">
        <v>228</v>
      </c>
      <c r="G1572">
        <v>-10</v>
      </c>
      <c r="H1572">
        <v>0</v>
      </c>
      <c r="I1572">
        <v>0</v>
      </c>
      <c r="J1572">
        <v>0.45</v>
      </c>
      <c r="K1572">
        <v>-0.76595744680850997</v>
      </c>
      <c r="L1572">
        <v>0</v>
      </c>
      <c r="M1572">
        <v>0</v>
      </c>
      <c r="N1572">
        <v>0</v>
      </c>
      <c r="O1572">
        <v>0</v>
      </c>
      <c r="P1572"/>
      <c r="Q1572">
        <v>0</v>
      </c>
      <c r="R1572">
        <v>0</v>
      </c>
      <c r="S1572" s="3" t="str">
        <f>VLOOKUP($E1572,'[1]Product Naming'!$A$1:$P$58,2)</f>
        <v>BetaCarotene</v>
      </c>
      <c r="T1572" s="3" t="str">
        <f>VLOOKUP($E1572,'[1]Product Naming'!$A$1:$P$58,3)</f>
        <v>Beta carotene</v>
      </c>
      <c r="U1572" s="3" t="str">
        <f>VLOOKUP($E1572,'[1]Product Naming'!$A$1:$P$58,4)</f>
        <v>A</v>
      </c>
      <c r="V1572" s="3" t="str">
        <f>VLOOKUP($E1572,'[1]Product Naming'!$A$1:$P$58,5)</f>
        <v>C40H56</v>
      </c>
      <c r="W1572" s="3">
        <f>VLOOKUP($E1572,'[1]Product Naming'!$A$1:$P$58,6)</f>
        <v>40</v>
      </c>
      <c r="X1572" s="3">
        <f>VLOOKUP($E1572,'[1]Product Naming'!$A$1:$P$58,7)</f>
        <v>56</v>
      </c>
      <c r="Y1572" s="3">
        <f>VLOOKUP($E1572,'[1]Product Naming'!$A$1:$P$58,8)</f>
        <v>0</v>
      </c>
      <c r="Z1572" s="3">
        <f>VLOOKUP($E1572,'[1]Product Naming'!$A$1:$P$58,9)</f>
        <v>0</v>
      </c>
      <c r="AA1572" s="3">
        <f>VLOOKUP($E1572,'[1]Product Naming'!$A$1:$P$58,10)</f>
        <v>0</v>
      </c>
      <c r="AB1572" s="3">
        <f>VLOOKUP($E1572,'[1]Product Naming'!$A$1:$P$58,11)</f>
        <v>5.4</v>
      </c>
      <c r="AC1572" s="3">
        <f>VLOOKUP($E1572,'[1]Product Naming'!$A$1:$P$58,12)</f>
        <v>536.86703999999997</v>
      </c>
      <c r="AD1572" s="3">
        <f>VLOOKUP($E1572,'[1]Product Naming'!$A$1:$P$58,13)</f>
        <v>633</v>
      </c>
      <c r="AE1572" s="3" t="str">
        <f>VLOOKUP($E1572,'[1]Product Naming'!$A$1:$P$58,14)</f>
        <v>Hydrocarbon</v>
      </c>
      <c r="AF1572" s="3" t="str">
        <f>VLOOKUP($E1572,'[1]Product Naming'!$A$1:$P$58,15)</f>
        <v>Acetyl-CoA</v>
      </c>
      <c r="AG1572" s="3" t="str">
        <f>VLOOKUP($E1572,'[1]Product Naming'!$A$1:$P$58,16)</f>
        <v>ABC Transporter</v>
      </c>
      <c r="AH1572" s="3" t="str">
        <f>VLOOKUP($E1572,'[1]Product Naming'!$A$1:$Q$58,17)</f>
        <v>caro_c</v>
      </c>
    </row>
    <row r="1573" spans="1:34" hidden="1" x14ac:dyDescent="0.2">
      <c r="A1573" s="8" t="s">
        <v>350</v>
      </c>
      <c r="B1573" s="17" t="s">
        <v>64</v>
      </c>
      <c r="C1573" t="s">
        <v>354</v>
      </c>
      <c r="D1573" s="13" t="s">
        <v>51</v>
      </c>
      <c r="E1573" t="s">
        <v>227</v>
      </c>
      <c r="F1573" t="s">
        <v>228</v>
      </c>
      <c r="G1573">
        <v>-10</v>
      </c>
      <c r="H1573">
        <v>0</v>
      </c>
      <c r="I1573">
        <v>0</v>
      </c>
      <c r="J1573">
        <v>0.45</v>
      </c>
      <c r="K1573">
        <v>-0.72</v>
      </c>
      <c r="L1573">
        <v>0</v>
      </c>
      <c r="M1573">
        <v>0</v>
      </c>
      <c r="N1573">
        <v>0</v>
      </c>
      <c r="O1573">
        <v>0</v>
      </c>
      <c r="P1573"/>
      <c r="Q1573">
        <v>0</v>
      </c>
      <c r="R1573">
        <v>0</v>
      </c>
      <c r="S1573" s="3" t="str">
        <f>VLOOKUP($E1573,'[1]Product Naming'!$A$1:$P$58,2)</f>
        <v>BetaCarotene</v>
      </c>
      <c r="T1573" s="3" t="str">
        <f>VLOOKUP($E1573,'[1]Product Naming'!$A$1:$P$58,3)</f>
        <v>Beta carotene</v>
      </c>
      <c r="U1573" s="3" t="str">
        <f>VLOOKUP($E1573,'[1]Product Naming'!$A$1:$P$58,4)</f>
        <v>A</v>
      </c>
      <c r="V1573" s="3" t="str">
        <f>VLOOKUP($E1573,'[1]Product Naming'!$A$1:$P$58,5)</f>
        <v>C40H56</v>
      </c>
      <c r="W1573" s="3">
        <f>VLOOKUP($E1573,'[1]Product Naming'!$A$1:$P$58,6)</f>
        <v>40</v>
      </c>
      <c r="X1573" s="3">
        <f>VLOOKUP($E1573,'[1]Product Naming'!$A$1:$P$58,7)</f>
        <v>56</v>
      </c>
      <c r="Y1573" s="3">
        <f>VLOOKUP($E1573,'[1]Product Naming'!$A$1:$P$58,8)</f>
        <v>0</v>
      </c>
      <c r="Z1573" s="3">
        <f>VLOOKUP($E1573,'[1]Product Naming'!$A$1:$P$58,9)</f>
        <v>0</v>
      </c>
      <c r="AA1573" s="3">
        <f>VLOOKUP($E1573,'[1]Product Naming'!$A$1:$P$58,10)</f>
        <v>0</v>
      </c>
      <c r="AB1573" s="3">
        <f>VLOOKUP($E1573,'[1]Product Naming'!$A$1:$P$58,11)</f>
        <v>5.4</v>
      </c>
      <c r="AC1573" s="3">
        <f>VLOOKUP($E1573,'[1]Product Naming'!$A$1:$P$58,12)</f>
        <v>536.86703999999997</v>
      </c>
      <c r="AD1573" s="3">
        <f>VLOOKUP($E1573,'[1]Product Naming'!$A$1:$P$58,13)</f>
        <v>633</v>
      </c>
      <c r="AE1573" s="3" t="str">
        <f>VLOOKUP($E1573,'[1]Product Naming'!$A$1:$P$58,14)</f>
        <v>Hydrocarbon</v>
      </c>
      <c r="AF1573" s="3" t="str">
        <f>VLOOKUP($E1573,'[1]Product Naming'!$A$1:$P$58,15)</f>
        <v>Acetyl-CoA</v>
      </c>
      <c r="AG1573" s="3" t="str">
        <f>VLOOKUP($E1573,'[1]Product Naming'!$A$1:$P$58,16)</f>
        <v>ABC Transporter</v>
      </c>
      <c r="AH1573" s="3" t="str">
        <f>VLOOKUP($E1573,'[1]Product Naming'!$A$1:$Q$58,17)</f>
        <v>caro_c</v>
      </c>
    </row>
    <row r="1574" spans="1:34" hidden="1" x14ac:dyDescent="0.2">
      <c r="A1574" s="8" t="s">
        <v>368</v>
      </c>
      <c r="B1574" s="17" t="s">
        <v>64</v>
      </c>
      <c r="C1574" t="s">
        <v>369</v>
      </c>
      <c r="D1574" s="18" t="s">
        <v>66</v>
      </c>
      <c r="E1574" t="s">
        <v>227</v>
      </c>
      <c r="F1574" t="s">
        <v>228</v>
      </c>
      <c r="G1574">
        <v>-10</v>
      </c>
      <c r="H1574">
        <v>0</v>
      </c>
      <c r="I1574">
        <v>-20</v>
      </c>
      <c r="J1574">
        <v>0.45</v>
      </c>
      <c r="K1574">
        <v>-0.89999999999999902</v>
      </c>
      <c r="L1574">
        <v>0</v>
      </c>
      <c r="M1574">
        <v>-2.7</v>
      </c>
      <c r="N1574">
        <v>-0.89999999999999902</v>
      </c>
      <c r="O1574">
        <v>0</v>
      </c>
      <c r="P1574"/>
      <c r="Q1574">
        <v>0</v>
      </c>
      <c r="R1574">
        <v>0</v>
      </c>
      <c r="S1574" s="1" t="str">
        <f>VLOOKUP($E1574,'[1]Product Naming'!$A$1:$P$58,2)</f>
        <v>BetaCarotene</v>
      </c>
      <c r="T1574" s="1" t="str">
        <f>VLOOKUP($E1574,'[1]Product Naming'!$A$1:$P$58,3)</f>
        <v>Beta carotene</v>
      </c>
      <c r="U1574" s="1" t="str">
        <f>VLOOKUP($E1574,'[1]Product Naming'!$A$1:$P$58,4)</f>
        <v>A</v>
      </c>
      <c r="V1574" s="1" t="str">
        <f>VLOOKUP($E1574,'[1]Product Naming'!$A$1:$P$58,5)</f>
        <v>C40H56</v>
      </c>
      <c r="W1574" s="1">
        <f>VLOOKUP($E1574,'[1]Product Naming'!$A$1:$P$58,6)</f>
        <v>40</v>
      </c>
      <c r="X1574" s="1">
        <f>VLOOKUP($E1574,'[1]Product Naming'!$A$1:$P$58,7)</f>
        <v>56</v>
      </c>
      <c r="Y1574" s="1">
        <f>VLOOKUP($E1574,'[1]Product Naming'!$A$1:$P$58,8)</f>
        <v>0</v>
      </c>
      <c r="Z1574" s="1">
        <f>VLOOKUP($E1574,'[1]Product Naming'!$A$1:$P$58,9)</f>
        <v>0</v>
      </c>
      <c r="AA1574" s="1">
        <f>VLOOKUP($E1574,'[1]Product Naming'!$A$1:$P$58,10)</f>
        <v>0</v>
      </c>
      <c r="AB1574" s="27">
        <f>VLOOKUP($E1574,'[1]Product Naming'!$A$1:$P$58,11)</f>
        <v>5.4</v>
      </c>
      <c r="AC1574" s="3">
        <f>VLOOKUP($E1574,'[1]Product Naming'!$A$1:$P$58,12)</f>
        <v>536.86703999999997</v>
      </c>
      <c r="AD1574" s="1">
        <f>VLOOKUP($E1574,'[1]Product Naming'!$A$1:$P$58,13)</f>
        <v>633</v>
      </c>
      <c r="AE1574" s="1" t="str">
        <f>VLOOKUP($E1574,'[1]Product Naming'!$A$1:$P$58,14)</f>
        <v>Hydrocarbon</v>
      </c>
      <c r="AF1574" s="1" t="str">
        <f>VLOOKUP($E1574,'[1]Product Naming'!$A$1:$P$58,15)</f>
        <v>Acetyl-CoA</v>
      </c>
      <c r="AG1574" s="28" t="str">
        <f>VLOOKUP($E1574,'[1]Product Naming'!$A$1:$P$58,16)</f>
        <v>ABC Transporter</v>
      </c>
      <c r="AH1574" s="3" t="str">
        <f>VLOOKUP($E1574,'[1]Product Naming'!$A$1:$Q$58,17)</f>
        <v>caro_c</v>
      </c>
    </row>
    <row r="1575" spans="1:34" hidden="1" x14ac:dyDescent="0.2">
      <c r="A1575" s="8" t="s">
        <v>368</v>
      </c>
      <c r="B1575" s="17" t="s">
        <v>64</v>
      </c>
      <c r="C1575" t="s">
        <v>369</v>
      </c>
      <c r="D1575" s="18" t="s">
        <v>66</v>
      </c>
      <c r="E1575" t="s">
        <v>348</v>
      </c>
      <c r="F1575" t="s">
        <v>344</v>
      </c>
      <c r="G1575">
        <v>-10</v>
      </c>
      <c r="H1575">
        <v>0</v>
      </c>
      <c r="I1575">
        <v>-20</v>
      </c>
      <c r="J1575">
        <v>0.45</v>
      </c>
      <c r="K1575">
        <v>-0.9</v>
      </c>
      <c r="L1575">
        <v>0</v>
      </c>
      <c r="M1575">
        <v>-2.7</v>
      </c>
      <c r="N1575">
        <v>-0.9</v>
      </c>
      <c r="O1575">
        <v>0</v>
      </c>
      <c r="P1575"/>
      <c r="Q1575">
        <v>0</v>
      </c>
      <c r="R1575">
        <v>0</v>
      </c>
      <c r="S1575" s="1" t="str">
        <f>VLOOKUP($E1575,'[1]Product Naming'!$A$1:$P$58,2)</f>
        <v>Propane-PW2</v>
      </c>
      <c r="T1575" s="1" t="str">
        <f>VLOOKUP($E1575,'[1]Product Naming'!$A$1:$P$58,3)</f>
        <v>Propane (PW2)</v>
      </c>
      <c r="U1575" s="1" t="str">
        <f>VLOOKUP($E1575,'[1]Product Naming'!$A$1:$P$58,4)</f>
        <v>E</v>
      </c>
      <c r="V1575" s="1" t="str">
        <f>VLOOKUP($E1575,'[1]Product Naming'!$A$1:$P$58,5)</f>
        <v>C3H8</v>
      </c>
      <c r="W1575" s="1">
        <f>VLOOKUP($E1575,'[1]Product Naming'!$A$1:$P$58,6)</f>
        <v>3</v>
      </c>
      <c r="X1575" s="1">
        <f>VLOOKUP($E1575,'[1]Product Naming'!$A$1:$P$58,7)</f>
        <v>8</v>
      </c>
      <c r="Y1575" s="1">
        <f>VLOOKUP($E1575,'[1]Product Naming'!$A$1:$P$58,8)</f>
        <v>0</v>
      </c>
      <c r="Z1575" s="1">
        <f>VLOOKUP($E1575,'[1]Product Naming'!$A$1:$P$58,9)</f>
        <v>0</v>
      </c>
      <c r="AA1575" s="1">
        <f>VLOOKUP($E1575,'[1]Product Naming'!$A$1:$P$58,10)</f>
        <v>0</v>
      </c>
      <c r="AB1575" s="27">
        <f>VLOOKUP($E1575,'[1]Product Naming'!$A$1:$P$58,11)</f>
        <v>6.666666666666667</v>
      </c>
      <c r="AC1575" s="3">
        <f>VLOOKUP($E1575,'[1]Product Naming'!$A$1:$P$58,12)</f>
        <v>44.094819999999999</v>
      </c>
      <c r="AD1575" s="1">
        <f>VLOOKUP($E1575,'[1]Product Naming'!$A$1:$P$58,13)</f>
        <v>-42</v>
      </c>
      <c r="AE1575" s="1" t="str">
        <f>VLOOKUP($E1575,'[1]Product Naming'!$A$1:$P$58,14)</f>
        <v>Hydrocarbon</v>
      </c>
      <c r="AF1575" s="1" t="str">
        <f>VLOOKUP($E1575,'[1]Product Naming'!$A$1:$P$58,15)</f>
        <v>Oxaloacetate</v>
      </c>
      <c r="AG1575" s="28" t="str">
        <f>VLOOKUP($E1575,'[1]Product Naming'!$A$1:$P$58,16)</f>
        <v>Diffusion</v>
      </c>
      <c r="AH1575" s="3" t="str">
        <f>VLOOKUP($E1575,'[1]Product Naming'!$A$1:$Q$58,17)</f>
        <v>prop_c</v>
      </c>
    </row>
  </sheetData>
  <autoFilter ref="A1:AH1575" xr:uid="{00000000-0009-0000-0000-000000000000}">
    <filterColumn colId="2">
      <filters>
        <filter val="Acetaldehyde"/>
        <filter val="Acetate"/>
        <filter val="CO_1:H2_0"/>
        <filter val="CO_1:H2_0.5"/>
        <filter val="CO_1:H2_1"/>
        <filter val="CO_1:H2_2"/>
        <filter val="CO_2:H2_2"/>
        <filter val="EG_Glycolate"/>
        <filter val="EG_SACA"/>
        <filter val="Ethanol"/>
        <filter val="FOR_1:H2_0"/>
        <filter val="FOR_1:H2_0.5"/>
        <filter val="FOR_1:H2_1"/>
        <filter val="FOR_1:H2_2"/>
        <filter val="Formate_Formolase"/>
        <filter val="Formate_RGP-Serine"/>
        <filter val="Formate_SerineCycle"/>
        <filter val="Glycolaldehyde_Glycolate"/>
        <filter val="Glycolaldehyde_SACA"/>
        <filter val="Methanol_Formolase"/>
        <filter val="Methanol_MethylTransferase_0"/>
        <filter val="Methanol_MethylTransferase_0.1"/>
        <filter val="Methanol_MethylTransferase_0.5"/>
        <filter val="Methanol_MethylTransferase_1"/>
        <filter val="Methanol_RuMP"/>
        <filter val="Methanol_SerineCycle"/>
      </filters>
    </filterColumn>
    <filterColumn colId="19">
      <filters>
        <filter val="1,3-Propanediol"/>
      </filters>
    </filterColumn>
    <filterColumn colId="27">
      <customFilters>
        <customFilter operator="greaterThan" val="4"/>
      </customFilters>
    </filterColumn>
    <sortState xmlns:xlrd2="http://schemas.microsoft.com/office/spreadsheetml/2017/richdata2" ref="A366:AH1575">
      <sortCondition descending="1" ref="R1:R1575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Overall-Results</vt:lpstr>
      <vt:lpstr>'Overall-Results'!_FilterDatabase_0</vt:lpstr>
      <vt:lpstr>'Overall-Results'!_FilterDatabase_0_0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Zheng</dc:creator>
  <dc:description/>
  <cp:lastModifiedBy>Austin Zheng</cp:lastModifiedBy>
  <cp:revision>79</cp:revision>
  <dcterms:created xsi:type="dcterms:W3CDTF">2023-12-12T20:44:31Z</dcterms:created>
  <dcterms:modified xsi:type="dcterms:W3CDTF">2024-04-19T01:36:07Z</dcterms:modified>
  <dc:language>en-CA</dc:language>
</cp:coreProperties>
</file>