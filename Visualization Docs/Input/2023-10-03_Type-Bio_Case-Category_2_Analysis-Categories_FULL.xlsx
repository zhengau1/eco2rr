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B4C494C0-7B56-46D6-BB0C-A091C7909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1" l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2" i="1"/>
</calcChain>
</file>

<file path=xl/sharedStrings.xml><?xml version="1.0" encoding="utf-8"?>
<sst xmlns="http://schemas.openxmlformats.org/spreadsheetml/2006/main" count="9330" uniqueCount="244">
  <si>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</si>
  <si>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</si>
  <si>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</si>
  <si>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</si>
  <si>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</si>
  <si>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</si>
  <si>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</si>
  <si>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</si>
  <si>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</si>
  <si>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</si>
  <si>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</si>
  <si>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</si>
  <si>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</si>
  <si>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</si>
  <si>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</si>
  <si>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</si>
  <si>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</si>
  <si>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</si>
  <si>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</si>
  <si>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</si>
  <si>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</si>
  <si>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</si>
  <si>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</si>
  <si>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</si>
  <si>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</si>
  <si>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</si>
  <si>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</si>
  <si>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</si>
  <si>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</si>
  <si>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</si>
  <si>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</si>
  <si>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</si>
  <si>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</si>
  <si>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</si>
  <si>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</si>
  <si>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</si>
  <si>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</si>
  <si>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</si>
  <si>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</si>
  <si>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</si>
  <si>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</si>
  <si>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</si>
  <si>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</si>
  <si>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</si>
  <si>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</si>
  <si>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</si>
  <si>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</si>
  <si>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</si>
  <si>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</si>
  <si>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</si>
  <si>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</si>
  <si>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</si>
  <si>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</si>
  <si>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</si>
  <si>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</si>
  <si>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</si>
  <si>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</si>
  <si>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</si>
  <si>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</si>
  <si>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</si>
  <si>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</si>
  <si>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</si>
  <si>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</si>
  <si>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</si>
  <si>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</si>
  <si>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</si>
  <si>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C2H4O</t>
  </si>
  <si>
    <t>Categories-Category_2</t>
  </si>
  <si>
    <t>FormicAcid/CO</t>
  </si>
  <si>
    <t>Nanofiltration</t>
  </si>
  <si>
    <t>1-3-Butanediol-PW1</t>
  </si>
  <si>
    <t>C4H10O2</t>
  </si>
  <si>
    <t>1-3-Butanediol-PW2</t>
  </si>
  <si>
    <t>1-3-Diaminopropane</t>
  </si>
  <si>
    <t>C3H12N2</t>
  </si>
  <si>
    <t>1-3-Propanediol</t>
  </si>
  <si>
    <t>C3H8O2</t>
  </si>
  <si>
    <t>1-4-Butanediol</t>
  </si>
  <si>
    <t>1-Propanol-PW1</t>
  </si>
  <si>
    <t>C3H8O</t>
  </si>
  <si>
    <t>1-Propanol-PW2</t>
  </si>
  <si>
    <t>2-3-Butanediol</t>
  </si>
  <si>
    <t>2-Methyl-1-Butanol</t>
  </si>
  <si>
    <t>C5H12O</t>
  </si>
  <si>
    <t>Distillation</t>
  </si>
  <si>
    <t>2-Pyrone-4-6-Dicarboxylate</t>
  </si>
  <si>
    <t>C7H2O6</t>
  </si>
  <si>
    <t>3-Methyl-1-Pentanol</t>
  </si>
  <si>
    <t>C6H14O</t>
  </si>
  <si>
    <t>4-Hydroxystyrene</t>
  </si>
  <si>
    <t>C8H8O</t>
  </si>
  <si>
    <t>5-Aminopentanoate</t>
  </si>
  <si>
    <t>C5H11NO2</t>
  </si>
  <si>
    <t>Acetone</t>
  </si>
  <si>
    <t>C3H6O</t>
  </si>
  <si>
    <t>Acrylate-PW1</t>
  </si>
  <si>
    <t>C3H3O2</t>
  </si>
  <si>
    <t>Acrylate-PW2</t>
  </si>
  <si>
    <t>Adipate</t>
  </si>
  <si>
    <t>C6H8O4</t>
  </si>
  <si>
    <t>Benzoate-PW1</t>
  </si>
  <si>
    <t>C7H5O2</t>
  </si>
  <si>
    <t>Benzoate-PW2</t>
  </si>
  <si>
    <t>BenzylAlcohol</t>
  </si>
  <si>
    <t>C7H8O</t>
  </si>
  <si>
    <t>BetaCarotene</t>
  </si>
  <si>
    <t>C40H56</t>
  </si>
  <si>
    <t>PSA</t>
  </si>
  <si>
    <t>Butane</t>
  </si>
  <si>
    <t>C4H10</t>
  </si>
  <si>
    <t>Butanol-PW1</t>
  </si>
  <si>
    <t>C4H10O</t>
  </si>
  <si>
    <t>Butanol-PW2</t>
  </si>
  <si>
    <t>Butyrate</t>
  </si>
  <si>
    <t>C4H7O2</t>
  </si>
  <si>
    <t>Catechol</t>
  </si>
  <si>
    <t>C6H6O2</t>
  </si>
  <si>
    <t>ciscisMuconate</t>
  </si>
  <si>
    <t>C6H4O4</t>
  </si>
  <si>
    <t>Citrate</t>
  </si>
  <si>
    <t>C6H5O7</t>
  </si>
  <si>
    <t>CoumaricAcid</t>
  </si>
  <si>
    <t>C9H7O3</t>
  </si>
  <si>
    <t>EthylAcetate</t>
  </si>
  <si>
    <t>C4H8O2</t>
  </si>
  <si>
    <t>Farnesene</t>
  </si>
  <si>
    <t>C15H24</t>
  </si>
  <si>
    <t>260 (A)/272 (B)</t>
  </si>
  <si>
    <t>GammaButyrolactone</t>
  </si>
  <si>
    <t>C4H6O2</t>
  </si>
  <si>
    <t>Glutamate_L</t>
  </si>
  <si>
    <t>C5H8NO4</t>
  </si>
  <si>
    <t>Glutarate</t>
  </si>
  <si>
    <t>C5H6O4</t>
  </si>
  <si>
    <t>Glycolate</t>
  </si>
  <si>
    <t>C2H3O3</t>
  </si>
  <si>
    <t>Heptane</t>
  </si>
  <si>
    <t>C7H16</t>
  </si>
  <si>
    <t>Hexane</t>
  </si>
  <si>
    <t>C6H14</t>
  </si>
  <si>
    <t>Isobutanol</t>
  </si>
  <si>
    <t>C5H10O</t>
  </si>
  <si>
    <t>Isobutyrate</t>
  </si>
  <si>
    <t>Isoprene</t>
  </si>
  <si>
    <t>C5H8</t>
  </si>
  <si>
    <t>Isopropanol</t>
  </si>
  <si>
    <t>Itaconate</t>
  </si>
  <si>
    <t>C5H4O4</t>
  </si>
  <si>
    <t>Limonene</t>
  </si>
  <si>
    <t>C10H16</t>
  </si>
  <si>
    <t>Lysine_L</t>
  </si>
  <si>
    <t>C6H15N2O2</t>
  </si>
  <si>
    <t>Malate_L</t>
  </si>
  <si>
    <t>C4H4O5</t>
  </si>
  <si>
    <t>Malonate</t>
  </si>
  <si>
    <t>C3H2O4</t>
  </si>
  <si>
    <t>Nonane</t>
  </si>
  <si>
    <t>C9H20</t>
  </si>
  <si>
    <t>Octane</t>
  </si>
  <si>
    <t>C8H18</t>
  </si>
  <si>
    <t>Pentane</t>
  </si>
  <si>
    <t>C5H12</t>
  </si>
  <si>
    <t>Pentanol-PW1</t>
  </si>
  <si>
    <t>Pentanol-PW2</t>
  </si>
  <si>
    <t>Phenol</t>
  </si>
  <si>
    <t>C6H6O</t>
  </si>
  <si>
    <t>Propane-PW1</t>
  </si>
  <si>
    <t>C3H8</t>
  </si>
  <si>
    <t>Propane-PW2</t>
  </si>
  <si>
    <t>Shikimate</t>
  </si>
  <si>
    <t>C7H9O5</t>
  </si>
  <si>
    <t>Styrene</t>
  </si>
  <si>
    <t>C8H8</t>
  </si>
  <si>
    <t>Succinate</t>
  </si>
  <si>
    <t>C4H4O4</t>
  </si>
  <si>
    <t>AceticAcid</t>
  </si>
  <si>
    <t>CH3COOH</t>
  </si>
  <si>
    <t>Acetate</t>
  </si>
  <si>
    <t>CarbonMonoxide</t>
  </si>
  <si>
    <t>CO</t>
  </si>
  <si>
    <t>FormicAcid</t>
  </si>
  <si>
    <t>CO_1:H2_0</t>
  </si>
  <si>
    <t>CarbonMonoxide_0.5</t>
  </si>
  <si>
    <t>Hydrogen</t>
  </si>
  <si>
    <t>CO_1:H2_0.5</t>
  </si>
  <si>
    <t>CarbonMonoxide_1</t>
  </si>
  <si>
    <t>CO_1:H2_1</t>
  </si>
  <si>
    <t>CarbonMonoxide_2</t>
  </si>
  <si>
    <t>CO_1:H2_2</t>
  </si>
  <si>
    <t>EthyleneGlycol</t>
  </si>
  <si>
    <t>(CH2OH)2</t>
  </si>
  <si>
    <t>EG_Glycolate</t>
  </si>
  <si>
    <t>EG_SACA</t>
  </si>
  <si>
    <t>Ethanol</t>
  </si>
  <si>
    <t>C2H5OH</t>
  </si>
  <si>
    <t>CHOOH</t>
  </si>
  <si>
    <t>FOR_1:H2_0</t>
  </si>
  <si>
    <t>Formate_Formolase</t>
  </si>
  <si>
    <t>Formate_RGP-Serine</t>
  </si>
  <si>
    <t>Formate_SerineCycle</t>
  </si>
  <si>
    <t>FormicAcid_0.5</t>
  </si>
  <si>
    <t>FOR_1:H2_0.5</t>
  </si>
  <si>
    <t>FormicAcid_1</t>
  </si>
  <si>
    <t>FOR_1:H2_1</t>
  </si>
  <si>
    <t>FormicAcid_2</t>
  </si>
  <si>
    <t>FOR_1:H2_2</t>
  </si>
  <si>
    <t>Glycolaldehyde</t>
  </si>
  <si>
    <t>C2H4O2</t>
  </si>
  <si>
    <t>Glycolaldehyde_Glycolate</t>
  </si>
  <si>
    <t>Glycolaldehyde_SACA</t>
  </si>
  <si>
    <t>Methanol</t>
  </si>
  <si>
    <t>CH3OH</t>
  </si>
  <si>
    <t>Methanol_Formolase</t>
  </si>
  <si>
    <t>Methanol_RuMP</t>
  </si>
  <si>
    <t>Methanol_SerineCycle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</si>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</sst>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142"/>
  <sheetViews>
    <sheetView tabSelected="1" topLeftCell="AK607" workbookViewId="0">
      <selection activeCell="AZ2" sqref="AZ2:AZ1142"/>
    </sheetView>
  </sheetViews>
  <sheetFormatPr defaultRowHeight="15" x14ac:dyDescent="0.25"/>
  <cols>
    <col min="52" max="52" width="19.140625" customWidth="1"/>
  </cols>
  <sheetData>
    <row r="1" spans="1:6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215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 x14ac:dyDescent="0.25">
      <c r="A2" s="1">
        <v>0</v>
      </c>
      <c r="B2" t="s">
        <v>65</v>
      </c>
      <c r="C2" t="s">
        <v>66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67</v>
      </c>
      <c r="J2">
        <v>1.1759999999999999</v>
      </c>
      <c r="K2">
        <v>500</v>
      </c>
      <c r="L2">
        <v>100</v>
      </c>
      <c r="N2" t="s">
        <v>68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69</v>
      </c>
      <c r="AM2">
        <v>4326.5913902657512</v>
      </c>
      <c r="AN2">
        <v>370.15472299028102</v>
      </c>
      <c r="AO2">
        <v>9490.5875657442284</v>
      </c>
      <c r="AP2">
        <v>12048.43843763473</v>
      </c>
      <c r="AQ2">
        <v>2557.8508718905009</v>
      </c>
      <c r="AR2">
        <v>1.0243526176216671E-2</v>
      </c>
      <c r="AS2">
        <v>232.53386870846171</v>
      </c>
      <c r="AT2">
        <v>154.85306375954099</v>
      </c>
      <c r="AU2">
        <v>13.24821036926912</v>
      </c>
      <c r="AV2">
        <v>339.67768824673522</v>
      </c>
      <c r="AW2">
        <v>431.22574731314222</v>
      </c>
      <c r="AX2">
        <v>91.548059066407063</v>
      </c>
      <c r="AY2">
        <v>1.9981040485102071</v>
      </c>
      <c r="AZ2" t="str">
        <f>VLOOKUP(BA2,Sheet1!$A$1:$B$58,2,FALSE)</f>
        <v>1,3-Butanediol (PW1)</v>
      </c>
      <c r="BA2" t="s">
        <v>70</v>
      </c>
      <c r="BB2" t="s">
        <v>71</v>
      </c>
      <c r="BC2">
        <v>90.119200000000006</v>
      </c>
      <c r="BD2">
        <v>5.5</v>
      </c>
      <c r="BE2">
        <v>207</v>
      </c>
      <c r="BF2" t="s">
        <v>65</v>
      </c>
      <c r="BG2">
        <v>0.27966661398215398</v>
      </c>
      <c r="BH2">
        <v>0.43738095238095298</v>
      </c>
      <c r="BI2">
        <v>0.89477518091920805</v>
      </c>
      <c r="BJ2">
        <v>90</v>
      </c>
      <c r="BK2">
        <v>535.48615278376576</v>
      </c>
      <c r="BL2">
        <v>113.6822609729111</v>
      </c>
      <c r="BM2">
        <v>2.2015327496111081</v>
      </c>
      <c r="BN2">
        <v>374.26056743388841</v>
      </c>
      <c r="BO2">
        <v>161.22558534987741</v>
      </c>
    </row>
    <row r="3" spans="1:67" x14ac:dyDescent="0.25">
      <c r="A3" s="1">
        <v>1</v>
      </c>
      <c r="B3" t="s">
        <v>65</v>
      </c>
      <c r="C3" t="s">
        <v>66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67</v>
      </c>
      <c r="J3">
        <v>1.1759999999999999</v>
      </c>
      <c r="K3">
        <v>500</v>
      </c>
      <c r="L3">
        <v>100</v>
      </c>
      <c r="N3" t="s">
        <v>68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69</v>
      </c>
      <c r="AM3">
        <v>4254.2297585121541</v>
      </c>
      <c r="AN3">
        <v>363.96393737157427</v>
      </c>
      <c r="AO3">
        <v>9331.8588251234341</v>
      </c>
      <c r="AP3">
        <v>11861.224752805359</v>
      </c>
      <c r="AQ3">
        <v>2529.365927681929</v>
      </c>
      <c r="AR3">
        <v>1.024352617621666E-2</v>
      </c>
      <c r="AS3">
        <v>232.53386870846171</v>
      </c>
      <c r="AT3">
        <v>154.85306375954099</v>
      </c>
      <c r="AU3">
        <v>13.24821036926912</v>
      </c>
      <c r="AV3">
        <v>339.67768824673522</v>
      </c>
      <c r="AW3">
        <v>431.74607324329997</v>
      </c>
      <c r="AX3">
        <v>92.068384996564816</v>
      </c>
      <c r="AY3">
        <v>1.9981040485102071</v>
      </c>
      <c r="AZ3" t="str">
        <f>VLOOKUP(BA3,Sheet1!$A$1:$B$58,2,FALSE)</f>
        <v>1,3-Butanediol (PW2)</v>
      </c>
      <c r="BA3" t="s">
        <v>72</v>
      </c>
      <c r="BB3" t="s">
        <v>71</v>
      </c>
      <c r="BC3">
        <v>90.119200000000006</v>
      </c>
      <c r="BD3">
        <v>5.5</v>
      </c>
      <c r="BE3">
        <v>207</v>
      </c>
      <c r="BF3" t="s">
        <v>65</v>
      </c>
      <c r="BG3">
        <v>0.24231867501255699</v>
      </c>
      <c r="BH3">
        <v>0.44482051282051299</v>
      </c>
      <c r="BI3">
        <v>0.90999471437632395</v>
      </c>
      <c r="BJ3">
        <v>90</v>
      </c>
      <c r="BK3">
        <v>527.16554456912718</v>
      </c>
      <c r="BL3">
        <v>112.4162634525301</v>
      </c>
      <c r="BM3">
        <v>2.1973829786144852</v>
      </c>
      <c r="BN3">
        <v>373.5551063644624</v>
      </c>
      <c r="BO3">
        <v>153.6104382046648</v>
      </c>
    </row>
    <row r="4" spans="1:67" x14ac:dyDescent="0.25">
      <c r="A4" s="1">
        <v>2</v>
      </c>
      <c r="B4" t="s">
        <v>65</v>
      </c>
      <c r="C4" t="s">
        <v>66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67</v>
      </c>
      <c r="J4">
        <v>1.1759999999999999</v>
      </c>
      <c r="K4">
        <v>500</v>
      </c>
      <c r="L4">
        <v>100</v>
      </c>
      <c r="N4" t="s">
        <v>68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69</v>
      </c>
      <c r="AM4">
        <v>4511.335918864429</v>
      </c>
      <c r="AN4">
        <v>385.96025063064673</v>
      </c>
      <c r="AO4">
        <v>9895.833628476812</v>
      </c>
      <c r="AP4">
        <v>12526.408642463661</v>
      </c>
      <c r="AQ4">
        <v>2630.575013986851</v>
      </c>
      <c r="AR4">
        <v>1.0243526176216671E-2</v>
      </c>
      <c r="AS4">
        <v>232.53386870846171</v>
      </c>
      <c r="AT4">
        <v>154.8530637595411</v>
      </c>
      <c r="AU4">
        <v>13.248210369269129</v>
      </c>
      <c r="AV4">
        <v>339.67768824673527</v>
      </c>
      <c r="AW4">
        <v>429.97302596738501</v>
      </c>
      <c r="AX4">
        <v>90.295337720649684</v>
      </c>
      <c r="AY4">
        <v>1.9981040485102071</v>
      </c>
      <c r="AZ4" t="str">
        <f>VLOOKUP(BA4,Sheet1!$A$1:$B$58,2,FALSE)</f>
        <v>1,3-Diaminopropane</v>
      </c>
      <c r="BA4" t="s">
        <v>73</v>
      </c>
      <c r="BB4" t="s">
        <v>74</v>
      </c>
      <c r="BC4">
        <v>76.139580000000009</v>
      </c>
      <c r="BD4">
        <v>6</v>
      </c>
      <c r="BE4">
        <v>139.30000000000001</v>
      </c>
      <c r="BF4" t="s">
        <v>65</v>
      </c>
      <c r="BG4">
        <v>0.59437932350374401</v>
      </c>
      <c r="BH4">
        <v>0.49648648648648702</v>
      </c>
      <c r="BI4">
        <v>0.85813308155580603</v>
      </c>
      <c r="BJ4">
        <v>90</v>
      </c>
      <c r="BK4">
        <v>556.729272998385</v>
      </c>
      <c r="BL4">
        <v>116.91444506608219</v>
      </c>
      <c r="BM4">
        <v>1.99276672315686</v>
      </c>
      <c r="BN4">
        <v>338.77034293666628</v>
      </c>
      <c r="BO4">
        <v>217.95893006171869</v>
      </c>
    </row>
    <row r="5" spans="1:67" x14ac:dyDescent="0.25">
      <c r="A5" s="1">
        <v>3</v>
      </c>
      <c r="B5" t="s">
        <v>65</v>
      </c>
      <c r="C5" t="s">
        <v>66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67</v>
      </c>
      <c r="J5">
        <v>1.1759999999999999</v>
      </c>
      <c r="K5">
        <v>500</v>
      </c>
      <c r="L5">
        <v>100</v>
      </c>
      <c r="N5" t="s">
        <v>68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69</v>
      </c>
      <c r="AM5">
        <v>4386.9076762538552</v>
      </c>
      <c r="AN5">
        <v>375.31498799287863</v>
      </c>
      <c r="AO5">
        <v>9622.8942575891015</v>
      </c>
      <c r="AP5">
        <v>12204.48845863904</v>
      </c>
      <c r="AQ5">
        <v>2581.5942010499348</v>
      </c>
      <c r="AR5">
        <v>1.0243526176216671E-2</v>
      </c>
      <c r="AS5">
        <v>232.53386870846171</v>
      </c>
      <c r="AT5">
        <v>154.85306375954099</v>
      </c>
      <c r="AU5">
        <v>13.24821036926912</v>
      </c>
      <c r="AV5">
        <v>339.67768824673522</v>
      </c>
      <c r="AW5">
        <v>430.80515226435591</v>
      </c>
      <c r="AX5">
        <v>91.127464017620696</v>
      </c>
      <c r="AY5">
        <v>1.9981040485102071</v>
      </c>
      <c r="AZ5" t="str">
        <f>VLOOKUP(BA5,Sheet1!$A$1:$B$58,2,FALSE)</f>
        <v>1,3-Propanediol</v>
      </c>
      <c r="BA5" t="s">
        <v>75</v>
      </c>
      <c r="BB5" t="s">
        <v>76</v>
      </c>
      <c r="BC5">
        <v>76.092820000000003</v>
      </c>
      <c r="BD5">
        <v>5.333333333333333</v>
      </c>
      <c r="BE5">
        <v>213</v>
      </c>
      <c r="BF5" t="s">
        <v>65</v>
      </c>
      <c r="BG5">
        <v>0.52909269810758097</v>
      </c>
      <c r="BH5">
        <v>0.51088235294117701</v>
      </c>
      <c r="BI5">
        <v>0.88247277574220495</v>
      </c>
      <c r="BJ5">
        <v>90</v>
      </c>
      <c r="BK5">
        <v>542.4217092728461</v>
      </c>
      <c r="BL5">
        <v>114.7375200466638</v>
      </c>
      <c r="BM5">
        <v>1.986696650281726</v>
      </c>
      <c r="BN5">
        <v>337.73843054789347</v>
      </c>
      <c r="BO5">
        <v>204.6832787249526</v>
      </c>
    </row>
    <row r="6" spans="1:67" x14ac:dyDescent="0.25">
      <c r="A6" s="1">
        <v>4</v>
      </c>
      <c r="B6" t="s">
        <v>65</v>
      </c>
      <c r="C6" t="s">
        <v>66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67</v>
      </c>
      <c r="J6">
        <v>1.1759999999999999</v>
      </c>
      <c r="K6">
        <v>500</v>
      </c>
      <c r="L6">
        <v>100</v>
      </c>
      <c r="N6" t="s">
        <v>68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69</v>
      </c>
      <c r="AM6">
        <v>4684.6201785848962</v>
      </c>
      <c r="AN6">
        <v>400.78531298798322</v>
      </c>
      <c r="AO6">
        <v>10275.9410368959</v>
      </c>
      <c r="AP6">
        <v>12974.728891731471</v>
      </c>
      <c r="AQ6">
        <v>2698.7878548355661</v>
      </c>
      <c r="AR6">
        <v>1.0243526176216671E-2</v>
      </c>
      <c r="AS6">
        <v>232.53386870846171</v>
      </c>
      <c r="AT6">
        <v>154.85306375954099</v>
      </c>
      <c r="AU6">
        <v>13.24821036926912</v>
      </c>
      <c r="AV6">
        <v>339.67768824673522</v>
      </c>
      <c r="AW6">
        <v>428.88781667267898</v>
      </c>
      <c r="AX6">
        <v>89.210128425943822</v>
      </c>
      <c r="AY6">
        <v>1.9981040485102071</v>
      </c>
      <c r="AZ6" t="str">
        <f>VLOOKUP(BA6,Sheet1!$A$1:$B$58,2,FALSE)</f>
        <v>1,4-Butanediol</v>
      </c>
      <c r="BA6" t="s">
        <v>77</v>
      </c>
      <c r="BB6" t="s">
        <v>71</v>
      </c>
      <c r="BC6">
        <v>90.119200000000006</v>
      </c>
      <c r="BD6">
        <v>5.5</v>
      </c>
      <c r="BE6">
        <v>230</v>
      </c>
      <c r="BF6" t="s">
        <v>65</v>
      </c>
      <c r="BG6">
        <v>0.46445566601783772</v>
      </c>
      <c r="BH6">
        <v>0.40395348837209299</v>
      </c>
      <c r="BI6">
        <v>0.82639070968565798</v>
      </c>
      <c r="BJ6">
        <v>90</v>
      </c>
      <c r="BK6">
        <v>576.65461741028719</v>
      </c>
      <c r="BL6">
        <v>119.9461268815806</v>
      </c>
      <c r="BM6">
        <v>2.222064866503966</v>
      </c>
      <c r="BN6">
        <v>377.7510273056742</v>
      </c>
      <c r="BO6">
        <v>198.90359010461299</v>
      </c>
    </row>
    <row r="7" spans="1:67" x14ac:dyDescent="0.25">
      <c r="A7" s="1">
        <v>5</v>
      </c>
      <c r="B7" t="s">
        <v>65</v>
      </c>
      <c r="C7" t="s">
        <v>66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67</v>
      </c>
      <c r="J7">
        <v>1.1759999999999999</v>
      </c>
      <c r="K7">
        <v>500</v>
      </c>
      <c r="L7">
        <v>100</v>
      </c>
      <c r="N7" t="s">
        <v>68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69</v>
      </c>
      <c r="AM7">
        <v>6114.0563997525041</v>
      </c>
      <c r="AN7">
        <v>523.0784811547303</v>
      </c>
      <c r="AO7">
        <v>13411.478554295811</v>
      </c>
      <c r="AP7">
        <v>16672.959787140331</v>
      </c>
      <c r="AQ7">
        <v>3261.48123284452</v>
      </c>
      <c r="AR7">
        <v>1.024352617621666E-2</v>
      </c>
      <c r="AS7">
        <v>232.53386870846171</v>
      </c>
      <c r="AT7">
        <v>154.85306375954099</v>
      </c>
      <c r="AU7">
        <v>13.24821036926912</v>
      </c>
      <c r="AV7">
        <v>339.67768824673522</v>
      </c>
      <c r="AW7">
        <v>422.2824809209838</v>
      </c>
      <c r="AX7">
        <v>82.604792674248642</v>
      </c>
      <c r="AY7">
        <v>1.9981040485102071</v>
      </c>
      <c r="AZ7" t="str">
        <f>VLOOKUP(BA7,Sheet1!$A$1:$B$58,2,FALSE)</f>
        <v>1-Propanol (PW1)</v>
      </c>
      <c r="BA7" t="s">
        <v>78</v>
      </c>
      <c r="BB7" t="s">
        <v>79</v>
      </c>
      <c r="BC7">
        <v>60.093820000000001</v>
      </c>
      <c r="BD7">
        <v>6</v>
      </c>
      <c r="BE7">
        <v>97</v>
      </c>
      <c r="BF7" t="s">
        <v>65</v>
      </c>
      <c r="BG7">
        <v>0.95857748933530973</v>
      </c>
      <c r="BH7">
        <v>0.46415584415584399</v>
      </c>
      <c r="BI7">
        <v>0.63318463894857702</v>
      </c>
      <c r="BJ7">
        <v>90</v>
      </c>
      <c r="BK7">
        <v>741.02043498401474</v>
      </c>
      <c r="BL7">
        <v>144.9547214597564</v>
      </c>
      <c r="BM7">
        <v>2.5476914137485638</v>
      </c>
      <c r="BN7">
        <v>433.10754033725578</v>
      </c>
      <c r="BO7">
        <v>307.9128946467589</v>
      </c>
    </row>
    <row r="8" spans="1:67" x14ac:dyDescent="0.25">
      <c r="A8" s="1">
        <v>6</v>
      </c>
      <c r="B8" t="s">
        <v>65</v>
      </c>
      <c r="C8" t="s">
        <v>66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67</v>
      </c>
      <c r="J8">
        <v>1.1759999999999999</v>
      </c>
      <c r="K8">
        <v>500</v>
      </c>
      <c r="L8">
        <v>100</v>
      </c>
      <c r="N8" t="s">
        <v>68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69</v>
      </c>
      <c r="AM8">
        <v>6565.5790909826655</v>
      </c>
      <c r="AN8">
        <v>561.70779500030278</v>
      </c>
      <c r="AO8">
        <v>14401.91542538133</v>
      </c>
      <c r="AP8">
        <v>17841.137241970449</v>
      </c>
      <c r="AQ8">
        <v>3439.2218165891172</v>
      </c>
      <c r="AR8">
        <v>1.024352617621666E-2</v>
      </c>
      <c r="AS8">
        <v>232.53386870846171</v>
      </c>
      <c r="AT8">
        <v>154.85306375954099</v>
      </c>
      <c r="AU8">
        <v>13.24821036926912</v>
      </c>
      <c r="AV8">
        <v>339.67768824673522</v>
      </c>
      <c r="AW8">
        <v>420.79376770710292</v>
      </c>
      <c r="AX8">
        <v>81.1160794603677</v>
      </c>
      <c r="AY8">
        <v>1.9981040485102071</v>
      </c>
      <c r="AZ8" t="str">
        <f>VLOOKUP(BA8,Sheet1!$A$1:$B$58,2,FALSE)</f>
        <v>1-Propanol (PW2)</v>
      </c>
      <c r="BA8" t="s">
        <v>80</v>
      </c>
      <c r="BB8" t="s">
        <v>79</v>
      </c>
      <c r="BC8">
        <v>60.093820000000001</v>
      </c>
      <c r="BD8">
        <v>6</v>
      </c>
      <c r="BE8">
        <v>97</v>
      </c>
      <c r="BF8" t="s">
        <v>65</v>
      </c>
      <c r="BG8">
        <v>1.1916214590024869</v>
      </c>
      <c r="BH8">
        <v>0.432235294117647</v>
      </c>
      <c r="BI8">
        <v>0.58963977744255702</v>
      </c>
      <c r="BJ8">
        <v>90</v>
      </c>
      <c r="BK8">
        <v>792.93943297646433</v>
      </c>
      <c r="BL8">
        <v>152.85430295951619</v>
      </c>
      <c r="BM8">
        <v>2.5735851881560321</v>
      </c>
      <c r="BN8">
        <v>437.50948198652537</v>
      </c>
      <c r="BO8">
        <v>355.42995098993902</v>
      </c>
    </row>
    <row r="9" spans="1:67" x14ac:dyDescent="0.25">
      <c r="A9" s="1">
        <v>7</v>
      </c>
      <c r="B9" t="s">
        <v>65</v>
      </c>
      <c r="C9" t="s">
        <v>66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67</v>
      </c>
      <c r="J9">
        <v>1.1759999999999999</v>
      </c>
      <c r="K9">
        <v>500</v>
      </c>
      <c r="L9">
        <v>100</v>
      </c>
      <c r="N9" t="s">
        <v>68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69</v>
      </c>
      <c r="AM9">
        <v>4429.6054709863656</v>
      </c>
      <c r="AN9">
        <v>378.96793068052591</v>
      </c>
      <c r="AO9">
        <v>9716.5539363571897</v>
      </c>
      <c r="AP9">
        <v>12314.955999133161</v>
      </c>
      <c r="AQ9">
        <v>2598.4020627759692</v>
      </c>
      <c r="AR9">
        <v>1.0243526176216671E-2</v>
      </c>
      <c r="AS9">
        <v>232.53386870846171</v>
      </c>
      <c r="AT9">
        <v>154.85306375954099</v>
      </c>
      <c r="AU9">
        <v>13.24821036926912</v>
      </c>
      <c r="AV9">
        <v>339.67768824673527</v>
      </c>
      <c r="AW9">
        <v>430.51433790672672</v>
      </c>
      <c r="AX9">
        <v>90.836649659991394</v>
      </c>
      <c r="AY9">
        <v>1.9981040485102071</v>
      </c>
      <c r="AZ9" t="str">
        <f>VLOOKUP(BA9,Sheet1!$A$1:$B$58,2,FALSE)</f>
        <v>2,3-Butanediol</v>
      </c>
      <c r="BA9" t="s">
        <v>81</v>
      </c>
      <c r="BB9" t="s">
        <v>71</v>
      </c>
      <c r="BC9">
        <v>90.119200000000006</v>
      </c>
      <c r="BD9">
        <v>5.5</v>
      </c>
      <c r="BE9">
        <v>177</v>
      </c>
      <c r="BF9" t="s">
        <v>65</v>
      </c>
      <c r="BG9">
        <v>0.3328351717734393</v>
      </c>
      <c r="BH9">
        <v>0.42720930232558202</v>
      </c>
      <c r="BI9">
        <v>0.87396645578155197</v>
      </c>
      <c r="BJ9">
        <v>90</v>
      </c>
      <c r="BK9">
        <v>547.33137773925137</v>
      </c>
      <c r="BL9">
        <v>115.4845361233763</v>
      </c>
      <c r="BM9">
        <v>2.207440367143473</v>
      </c>
      <c r="BN9">
        <v>375.26486241439051</v>
      </c>
      <c r="BO9">
        <v>172.06651532486089</v>
      </c>
    </row>
    <row r="10" spans="1:67" x14ac:dyDescent="0.25">
      <c r="A10" s="1">
        <v>8</v>
      </c>
      <c r="B10" t="s">
        <v>65</v>
      </c>
      <c r="C10" t="s">
        <v>66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67</v>
      </c>
      <c r="J10">
        <v>1.1759999999999999</v>
      </c>
      <c r="K10">
        <v>500</v>
      </c>
      <c r="L10">
        <v>100</v>
      </c>
      <c r="N10" t="s">
        <v>68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69</v>
      </c>
      <c r="AM10">
        <v>7056.4010356336421</v>
      </c>
      <c r="AN10">
        <v>603.69929467567977</v>
      </c>
      <c r="AO10">
        <v>15478.55711042218</v>
      </c>
      <c r="AP10">
        <v>19110.98954665754</v>
      </c>
      <c r="AQ10">
        <v>3632.43243623536</v>
      </c>
      <c r="AR10">
        <v>1.0243526176216671E-2</v>
      </c>
      <c r="AS10">
        <v>232.53386870846171</v>
      </c>
      <c r="AT10">
        <v>154.85306375954099</v>
      </c>
      <c r="AU10">
        <v>13.24821036926912</v>
      </c>
      <c r="AV10">
        <v>339.67768824673522</v>
      </c>
      <c r="AW10">
        <v>419.3915946432229</v>
      </c>
      <c r="AX10">
        <v>79.713906396487687</v>
      </c>
      <c r="AY10">
        <v>1.9981040485102071</v>
      </c>
      <c r="AZ10" t="str">
        <f>VLOOKUP(BA10,Sheet1!$A$1:$B$58,2,FALSE)</f>
        <v>2-Methyl-1-Butanol</v>
      </c>
      <c r="BA10" t="s">
        <v>82</v>
      </c>
      <c r="BB10" t="s">
        <v>83</v>
      </c>
      <c r="BC10">
        <v>88.14658</v>
      </c>
      <c r="BD10">
        <v>6</v>
      </c>
      <c r="BE10">
        <v>129</v>
      </c>
      <c r="BF10" t="s">
        <v>65</v>
      </c>
      <c r="BG10">
        <v>1.145603480604559</v>
      </c>
      <c r="BH10">
        <v>0.27417910447761201</v>
      </c>
      <c r="BI10">
        <v>0.54862621532406897</v>
      </c>
      <c r="BJ10">
        <v>90</v>
      </c>
      <c r="BK10">
        <v>849.37731318477972</v>
      </c>
      <c r="BL10">
        <v>161.4414416104604</v>
      </c>
      <c r="BM10">
        <v>2.9010781168914361</v>
      </c>
      <c r="BN10">
        <v>493.18327987154407</v>
      </c>
      <c r="BO10">
        <v>356.19403331323559</v>
      </c>
    </row>
    <row r="11" spans="1:67" x14ac:dyDescent="0.25">
      <c r="A11" s="1">
        <v>9</v>
      </c>
      <c r="B11" t="s">
        <v>65</v>
      </c>
      <c r="C11" t="s">
        <v>66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67</v>
      </c>
      <c r="J11">
        <v>1.1759999999999999</v>
      </c>
      <c r="K11">
        <v>500</v>
      </c>
      <c r="L11">
        <v>100</v>
      </c>
      <c r="N11" t="s">
        <v>68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84</v>
      </c>
      <c r="AM11">
        <v>3025.098344778979</v>
      </c>
      <c r="AN11">
        <v>258.80753203302652</v>
      </c>
      <c r="AO11">
        <v>6635.6995949990496</v>
      </c>
      <c r="AP11">
        <v>9661.8572286771214</v>
      </c>
      <c r="AQ11">
        <v>3026.1576336780722</v>
      </c>
      <c r="AR11">
        <v>1.0243526176216671E-2</v>
      </c>
      <c r="AS11">
        <v>232.53386870846171</v>
      </c>
      <c r="AT11">
        <v>154.85306375954099</v>
      </c>
      <c r="AU11">
        <v>13.24821036926912</v>
      </c>
      <c r="AV11">
        <v>339.67768824673522</v>
      </c>
      <c r="AW11">
        <v>494.58497640255553</v>
      </c>
      <c r="AX11">
        <v>154.90728815582031</v>
      </c>
      <c r="AY11">
        <v>1.9981040485102071</v>
      </c>
      <c r="AZ11" t="str">
        <f>VLOOKUP(BA11,Sheet1!$A$1:$B$58,2,FALSE)</f>
        <v>2-Pyrone-4,6-Dicarboxylate</v>
      </c>
      <c r="BA11" t="s">
        <v>85</v>
      </c>
      <c r="BB11" t="s">
        <v>86</v>
      </c>
      <c r="BC11">
        <v>182.08457999999999</v>
      </c>
      <c r="BD11">
        <v>2.5714285714285721</v>
      </c>
      <c r="BE11">
        <v>355.5</v>
      </c>
      <c r="BF11" t="s">
        <v>65</v>
      </c>
      <c r="BG11">
        <v>-0.13056495501858609</v>
      </c>
      <c r="BH11">
        <v>0.30960674157303397</v>
      </c>
      <c r="BI11">
        <v>1.2797357813738699</v>
      </c>
      <c r="BJ11">
        <v>90</v>
      </c>
      <c r="BK11">
        <v>429.41587683009419</v>
      </c>
      <c r="BL11">
        <v>134.49589483013651</v>
      </c>
      <c r="BM11">
        <v>1.865388378547749</v>
      </c>
      <c r="BN11">
        <v>317.11602435311738</v>
      </c>
      <c r="BO11">
        <v>112.29985247697689</v>
      </c>
    </row>
    <row r="12" spans="1:67" x14ac:dyDescent="0.25">
      <c r="A12" s="1">
        <v>10</v>
      </c>
      <c r="B12" t="s">
        <v>65</v>
      </c>
      <c r="C12" t="s">
        <v>66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67</v>
      </c>
      <c r="J12">
        <v>1.1759999999999999</v>
      </c>
      <c r="K12">
        <v>500</v>
      </c>
      <c r="L12">
        <v>100</v>
      </c>
      <c r="N12" t="s">
        <v>68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69</v>
      </c>
      <c r="AM12">
        <v>7268.8872228245846</v>
      </c>
      <c r="AN12">
        <v>621.87821629418102</v>
      </c>
      <c r="AO12">
        <v>15944.655843615221</v>
      </c>
      <c r="AP12">
        <v>19660.732844525912</v>
      </c>
      <c r="AQ12">
        <v>3716.0770009106909</v>
      </c>
      <c r="AR12">
        <v>1.024352617621666E-2</v>
      </c>
      <c r="AS12">
        <v>232.53386870846171</v>
      </c>
      <c r="AT12">
        <v>154.8530637595411</v>
      </c>
      <c r="AU12">
        <v>13.24821036926912</v>
      </c>
      <c r="AV12">
        <v>339.67768824673527</v>
      </c>
      <c r="AW12">
        <v>418.84330068744902</v>
      </c>
      <c r="AX12">
        <v>79.165612440713744</v>
      </c>
      <c r="AY12">
        <v>1.998104048510208</v>
      </c>
      <c r="AZ12" t="str">
        <f>VLOOKUP(BA12,Sheet1!$A$1:$B$58,2,FALSE)</f>
        <v>3-Methyl-1-Pentanol</v>
      </c>
      <c r="BA12" t="s">
        <v>87</v>
      </c>
      <c r="BB12" t="s">
        <v>88</v>
      </c>
      <c r="BC12">
        <v>102.17296</v>
      </c>
      <c r="BD12">
        <v>6</v>
      </c>
      <c r="BE12">
        <v>153</v>
      </c>
      <c r="BF12" t="s">
        <v>65</v>
      </c>
      <c r="BG12">
        <v>1.1672425998458309</v>
      </c>
      <c r="BH12">
        <v>0.229625</v>
      </c>
      <c r="BI12">
        <v>0.53258861711768102</v>
      </c>
      <c r="BJ12">
        <v>90</v>
      </c>
      <c r="BK12">
        <v>873.81034864559592</v>
      </c>
      <c r="BL12">
        <v>165.15897781825291</v>
      </c>
      <c r="BM12">
        <v>3.0012948756091289</v>
      </c>
      <c r="BN12">
        <v>510.2201288535519</v>
      </c>
      <c r="BO12">
        <v>363.59021979204402</v>
      </c>
    </row>
    <row r="13" spans="1:67" x14ac:dyDescent="0.25">
      <c r="A13" s="1">
        <v>11</v>
      </c>
      <c r="B13" t="s">
        <v>65</v>
      </c>
      <c r="C13" t="s">
        <v>66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67</v>
      </c>
      <c r="J13">
        <v>1.1759999999999999</v>
      </c>
      <c r="K13">
        <v>500</v>
      </c>
      <c r="L13">
        <v>100</v>
      </c>
      <c r="N13" t="s">
        <v>68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69</v>
      </c>
      <c r="AM13">
        <v>7288.9506863945962</v>
      </c>
      <c r="AN13">
        <v>623.59471437086381</v>
      </c>
      <c r="AO13">
        <v>15988.66602176879</v>
      </c>
      <c r="AP13">
        <v>19712.64094629692</v>
      </c>
      <c r="AQ13">
        <v>3723.974924528125</v>
      </c>
      <c r="AR13">
        <v>1.0243526176216671E-2</v>
      </c>
      <c r="AS13">
        <v>232.53386870846171</v>
      </c>
      <c r="AT13">
        <v>154.85306375954099</v>
      </c>
      <c r="AU13">
        <v>13.24821036926912</v>
      </c>
      <c r="AV13">
        <v>339.67768824673522</v>
      </c>
      <c r="AW13">
        <v>418.79318116717491</v>
      </c>
      <c r="AX13">
        <v>79.115492920439749</v>
      </c>
      <c r="AY13">
        <v>1.9981040485102071</v>
      </c>
      <c r="AZ13" t="str">
        <f>VLOOKUP(BA13,Sheet1!$A$1:$B$58,2,FALSE)</f>
        <v>4-Hydroxystyrene</v>
      </c>
      <c r="BA13" t="s">
        <v>89</v>
      </c>
      <c r="BB13" t="s">
        <v>90</v>
      </c>
      <c r="BC13">
        <v>120.14731999999999</v>
      </c>
      <c r="BD13">
        <v>4.75</v>
      </c>
      <c r="BE13">
        <v>229</v>
      </c>
      <c r="BF13" t="s">
        <v>65</v>
      </c>
      <c r="BG13">
        <v>0.83163662134430028</v>
      </c>
      <c r="BH13">
        <v>0.194734982332156</v>
      </c>
      <c r="BI13">
        <v>0.53112262114966202</v>
      </c>
      <c r="BJ13">
        <v>90</v>
      </c>
      <c r="BK13">
        <v>876.11737539097408</v>
      </c>
      <c r="BL13">
        <v>165.50999664569451</v>
      </c>
      <c r="BM13">
        <v>3.3484067830396982</v>
      </c>
      <c r="BN13">
        <v>569.22915311674865</v>
      </c>
      <c r="BO13">
        <v>306.88822227422543</v>
      </c>
    </row>
    <row r="14" spans="1:67" x14ac:dyDescent="0.25">
      <c r="A14" s="1">
        <v>12</v>
      </c>
      <c r="B14" t="s">
        <v>65</v>
      </c>
      <c r="C14" t="s">
        <v>66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67</v>
      </c>
      <c r="J14">
        <v>1.1759999999999999</v>
      </c>
      <c r="K14">
        <v>500</v>
      </c>
      <c r="L14">
        <v>100</v>
      </c>
      <c r="N14" t="s">
        <v>68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69</v>
      </c>
      <c r="AM14">
        <v>5071.9178713879273</v>
      </c>
      <c r="AN14">
        <v>433.91995808454158</v>
      </c>
      <c r="AO14">
        <v>11125.497266270289</v>
      </c>
      <c r="AP14">
        <v>13976.743722497949</v>
      </c>
      <c r="AQ14">
        <v>2851.2464562276582</v>
      </c>
      <c r="AR14">
        <v>1.0243526176216671E-2</v>
      </c>
      <c r="AS14">
        <v>232.53386870846171</v>
      </c>
      <c r="AT14">
        <v>154.85306375954099</v>
      </c>
      <c r="AU14">
        <v>13.24821036926912</v>
      </c>
      <c r="AV14">
        <v>339.67768824673522</v>
      </c>
      <c r="AW14">
        <v>426.73040883023401</v>
      </c>
      <c r="AX14">
        <v>87.05272058349874</v>
      </c>
      <c r="AY14">
        <v>1.9981040485102071</v>
      </c>
      <c r="AZ14" t="str">
        <f>VLOOKUP(BA14,Sheet1!$A$1:$B$58,2,FALSE)</f>
        <v>5-Aminopentanoate</v>
      </c>
      <c r="BA14" t="s">
        <v>91</v>
      </c>
      <c r="BB14" t="s">
        <v>92</v>
      </c>
      <c r="BC14">
        <v>117.14444</v>
      </c>
      <c r="BD14">
        <v>4.8</v>
      </c>
      <c r="BE14">
        <v>247.5</v>
      </c>
      <c r="BF14" t="s">
        <v>65</v>
      </c>
      <c r="BG14">
        <v>0.73931383488174596</v>
      </c>
      <c r="BH14">
        <v>0.28703125000000101</v>
      </c>
      <c r="BI14">
        <v>0.76328653029413895</v>
      </c>
      <c r="BJ14">
        <v>90</v>
      </c>
      <c r="BK14">
        <v>621.18860988879783</v>
      </c>
      <c r="BL14">
        <v>126.7220647212292</v>
      </c>
      <c r="BM14">
        <v>2.1693129013980692</v>
      </c>
      <c r="BN14">
        <v>368.78319323767181</v>
      </c>
      <c r="BO14">
        <v>252.4054166511261</v>
      </c>
    </row>
    <row r="15" spans="1:67" x14ac:dyDescent="0.25">
      <c r="A15" s="1">
        <v>13</v>
      </c>
      <c r="B15" t="s">
        <v>65</v>
      </c>
      <c r="C15" t="s">
        <v>66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67</v>
      </c>
      <c r="J15">
        <v>1.1759999999999999</v>
      </c>
      <c r="K15">
        <v>500</v>
      </c>
      <c r="L15">
        <v>100</v>
      </c>
      <c r="N15" t="s">
        <v>68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69</v>
      </c>
      <c r="AM15">
        <v>5113.5357408164418</v>
      </c>
      <c r="AN15">
        <v>437.48050946094793</v>
      </c>
      <c r="AO15">
        <v>11216.788076629609</v>
      </c>
      <c r="AP15">
        <v>14084.417285153229</v>
      </c>
      <c r="AQ15">
        <v>2867.62920852362</v>
      </c>
      <c r="AR15">
        <v>1.0243526176216671E-2</v>
      </c>
      <c r="AS15">
        <v>232.53386870846171</v>
      </c>
      <c r="AT15">
        <v>154.85306375954099</v>
      </c>
      <c r="AU15">
        <v>13.24821036926912</v>
      </c>
      <c r="AV15">
        <v>339.67768824673522</v>
      </c>
      <c r="AW15">
        <v>426.51802557374691</v>
      </c>
      <c r="AX15">
        <v>86.840337327011696</v>
      </c>
      <c r="AY15">
        <v>1.9981040485102071</v>
      </c>
      <c r="AZ15" t="str">
        <f>VLOOKUP(BA15,Sheet1!$A$1:$B$58,2,FALSE)</f>
        <v>Acetone</v>
      </c>
      <c r="BA15" t="s">
        <v>93</v>
      </c>
      <c r="BB15" t="s">
        <v>94</v>
      </c>
      <c r="BC15">
        <v>58.078139999999998</v>
      </c>
      <c r="BD15">
        <v>5.333333333333333</v>
      </c>
      <c r="BE15">
        <v>56</v>
      </c>
      <c r="BF15" t="s">
        <v>65</v>
      </c>
      <c r="BG15">
        <v>0.36592764917717091</v>
      </c>
      <c r="BH15">
        <v>0.57423423423423403</v>
      </c>
      <c r="BI15">
        <v>0.75707432004189301</v>
      </c>
      <c r="BJ15">
        <v>90</v>
      </c>
      <c r="BK15">
        <v>625.97410156236606</v>
      </c>
      <c r="BL15">
        <v>127.4501870454943</v>
      </c>
      <c r="BM15">
        <v>2.5665659656279569</v>
      </c>
      <c r="BN15">
        <v>436.31621415675278</v>
      </c>
      <c r="BO15">
        <v>189.65788740561331</v>
      </c>
    </row>
    <row r="16" spans="1:67" x14ac:dyDescent="0.25">
      <c r="A16" s="1">
        <v>14</v>
      </c>
      <c r="B16" t="s">
        <v>65</v>
      </c>
      <c r="C16" t="s">
        <v>66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67</v>
      </c>
      <c r="J16">
        <v>1.1759999999999999</v>
      </c>
      <c r="K16">
        <v>500</v>
      </c>
      <c r="L16">
        <v>100</v>
      </c>
      <c r="N16" t="s">
        <v>68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69</v>
      </c>
      <c r="AM16">
        <v>4246.303885101197</v>
      </c>
      <c r="AN16">
        <v>363.28585173504081</v>
      </c>
      <c r="AO16">
        <v>9314.4730382864982</v>
      </c>
      <c r="AP16">
        <v>11840.71896913524</v>
      </c>
      <c r="AQ16">
        <v>2526.2459308487428</v>
      </c>
      <c r="AR16">
        <v>1.0243526176216671E-2</v>
      </c>
      <c r="AS16">
        <v>232.53386870846171</v>
      </c>
      <c r="AT16">
        <v>154.85306375954099</v>
      </c>
      <c r="AU16">
        <v>13.24821036926912</v>
      </c>
      <c r="AV16">
        <v>339.67768824673522</v>
      </c>
      <c r="AW16">
        <v>431.80414287344598</v>
      </c>
      <c r="AX16">
        <v>92.126454626710824</v>
      </c>
      <c r="AY16">
        <v>1.9981040485102071</v>
      </c>
      <c r="AZ16" t="str">
        <f>VLOOKUP(BA16,Sheet1!$A$1:$B$58,2,FALSE)</f>
        <v>Acrylate (PW1)</v>
      </c>
      <c r="BA16" t="s">
        <v>95</v>
      </c>
      <c r="BB16" t="s">
        <v>96</v>
      </c>
      <c r="BC16">
        <v>71.053619999999995</v>
      </c>
      <c r="BD16">
        <v>3.666666666666667</v>
      </c>
      <c r="BE16">
        <v>80</v>
      </c>
      <c r="BF16" t="s">
        <v>65</v>
      </c>
      <c r="BG16">
        <v>0.33346656415802289</v>
      </c>
      <c r="BH16">
        <v>0.56523076923077198</v>
      </c>
      <c r="BI16">
        <v>0.91169325105809396</v>
      </c>
      <c r="BJ16">
        <v>90</v>
      </c>
      <c r="BK16">
        <v>526.25417640601063</v>
      </c>
      <c r="BL16">
        <v>112.2775969266108</v>
      </c>
      <c r="BM16">
        <v>2.1016897857207999</v>
      </c>
      <c r="BN16">
        <v>357.28726357253601</v>
      </c>
      <c r="BO16">
        <v>168.96691283347459</v>
      </c>
    </row>
    <row r="17" spans="1:67" x14ac:dyDescent="0.25">
      <c r="A17" s="1">
        <v>15</v>
      </c>
      <c r="B17" t="s">
        <v>65</v>
      </c>
      <c r="C17" t="s">
        <v>66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67</v>
      </c>
      <c r="J17">
        <v>1.1759999999999999</v>
      </c>
      <c r="K17">
        <v>500</v>
      </c>
      <c r="L17">
        <v>100</v>
      </c>
      <c r="N17" t="s">
        <v>68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69</v>
      </c>
      <c r="AM17">
        <v>3331.7153560024749</v>
      </c>
      <c r="AN17">
        <v>285.03966828441628</v>
      </c>
      <c r="AO17">
        <v>7308.2788454247839</v>
      </c>
      <c r="AP17">
        <v>9474.4996829493648</v>
      </c>
      <c r="AQ17">
        <v>2166.2208375245809</v>
      </c>
      <c r="AR17">
        <v>1.0243526176216671E-2</v>
      </c>
      <c r="AS17">
        <v>232.53386870846171</v>
      </c>
      <c r="AT17">
        <v>154.85306375954099</v>
      </c>
      <c r="AU17">
        <v>13.24821036926912</v>
      </c>
      <c r="AV17">
        <v>339.67768824673527</v>
      </c>
      <c r="AW17">
        <v>440.3603389618076</v>
      </c>
      <c r="AX17">
        <v>100.6826507150723</v>
      </c>
      <c r="AY17">
        <v>1.9981040485102071</v>
      </c>
      <c r="AZ17" t="str">
        <f>VLOOKUP(BA17,Sheet1!$A$1:$B$58,2,FALSE)</f>
        <v>Acrylate (PW2)</v>
      </c>
      <c r="BA17" t="s">
        <v>97</v>
      </c>
      <c r="BB17" t="s">
        <v>96</v>
      </c>
      <c r="BC17">
        <v>71.053619999999995</v>
      </c>
      <c r="BD17">
        <v>3.666666666666667</v>
      </c>
      <c r="BE17">
        <v>80</v>
      </c>
      <c r="BF17" t="s">
        <v>65</v>
      </c>
      <c r="BG17">
        <v>-0.13857912828002741</v>
      </c>
      <c r="BH17">
        <v>0.72039215686274505</v>
      </c>
      <c r="BI17">
        <v>1.16196198664267</v>
      </c>
      <c r="BJ17">
        <v>90</v>
      </c>
      <c r="BK17">
        <v>421.0888747977495</v>
      </c>
      <c r="BL17">
        <v>96.276481667759057</v>
      </c>
      <c r="BM17">
        <v>2.0492402643387941</v>
      </c>
      <c r="BN17">
        <v>348.370844937595</v>
      </c>
      <c r="BO17">
        <v>72.718029860154502</v>
      </c>
    </row>
    <row r="18" spans="1:67" x14ac:dyDescent="0.25">
      <c r="A18" s="1">
        <v>16</v>
      </c>
      <c r="B18" t="s">
        <v>65</v>
      </c>
      <c r="C18" t="s">
        <v>66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67</v>
      </c>
      <c r="J18">
        <v>1.1759999999999999</v>
      </c>
      <c r="K18">
        <v>500</v>
      </c>
      <c r="L18">
        <v>100</v>
      </c>
      <c r="N18" t="s">
        <v>68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69</v>
      </c>
      <c r="AM18">
        <v>4562.6646116763322</v>
      </c>
      <c r="AN18">
        <v>390.35159623171029</v>
      </c>
      <c r="AO18">
        <v>10008.425599806151</v>
      </c>
      <c r="AP18">
        <v>12659.20600324614</v>
      </c>
      <c r="AQ18">
        <v>2650.780403439991</v>
      </c>
      <c r="AR18">
        <v>1.0243526176216671E-2</v>
      </c>
      <c r="AS18">
        <v>232.53386870846171</v>
      </c>
      <c r="AT18">
        <v>154.85306375954099</v>
      </c>
      <c r="AU18">
        <v>13.24821036926912</v>
      </c>
      <c r="AV18">
        <v>339.67768824673522</v>
      </c>
      <c r="AW18">
        <v>429.64298303872363</v>
      </c>
      <c r="AX18">
        <v>89.96529479198847</v>
      </c>
      <c r="AY18">
        <v>1.9981040485102071</v>
      </c>
      <c r="AZ18" t="str">
        <f>VLOOKUP(BA18,Sheet1!$A$1:$B$58,2,FALSE)</f>
        <v>Adipate</v>
      </c>
      <c r="BA18" t="s">
        <v>98</v>
      </c>
      <c r="BB18" t="s">
        <v>99</v>
      </c>
      <c r="BC18">
        <v>144.12291999999999</v>
      </c>
      <c r="BD18">
        <v>4</v>
      </c>
      <c r="BE18">
        <v>337.5</v>
      </c>
      <c r="BF18" t="s">
        <v>65</v>
      </c>
      <c r="BG18">
        <v>0.52273764489174657</v>
      </c>
      <c r="BH18">
        <v>0.25934117647058802</v>
      </c>
      <c r="BI18">
        <v>0.848479325892462</v>
      </c>
      <c r="BJ18">
        <v>90</v>
      </c>
      <c r="BK18">
        <v>562.63137792205055</v>
      </c>
      <c r="BL18">
        <v>117.8124623751107</v>
      </c>
      <c r="BM18">
        <v>2.093844211266723</v>
      </c>
      <c r="BN18">
        <v>355.95351591534302</v>
      </c>
      <c r="BO18">
        <v>206.6778620067075</v>
      </c>
    </row>
    <row r="19" spans="1:67" x14ac:dyDescent="0.25">
      <c r="A19" s="1">
        <v>17</v>
      </c>
      <c r="B19" t="s">
        <v>65</v>
      </c>
      <c r="C19" t="s">
        <v>66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67</v>
      </c>
      <c r="J19">
        <v>1.1759999999999999</v>
      </c>
      <c r="K19">
        <v>500</v>
      </c>
      <c r="L19">
        <v>100</v>
      </c>
      <c r="N19" t="s">
        <v>68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69</v>
      </c>
      <c r="AM19">
        <v>6234.4042050288099</v>
      </c>
      <c r="AN19">
        <v>533.37464839270092</v>
      </c>
      <c r="AO19">
        <v>13675.467288450291</v>
      </c>
      <c r="AP19">
        <v>16984.32308203707</v>
      </c>
      <c r="AQ19">
        <v>3308.8557935867811</v>
      </c>
      <c r="AR19">
        <v>1.0243526176216671E-2</v>
      </c>
      <c r="AS19">
        <v>232.53386870846171</v>
      </c>
      <c r="AT19">
        <v>154.85306375954099</v>
      </c>
      <c r="AU19">
        <v>13.24821036926912</v>
      </c>
      <c r="AV19">
        <v>339.67768824673522</v>
      </c>
      <c r="AW19">
        <v>421.86460464238968</v>
      </c>
      <c r="AX19">
        <v>82.186916395654521</v>
      </c>
      <c r="AY19">
        <v>1.998104048510206</v>
      </c>
      <c r="AZ19" t="str">
        <f>VLOOKUP(BA19,Sheet1!$A$1:$B$58,2,FALSE)</f>
        <v>Benzoate (PW1)</v>
      </c>
      <c r="BA19" t="s">
        <v>100</v>
      </c>
      <c r="BB19" t="s">
        <v>101</v>
      </c>
      <c r="BC19">
        <v>121.1121</v>
      </c>
      <c r="BD19">
        <v>4.1428571428571432</v>
      </c>
      <c r="BE19">
        <v>249.2</v>
      </c>
      <c r="BF19" t="s">
        <v>65</v>
      </c>
      <c r="BG19">
        <v>0.67408053080919494</v>
      </c>
      <c r="BH19">
        <v>0.225860655737705</v>
      </c>
      <c r="BI19">
        <v>0.62096175779969898</v>
      </c>
      <c r="BJ19">
        <v>90</v>
      </c>
      <c r="BK19">
        <v>754.85880364609216</v>
      </c>
      <c r="BL19">
        <v>147.06025749274559</v>
      </c>
      <c r="BM19">
        <v>2.9012050347987248</v>
      </c>
      <c r="BN19">
        <v>493.20485591578318</v>
      </c>
      <c r="BO19">
        <v>261.65394773030891</v>
      </c>
    </row>
    <row r="20" spans="1:67" x14ac:dyDescent="0.25">
      <c r="A20" s="1">
        <v>18</v>
      </c>
      <c r="B20" t="s">
        <v>65</v>
      </c>
      <c r="C20" t="s">
        <v>66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67</v>
      </c>
      <c r="J20">
        <v>1.1759999999999999</v>
      </c>
      <c r="K20">
        <v>500</v>
      </c>
      <c r="L20">
        <v>100</v>
      </c>
      <c r="N20" t="s">
        <v>68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69</v>
      </c>
      <c r="AM20">
        <v>6234.4042050288044</v>
      </c>
      <c r="AN20">
        <v>533.37464839270035</v>
      </c>
      <c r="AO20">
        <v>13675.46728845028</v>
      </c>
      <c r="AP20">
        <v>16984.323082037052</v>
      </c>
      <c r="AQ20">
        <v>3308.8557935867739</v>
      </c>
      <c r="AR20">
        <v>1.0243526176216671E-2</v>
      </c>
      <c r="AS20">
        <v>232.53386870846171</v>
      </c>
      <c r="AT20">
        <v>154.8530637595411</v>
      </c>
      <c r="AU20">
        <v>13.24821036926912</v>
      </c>
      <c r="AV20">
        <v>339.67768824673527</v>
      </c>
      <c r="AW20">
        <v>421.86460464238979</v>
      </c>
      <c r="AX20">
        <v>82.186916395654521</v>
      </c>
      <c r="AY20">
        <v>1.9981040485102071</v>
      </c>
      <c r="AZ20" t="str">
        <f>VLOOKUP(BA20,Sheet1!$A$1:$B$58,2,FALSE)</f>
        <v>Benzoate (PW2)</v>
      </c>
      <c r="BA20" t="s">
        <v>102</v>
      </c>
      <c r="BB20" t="s">
        <v>101</v>
      </c>
      <c r="BC20">
        <v>121.1121</v>
      </c>
      <c r="BD20">
        <v>4.1428571428571432</v>
      </c>
      <c r="BE20">
        <v>249.2</v>
      </c>
      <c r="BF20" t="s">
        <v>65</v>
      </c>
      <c r="BG20">
        <v>0.67408053080919639</v>
      </c>
      <c r="BH20">
        <v>0.225860655737705</v>
      </c>
      <c r="BI20">
        <v>0.62096175779969998</v>
      </c>
      <c r="BJ20">
        <v>90</v>
      </c>
      <c r="BK20">
        <v>754.85880364609113</v>
      </c>
      <c r="BL20">
        <v>147.06025749274539</v>
      </c>
      <c r="BM20">
        <v>2.9012050347987191</v>
      </c>
      <c r="BN20">
        <v>493.20485591578228</v>
      </c>
      <c r="BO20">
        <v>261.6539477303088</v>
      </c>
    </row>
    <row r="21" spans="1:67" x14ac:dyDescent="0.25">
      <c r="A21" s="1">
        <v>19</v>
      </c>
      <c r="B21" t="s">
        <v>65</v>
      </c>
      <c r="C21" t="s">
        <v>66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67</v>
      </c>
      <c r="J21">
        <v>1.1759999999999999</v>
      </c>
      <c r="K21">
        <v>500</v>
      </c>
      <c r="L21">
        <v>100</v>
      </c>
      <c r="N21" t="s">
        <v>68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69</v>
      </c>
      <c r="AM21">
        <v>8012.6819576864309</v>
      </c>
      <c r="AN21">
        <v>685.51240524575326</v>
      </c>
      <c r="AO21">
        <v>17576.2055846025</v>
      </c>
      <c r="AP21">
        <v>21585.075202425349</v>
      </c>
      <c r="AQ21">
        <v>4008.8696178228488</v>
      </c>
      <c r="AR21">
        <v>1.0243526176216671E-2</v>
      </c>
      <c r="AS21">
        <v>232.53386870846171</v>
      </c>
      <c r="AT21">
        <v>154.8530637595411</v>
      </c>
      <c r="AU21">
        <v>13.24821036926912</v>
      </c>
      <c r="AV21">
        <v>339.67768824673527</v>
      </c>
      <c r="AW21">
        <v>417.15308859466739</v>
      </c>
      <c r="AX21">
        <v>77.475400347932123</v>
      </c>
      <c r="AY21">
        <v>1.9981040485102071</v>
      </c>
      <c r="AZ21" t="str">
        <f>VLOOKUP(BA21,Sheet1!$A$1:$B$58,2,FALSE)</f>
        <v>Benzyl Alcohol</v>
      </c>
      <c r="BA21" t="s">
        <v>103</v>
      </c>
      <c r="BB21" t="s">
        <v>104</v>
      </c>
      <c r="BC21">
        <v>108.13661999999999</v>
      </c>
      <c r="BD21">
        <v>4.8571428571428568</v>
      </c>
      <c r="BE21">
        <v>205</v>
      </c>
      <c r="BF21" t="s">
        <v>65</v>
      </c>
      <c r="BG21">
        <v>1.2866816382375179</v>
      </c>
      <c r="BH21">
        <v>0.19682142857142901</v>
      </c>
      <c r="BI21">
        <v>0.48314991340381702</v>
      </c>
      <c r="BJ21">
        <v>90</v>
      </c>
      <c r="BK21">
        <v>959.33667566334873</v>
      </c>
      <c r="BL21">
        <v>178.17198301434891</v>
      </c>
      <c r="BM21">
        <v>3.3084047891095389</v>
      </c>
      <c r="BN21">
        <v>562.42881414862165</v>
      </c>
      <c r="BO21">
        <v>396.90786151472707</v>
      </c>
    </row>
    <row r="22" spans="1:67" x14ac:dyDescent="0.25">
      <c r="A22" s="1">
        <v>20</v>
      </c>
      <c r="B22" t="s">
        <v>65</v>
      </c>
      <c r="C22" t="s">
        <v>66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67</v>
      </c>
      <c r="J22">
        <v>1.1759999999999999</v>
      </c>
      <c r="K22">
        <v>500</v>
      </c>
      <c r="L22">
        <v>100</v>
      </c>
      <c r="N22" t="s">
        <v>68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69</v>
      </c>
      <c r="AM22">
        <v>8192.8410454169807</v>
      </c>
      <c r="AN22">
        <v>700.92563270308131</v>
      </c>
      <c r="AO22">
        <v>17971.393260914669</v>
      </c>
      <c r="AP22">
        <v>22051.18197547855</v>
      </c>
      <c r="AQ22">
        <v>4079.7887145638852</v>
      </c>
      <c r="AR22">
        <v>1.0243526176216671E-2</v>
      </c>
      <c r="AS22">
        <v>232.53386870846171</v>
      </c>
      <c r="AT22">
        <v>154.85306375954099</v>
      </c>
      <c r="AU22">
        <v>13.24821036926912</v>
      </c>
      <c r="AV22">
        <v>339.67768824673522</v>
      </c>
      <c r="AW22">
        <v>416.78986196518218</v>
      </c>
      <c r="AX22">
        <v>77.112173718447025</v>
      </c>
      <c r="AY22">
        <v>1.9981040485102071</v>
      </c>
      <c r="AZ22" t="str">
        <f>VLOOKUP(BA22,Sheet1!$A$1:$B$58,2,FALSE)</f>
        <v>Beta Carotene</v>
      </c>
      <c r="BA22" t="s">
        <v>105</v>
      </c>
      <c r="BB22" t="s">
        <v>106</v>
      </c>
      <c r="BC22">
        <v>536.86703999999997</v>
      </c>
      <c r="BD22">
        <v>5.4</v>
      </c>
      <c r="BE22">
        <v>633</v>
      </c>
      <c r="BF22" t="s">
        <v>65</v>
      </c>
      <c r="BG22">
        <v>0.94953895065547211</v>
      </c>
      <c r="BH22">
        <v>3.8772321428571399E-2</v>
      </c>
      <c r="BI22">
        <v>0.47252553449137402</v>
      </c>
      <c r="BJ22">
        <v>90</v>
      </c>
      <c r="BK22">
        <v>980.0525322434911</v>
      </c>
      <c r="BL22">
        <v>181.323942869506</v>
      </c>
      <c r="BM22">
        <v>3.7488645162503231</v>
      </c>
      <c r="BN22">
        <v>637.3069677625549</v>
      </c>
      <c r="BO22">
        <v>342.7455644809362</v>
      </c>
    </row>
    <row r="23" spans="1:67" x14ac:dyDescent="0.25">
      <c r="A23" s="1">
        <v>21</v>
      </c>
      <c r="B23" t="s">
        <v>65</v>
      </c>
      <c r="C23" t="s">
        <v>66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67</v>
      </c>
      <c r="J23">
        <v>1.1759999999999999</v>
      </c>
      <c r="K23">
        <v>500</v>
      </c>
      <c r="L23">
        <v>100</v>
      </c>
      <c r="N23" t="s">
        <v>68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107</v>
      </c>
      <c r="AM23">
        <v>8944.7328414333533</v>
      </c>
      <c r="AN23">
        <v>765.25255298940181</v>
      </c>
      <c r="AO23">
        <v>19620.704297337681</v>
      </c>
      <c r="AP23">
        <v>25311.911047388348</v>
      </c>
      <c r="AQ23">
        <v>5691.206750050671</v>
      </c>
      <c r="AR23">
        <v>1.0243526176216671E-2</v>
      </c>
      <c r="AS23">
        <v>232.53386870846171</v>
      </c>
      <c r="AT23">
        <v>154.85306375954099</v>
      </c>
      <c r="AU23">
        <v>13.24821036926912</v>
      </c>
      <c r="AV23">
        <v>339.67768824673522</v>
      </c>
      <c r="AW23">
        <v>438.20503583301621</v>
      </c>
      <c r="AX23">
        <v>98.527347586280996</v>
      </c>
      <c r="AY23">
        <v>1.9981040485102071</v>
      </c>
      <c r="AZ23" t="str">
        <f>VLOOKUP(BA23,Sheet1!$A$1:$B$58,2,FALSE)</f>
        <v>Butane</v>
      </c>
      <c r="BA23" t="s">
        <v>108</v>
      </c>
      <c r="BB23" t="s">
        <v>109</v>
      </c>
      <c r="BC23">
        <v>58.121200000000002</v>
      </c>
      <c r="BD23">
        <v>6.5</v>
      </c>
      <c r="BE23">
        <v>-1</v>
      </c>
      <c r="BF23" t="s">
        <v>65</v>
      </c>
      <c r="BG23">
        <v>1.5877931292719529</v>
      </c>
      <c r="BH23">
        <v>0.32803571428571399</v>
      </c>
      <c r="BI23">
        <v>0.43280516731097401</v>
      </c>
      <c r="BJ23">
        <v>90</v>
      </c>
      <c r="BK23">
        <v>1124.9738243283709</v>
      </c>
      <c r="BL23">
        <v>252.9425222244742</v>
      </c>
      <c r="BM23">
        <v>3.5418027654568509</v>
      </c>
      <c r="BN23">
        <v>602.10647012766469</v>
      </c>
      <c r="BO23">
        <v>522.86735420070625</v>
      </c>
    </row>
    <row r="24" spans="1:67" x14ac:dyDescent="0.25">
      <c r="A24" s="1">
        <v>22</v>
      </c>
      <c r="B24" t="s">
        <v>65</v>
      </c>
      <c r="C24" t="s">
        <v>66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67</v>
      </c>
      <c r="J24">
        <v>1.1759999999999999</v>
      </c>
      <c r="K24">
        <v>500</v>
      </c>
      <c r="L24">
        <v>100</v>
      </c>
      <c r="N24" t="s">
        <v>68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69</v>
      </c>
      <c r="AM24">
        <v>5703.0284091876747</v>
      </c>
      <c r="AN24">
        <v>487.91362774817122</v>
      </c>
      <c r="AO24">
        <v>12509.868768540709</v>
      </c>
      <c r="AP24">
        <v>15609.550037845591</v>
      </c>
      <c r="AQ24">
        <v>3099.681269304881</v>
      </c>
      <c r="AR24">
        <v>1.0243526176216671E-2</v>
      </c>
      <c r="AS24">
        <v>232.53386870846171</v>
      </c>
      <c r="AT24">
        <v>154.8530637595411</v>
      </c>
      <c r="AU24">
        <v>13.24821036926912</v>
      </c>
      <c r="AV24">
        <v>339.67768824673527</v>
      </c>
      <c r="AW24">
        <v>423.84264531702507</v>
      </c>
      <c r="AX24">
        <v>84.164957070289802</v>
      </c>
      <c r="AY24">
        <v>1.9981040485102071</v>
      </c>
      <c r="AZ24" t="str">
        <f>VLOOKUP(BA24,Sheet1!$A$1:$B$58,2,FALSE)</f>
        <v>Butanol (PW1)</v>
      </c>
      <c r="BA24" t="s">
        <v>110</v>
      </c>
      <c r="BB24" t="s">
        <v>111</v>
      </c>
      <c r="BC24">
        <v>74.120199999999997</v>
      </c>
      <c r="BD24">
        <v>6</v>
      </c>
      <c r="BE24">
        <v>117.7</v>
      </c>
      <c r="BF24" t="s">
        <v>65</v>
      </c>
      <c r="BG24">
        <v>0.568437484289807</v>
      </c>
      <c r="BH24">
        <v>0.40344186046511799</v>
      </c>
      <c r="BI24">
        <v>0.67881944753278001</v>
      </c>
      <c r="BJ24">
        <v>90</v>
      </c>
      <c r="BK24">
        <v>693.75777945980394</v>
      </c>
      <c r="BL24">
        <v>137.7636119691058</v>
      </c>
      <c r="BM24">
        <v>2.7021164421260639</v>
      </c>
      <c r="BN24">
        <v>459.3597951614309</v>
      </c>
      <c r="BO24">
        <v>234.39798429837299</v>
      </c>
    </row>
    <row r="25" spans="1:67" x14ac:dyDescent="0.25">
      <c r="A25" s="1">
        <v>23</v>
      </c>
      <c r="B25" t="s">
        <v>65</v>
      </c>
      <c r="C25" t="s">
        <v>66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67</v>
      </c>
      <c r="J25">
        <v>1.1759999999999999</v>
      </c>
      <c r="K25">
        <v>500</v>
      </c>
      <c r="L25">
        <v>100</v>
      </c>
      <c r="N25" t="s">
        <v>68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69</v>
      </c>
      <c r="AM25">
        <v>6833.6202109538399</v>
      </c>
      <c r="AN25">
        <v>584.63963153475288</v>
      </c>
      <c r="AO25">
        <v>14989.876591769709</v>
      </c>
      <c r="AP25">
        <v>18534.61200946142</v>
      </c>
      <c r="AQ25">
        <v>3544.7354176917111</v>
      </c>
      <c r="AR25">
        <v>1.0243526176216671E-2</v>
      </c>
      <c r="AS25">
        <v>232.5338687084618</v>
      </c>
      <c r="AT25">
        <v>154.8530637595411</v>
      </c>
      <c r="AU25">
        <v>13.24821036926912</v>
      </c>
      <c r="AV25">
        <v>339.67768824673527</v>
      </c>
      <c r="AW25">
        <v>420.00306816273451</v>
      </c>
      <c r="AX25">
        <v>80.325379915999235</v>
      </c>
      <c r="AY25">
        <v>1.998104048510208</v>
      </c>
      <c r="AZ25" t="str">
        <f>VLOOKUP(BA25,Sheet1!$A$1:$B$58,2,FALSE)</f>
        <v>Butanol (PW2)</v>
      </c>
      <c r="BA25" t="s">
        <v>112</v>
      </c>
      <c r="BB25" t="s">
        <v>111</v>
      </c>
      <c r="BC25">
        <v>74.120199999999997</v>
      </c>
      <c r="BD25">
        <v>6</v>
      </c>
      <c r="BE25">
        <v>117.7</v>
      </c>
      <c r="BF25" t="s">
        <v>65</v>
      </c>
      <c r="BG25">
        <v>1.151968736814273</v>
      </c>
      <c r="BH25">
        <v>0.33669421487603302</v>
      </c>
      <c r="BI25">
        <v>0.56651181576978005</v>
      </c>
      <c r="BJ25">
        <v>90</v>
      </c>
      <c r="BK25">
        <v>823.76053375384106</v>
      </c>
      <c r="BL25">
        <v>157.54379634185381</v>
      </c>
      <c r="BM25">
        <v>2.7669532479621228</v>
      </c>
      <c r="BN25">
        <v>470.38205215356089</v>
      </c>
      <c r="BO25">
        <v>353.37848160028011</v>
      </c>
    </row>
    <row r="26" spans="1:67" x14ac:dyDescent="0.25">
      <c r="A26" s="1">
        <v>24</v>
      </c>
      <c r="B26" t="s">
        <v>65</v>
      </c>
      <c r="C26" t="s">
        <v>66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67</v>
      </c>
      <c r="J26">
        <v>1.1759999999999999</v>
      </c>
      <c r="K26">
        <v>500</v>
      </c>
      <c r="L26">
        <v>100</v>
      </c>
      <c r="N26" t="s">
        <v>68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69</v>
      </c>
      <c r="AM26">
        <v>3916.1241981232579</v>
      </c>
      <c r="AN26">
        <v>335.03784781091002</v>
      </c>
      <c r="AO26">
        <v>8590.2079184639206</v>
      </c>
      <c r="AP26">
        <v>10986.479583469731</v>
      </c>
      <c r="AQ26">
        <v>2396.2716650058101</v>
      </c>
      <c r="AR26">
        <v>1.0243526176216671E-2</v>
      </c>
      <c r="AS26">
        <v>232.53386870846171</v>
      </c>
      <c r="AT26">
        <v>154.85306375954099</v>
      </c>
      <c r="AU26">
        <v>13.24821036926912</v>
      </c>
      <c r="AV26">
        <v>339.67768824673522</v>
      </c>
      <c r="AW26">
        <v>434.43209085331131</v>
      </c>
      <c r="AX26">
        <v>94.754402606576093</v>
      </c>
      <c r="AY26">
        <v>1.9981040485102071</v>
      </c>
      <c r="AZ26" t="str">
        <f>VLOOKUP(BA26,Sheet1!$A$1:$B$58,2,FALSE)</f>
        <v>Butyrate</v>
      </c>
      <c r="BA26" t="s">
        <v>113</v>
      </c>
      <c r="BB26" t="s">
        <v>114</v>
      </c>
      <c r="BC26">
        <v>87.095680000000002</v>
      </c>
      <c r="BD26">
        <v>4.75</v>
      </c>
      <c r="BE26">
        <v>163.5</v>
      </c>
      <c r="BF26" t="s">
        <v>65</v>
      </c>
      <c r="BG26">
        <v>5.1659339416589451E-18</v>
      </c>
      <c r="BH26">
        <v>0.5</v>
      </c>
      <c r="BI26">
        <v>0.98856072946915197</v>
      </c>
      <c r="BJ26">
        <v>90</v>
      </c>
      <c r="BK26">
        <v>488.28798148754362</v>
      </c>
      <c r="BL26">
        <v>106.5009628891471</v>
      </c>
      <c r="BM26">
        <v>2.2458059917552728</v>
      </c>
      <c r="BN26">
        <v>381.78701859839651</v>
      </c>
      <c r="BO26">
        <v>106.5009628891471</v>
      </c>
    </row>
    <row r="27" spans="1:67" x14ac:dyDescent="0.25">
      <c r="A27" s="1">
        <v>25</v>
      </c>
      <c r="B27" t="s">
        <v>65</v>
      </c>
      <c r="C27" t="s">
        <v>66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67</v>
      </c>
      <c r="J27">
        <v>1.1759999999999999</v>
      </c>
      <c r="K27">
        <v>500</v>
      </c>
      <c r="L27">
        <v>100</v>
      </c>
      <c r="N27" t="s">
        <v>68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69</v>
      </c>
      <c r="AM27">
        <v>5297.6133017469219</v>
      </c>
      <c r="AN27">
        <v>453.22897573124271</v>
      </c>
      <c r="AO27">
        <v>11620.571113509381</v>
      </c>
      <c r="AP27">
        <v>14560.661914262009</v>
      </c>
      <c r="AQ27">
        <v>2940.09080075263</v>
      </c>
      <c r="AR27">
        <v>1.0243526176216671E-2</v>
      </c>
      <c r="AS27">
        <v>232.53386870846171</v>
      </c>
      <c r="AT27">
        <v>154.8530637595411</v>
      </c>
      <c r="AU27">
        <v>13.24821036926912</v>
      </c>
      <c r="AV27">
        <v>339.67768824673527</v>
      </c>
      <c r="AW27">
        <v>425.61866624859408</v>
      </c>
      <c r="AX27">
        <v>85.940978001858866</v>
      </c>
      <c r="AY27">
        <v>1.9981040485102071</v>
      </c>
      <c r="AZ27" t="str">
        <f>VLOOKUP(BA27,Sheet1!$A$1:$B$58,2,FALSE)</f>
        <v>Catechol</v>
      </c>
      <c r="BA27" t="s">
        <v>115</v>
      </c>
      <c r="BB27" t="s">
        <v>116</v>
      </c>
      <c r="BC27">
        <v>110.10924</v>
      </c>
      <c r="BD27">
        <v>4.333333333333333</v>
      </c>
      <c r="BE27">
        <v>245</v>
      </c>
      <c r="BF27" t="s">
        <v>65</v>
      </c>
      <c r="BG27">
        <v>0.33608816689032528</v>
      </c>
      <c r="BH27">
        <v>0.29236074270557</v>
      </c>
      <c r="BI27">
        <v>0.73076805978117199</v>
      </c>
      <c r="BJ27">
        <v>90</v>
      </c>
      <c r="BK27">
        <v>647.14052952275586</v>
      </c>
      <c r="BL27">
        <v>130.67070225567241</v>
      </c>
      <c r="BM27">
        <v>2.7019696405631062</v>
      </c>
      <c r="BN27">
        <v>459.33483889572813</v>
      </c>
      <c r="BO27">
        <v>187.80569062702779</v>
      </c>
    </row>
    <row r="28" spans="1:67" x14ac:dyDescent="0.25">
      <c r="A28" s="1">
        <v>26</v>
      </c>
      <c r="B28" t="s">
        <v>65</v>
      </c>
      <c r="C28" t="s">
        <v>66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67</v>
      </c>
      <c r="J28">
        <v>1.1759999999999999</v>
      </c>
      <c r="K28">
        <v>500</v>
      </c>
      <c r="L28">
        <v>100</v>
      </c>
      <c r="N28" t="s">
        <v>68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69</v>
      </c>
      <c r="AM28">
        <v>4230.088672097887</v>
      </c>
      <c r="AN28">
        <v>361.89858468436131</v>
      </c>
      <c r="AO28">
        <v>9278.9041839566562</v>
      </c>
      <c r="AP28">
        <v>11798.76704374224</v>
      </c>
      <c r="AQ28">
        <v>2519.8628597855818</v>
      </c>
      <c r="AR28">
        <v>1.0243526176216671E-2</v>
      </c>
      <c r="AS28">
        <v>232.53386870846171</v>
      </c>
      <c r="AT28">
        <v>154.8530637595411</v>
      </c>
      <c r="AU28">
        <v>13.24821036926912</v>
      </c>
      <c r="AV28">
        <v>339.67768824673527</v>
      </c>
      <c r="AW28">
        <v>431.92362310515392</v>
      </c>
      <c r="AX28">
        <v>92.24593485841865</v>
      </c>
      <c r="AY28">
        <v>1.9981040485102071</v>
      </c>
      <c r="AZ28" t="str">
        <f>VLOOKUP(BA28,Sheet1!$A$1:$B$58,2,FALSE)</f>
        <v>cis,cis-Muconate</v>
      </c>
      <c r="BA28" t="s">
        <v>117</v>
      </c>
      <c r="BB28" t="s">
        <v>118</v>
      </c>
      <c r="BC28">
        <v>140.09155999999999</v>
      </c>
      <c r="BD28">
        <v>3.333333333333333</v>
      </c>
      <c r="BE28">
        <v>345.4</v>
      </c>
      <c r="BF28" t="s">
        <v>65</v>
      </c>
      <c r="BG28">
        <v>0.29836144677517401</v>
      </c>
      <c r="BH28">
        <v>0.28778067885117398</v>
      </c>
      <c r="BI28">
        <v>0.91518804783554697</v>
      </c>
      <c r="BJ28">
        <v>90</v>
      </c>
      <c r="BK28">
        <v>524.38964638854395</v>
      </c>
      <c r="BL28">
        <v>111.99390487935921</v>
      </c>
      <c r="BM28">
        <v>2.1274958562200301</v>
      </c>
      <c r="BN28">
        <v>361.67429555740512</v>
      </c>
      <c r="BO28">
        <v>162.71535083113881</v>
      </c>
    </row>
    <row r="29" spans="1:67" x14ac:dyDescent="0.25">
      <c r="A29" s="1">
        <v>27</v>
      </c>
      <c r="B29" t="s">
        <v>65</v>
      </c>
      <c r="C29" t="s">
        <v>66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67</v>
      </c>
      <c r="J29">
        <v>1.1759999999999999</v>
      </c>
      <c r="K29">
        <v>500</v>
      </c>
      <c r="L29">
        <v>100</v>
      </c>
      <c r="N29" t="s">
        <v>68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69</v>
      </c>
      <c r="AM29">
        <v>2014.467115087559</v>
      </c>
      <c r="AN29">
        <v>172.3445663567654</v>
      </c>
      <c r="AO29">
        <v>4418.8310911598064</v>
      </c>
      <c r="AP29">
        <v>6066.5210202180178</v>
      </c>
      <c r="AQ29">
        <v>1647.689929058211</v>
      </c>
      <c r="AR29">
        <v>1.024352617621666E-2</v>
      </c>
      <c r="AS29">
        <v>232.53386870846171</v>
      </c>
      <c r="AT29">
        <v>154.85306375954099</v>
      </c>
      <c r="AU29">
        <v>13.24821036926912</v>
      </c>
      <c r="AV29">
        <v>339.67768824673522</v>
      </c>
      <c r="AW29">
        <v>466.33641190096313</v>
      </c>
      <c r="AX29">
        <v>126.6587236542279</v>
      </c>
      <c r="AY29">
        <v>1.9981040485102071</v>
      </c>
      <c r="AZ29" t="str">
        <f>VLOOKUP(BA29,Sheet1!$A$1:$B$58,2,FALSE)</f>
        <v>Citrate</v>
      </c>
      <c r="BA29" t="s">
        <v>119</v>
      </c>
      <c r="BB29" t="s">
        <v>120</v>
      </c>
      <c r="BC29">
        <v>189.09639999999999</v>
      </c>
      <c r="BD29">
        <v>2.5</v>
      </c>
      <c r="BF29" t="s">
        <v>65</v>
      </c>
      <c r="BG29">
        <v>-0.35670564102394081</v>
      </c>
      <c r="BH29">
        <v>0.447692307692308</v>
      </c>
      <c r="BI29">
        <v>1.92176212011297</v>
      </c>
      <c r="BJ29">
        <v>90</v>
      </c>
      <c r="BK29">
        <v>269.62315645413412</v>
      </c>
      <c r="BL29">
        <v>73.230663513698289</v>
      </c>
      <c r="BM29">
        <v>1.511955599497093</v>
      </c>
      <c r="BN29">
        <v>257.03245191450583</v>
      </c>
      <c r="BO29">
        <v>12.590704539628289</v>
      </c>
    </row>
    <row r="30" spans="1:67" x14ac:dyDescent="0.25">
      <c r="A30" s="1">
        <v>28</v>
      </c>
      <c r="B30" t="s">
        <v>65</v>
      </c>
      <c r="C30" t="s">
        <v>66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67</v>
      </c>
      <c r="J30">
        <v>1.1759999999999999</v>
      </c>
      <c r="K30">
        <v>500</v>
      </c>
      <c r="L30">
        <v>100</v>
      </c>
      <c r="N30" t="s">
        <v>68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69</v>
      </c>
      <c r="AM30">
        <v>5396.2579530713192</v>
      </c>
      <c r="AN30">
        <v>461.66836376025918</v>
      </c>
      <c r="AO30">
        <v>11836.952929317729</v>
      </c>
      <c r="AP30">
        <v>14815.874907883181</v>
      </c>
      <c r="AQ30">
        <v>2978.92197856545</v>
      </c>
      <c r="AR30">
        <v>1.0243526176216671E-2</v>
      </c>
      <c r="AS30">
        <v>232.53386870846171</v>
      </c>
      <c r="AT30">
        <v>154.85306375954099</v>
      </c>
      <c r="AU30">
        <v>13.24821036926912</v>
      </c>
      <c r="AV30">
        <v>339.67768824673522</v>
      </c>
      <c r="AW30">
        <v>425.16196255184781</v>
      </c>
      <c r="AX30">
        <v>85.484274305112535</v>
      </c>
      <c r="AY30">
        <v>1.9981040485102071</v>
      </c>
      <c r="AZ30" t="str">
        <f>VLOOKUP(BA30,Sheet1!$A$1:$B$58,2,FALSE)</f>
        <v>Coumaric Acid</v>
      </c>
      <c r="BA30" t="s">
        <v>121</v>
      </c>
      <c r="BB30" t="s">
        <v>122</v>
      </c>
      <c r="BC30">
        <v>163.14818</v>
      </c>
      <c r="BD30">
        <v>4.1111111111111107</v>
      </c>
      <c r="BE30">
        <v>346</v>
      </c>
      <c r="BF30" t="s">
        <v>65</v>
      </c>
      <c r="BG30">
        <v>0.35737245254604988</v>
      </c>
      <c r="BH30">
        <v>0.193708260105448</v>
      </c>
      <c r="BI30">
        <v>0.71740947665134003</v>
      </c>
      <c r="BJ30">
        <v>90</v>
      </c>
      <c r="BK30">
        <v>658.4833292392525</v>
      </c>
      <c r="BL30">
        <v>132.39653238068661</v>
      </c>
      <c r="BM30">
        <v>2.7372557642690438</v>
      </c>
      <c r="BN30">
        <v>465.33347992573738</v>
      </c>
      <c r="BO30">
        <v>193.14984931351509</v>
      </c>
    </row>
    <row r="31" spans="1:67" x14ac:dyDescent="0.25">
      <c r="A31" s="1">
        <v>29</v>
      </c>
      <c r="B31" t="s">
        <v>65</v>
      </c>
      <c r="C31" t="s">
        <v>66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67</v>
      </c>
      <c r="J31">
        <v>1.1759999999999999</v>
      </c>
      <c r="K31">
        <v>500</v>
      </c>
      <c r="L31">
        <v>100</v>
      </c>
      <c r="N31" t="s">
        <v>68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69</v>
      </c>
      <c r="AM31">
        <v>3956.0188280539091</v>
      </c>
      <c r="AN31">
        <v>338.45097014180641</v>
      </c>
      <c r="AO31">
        <v>8677.7187196021223</v>
      </c>
      <c r="AP31">
        <v>11089.694788727311</v>
      </c>
      <c r="AQ31">
        <v>2411.97606912519</v>
      </c>
      <c r="AR31">
        <v>1.0243526176216671E-2</v>
      </c>
      <c r="AS31">
        <v>232.53386870846171</v>
      </c>
      <c r="AT31">
        <v>154.8530637595411</v>
      </c>
      <c r="AU31">
        <v>13.24821036926912</v>
      </c>
      <c r="AV31">
        <v>339.67768824673527</v>
      </c>
      <c r="AW31">
        <v>434.09126418071742</v>
      </c>
      <c r="AX31">
        <v>94.413575933982088</v>
      </c>
      <c r="AY31">
        <v>1.998104048510208</v>
      </c>
      <c r="AZ31" t="str">
        <f>VLOOKUP(BA31,Sheet1!$A$1:$B$58,2,FALSE)</f>
        <v>Ethyl Acetate</v>
      </c>
      <c r="BA31" t="s">
        <v>123</v>
      </c>
      <c r="BB31" t="s">
        <v>124</v>
      </c>
      <c r="BC31">
        <v>88.103520000000003</v>
      </c>
      <c r="BD31">
        <v>5</v>
      </c>
      <c r="BE31">
        <v>77.099999999999994</v>
      </c>
      <c r="BF31" t="s">
        <v>65</v>
      </c>
      <c r="BG31">
        <v>4.371212080793746E-2</v>
      </c>
      <c r="BH31">
        <v>0.48929577464788698</v>
      </c>
      <c r="BI31">
        <v>0.97859154929577397</v>
      </c>
      <c r="BJ31">
        <v>90</v>
      </c>
      <c r="BK31">
        <v>492.87532394343617</v>
      </c>
      <c r="BL31">
        <v>107.1989364055641</v>
      </c>
      <c r="BM31">
        <v>2.2249725117677812</v>
      </c>
      <c r="BN31">
        <v>378.24532700052271</v>
      </c>
      <c r="BO31">
        <v>114.62999694291349</v>
      </c>
    </row>
    <row r="32" spans="1:67" x14ac:dyDescent="0.25">
      <c r="A32" s="1">
        <v>30</v>
      </c>
      <c r="B32" t="s">
        <v>65</v>
      </c>
      <c r="C32" t="s">
        <v>66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67</v>
      </c>
      <c r="J32">
        <v>1.1759999999999999</v>
      </c>
      <c r="K32">
        <v>500</v>
      </c>
      <c r="L32">
        <v>100</v>
      </c>
      <c r="N32" t="s">
        <v>68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84</v>
      </c>
      <c r="AM32">
        <v>8086.5286060761073</v>
      </c>
      <c r="AN32">
        <v>691.8302391276261</v>
      </c>
      <c r="AO32">
        <v>17738.191781070171</v>
      </c>
      <c r="AP32">
        <v>22756.766599307681</v>
      </c>
      <c r="AQ32">
        <v>5018.57481823751</v>
      </c>
      <c r="AR32">
        <v>1.0243526176216671E-2</v>
      </c>
      <c r="AS32">
        <v>232.53386870846171</v>
      </c>
      <c r="AT32">
        <v>154.85306375954099</v>
      </c>
      <c r="AU32">
        <v>13.24821036926911</v>
      </c>
      <c r="AV32">
        <v>339.67768824673522</v>
      </c>
      <c r="AW32">
        <v>435.78093899472941</v>
      </c>
      <c r="AX32">
        <v>96.103250747994196</v>
      </c>
      <c r="AY32">
        <v>1.9981040485102071</v>
      </c>
      <c r="AZ32" t="str">
        <f>VLOOKUP(BA32,Sheet1!$A$1:$B$58,2,FALSE)</f>
        <v>Farnesene</v>
      </c>
      <c r="BA32" t="s">
        <v>125</v>
      </c>
      <c r="BB32" t="s">
        <v>126</v>
      </c>
      <c r="BC32">
        <v>204.34866</v>
      </c>
      <c r="BD32">
        <v>5.6</v>
      </c>
      <c r="BE32" t="s">
        <v>127</v>
      </c>
      <c r="BF32" t="s">
        <v>65</v>
      </c>
      <c r="BG32">
        <v>0.943184090407863</v>
      </c>
      <c r="BH32">
        <v>0.103202247191011</v>
      </c>
      <c r="BI32">
        <v>0.47873776036353399</v>
      </c>
      <c r="BJ32">
        <v>90</v>
      </c>
      <c r="BK32">
        <v>1011.411848858119</v>
      </c>
      <c r="BL32">
        <v>223.04776969944481</v>
      </c>
      <c r="BM32">
        <v>3.694251669349045</v>
      </c>
      <c r="BN32">
        <v>628.02278378933761</v>
      </c>
      <c r="BO32">
        <v>383.38906506878141</v>
      </c>
    </row>
    <row r="33" spans="1:67" x14ac:dyDescent="0.25">
      <c r="A33" s="1">
        <v>31</v>
      </c>
      <c r="B33" t="s">
        <v>65</v>
      </c>
      <c r="C33" t="s">
        <v>66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67</v>
      </c>
      <c r="J33">
        <v>1.1759999999999999</v>
      </c>
      <c r="K33">
        <v>500</v>
      </c>
      <c r="L33">
        <v>100</v>
      </c>
      <c r="N33" t="s">
        <v>68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84</v>
      </c>
      <c r="AM33">
        <v>4295.3735039569956</v>
      </c>
      <c r="AN33">
        <v>367.48392581609949</v>
      </c>
      <c r="AO33">
        <v>9422.1096215830876</v>
      </c>
      <c r="AP33">
        <v>12948.307347805399</v>
      </c>
      <c r="AQ33">
        <v>3526.1977262223172</v>
      </c>
      <c r="AR33">
        <v>1.0243526176216671E-2</v>
      </c>
      <c r="AS33">
        <v>232.53386870846171</v>
      </c>
      <c r="AT33">
        <v>154.85306375954099</v>
      </c>
      <c r="AU33">
        <v>13.24821036926912</v>
      </c>
      <c r="AV33">
        <v>339.67768824673527</v>
      </c>
      <c r="AW33">
        <v>466.80109691525422</v>
      </c>
      <c r="AX33">
        <v>127.12340866851891</v>
      </c>
      <c r="AY33">
        <v>1.9981040485102071</v>
      </c>
      <c r="AZ33" t="str">
        <f>VLOOKUP(BA33,Sheet1!$A$1:$B$58,2,FALSE)</f>
        <v>Gamma Butyrolactone</v>
      </c>
      <c r="BA33" t="s">
        <v>128</v>
      </c>
      <c r="BB33" t="s">
        <v>129</v>
      </c>
      <c r="BC33">
        <v>86.08784</v>
      </c>
      <c r="BD33">
        <v>4.5</v>
      </c>
      <c r="BE33">
        <v>204</v>
      </c>
      <c r="BF33" t="s">
        <v>65</v>
      </c>
      <c r="BG33">
        <v>0.17207886479754189</v>
      </c>
      <c r="BH33">
        <v>0.46119047619047698</v>
      </c>
      <c r="BI33">
        <v>0.90127822188738005</v>
      </c>
      <c r="BJ33">
        <v>90</v>
      </c>
      <c r="BK33">
        <v>575.48032656912915</v>
      </c>
      <c r="BL33">
        <v>156.7198989432141</v>
      </c>
      <c r="BM33">
        <v>2.2912177682960762</v>
      </c>
      <c r="BN33">
        <v>389.50702061033297</v>
      </c>
      <c r="BO33">
        <v>185.9733059587962</v>
      </c>
    </row>
    <row r="34" spans="1:67" x14ac:dyDescent="0.25">
      <c r="A34" s="1">
        <v>32</v>
      </c>
      <c r="B34" t="s">
        <v>65</v>
      </c>
      <c r="C34" t="s">
        <v>66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67</v>
      </c>
      <c r="J34">
        <v>1.1759999999999999</v>
      </c>
      <c r="K34">
        <v>500</v>
      </c>
      <c r="L34">
        <v>100</v>
      </c>
      <c r="N34" t="s">
        <v>68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69</v>
      </c>
      <c r="AM34">
        <v>2521.0314834218211</v>
      </c>
      <c r="AN34">
        <v>215.68288433599071</v>
      </c>
      <c r="AO34">
        <v>5530.004544280122</v>
      </c>
      <c r="AP34">
        <v>7377.1020519179156</v>
      </c>
      <c r="AQ34">
        <v>1847.097507637794</v>
      </c>
      <c r="AR34">
        <v>1.024352617621666E-2</v>
      </c>
      <c r="AS34">
        <v>232.53386870846171</v>
      </c>
      <c r="AT34">
        <v>154.85306375954099</v>
      </c>
      <c r="AU34">
        <v>13.24821036926912</v>
      </c>
      <c r="AV34">
        <v>339.67768824673522</v>
      </c>
      <c r="AW34">
        <v>453.13470375853473</v>
      </c>
      <c r="AX34">
        <v>113.4570155117996</v>
      </c>
      <c r="AY34">
        <v>1.9981040485102071</v>
      </c>
      <c r="AZ34" t="str">
        <f>VLOOKUP(BA34,Sheet1!$A$1:$B$58,2,FALSE)</f>
        <v>L-Glutamate</v>
      </c>
      <c r="BA34" t="s">
        <v>130</v>
      </c>
      <c r="BB34" t="s">
        <v>131</v>
      </c>
      <c r="BC34">
        <v>146.11892</v>
      </c>
      <c r="BD34">
        <v>3.4</v>
      </c>
      <c r="BE34">
        <v>333.8</v>
      </c>
      <c r="BF34" t="s">
        <v>65</v>
      </c>
      <c r="BG34">
        <v>-0.2047876014392507</v>
      </c>
      <c r="BH34">
        <v>0.46295454545454501</v>
      </c>
      <c r="BI34">
        <v>1.5356121569469401</v>
      </c>
      <c r="BJ34">
        <v>90</v>
      </c>
      <c r="BK34">
        <v>327.87120230746291</v>
      </c>
      <c r="BL34">
        <v>82.09322256167971</v>
      </c>
      <c r="BM34">
        <v>1.650540423473269</v>
      </c>
      <c r="BN34">
        <v>280.59187199045579</v>
      </c>
      <c r="BO34">
        <v>47.279330317007123</v>
      </c>
    </row>
    <row r="35" spans="1:67" x14ac:dyDescent="0.25">
      <c r="A35" s="1">
        <v>33</v>
      </c>
      <c r="B35" t="s">
        <v>65</v>
      </c>
      <c r="C35" t="s">
        <v>66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67</v>
      </c>
      <c r="J35">
        <v>1.1759999999999999</v>
      </c>
      <c r="K35">
        <v>500</v>
      </c>
      <c r="L35">
        <v>100</v>
      </c>
      <c r="N35" t="s">
        <v>68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69</v>
      </c>
      <c r="AM35">
        <v>4067.4575431967169</v>
      </c>
      <c r="AN35">
        <v>347.98493418261802</v>
      </c>
      <c r="AO35">
        <v>8922.1649334637659</v>
      </c>
      <c r="AP35">
        <v>11378.008526117541</v>
      </c>
      <c r="AQ35">
        <v>2455.843592653775</v>
      </c>
      <c r="AR35">
        <v>1.0243526176216671E-2</v>
      </c>
      <c r="AS35">
        <v>232.53386870846171</v>
      </c>
      <c r="AT35">
        <v>154.8530637595411</v>
      </c>
      <c r="AU35">
        <v>13.24821036926912</v>
      </c>
      <c r="AV35">
        <v>339.67768824673522</v>
      </c>
      <c r="AW35">
        <v>433.17464559611471</v>
      </c>
      <c r="AX35">
        <v>93.4969573493795</v>
      </c>
      <c r="AY35">
        <v>1.9981040485102071</v>
      </c>
      <c r="AZ35" t="str">
        <f>VLOOKUP(BA35,Sheet1!$A$1:$B$58,2,FALSE)</f>
        <v>Glutarate</v>
      </c>
      <c r="BA35" t="s">
        <v>132</v>
      </c>
      <c r="BB35" t="s">
        <v>133</v>
      </c>
      <c r="BC35">
        <v>130.09654</v>
      </c>
      <c r="BD35">
        <v>3.6</v>
      </c>
      <c r="BE35">
        <v>200</v>
      </c>
      <c r="BF35" t="s">
        <v>65</v>
      </c>
      <c r="BG35">
        <v>0.40789670438848902</v>
      </c>
      <c r="BH35">
        <v>0.322280701754386</v>
      </c>
      <c r="BI35">
        <v>0.95178045569615299</v>
      </c>
      <c r="BJ35">
        <v>90</v>
      </c>
      <c r="BK35">
        <v>505.68926782744632</v>
      </c>
      <c r="BL35">
        <v>109.1486041179456</v>
      </c>
      <c r="BM35">
        <v>1.924695435079163</v>
      </c>
      <c r="BN35">
        <v>327.19822396345768</v>
      </c>
      <c r="BO35">
        <v>178.49104386398861</v>
      </c>
    </row>
    <row r="36" spans="1:67" x14ac:dyDescent="0.25">
      <c r="A36" s="1">
        <v>34</v>
      </c>
      <c r="B36" t="s">
        <v>65</v>
      </c>
      <c r="C36" t="s">
        <v>66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67</v>
      </c>
      <c r="J36">
        <v>1.1759999999999999</v>
      </c>
      <c r="K36">
        <v>500</v>
      </c>
      <c r="L36">
        <v>100</v>
      </c>
      <c r="N36" t="s">
        <v>68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69</v>
      </c>
      <c r="AM36">
        <v>1925.3107638541831</v>
      </c>
      <c r="AN36">
        <v>164.7169349220375</v>
      </c>
      <c r="AO36">
        <v>4223.2623207124016</v>
      </c>
      <c r="AP36">
        <v>5835.8561134732681</v>
      </c>
      <c r="AQ36">
        <v>1612.593792760867</v>
      </c>
      <c r="AR36">
        <v>1.0243526176216671E-2</v>
      </c>
      <c r="AS36">
        <v>232.53386870846171</v>
      </c>
      <c r="AT36">
        <v>154.85306375954099</v>
      </c>
      <c r="AU36">
        <v>13.24821036926912</v>
      </c>
      <c r="AV36">
        <v>339.67768824673522</v>
      </c>
      <c r="AW36">
        <v>469.37887420424079</v>
      </c>
      <c r="AX36">
        <v>129.7011859575056</v>
      </c>
      <c r="AY36">
        <v>1.9981040485102071</v>
      </c>
      <c r="AZ36" t="str">
        <f>VLOOKUP(BA36,Sheet1!$A$1:$B$58,2,FALSE)</f>
        <v>Glycolate</v>
      </c>
      <c r="BA36" t="s">
        <v>134</v>
      </c>
      <c r="BB36" t="s">
        <v>135</v>
      </c>
      <c r="BC36">
        <v>75.041920000000005</v>
      </c>
      <c r="BD36">
        <v>2.5</v>
      </c>
      <c r="BE36">
        <v>112</v>
      </c>
      <c r="BF36" t="s">
        <v>65</v>
      </c>
      <c r="BG36">
        <v>-0.17923562093132439</v>
      </c>
      <c r="BH36">
        <v>1.1803703703703701</v>
      </c>
      <c r="BI36">
        <v>2.0107541424838402</v>
      </c>
      <c r="BJ36">
        <v>90</v>
      </c>
      <c r="BK36">
        <v>259.37138282103422</v>
      </c>
      <c r="BL36">
        <v>71.670835233816319</v>
      </c>
      <c r="BM36">
        <v>1.28335648909143</v>
      </c>
      <c r="BN36">
        <v>218.170603145543</v>
      </c>
      <c r="BO36">
        <v>41.200779675491127</v>
      </c>
    </row>
    <row r="37" spans="1:67" x14ac:dyDescent="0.25">
      <c r="A37" s="1">
        <v>35</v>
      </c>
      <c r="B37" t="s">
        <v>65</v>
      </c>
      <c r="C37" t="s">
        <v>66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67</v>
      </c>
      <c r="J37">
        <v>1.1759999999999999</v>
      </c>
      <c r="K37">
        <v>500</v>
      </c>
      <c r="L37">
        <v>100</v>
      </c>
      <c r="N37" t="s">
        <v>68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69</v>
      </c>
      <c r="AM37">
        <v>7966.3704133110796</v>
      </c>
      <c r="AN37">
        <v>681.55029388989965</v>
      </c>
      <c r="AO37">
        <v>17474.618971133979</v>
      </c>
      <c r="AP37">
        <v>21465.258185277758</v>
      </c>
      <c r="AQ37">
        <v>3990.6392141437791</v>
      </c>
      <c r="AR37">
        <v>1.0243526176216671E-2</v>
      </c>
      <c r="AS37">
        <v>232.53386870846171</v>
      </c>
      <c r="AT37">
        <v>154.85306375954099</v>
      </c>
      <c r="AU37">
        <v>13.24821036926912</v>
      </c>
      <c r="AV37">
        <v>339.67768824673522</v>
      </c>
      <c r="AW37">
        <v>417.24911370249509</v>
      </c>
      <c r="AX37">
        <v>77.571425455759936</v>
      </c>
      <c r="AY37">
        <v>1.9981040485102071</v>
      </c>
      <c r="AZ37" t="str">
        <f>VLOOKUP(BA37,Sheet1!$A$1:$B$58,2,FALSE)</f>
        <v>Heptane</v>
      </c>
      <c r="BA37" t="s">
        <v>136</v>
      </c>
      <c r="BB37" t="s">
        <v>137</v>
      </c>
      <c r="BC37">
        <v>100.20034</v>
      </c>
      <c r="BD37">
        <v>6.2857142857142856</v>
      </c>
      <c r="BE37">
        <v>98</v>
      </c>
      <c r="BF37" t="s">
        <v>65</v>
      </c>
      <c r="BG37">
        <v>1.037134586400362</v>
      </c>
      <c r="BH37">
        <v>0.21364532019704399</v>
      </c>
      <c r="BI37">
        <v>0.48595864780777598</v>
      </c>
      <c r="BJ37">
        <v>90</v>
      </c>
      <c r="BK37">
        <v>954.0114749012339</v>
      </c>
      <c r="BL37">
        <v>177.36174285083479</v>
      </c>
      <c r="BM37">
        <v>3.53139324919022</v>
      </c>
      <c r="BN37">
        <v>600.33685236233748</v>
      </c>
      <c r="BO37">
        <v>353.67462253889641</v>
      </c>
    </row>
    <row r="38" spans="1:67" x14ac:dyDescent="0.25">
      <c r="A38" s="1">
        <v>36</v>
      </c>
      <c r="B38" t="s">
        <v>65</v>
      </c>
      <c r="C38" t="s">
        <v>66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67</v>
      </c>
      <c r="J38">
        <v>1.1759999999999999</v>
      </c>
      <c r="K38">
        <v>500</v>
      </c>
      <c r="L38">
        <v>100</v>
      </c>
      <c r="N38" t="s">
        <v>68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69</v>
      </c>
      <c r="AM38">
        <v>8089.1996593361682</v>
      </c>
      <c r="AN38">
        <v>692.05875688915887</v>
      </c>
      <c r="AO38">
        <v>17744.050865640631</v>
      </c>
      <c r="AP38">
        <v>21783.041452402969</v>
      </c>
      <c r="AQ38">
        <v>4038.990586762342</v>
      </c>
      <c r="AR38">
        <v>1.0243526176216671E-2</v>
      </c>
      <c r="AS38">
        <v>232.53386870846171</v>
      </c>
      <c r="AT38">
        <v>154.8530637595411</v>
      </c>
      <c r="AU38">
        <v>13.24821036926912</v>
      </c>
      <c r="AV38">
        <v>339.67768824673527</v>
      </c>
      <c r="AW38">
        <v>416.99684133924558</v>
      </c>
      <c r="AX38">
        <v>77.319153092510305</v>
      </c>
      <c r="AY38">
        <v>1.998104048510208</v>
      </c>
      <c r="AZ38" t="str">
        <f>VLOOKUP(BA38,Sheet1!$A$1:$B$58,2,FALSE)</f>
        <v>Hexane</v>
      </c>
      <c r="BA38" t="s">
        <v>138</v>
      </c>
      <c r="BB38" t="s">
        <v>139</v>
      </c>
      <c r="BC38">
        <v>86.173959999999994</v>
      </c>
      <c r="BD38">
        <v>6.333333333333333</v>
      </c>
      <c r="BE38">
        <v>69</v>
      </c>
      <c r="BF38" t="s">
        <v>65</v>
      </c>
      <c r="BG38">
        <v>1.1108040459053869</v>
      </c>
      <c r="BH38">
        <v>0.24464788732394399</v>
      </c>
      <c r="BI38">
        <v>0.47857968118272698</v>
      </c>
      <c r="BJ38">
        <v>90</v>
      </c>
      <c r="BK38">
        <v>968.13517566235419</v>
      </c>
      <c r="BL38">
        <v>179.51069274499301</v>
      </c>
      <c r="BM38">
        <v>3.528163500667326</v>
      </c>
      <c r="BN38">
        <v>599.78779511344533</v>
      </c>
      <c r="BO38">
        <v>368.34738054890892</v>
      </c>
    </row>
    <row r="39" spans="1:67" x14ac:dyDescent="0.25">
      <c r="A39" s="1">
        <v>37</v>
      </c>
      <c r="B39" t="s">
        <v>65</v>
      </c>
      <c r="C39" t="s">
        <v>66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67</v>
      </c>
      <c r="J39">
        <v>1.1759999999999999</v>
      </c>
      <c r="K39">
        <v>500</v>
      </c>
      <c r="L39">
        <v>100</v>
      </c>
      <c r="N39" t="s">
        <v>68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69</v>
      </c>
      <c r="AM39">
        <v>5119.7475099605545</v>
      </c>
      <c r="AN39">
        <v>438.01194760229657</v>
      </c>
      <c r="AO39">
        <v>11230.413892816699</v>
      </c>
      <c r="AP39">
        <v>14100.488346053829</v>
      </c>
      <c r="AQ39">
        <v>2870.0744532371341</v>
      </c>
      <c r="AR39">
        <v>1.0243526176216671E-2</v>
      </c>
      <c r="AS39">
        <v>232.53386870846171</v>
      </c>
      <c r="AT39">
        <v>154.85306375954099</v>
      </c>
      <c r="AU39">
        <v>13.24821036926912</v>
      </c>
      <c r="AV39">
        <v>339.67768824673522</v>
      </c>
      <c r="AW39">
        <v>426.48662197580961</v>
      </c>
      <c r="AX39">
        <v>86.808933729074397</v>
      </c>
      <c r="AY39">
        <v>1.9981040485102071</v>
      </c>
      <c r="AZ39" t="str">
        <f>VLOOKUP(BA39,Sheet1!$A$1:$B$58,2,FALSE)</f>
        <v>Isobutanol</v>
      </c>
      <c r="BA39" t="s">
        <v>140</v>
      </c>
      <c r="BB39" t="s">
        <v>141</v>
      </c>
      <c r="BC39">
        <v>86.130899999999997</v>
      </c>
      <c r="BD39">
        <v>5.6</v>
      </c>
      <c r="BE39">
        <v>108</v>
      </c>
      <c r="BF39" t="s">
        <v>65</v>
      </c>
      <c r="BG39">
        <v>0.59858453739545558</v>
      </c>
      <c r="BH39">
        <v>0.38673684210526299</v>
      </c>
      <c r="BI39">
        <v>0.75615576480222801</v>
      </c>
      <c r="BJ39">
        <v>90</v>
      </c>
      <c r="BK39">
        <v>626.68837093572597</v>
      </c>
      <c r="BL39">
        <v>127.55886458831699</v>
      </c>
      <c r="BM39">
        <v>2.3374713822951851</v>
      </c>
      <c r="BN39">
        <v>397.37013499018138</v>
      </c>
      <c r="BO39">
        <v>229.31823594554459</v>
      </c>
    </row>
    <row r="40" spans="1:67" x14ac:dyDescent="0.25">
      <c r="A40" s="1">
        <v>38</v>
      </c>
      <c r="B40" t="s">
        <v>65</v>
      </c>
      <c r="C40" t="s">
        <v>66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67</v>
      </c>
      <c r="J40">
        <v>1.1759999999999999</v>
      </c>
      <c r="K40">
        <v>500</v>
      </c>
      <c r="L40">
        <v>100</v>
      </c>
      <c r="N40" t="s">
        <v>68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69</v>
      </c>
      <c r="AM40">
        <v>4263.608272317103</v>
      </c>
      <c r="AN40">
        <v>364.76630137279278</v>
      </c>
      <c r="AO40">
        <v>9352.4310489536456</v>
      </c>
      <c r="AP40">
        <v>11885.488801101381</v>
      </c>
      <c r="AQ40">
        <v>2533.0577521477298</v>
      </c>
      <c r="AR40">
        <v>1.0243526176216671E-2</v>
      </c>
      <c r="AS40">
        <v>232.53386870846171</v>
      </c>
      <c r="AT40">
        <v>154.8530637595411</v>
      </c>
      <c r="AU40">
        <v>13.24821036926912</v>
      </c>
      <c r="AV40">
        <v>339.67768824673527</v>
      </c>
      <c r="AW40">
        <v>431.67763959000411</v>
      </c>
      <c r="AX40">
        <v>91.999951343268833</v>
      </c>
      <c r="AY40">
        <v>1.9981040485102071</v>
      </c>
      <c r="AZ40" t="str">
        <f>VLOOKUP(BA40,Sheet1!$A$1:$B$58,2,FALSE)</f>
        <v>Isobutyrate</v>
      </c>
      <c r="BA40" t="s">
        <v>142</v>
      </c>
      <c r="BB40" t="s">
        <v>114</v>
      </c>
      <c r="BC40">
        <v>87.095680000000002</v>
      </c>
      <c r="BD40">
        <v>4.75</v>
      </c>
      <c r="BE40">
        <v>155</v>
      </c>
      <c r="BF40" t="s">
        <v>65</v>
      </c>
      <c r="BG40">
        <v>0.17934661893875811</v>
      </c>
      <c r="BH40">
        <v>0.45924999999999999</v>
      </c>
      <c r="BI40">
        <v>0.90799303001741605</v>
      </c>
      <c r="BJ40">
        <v>90</v>
      </c>
      <c r="BK40">
        <v>528.24394671561663</v>
      </c>
      <c r="BL40">
        <v>112.580344539899</v>
      </c>
      <c r="BM40">
        <v>2.2657333938595801</v>
      </c>
      <c r="BN40">
        <v>385.17467695612862</v>
      </c>
      <c r="BO40">
        <v>143.06926975948801</v>
      </c>
    </row>
    <row r="41" spans="1:67" x14ac:dyDescent="0.25">
      <c r="A41" s="1">
        <v>39</v>
      </c>
      <c r="B41" t="s">
        <v>65</v>
      </c>
      <c r="C41" t="s">
        <v>66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67</v>
      </c>
      <c r="J41">
        <v>1.1759999999999999</v>
      </c>
      <c r="K41">
        <v>500</v>
      </c>
      <c r="L41">
        <v>100</v>
      </c>
      <c r="N41" t="s">
        <v>68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107</v>
      </c>
      <c r="AM41">
        <v>8109.2435740707033</v>
      </c>
      <c r="AN41">
        <v>693.77358249596261</v>
      </c>
      <c r="AO41">
        <v>17788.018162477671</v>
      </c>
      <c r="AP41">
        <v>23150.337011703701</v>
      </c>
      <c r="AQ41">
        <v>5362.3188492260342</v>
      </c>
      <c r="AR41">
        <v>1.024352617621666E-2</v>
      </c>
      <c r="AS41">
        <v>232.53386870846171</v>
      </c>
      <c r="AT41">
        <v>154.85306375954099</v>
      </c>
      <c r="AU41">
        <v>13.24821036926912</v>
      </c>
      <c r="AV41">
        <v>339.6776882467351</v>
      </c>
      <c r="AW41">
        <v>442.07583365616631</v>
      </c>
      <c r="AX41">
        <v>102.39814540943119</v>
      </c>
      <c r="AY41">
        <v>1.998104048510206</v>
      </c>
      <c r="AZ41" t="str">
        <f>VLOOKUP(BA41,Sheet1!$A$1:$B$58,2,FALSE)</f>
        <v>Isoprene</v>
      </c>
      <c r="BA41" t="s">
        <v>143</v>
      </c>
      <c r="BB41" t="s">
        <v>144</v>
      </c>
      <c r="BC41">
        <v>68.116219999999998</v>
      </c>
      <c r="BD41">
        <v>5.6</v>
      </c>
      <c r="BE41">
        <v>34.07</v>
      </c>
      <c r="BF41" t="s">
        <v>65</v>
      </c>
      <c r="BG41">
        <v>0.95490794485668606</v>
      </c>
      <c r="BH41">
        <v>0.308739495798319</v>
      </c>
      <c r="BI41">
        <v>0.47739675823366401</v>
      </c>
      <c r="BJ41">
        <v>90</v>
      </c>
      <c r="BK41">
        <v>1028.9038671868309</v>
      </c>
      <c r="BL41">
        <v>238.32528218782369</v>
      </c>
      <c r="BM41">
        <v>3.6955543198433589</v>
      </c>
      <c r="BN41">
        <v>628.244234373371</v>
      </c>
      <c r="BO41">
        <v>400.65963281346029</v>
      </c>
    </row>
    <row r="42" spans="1:67" x14ac:dyDescent="0.25">
      <c r="A42" s="1">
        <v>40</v>
      </c>
      <c r="B42" t="s">
        <v>65</v>
      </c>
      <c r="C42" t="s">
        <v>66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67</v>
      </c>
      <c r="J42">
        <v>1.1759999999999999</v>
      </c>
      <c r="K42">
        <v>500</v>
      </c>
      <c r="L42">
        <v>100</v>
      </c>
      <c r="N42" t="s">
        <v>68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69</v>
      </c>
      <c r="AM42">
        <v>5342.7204445125226</v>
      </c>
      <c r="AN42">
        <v>457.08804640125061</v>
      </c>
      <c r="AO42">
        <v>11719.5158137694</v>
      </c>
      <c r="AP42">
        <v>14677.36290903818</v>
      </c>
      <c r="AQ42">
        <v>2957.8470952687799</v>
      </c>
      <c r="AR42">
        <v>1.0243526176216671E-2</v>
      </c>
      <c r="AS42">
        <v>232.53386870846171</v>
      </c>
      <c r="AT42">
        <v>154.8530637595411</v>
      </c>
      <c r="AU42">
        <v>13.24821036926912</v>
      </c>
      <c r="AV42">
        <v>339.67768824673527</v>
      </c>
      <c r="AW42">
        <v>425.40773712194289</v>
      </c>
      <c r="AX42">
        <v>85.730048875207615</v>
      </c>
      <c r="AY42">
        <v>1.998104048510208</v>
      </c>
      <c r="AZ42" t="str">
        <f>VLOOKUP(BA42,Sheet1!$A$1:$B$58,2,FALSE)</f>
        <v>Isopropanol</v>
      </c>
      <c r="BA42" t="s">
        <v>145</v>
      </c>
      <c r="BB42" t="s">
        <v>79</v>
      </c>
      <c r="BC42">
        <v>60.093820000000001</v>
      </c>
      <c r="BD42">
        <v>6</v>
      </c>
      <c r="BE42">
        <v>82.5</v>
      </c>
      <c r="BF42" t="s">
        <v>65</v>
      </c>
      <c r="BG42">
        <v>0.56046860921144059</v>
      </c>
      <c r="BH42">
        <v>0.53116666666666601</v>
      </c>
      <c r="BI42">
        <v>0.72459838282662603</v>
      </c>
      <c r="BJ42">
        <v>90</v>
      </c>
      <c r="BK42">
        <v>652.32724040169717</v>
      </c>
      <c r="BL42">
        <v>131.4598709008346</v>
      </c>
      <c r="BM42">
        <v>2.5034570937348102</v>
      </c>
      <c r="BN42">
        <v>425.58770593491772</v>
      </c>
      <c r="BO42">
        <v>226.7395344667795</v>
      </c>
    </row>
    <row r="43" spans="1:67" x14ac:dyDescent="0.25">
      <c r="A43" s="1">
        <v>41</v>
      </c>
      <c r="B43" t="s">
        <v>65</v>
      </c>
      <c r="C43" t="s">
        <v>66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67</v>
      </c>
      <c r="J43">
        <v>1.1759999999999999</v>
      </c>
      <c r="K43">
        <v>500</v>
      </c>
      <c r="L43">
        <v>100</v>
      </c>
      <c r="N43" t="s">
        <v>68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69</v>
      </c>
      <c r="AM43">
        <v>2876.0768599117218</v>
      </c>
      <c r="AN43">
        <v>246.058233225946</v>
      </c>
      <c r="AO43">
        <v>6308.8137572257119</v>
      </c>
      <c r="AP43">
        <v>8295.6738364879875</v>
      </c>
      <c r="AQ43">
        <v>1986.860079262276</v>
      </c>
      <c r="AR43">
        <v>1.0243526176216671E-2</v>
      </c>
      <c r="AS43">
        <v>232.53386870846171</v>
      </c>
      <c r="AT43">
        <v>154.8530637595411</v>
      </c>
      <c r="AU43">
        <v>13.24821036926912</v>
      </c>
      <c r="AV43">
        <v>339.67768824673527</v>
      </c>
      <c r="AW43">
        <v>446.65374817885117</v>
      </c>
      <c r="AX43">
        <v>106.9760599321159</v>
      </c>
      <c r="AY43">
        <v>1.9981040485102071</v>
      </c>
      <c r="AZ43" t="str">
        <f>VLOOKUP(BA43,Sheet1!$A$1:$B$58,2,FALSE)</f>
        <v>Itaconate</v>
      </c>
      <c r="BA43" t="s">
        <v>146</v>
      </c>
      <c r="BB43" t="s">
        <v>147</v>
      </c>
      <c r="BC43">
        <v>128.08086</v>
      </c>
      <c r="BD43">
        <v>3.2</v>
      </c>
      <c r="BE43">
        <v>381</v>
      </c>
      <c r="BF43" t="s">
        <v>65</v>
      </c>
      <c r="BG43">
        <v>-0.23362853084913371</v>
      </c>
      <c r="BH43">
        <v>0.46295454545454501</v>
      </c>
      <c r="BI43">
        <v>1.3460442062411899</v>
      </c>
      <c r="BJ43">
        <v>90</v>
      </c>
      <c r="BK43">
        <v>368.69661495502157</v>
      </c>
      <c r="BL43">
        <v>88.304892411656695</v>
      </c>
      <c r="BM43">
        <v>1.882991604633633</v>
      </c>
      <c r="BN43">
        <v>320.10857278771772</v>
      </c>
      <c r="BO43">
        <v>48.588042167303968</v>
      </c>
    </row>
    <row r="44" spans="1:67" x14ac:dyDescent="0.25">
      <c r="A44" s="1">
        <v>42</v>
      </c>
      <c r="B44" t="s">
        <v>65</v>
      </c>
      <c r="C44" t="s">
        <v>66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67</v>
      </c>
      <c r="J44">
        <v>1.1759999999999999</v>
      </c>
      <c r="K44">
        <v>500</v>
      </c>
      <c r="L44">
        <v>100</v>
      </c>
      <c r="N44" t="s">
        <v>68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69</v>
      </c>
      <c r="AM44">
        <v>8075.1711220788166</v>
      </c>
      <c r="AN44">
        <v>690.85856744345892</v>
      </c>
      <c r="AO44">
        <v>17713.27859036643</v>
      </c>
      <c r="AP44">
        <v>21746.746884562679</v>
      </c>
      <c r="AQ44">
        <v>4033.468294196246</v>
      </c>
      <c r="AR44">
        <v>1.0243526176216671E-2</v>
      </c>
      <c r="AS44">
        <v>232.53386870846171</v>
      </c>
      <c r="AT44">
        <v>154.8530637595411</v>
      </c>
      <c r="AU44">
        <v>13.24821036926912</v>
      </c>
      <c r="AV44">
        <v>339.67768824673522</v>
      </c>
      <c r="AW44">
        <v>417.02526559101148</v>
      </c>
      <c r="AX44">
        <v>77.347577344276317</v>
      </c>
      <c r="AY44">
        <v>1.9981040485102071</v>
      </c>
      <c r="AZ44" t="str">
        <f>VLOOKUP(BA44,Sheet1!$A$1:$B$58,2,FALSE)</f>
        <v>Limonene</v>
      </c>
      <c r="BA44" t="s">
        <v>148</v>
      </c>
      <c r="BB44" t="s">
        <v>149</v>
      </c>
      <c r="BC44">
        <v>136.23244</v>
      </c>
      <c r="BD44">
        <v>5.6</v>
      </c>
      <c r="BE44">
        <v>176</v>
      </c>
      <c r="BF44" t="s">
        <v>65</v>
      </c>
      <c r="BG44">
        <v>0.9373221631834513</v>
      </c>
      <c r="BH44">
        <v>0.15502109704641301</v>
      </c>
      <c r="BI44">
        <v>0.47941109054688602</v>
      </c>
      <c r="BJ44">
        <v>90</v>
      </c>
      <c r="BK44">
        <v>966.52208375834118</v>
      </c>
      <c r="BL44">
        <v>179.26525751983289</v>
      </c>
      <c r="BM44">
        <v>3.693600344101891</v>
      </c>
      <c r="BN44">
        <v>627.9120584973216</v>
      </c>
      <c r="BO44">
        <v>338.61002526101959</v>
      </c>
    </row>
    <row r="45" spans="1:67" x14ac:dyDescent="0.25">
      <c r="A45" s="1">
        <v>43</v>
      </c>
      <c r="B45" t="s">
        <v>65</v>
      </c>
      <c r="C45" t="s">
        <v>66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67</v>
      </c>
      <c r="J45">
        <v>1.1759999999999999</v>
      </c>
      <c r="K45">
        <v>500</v>
      </c>
      <c r="L45">
        <v>100</v>
      </c>
      <c r="N45" t="s">
        <v>68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69</v>
      </c>
      <c r="AM45">
        <v>4099.5815385018523</v>
      </c>
      <c r="AN45">
        <v>350.73325208716221</v>
      </c>
      <c r="AO45">
        <v>8992.6304715524511</v>
      </c>
      <c r="AP45">
        <v>11461.11958078522</v>
      </c>
      <c r="AQ45">
        <v>2468.4891092327712</v>
      </c>
      <c r="AR45">
        <v>1.0243526176216671E-2</v>
      </c>
      <c r="AS45">
        <v>232.53386870846171</v>
      </c>
      <c r="AT45">
        <v>154.85306375954099</v>
      </c>
      <c r="AU45">
        <v>13.24821036926912</v>
      </c>
      <c r="AV45">
        <v>339.67768824673522</v>
      </c>
      <c r="AW45">
        <v>432.91966863711548</v>
      </c>
      <c r="AX45">
        <v>93.241980390380263</v>
      </c>
      <c r="AY45">
        <v>1.9981040485102071</v>
      </c>
      <c r="AZ45" t="str">
        <f>VLOOKUP(BA45,Sheet1!$A$1:$B$58,2,FALSE)</f>
        <v>L-Lysine</v>
      </c>
      <c r="BA45" t="s">
        <v>150</v>
      </c>
      <c r="BB45" t="s">
        <v>151</v>
      </c>
      <c r="BC45">
        <v>147.19319999999999</v>
      </c>
      <c r="BD45">
        <v>4.833333333333333</v>
      </c>
      <c r="BF45" t="s">
        <v>65</v>
      </c>
      <c r="BG45">
        <v>0.32194430900870019</v>
      </c>
      <c r="BH45">
        <v>0.28261538461538499</v>
      </c>
      <c r="BI45">
        <v>0.94432237964542598</v>
      </c>
      <c r="BJ45">
        <v>90</v>
      </c>
      <c r="BK45">
        <v>509.38309247934308</v>
      </c>
      <c r="BL45">
        <v>109.71062707701201</v>
      </c>
      <c r="BM45">
        <v>2.029070193357954</v>
      </c>
      <c r="BN45">
        <v>344.9419328708521</v>
      </c>
      <c r="BO45">
        <v>164.44115960849101</v>
      </c>
    </row>
    <row r="46" spans="1:67" x14ac:dyDescent="0.25">
      <c r="A46" s="1">
        <v>44</v>
      </c>
      <c r="B46" t="s">
        <v>65</v>
      </c>
      <c r="C46" t="s">
        <v>66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67</v>
      </c>
      <c r="J46">
        <v>1.1759999999999999</v>
      </c>
      <c r="K46">
        <v>500</v>
      </c>
      <c r="L46">
        <v>100</v>
      </c>
      <c r="N46" t="s">
        <v>68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69</v>
      </c>
      <c r="AM46">
        <v>1965.1347010073771</v>
      </c>
      <c r="AN46">
        <v>168.12400924352019</v>
      </c>
      <c r="AO46">
        <v>4310.6180538226326</v>
      </c>
      <c r="AP46">
        <v>5938.8884226982709</v>
      </c>
      <c r="AQ46">
        <v>1628.270368875638</v>
      </c>
      <c r="AR46">
        <v>1.0243526176216671E-2</v>
      </c>
      <c r="AS46">
        <v>232.53386870846171</v>
      </c>
      <c r="AT46">
        <v>154.85306375954099</v>
      </c>
      <c r="AU46">
        <v>13.24821036926912</v>
      </c>
      <c r="AV46">
        <v>339.67768824673522</v>
      </c>
      <c r="AW46">
        <v>467.98576561161809</v>
      </c>
      <c r="AX46">
        <v>128.30807736488299</v>
      </c>
      <c r="AY46">
        <v>1.9981040485102071</v>
      </c>
      <c r="AZ46" t="str">
        <f>VLOOKUP(BA46,Sheet1!$A$1:$B$58,2,FALSE)</f>
        <v>L-Malate</v>
      </c>
      <c r="BA46" t="s">
        <v>152</v>
      </c>
      <c r="BB46" t="s">
        <v>153</v>
      </c>
      <c r="BC46">
        <v>132.06916000000001</v>
      </c>
      <c r="BD46">
        <v>2.5</v>
      </c>
      <c r="BF46" t="s">
        <v>65</v>
      </c>
      <c r="BG46">
        <v>-0.31867491342870968</v>
      </c>
      <c r="BH46">
        <v>0.65709677419354795</v>
      </c>
      <c r="BI46">
        <v>1.97000571614963</v>
      </c>
      <c r="BJ46">
        <v>90</v>
      </c>
      <c r="BK46">
        <v>263.95059656436757</v>
      </c>
      <c r="BL46">
        <v>72.367571950028378</v>
      </c>
      <c r="BM46">
        <v>1.4456338817483521</v>
      </c>
      <c r="BN46">
        <v>245.75775989721981</v>
      </c>
      <c r="BO46">
        <v>18.192836667147731</v>
      </c>
    </row>
    <row r="47" spans="1:67" x14ac:dyDescent="0.25">
      <c r="A47" s="1">
        <v>45</v>
      </c>
      <c r="B47" t="s">
        <v>65</v>
      </c>
      <c r="C47" t="s">
        <v>66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67</v>
      </c>
      <c r="J47">
        <v>1.1759999999999999</v>
      </c>
      <c r="K47">
        <v>500</v>
      </c>
      <c r="L47">
        <v>100</v>
      </c>
      <c r="N47" t="s">
        <v>68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69</v>
      </c>
      <c r="AM47">
        <v>1811.866568196956</v>
      </c>
      <c r="AN47">
        <v>155.01139514935809</v>
      </c>
      <c r="AO47">
        <v>3974.4169883029999</v>
      </c>
      <c r="AP47">
        <v>5542.3538060099299</v>
      </c>
      <c r="AQ47">
        <v>1567.93681770693</v>
      </c>
      <c r="AR47">
        <v>1.0243526176216671E-2</v>
      </c>
      <c r="AS47">
        <v>232.53386870846171</v>
      </c>
      <c r="AT47">
        <v>154.8530637595411</v>
      </c>
      <c r="AU47">
        <v>13.24821036926912</v>
      </c>
      <c r="AV47">
        <v>339.67768824673522</v>
      </c>
      <c r="AW47">
        <v>473.68304176728759</v>
      </c>
      <c r="AX47">
        <v>134.0053535205524</v>
      </c>
      <c r="AY47">
        <v>1.9981040485102071</v>
      </c>
      <c r="AZ47" t="str">
        <f>VLOOKUP(BA47,Sheet1!$A$1:$B$58,2,FALSE)</f>
        <v>Malonate</v>
      </c>
      <c r="BA47" t="s">
        <v>154</v>
      </c>
      <c r="BB47" t="s">
        <v>155</v>
      </c>
      <c r="BC47">
        <v>102.04378</v>
      </c>
      <c r="BD47">
        <v>2</v>
      </c>
      <c r="BE47">
        <v>199</v>
      </c>
      <c r="BF47" t="s">
        <v>65</v>
      </c>
      <c r="BG47">
        <v>-0.35869948280986758</v>
      </c>
      <c r="BH47">
        <v>0.92238095238095197</v>
      </c>
      <c r="BI47">
        <v>2.13665104370296</v>
      </c>
      <c r="BJ47">
        <v>90</v>
      </c>
      <c r="BK47">
        <v>246.32683582266361</v>
      </c>
      <c r="BL47">
        <v>69.686080786974685</v>
      </c>
      <c r="BM47">
        <v>1.3977627477256851</v>
      </c>
      <c r="BN47">
        <v>237.6196671133664</v>
      </c>
      <c r="BO47">
        <v>8.7071687092971501</v>
      </c>
    </row>
    <row r="48" spans="1:67" x14ac:dyDescent="0.25">
      <c r="A48" s="1">
        <v>46</v>
      </c>
      <c r="B48" t="s">
        <v>65</v>
      </c>
      <c r="C48" t="s">
        <v>66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67</v>
      </c>
      <c r="J48">
        <v>1.1759999999999999</v>
      </c>
      <c r="K48">
        <v>500</v>
      </c>
      <c r="L48">
        <v>100</v>
      </c>
      <c r="N48" t="s">
        <v>68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69</v>
      </c>
      <c r="AM48">
        <v>7879.5044542633168</v>
      </c>
      <c r="AN48">
        <v>674.11861335705544</v>
      </c>
      <c r="AO48">
        <v>17284.074286771149</v>
      </c>
      <c r="AP48">
        <v>21240.51897078706</v>
      </c>
      <c r="AQ48">
        <v>3956.4446840159139</v>
      </c>
      <c r="AR48">
        <v>1.0243526176216671E-2</v>
      </c>
      <c r="AS48">
        <v>232.53386870846171</v>
      </c>
      <c r="AT48">
        <v>154.85306375954099</v>
      </c>
      <c r="AU48">
        <v>13.24821036926912</v>
      </c>
      <c r="AV48">
        <v>339.67768824673522</v>
      </c>
      <c r="AW48">
        <v>417.43227097097252</v>
      </c>
      <c r="AX48">
        <v>77.754582724237252</v>
      </c>
      <c r="AY48">
        <v>1.9981040485102071</v>
      </c>
      <c r="AZ48" t="str">
        <f>VLOOKUP(BA48,Sheet1!$A$1:$B$58,2,FALSE)</f>
        <v>Nonane</v>
      </c>
      <c r="BA48" t="s">
        <v>156</v>
      </c>
      <c r="BB48" t="s">
        <v>157</v>
      </c>
      <c r="BC48">
        <v>128.25309999999999</v>
      </c>
      <c r="BD48">
        <v>6.2222222222222223</v>
      </c>
      <c r="BE48">
        <v>151</v>
      </c>
      <c r="BF48" t="s">
        <v>65</v>
      </c>
      <c r="BG48">
        <v>0.97849460610894345</v>
      </c>
      <c r="BH48">
        <v>0.16875486381322999</v>
      </c>
      <c r="BI48">
        <v>0.49131599791074299</v>
      </c>
      <c r="BJ48">
        <v>90</v>
      </c>
      <c r="BK48">
        <v>944.02306536831372</v>
      </c>
      <c r="BL48">
        <v>175.8419859562627</v>
      </c>
      <c r="BM48">
        <v>3.5402176257266511</v>
      </c>
      <c r="BN48">
        <v>601.83699637353061</v>
      </c>
      <c r="BO48">
        <v>342.18606899478311</v>
      </c>
    </row>
    <row r="49" spans="1:67" x14ac:dyDescent="0.25">
      <c r="A49" s="1">
        <v>47</v>
      </c>
      <c r="B49" t="s">
        <v>65</v>
      </c>
      <c r="C49" t="s">
        <v>66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67</v>
      </c>
      <c r="J49">
        <v>1.1759999999999999</v>
      </c>
      <c r="K49">
        <v>500</v>
      </c>
      <c r="L49">
        <v>100</v>
      </c>
      <c r="N49" t="s">
        <v>68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69</v>
      </c>
      <c r="AM49">
        <v>7950.552018604857</v>
      </c>
      <c r="AN49">
        <v>680.19697600464588</v>
      </c>
      <c r="AO49">
        <v>17439.920556939691</v>
      </c>
      <c r="AP49">
        <v>21424.332906379659</v>
      </c>
      <c r="AQ49">
        <v>3984.412349439976</v>
      </c>
      <c r="AR49">
        <v>1.0243526176216671E-2</v>
      </c>
      <c r="AS49">
        <v>232.53386870846171</v>
      </c>
      <c r="AT49">
        <v>154.8530637595411</v>
      </c>
      <c r="AU49">
        <v>13.248210369269129</v>
      </c>
      <c r="AV49">
        <v>339.67768824673527</v>
      </c>
      <c r="AW49">
        <v>417.28216880963339</v>
      </c>
      <c r="AX49">
        <v>77.604480562898175</v>
      </c>
      <c r="AY49">
        <v>1.9981040485102071</v>
      </c>
      <c r="AZ49" t="str">
        <f>VLOOKUP(BA49,Sheet1!$A$1:$B$58,2,FALSE)</f>
        <v>Octane</v>
      </c>
      <c r="BA49" t="s">
        <v>158</v>
      </c>
      <c r="BB49" t="s">
        <v>159</v>
      </c>
      <c r="BC49">
        <v>114.22672</v>
      </c>
      <c r="BD49">
        <v>6.25</v>
      </c>
      <c r="BE49">
        <v>126</v>
      </c>
      <c r="BF49" t="s">
        <v>65</v>
      </c>
      <c r="BG49">
        <v>1.0212196406251199</v>
      </c>
      <c r="BH49">
        <v>0.18778378378378399</v>
      </c>
      <c r="BI49">
        <v>0.486925509691572</v>
      </c>
      <c r="BJ49">
        <v>90</v>
      </c>
      <c r="BK49">
        <v>952.19257361687391</v>
      </c>
      <c r="BL49">
        <v>177.08499330844339</v>
      </c>
      <c r="BM49">
        <v>3.538236714130353</v>
      </c>
      <c r="BN49">
        <v>601.50024140215999</v>
      </c>
      <c r="BO49">
        <v>350.69233221471387</v>
      </c>
    </row>
    <row r="50" spans="1:67" x14ac:dyDescent="0.25">
      <c r="A50" s="1">
        <v>48</v>
      </c>
      <c r="B50" t="s">
        <v>65</v>
      </c>
      <c r="C50" t="s">
        <v>66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67</v>
      </c>
      <c r="J50">
        <v>1.1759999999999999</v>
      </c>
      <c r="K50">
        <v>500</v>
      </c>
      <c r="L50">
        <v>100</v>
      </c>
      <c r="N50" t="s">
        <v>68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107</v>
      </c>
      <c r="AM50">
        <v>8148.0385957284843</v>
      </c>
      <c r="AN50">
        <v>697.09262957016642</v>
      </c>
      <c r="AO50">
        <v>17873.11691966248</v>
      </c>
      <c r="AP50">
        <v>23250.707315434822</v>
      </c>
      <c r="AQ50">
        <v>5377.5903957723349</v>
      </c>
      <c r="AR50">
        <v>1.0243526176216671E-2</v>
      </c>
      <c r="AS50">
        <v>232.53386870846171</v>
      </c>
      <c r="AT50">
        <v>154.8530637595411</v>
      </c>
      <c r="AU50">
        <v>13.24821036926912</v>
      </c>
      <c r="AV50">
        <v>339.67768824673527</v>
      </c>
      <c r="AW50">
        <v>441.87852328767161</v>
      </c>
      <c r="AX50">
        <v>102.2008350409363</v>
      </c>
      <c r="AY50">
        <v>1.9981040485102071</v>
      </c>
      <c r="AZ50" t="str">
        <f>VLOOKUP(BA50,Sheet1!$A$1:$B$58,2,FALSE)</f>
        <v>Pentane</v>
      </c>
      <c r="BA50" t="s">
        <v>160</v>
      </c>
      <c r="BB50" t="s">
        <v>161</v>
      </c>
      <c r="BC50">
        <v>72.147580000000005</v>
      </c>
      <c r="BD50">
        <v>6.4</v>
      </c>
      <c r="BE50">
        <v>36.1</v>
      </c>
      <c r="BF50" t="s">
        <v>65</v>
      </c>
      <c r="BG50">
        <v>1.155440924611663</v>
      </c>
      <c r="BH50">
        <v>0.29010033444816002</v>
      </c>
      <c r="BI50">
        <v>0.47512374278860497</v>
      </c>
      <c r="BJ50">
        <v>90</v>
      </c>
      <c r="BK50">
        <v>1033.3647695748809</v>
      </c>
      <c r="BL50">
        <v>239.0040175898815</v>
      </c>
      <c r="BM50">
        <v>3.5172693811824511</v>
      </c>
      <c r="BN50">
        <v>597.93579480101664</v>
      </c>
      <c r="BO50">
        <v>435.42897477386413</v>
      </c>
    </row>
    <row r="51" spans="1:67" x14ac:dyDescent="0.25">
      <c r="A51" s="1">
        <v>49</v>
      </c>
      <c r="B51" t="s">
        <v>65</v>
      </c>
      <c r="C51" t="s">
        <v>66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67</v>
      </c>
      <c r="J51">
        <v>1.1759999999999999</v>
      </c>
      <c r="K51">
        <v>500</v>
      </c>
      <c r="L51">
        <v>100</v>
      </c>
      <c r="N51" t="s">
        <v>68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69</v>
      </c>
      <c r="AM51">
        <v>6477.144234201045</v>
      </c>
      <c r="AN51">
        <v>554.14188988887133</v>
      </c>
      <c r="AO51">
        <v>14207.92928792487</v>
      </c>
      <c r="AP51">
        <v>17612.338982392481</v>
      </c>
      <c r="AQ51">
        <v>3404.409694467608</v>
      </c>
      <c r="AR51">
        <v>1.0243526176216671E-2</v>
      </c>
      <c r="AS51">
        <v>232.53386870846171</v>
      </c>
      <c r="AT51">
        <v>154.8530637595411</v>
      </c>
      <c r="AU51">
        <v>13.24821036926912</v>
      </c>
      <c r="AV51">
        <v>339.67768824673527</v>
      </c>
      <c r="AW51">
        <v>421.06900090229169</v>
      </c>
      <c r="AX51">
        <v>81.391312655556476</v>
      </c>
      <c r="AY51">
        <v>1.9981040485102071</v>
      </c>
      <c r="AZ51" t="str">
        <f>VLOOKUP(BA51,Sheet1!$A$1:$B$58,2,FALSE)</f>
        <v>Pentanol (PW1)</v>
      </c>
      <c r="BA51" t="s">
        <v>162</v>
      </c>
      <c r="BB51" t="s">
        <v>83</v>
      </c>
      <c r="BC51">
        <v>88.14658</v>
      </c>
      <c r="BD51">
        <v>6</v>
      </c>
      <c r="BE51">
        <v>138</v>
      </c>
      <c r="BF51" t="s">
        <v>65</v>
      </c>
      <c r="BG51">
        <v>0.84663222825224071</v>
      </c>
      <c r="BH51">
        <v>0.29869918699186998</v>
      </c>
      <c r="BI51">
        <v>0.59769034840183</v>
      </c>
      <c r="BJ51">
        <v>90</v>
      </c>
      <c r="BK51">
        <v>782.77062143966577</v>
      </c>
      <c r="BL51">
        <v>151.3070975318937</v>
      </c>
      <c r="BM51">
        <v>2.8678590888522999</v>
      </c>
      <c r="BN51">
        <v>487.53604510489112</v>
      </c>
      <c r="BO51">
        <v>295.23457633477472</v>
      </c>
    </row>
    <row r="52" spans="1:67" x14ac:dyDescent="0.25">
      <c r="A52" s="1">
        <v>50</v>
      </c>
      <c r="B52" t="s">
        <v>65</v>
      </c>
      <c r="C52" t="s">
        <v>66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67</v>
      </c>
      <c r="J52">
        <v>1.1759999999999999</v>
      </c>
      <c r="K52">
        <v>500</v>
      </c>
      <c r="L52">
        <v>100</v>
      </c>
      <c r="N52" t="s">
        <v>68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69</v>
      </c>
      <c r="AM52">
        <v>7075.9189936414923</v>
      </c>
      <c r="AN52">
        <v>605.36912288177882</v>
      </c>
      <c r="AO52">
        <v>15521.37069572972</v>
      </c>
      <c r="AP52">
        <v>19161.486318917148</v>
      </c>
      <c r="AQ52">
        <v>3640.1156231874252</v>
      </c>
      <c r="AR52">
        <v>1.0243526176216671E-2</v>
      </c>
      <c r="AS52">
        <v>232.53386870846171</v>
      </c>
      <c r="AT52">
        <v>154.8530637595411</v>
      </c>
      <c r="AU52">
        <v>13.24821036926912</v>
      </c>
      <c r="AV52">
        <v>339.67768824673522</v>
      </c>
      <c r="AW52">
        <v>419.33985752765489</v>
      </c>
      <c r="AX52">
        <v>79.662169280919727</v>
      </c>
      <c r="AY52">
        <v>1.9981040485102071</v>
      </c>
      <c r="AZ52" t="str">
        <f>VLOOKUP(BA52,Sheet1!$A$1:$B$58,2,FALSE)</f>
        <v>Pentanol (PW2)</v>
      </c>
      <c r="BA52" t="s">
        <v>163</v>
      </c>
      <c r="BB52" t="s">
        <v>83</v>
      </c>
      <c r="BC52">
        <v>88.14658</v>
      </c>
      <c r="BD52">
        <v>6</v>
      </c>
      <c r="BE52">
        <v>138</v>
      </c>
      <c r="BF52" t="s">
        <v>65</v>
      </c>
      <c r="BG52">
        <v>1.1556772653827989</v>
      </c>
      <c r="BH52">
        <v>0.27342281879194602</v>
      </c>
      <c r="BI52">
        <v>0.547112904693701</v>
      </c>
      <c r="BJ52">
        <v>90</v>
      </c>
      <c r="BK52">
        <v>851.6216141740955</v>
      </c>
      <c r="BL52">
        <v>161.78291658610769</v>
      </c>
      <c r="BM52">
        <v>2.9021974263112469</v>
      </c>
      <c r="BN52">
        <v>493.373562472912</v>
      </c>
      <c r="BO52">
        <v>358.2480517011835</v>
      </c>
    </row>
    <row r="53" spans="1:67" x14ac:dyDescent="0.25">
      <c r="A53" s="1">
        <v>51</v>
      </c>
      <c r="B53" t="s">
        <v>65</v>
      </c>
      <c r="C53" t="s">
        <v>66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67</v>
      </c>
      <c r="J53">
        <v>1.1759999999999999</v>
      </c>
      <c r="K53">
        <v>500</v>
      </c>
      <c r="L53">
        <v>100</v>
      </c>
      <c r="N53" t="s">
        <v>68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69</v>
      </c>
      <c r="AM53">
        <v>7332.6447761362469</v>
      </c>
      <c r="AN53">
        <v>627.33289351138114</v>
      </c>
      <c r="AO53">
        <v>16084.51112184725</v>
      </c>
      <c r="AP53">
        <v>19825.686096711081</v>
      </c>
      <c r="AQ53">
        <v>3741.1749748638249</v>
      </c>
      <c r="AR53">
        <v>1.024352617621666E-2</v>
      </c>
      <c r="AS53">
        <v>232.53386870846171</v>
      </c>
      <c r="AT53">
        <v>154.85306375954099</v>
      </c>
      <c r="AU53">
        <v>13.24821036926912</v>
      </c>
      <c r="AV53">
        <v>339.67768824673522</v>
      </c>
      <c r="AW53">
        <v>418.68498024096863</v>
      </c>
      <c r="AX53">
        <v>79.007291994233412</v>
      </c>
      <c r="AY53">
        <v>1.998104048510206</v>
      </c>
      <c r="AZ53" t="str">
        <f>VLOOKUP(BA53,Sheet1!$A$1:$B$58,2,FALSE)</f>
        <v>Phenol</v>
      </c>
      <c r="BA53" t="s">
        <v>164</v>
      </c>
      <c r="BB53" t="s">
        <v>165</v>
      </c>
      <c r="BC53">
        <v>94.11023999999999</v>
      </c>
      <c r="BD53">
        <v>4.666666666666667</v>
      </c>
      <c r="BE53">
        <v>181.7</v>
      </c>
      <c r="BF53" t="s">
        <v>65</v>
      </c>
      <c r="BG53">
        <v>0.97873253114949521</v>
      </c>
      <c r="BH53">
        <v>0.24713004484304901</v>
      </c>
      <c r="BI53">
        <v>0.52795774405813001</v>
      </c>
      <c r="BJ53">
        <v>90</v>
      </c>
      <c r="BK53">
        <v>881.14160429827007</v>
      </c>
      <c r="BL53">
        <v>166.27444332728101</v>
      </c>
      <c r="BM53">
        <v>3.2263684157386749</v>
      </c>
      <c r="BN53">
        <v>548.4826306755748</v>
      </c>
      <c r="BO53">
        <v>332.65897362269533</v>
      </c>
    </row>
    <row r="54" spans="1:67" x14ac:dyDescent="0.25">
      <c r="A54" s="1">
        <v>52</v>
      </c>
      <c r="B54" t="s">
        <v>65</v>
      </c>
      <c r="C54" t="s">
        <v>66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67</v>
      </c>
      <c r="J54">
        <v>1.1759999999999999</v>
      </c>
      <c r="K54">
        <v>500</v>
      </c>
      <c r="L54">
        <v>100</v>
      </c>
      <c r="N54" t="s">
        <v>68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107</v>
      </c>
      <c r="AM54">
        <v>8516.2705661353302</v>
      </c>
      <c r="AN54">
        <v>728.5961367672578</v>
      </c>
      <c r="AO54">
        <v>18680.85156442588</v>
      </c>
      <c r="AP54">
        <v>24203.39539586104</v>
      </c>
      <c r="AQ54">
        <v>5522.5438314351604</v>
      </c>
      <c r="AR54">
        <v>1.0243526176216671E-2</v>
      </c>
      <c r="AS54">
        <v>232.53386870846171</v>
      </c>
      <c r="AT54">
        <v>154.8530637595411</v>
      </c>
      <c r="AU54">
        <v>13.24821036926912</v>
      </c>
      <c r="AV54">
        <v>339.67768824673527</v>
      </c>
      <c r="AW54">
        <v>440.09521554380058</v>
      </c>
      <c r="AX54">
        <v>100.4175272970654</v>
      </c>
      <c r="AY54">
        <v>1.998104048510208</v>
      </c>
      <c r="AZ54" t="str">
        <f>VLOOKUP(BA54,Sheet1!$A$1:$B$58,2,FALSE)</f>
        <v>Propane (PW1)</v>
      </c>
      <c r="BA54" t="s">
        <v>166</v>
      </c>
      <c r="BB54" t="s">
        <v>167</v>
      </c>
      <c r="BC54">
        <v>44.094819999999999</v>
      </c>
      <c r="BD54">
        <v>6.666666666666667</v>
      </c>
      <c r="BE54">
        <v>-42</v>
      </c>
      <c r="BF54" t="s">
        <v>65</v>
      </c>
      <c r="BG54">
        <v>1.4012652316081211</v>
      </c>
      <c r="BH54">
        <v>0.454136125654451</v>
      </c>
      <c r="BI54">
        <v>0.454580037579211</v>
      </c>
      <c r="BJ54">
        <v>90</v>
      </c>
      <c r="BK54">
        <v>1075.706462038268</v>
      </c>
      <c r="BL54">
        <v>245.4463925082292</v>
      </c>
      <c r="BM54">
        <v>3.482617530333286</v>
      </c>
      <c r="BN54">
        <v>592.04498015665865</v>
      </c>
      <c r="BO54">
        <v>483.6614818816098</v>
      </c>
    </row>
    <row r="55" spans="1:67" x14ac:dyDescent="0.25">
      <c r="A55" s="1">
        <v>53</v>
      </c>
      <c r="B55" t="s">
        <v>65</v>
      </c>
      <c r="C55" t="s">
        <v>66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67</v>
      </c>
      <c r="J55">
        <v>1.1759999999999999</v>
      </c>
      <c r="K55">
        <v>500</v>
      </c>
      <c r="L55">
        <v>100</v>
      </c>
      <c r="N55" t="s">
        <v>68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107</v>
      </c>
      <c r="AM55">
        <v>10737.335444551771</v>
      </c>
      <c r="AN55">
        <v>918.61584989833386</v>
      </c>
      <c r="AO55">
        <v>23552.864846113571</v>
      </c>
      <c r="AP55">
        <v>29949.72435579028</v>
      </c>
      <c r="AQ55">
        <v>6396.8595096767167</v>
      </c>
      <c r="AR55">
        <v>1.0243526176216671E-2</v>
      </c>
      <c r="AS55">
        <v>232.53386870846171</v>
      </c>
      <c r="AT55">
        <v>154.85306375954099</v>
      </c>
      <c r="AU55">
        <v>13.24821036926912</v>
      </c>
      <c r="AV55">
        <v>339.67768824673527</v>
      </c>
      <c r="AW55">
        <v>431.93272662456872</v>
      </c>
      <c r="AX55">
        <v>92.255038377833387</v>
      </c>
      <c r="AY55">
        <v>1.9981040485102071</v>
      </c>
      <c r="AZ55" t="str">
        <f>VLOOKUP(BA55,Sheet1!$A$1:$B$58,2,FALSE)</f>
        <v>Propane (PW2)</v>
      </c>
      <c r="BA55" t="s">
        <v>168</v>
      </c>
      <c r="BB55" t="s">
        <v>167</v>
      </c>
      <c r="BC55">
        <v>44.094819999999999</v>
      </c>
      <c r="BD55">
        <v>6.666666666666667</v>
      </c>
      <c r="BE55">
        <v>-42</v>
      </c>
      <c r="BF55" t="s">
        <v>65</v>
      </c>
      <c r="BG55">
        <v>2.5476212978875861</v>
      </c>
      <c r="BH55">
        <v>0.36019607843137302</v>
      </c>
      <c r="BI55">
        <v>0.36054816522965899</v>
      </c>
      <c r="BJ55">
        <v>90</v>
      </c>
      <c r="BK55">
        <v>1331.0988602573459</v>
      </c>
      <c r="BL55">
        <v>284.30486709674278</v>
      </c>
      <c r="BM55">
        <v>3.609990426586549</v>
      </c>
      <c r="BN55">
        <v>613.6983725197133</v>
      </c>
      <c r="BO55">
        <v>717.4004877376326</v>
      </c>
    </row>
    <row r="56" spans="1:67" x14ac:dyDescent="0.25">
      <c r="A56" s="1">
        <v>54</v>
      </c>
      <c r="B56" t="s">
        <v>65</v>
      </c>
      <c r="C56" t="s">
        <v>66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67</v>
      </c>
      <c r="J56">
        <v>1.1759999999999999</v>
      </c>
      <c r="K56">
        <v>500</v>
      </c>
      <c r="L56">
        <v>100</v>
      </c>
      <c r="N56" t="s">
        <v>68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69</v>
      </c>
      <c r="AM56">
        <v>3637.1273773075609</v>
      </c>
      <c r="AN56">
        <v>311.1687135181383</v>
      </c>
      <c r="AO56">
        <v>7978.2148921585213</v>
      </c>
      <c r="AP56">
        <v>10264.66027654139</v>
      </c>
      <c r="AQ56">
        <v>2286.4453843828719</v>
      </c>
      <c r="AR56">
        <v>1.0243526176216671E-2</v>
      </c>
      <c r="AS56">
        <v>232.53386870846171</v>
      </c>
      <c r="AT56">
        <v>154.85306375954099</v>
      </c>
      <c r="AU56">
        <v>13.24821036926912</v>
      </c>
      <c r="AV56">
        <v>339.67768824673522</v>
      </c>
      <c r="AW56">
        <v>437.02458764310711</v>
      </c>
      <c r="AX56">
        <v>97.346899396371896</v>
      </c>
      <c r="AY56">
        <v>1.9981040485102071</v>
      </c>
      <c r="AZ56" t="str">
        <f>VLOOKUP(BA56,Sheet1!$A$1:$B$58,2,FALSE)</f>
        <v>Shikimate</v>
      </c>
      <c r="BA56" t="s">
        <v>169</v>
      </c>
      <c r="BB56" t="s">
        <v>170</v>
      </c>
      <c r="BC56">
        <v>173.14045999999999</v>
      </c>
      <c r="BD56">
        <v>3.8571428571428572</v>
      </c>
      <c r="BE56">
        <v>400.5</v>
      </c>
      <c r="BF56" t="s">
        <v>65</v>
      </c>
      <c r="BG56">
        <v>9.7920220933965851E-2</v>
      </c>
      <c r="BH56">
        <v>0.27081081081081099</v>
      </c>
      <c r="BI56">
        <v>1.06439126057068</v>
      </c>
      <c r="BJ56">
        <v>90</v>
      </c>
      <c r="BK56">
        <v>456.20712340183968</v>
      </c>
      <c r="BL56">
        <v>101.6197948614609</v>
      </c>
      <c r="BM56">
        <v>1.987887594009438</v>
      </c>
      <c r="BN56">
        <v>337.94089098160453</v>
      </c>
      <c r="BO56">
        <v>118.2662324202352</v>
      </c>
    </row>
    <row r="57" spans="1:67" x14ac:dyDescent="0.25">
      <c r="A57" s="1">
        <v>55</v>
      </c>
      <c r="B57" t="s">
        <v>65</v>
      </c>
      <c r="C57" t="s">
        <v>66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67</v>
      </c>
      <c r="J57">
        <v>1.1759999999999999</v>
      </c>
      <c r="K57">
        <v>500</v>
      </c>
      <c r="L57">
        <v>100</v>
      </c>
      <c r="N57" t="s">
        <v>68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69</v>
      </c>
      <c r="AM57">
        <v>8720.6428628319882</v>
      </c>
      <c r="AN57">
        <v>746.08088724331174</v>
      </c>
      <c r="AO57">
        <v>19129.1520862121</v>
      </c>
      <c r="AP57">
        <v>23416.708438927712</v>
      </c>
      <c r="AQ57">
        <v>4287.5563527156046</v>
      </c>
      <c r="AR57">
        <v>1.0243526176216671E-2</v>
      </c>
      <c r="AS57">
        <v>232.53386870846171</v>
      </c>
      <c r="AT57">
        <v>154.8530637595411</v>
      </c>
      <c r="AU57">
        <v>13.24821036926912</v>
      </c>
      <c r="AV57">
        <v>339.67768824673527</v>
      </c>
      <c r="AW57">
        <v>415.81212554716183</v>
      </c>
      <c r="AX57">
        <v>76.134437300426555</v>
      </c>
      <c r="AY57">
        <v>1.9981040485102071</v>
      </c>
      <c r="AZ57" t="str">
        <f>VLOOKUP(BA57,Sheet1!$A$1:$B$58,2,FALSE)</f>
        <v>Styrene</v>
      </c>
      <c r="BA57" t="s">
        <v>171</v>
      </c>
      <c r="BB57" t="s">
        <v>172</v>
      </c>
      <c r="BC57">
        <v>104.14832</v>
      </c>
      <c r="BD57">
        <v>5</v>
      </c>
      <c r="BE57">
        <v>145</v>
      </c>
      <c r="BF57" t="s">
        <v>65</v>
      </c>
      <c r="BG57">
        <v>1.120413549589063</v>
      </c>
      <c r="BH57">
        <v>0.187768313458262</v>
      </c>
      <c r="BI57">
        <v>0.44392674426427903</v>
      </c>
      <c r="BJ57">
        <v>90</v>
      </c>
      <c r="BK57">
        <v>1040.7425972856761</v>
      </c>
      <c r="BL57">
        <v>190.5580601206934</v>
      </c>
      <c r="BM57">
        <v>3.8806719631461268</v>
      </c>
      <c r="BN57">
        <v>659.71423373484163</v>
      </c>
      <c r="BO57">
        <v>381.02836355083417</v>
      </c>
    </row>
    <row r="58" spans="1:67" x14ac:dyDescent="0.25">
      <c r="A58" s="1">
        <v>56</v>
      </c>
      <c r="B58" t="s">
        <v>65</v>
      </c>
      <c r="C58" t="s">
        <v>66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67</v>
      </c>
      <c r="J58">
        <v>1.1759999999999999</v>
      </c>
      <c r="K58">
        <v>500</v>
      </c>
      <c r="L58">
        <v>100</v>
      </c>
      <c r="N58" t="s">
        <v>68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69</v>
      </c>
      <c r="AM58">
        <v>2380.2655069373068</v>
      </c>
      <c r="AN58">
        <v>203.63987256711621</v>
      </c>
      <c r="AO58">
        <v>5221.2275636044151</v>
      </c>
      <c r="AP58">
        <v>7012.9129572605852</v>
      </c>
      <c r="AQ58">
        <v>1791.6853936561699</v>
      </c>
      <c r="AR58">
        <v>1.0243526176216671E-2</v>
      </c>
      <c r="AS58">
        <v>232.53386870846171</v>
      </c>
      <c r="AT58">
        <v>154.85306375954099</v>
      </c>
      <c r="AU58">
        <v>13.24821036926912</v>
      </c>
      <c r="AV58">
        <v>339.67768824673522</v>
      </c>
      <c r="AW58">
        <v>456.239463263956</v>
      </c>
      <c r="AX58">
        <v>116.5617750172208</v>
      </c>
      <c r="AY58">
        <v>1.9981040485102071</v>
      </c>
      <c r="AZ58" t="str">
        <f>VLOOKUP(BA58,Sheet1!$A$1:$B$58,2,FALSE)</f>
        <v>Succinate</v>
      </c>
      <c r="BA58" t="s">
        <v>173</v>
      </c>
      <c r="BB58" t="s">
        <v>174</v>
      </c>
      <c r="BC58">
        <v>116.07016</v>
      </c>
      <c r="BD58">
        <v>3</v>
      </c>
      <c r="BE58">
        <v>235</v>
      </c>
      <c r="BF58" t="s">
        <v>65</v>
      </c>
      <c r="BG58">
        <v>-0.28814475110373122</v>
      </c>
      <c r="BH58">
        <v>0.61727272727272697</v>
      </c>
      <c r="BI58">
        <v>1.6264263724805099</v>
      </c>
      <c r="BJ58">
        <v>90</v>
      </c>
      <c r="BK58">
        <v>311.68502032269271</v>
      </c>
      <c r="BL58">
        <v>79.630461940274245</v>
      </c>
      <c r="BM58">
        <v>1.653171565117957</v>
      </c>
      <c r="BN58">
        <v>281.03916607005272</v>
      </c>
      <c r="BO58">
        <v>30.645854252639989</v>
      </c>
    </row>
    <row r="59" spans="1:67" x14ac:dyDescent="0.25">
      <c r="A59" s="1">
        <v>57</v>
      </c>
      <c r="B59" t="s">
        <v>175</v>
      </c>
      <c r="C59" t="s">
        <v>176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67</v>
      </c>
      <c r="J59">
        <v>1.131</v>
      </c>
      <c r="K59">
        <v>500</v>
      </c>
      <c r="L59">
        <v>100</v>
      </c>
      <c r="N59" t="s">
        <v>68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69</v>
      </c>
      <c r="AM59">
        <v>6113.2049363559636</v>
      </c>
      <c r="AN59">
        <v>418.40450843418722</v>
      </c>
      <c r="AO59">
        <v>13409.610828135659</v>
      </c>
      <c r="AP59">
        <v>14449.170988844329</v>
      </c>
      <c r="AQ59">
        <v>1039.560160708668</v>
      </c>
      <c r="AR59">
        <v>7.8812436090483339E-3</v>
      </c>
      <c r="AS59">
        <v>131.2430285486534</v>
      </c>
      <c r="AT59">
        <v>113.5963974477592</v>
      </c>
      <c r="AU59">
        <v>7.7748489260293114</v>
      </c>
      <c r="AV59">
        <v>249.17919440153631</v>
      </c>
      <c r="AW59">
        <v>268.49644131475873</v>
      </c>
      <c r="AX59">
        <v>19.317246913222359</v>
      </c>
      <c r="AY59">
        <v>1.46575996706786</v>
      </c>
      <c r="AZ59" t="str">
        <f>VLOOKUP(BA59,Sheet1!$A$1:$B$58,2,FALSE)</f>
        <v>1,3-Butanediol (PW1)</v>
      </c>
      <c r="BA59" t="s">
        <v>70</v>
      </c>
      <c r="BB59" t="s">
        <v>71</v>
      </c>
      <c r="BC59">
        <v>90.119200000000006</v>
      </c>
      <c r="BD59">
        <v>5.5</v>
      </c>
      <c r="BE59">
        <v>207</v>
      </c>
      <c r="BF59" t="s">
        <v>177</v>
      </c>
      <c r="BG59">
        <v>1.2556478319385911</v>
      </c>
      <c r="BH59">
        <v>0.30435897435897502</v>
      </c>
      <c r="BI59">
        <v>0.464553366975266</v>
      </c>
      <c r="BJ59">
        <v>90</v>
      </c>
      <c r="BK59">
        <v>642.1853772819702</v>
      </c>
      <c r="BL59">
        <v>46.20267380927401</v>
      </c>
      <c r="BM59">
        <v>2.2501327767243269</v>
      </c>
      <c r="BN59">
        <v>382.52257204313571</v>
      </c>
      <c r="BO59">
        <v>259.66280523883461</v>
      </c>
    </row>
    <row r="60" spans="1:67" x14ac:dyDescent="0.25">
      <c r="A60" s="1">
        <v>58</v>
      </c>
      <c r="B60" t="s">
        <v>175</v>
      </c>
      <c r="C60" t="s">
        <v>176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67</v>
      </c>
      <c r="J60">
        <v>1.131</v>
      </c>
      <c r="K60">
        <v>500</v>
      </c>
      <c r="L60">
        <v>100</v>
      </c>
      <c r="N60" t="s">
        <v>68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69</v>
      </c>
      <c r="AM60">
        <v>6113.2049363559636</v>
      </c>
      <c r="AN60">
        <v>418.40450843418722</v>
      </c>
      <c r="AO60">
        <v>13409.610828135659</v>
      </c>
      <c r="AP60">
        <v>14449.170988844329</v>
      </c>
      <c r="AQ60">
        <v>1039.560160708668</v>
      </c>
      <c r="AR60">
        <v>7.8812436090483339E-3</v>
      </c>
      <c r="AS60">
        <v>131.2430285486534</v>
      </c>
      <c r="AT60">
        <v>113.5963974477592</v>
      </c>
      <c r="AU60">
        <v>7.7748489260293114</v>
      </c>
      <c r="AV60">
        <v>249.17919440153631</v>
      </c>
      <c r="AW60">
        <v>268.49644131475873</v>
      </c>
      <c r="AX60">
        <v>19.317246913222359</v>
      </c>
      <c r="AY60">
        <v>1.46575996706786</v>
      </c>
      <c r="AZ60" t="str">
        <f>VLOOKUP(BA60,Sheet1!$A$1:$B$58,2,FALSE)</f>
        <v>1,3-Butanediol (PW2)</v>
      </c>
      <c r="BA60" t="s">
        <v>72</v>
      </c>
      <c r="BB60" t="s">
        <v>71</v>
      </c>
      <c r="BC60">
        <v>90.119200000000006</v>
      </c>
      <c r="BD60">
        <v>5.5</v>
      </c>
      <c r="BE60">
        <v>207</v>
      </c>
      <c r="BF60" t="s">
        <v>177</v>
      </c>
      <c r="BG60">
        <v>1.255647831938594</v>
      </c>
      <c r="BH60">
        <v>0.30435897435897402</v>
      </c>
      <c r="BI60">
        <v>0.464553366975266</v>
      </c>
      <c r="BJ60">
        <v>90</v>
      </c>
      <c r="BK60">
        <v>642.1853772819702</v>
      </c>
      <c r="BL60">
        <v>46.20267380927401</v>
      </c>
      <c r="BM60">
        <v>2.2501327767243251</v>
      </c>
      <c r="BN60">
        <v>382.5225720431352</v>
      </c>
      <c r="BO60">
        <v>259.66280523883501</v>
      </c>
    </row>
    <row r="61" spans="1:67" x14ac:dyDescent="0.25">
      <c r="A61" s="1">
        <v>59</v>
      </c>
      <c r="B61" t="s">
        <v>175</v>
      </c>
      <c r="C61" t="s">
        <v>176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67</v>
      </c>
      <c r="J61">
        <v>1.131</v>
      </c>
      <c r="K61">
        <v>500</v>
      </c>
      <c r="L61">
        <v>100</v>
      </c>
      <c r="N61" t="s">
        <v>68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69</v>
      </c>
      <c r="AM61">
        <v>6331.1863292368162</v>
      </c>
      <c r="AN61">
        <v>433.3237526744233</v>
      </c>
      <c r="AO61">
        <v>13887.763560906569</v>
      </c>
      <c r="AP61">
        <v>14933.91533590431</v>
      </c>
      <c r="AQ61">
        <v>1046.151774997747</v>
      </c>
      <c r="AR61">
        <v>7.8812436090483322E-3</v>
      </c>
      <c r="AS61">
        <v>131.2430285486534</v>
      </c>
      <c r="AT61">
        <v>113.5963974477592</v>
      </c>
      <c r="AU61">
        <v>7.7748489260293088</v>
      </c>
      <c r="AV61">
        <v>249.17919440153631</v>
      </c>
      <c r="AW61">
        <v>267.94962171853621</v>
      </c>
      <c r="AX61">
        <v>18.7704273169999</v>
      </c>
      <c r="AY61">
        <v>1.4657599670678609</v>
      </c>
      <c r="AZ61" t="str">
        <f>VLOOKUP(BA61,Sheet1!$A$1:$B$58,2,FALSE)</f>
        <v>1,3-Diaminopropane</v>
      </c>
      <c r="BA61" t="s">
        <v>73</v>
      </c>
      <c r="BB61" t="s">
        <v>74</v>
      </c>
      <c r="BC61">
        <v>76.139580000000009</v>
      </c>
      <c r="BD61">
        <v>6</v>
      </c>
      <c r="BE61">
        <v>139.30000000000001</v>
      </c>
      <c r="BF61" t="s">
        <v>177</v>
      </c>
      <c r="BG61">
        <v>1.589435495296285</v>
      </c>
      <c r="BH61">
        <v>0.34783783783783701</v>
      </c>
      <c r="BI61">
        <v>0.44855889378575797</v>
      </c>
      <c r="BJ61">
        <v>90</v>
      </c>
      <c r="BK61">
        <v>663.72957048463616</v>
      </c>
      <c r="BL61">
        <v>46.495634444344397</v>
      </c>
      <c r="BM61">
        <v>2.041352363764255</v>
      </c>
      <c r="BN61">
        <v>347.02990183992341</v>
      </c>
      <c r="BO61">
        <v>316.6996686447128</v>
      </c>
    </row>
    <row r="62" spans="1:67" x14ac:dyDescent="0.25">
      <c r="A62" s="1">
        <v>60</v>
      </c>
      <c r="B62" t="s">
        <v>175</v>
      </c>
      <c r="C62" t="s">
        <v>176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67</v>
      </c>
      <c r="J62">
        <v>1.131</v>
      </c>
      <c r="K62">
        <v>500</v>
      </c>
      <c r="L62">
        <v>100</v>
      </c>
      <c r="N62" t="s">
        <v>68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69</v>
      </c>
      <c r="AM62">
        <v>6311.8535487873696</v>
      </c>
      <c r="AN62">
        <v>432.0005641694035</v>
      </c>
      <c r="AO62">
        <v>13845.356171533591</v>
      </c>
      <c r="AP62">
        <v>14890.92333593603</v>
      </c>
      <c r="AQ62">
        <v>1045.567164402441</v>
      </c>
      <c r="AR62">
        <v>7.8812436090483322E-3</v>
      </c>
      <c r="AS62">
        <v>131.2430285486534</v>
      </c>
      <c r="AT62">
        <v>113.5963974477592</v>
      </c>
      <c r="AU62">
        <v>7.7748489260293088</v>
      </c>
      <c r="AV62">
        <v>249.17919440153631</v>
      </c>
      <c r="AW62">
        <v>267.99659284840061</v>
      </c>
      <c r="AX62">
        <v>18.817398446864299</v>
      </c>
      <c r="AY62">
        <v>1.4657599670678609</v>
      </c>
      <c r="AZ62" t="str">
        <f>VLOOKUP(BA62,Sheet1!$A$1:$B$58,2,FALSE)</f>
        <v>1,3-Propanediol</v>
      </c>
      <c r="BA62" t="s">
        <v>75</v>
      </c>
      <c r="BB62" t="s">
        <v>76</v>
      </c>
      <c r="BC62">
        <v>76.092820000000003</v>
      </c>
      <c r="BD62">
        <v>5.333333333333333</v>
      </c>
      <c r="BE62">
        <v>213</v>
      </c>
      <c r="BF62" t="s">
        <v>177</v>
      </c>
      <c r="BG62">
        <v>1.578221364874816</v>
      </c>
      <c r="BH62">
        <v>0.34911764705882398</v>
      </c>
      <c r="BI62">
        <v>0.44993279933429098</v>
      </c>
      <c r="BJ62">
        <v>90</v>
      </c>
      <c r="BK62">
        <v>661.81881493049002</v>
      </c>
      <c r="BL62">
        <v>46.469651751219637</v>
      </c>
      <c r="BM62">
        <v>2.0414795950032452</v>
      </c>
      <c r="BN62">
        <v>347.05153115055163</v>
      </c>
      <c r="BO62">
        <v>314.7672837799384</v>
      </c>
    </row>
    <row r="63" spans="1:67" x14ac:dyDescent="0.25">
      <c r="A63" s="1">
        <v>61</v>
      </c>
      <c r="B63" t="s">
        <v>175</v>
      </c>
      <c r="C63" t="s">
        <v>176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67</v>
      </c>
      <c r="J63">
        <v>1.131</v>
      </c>
      <c r="K63">
        <v>500</v>
      </c>
      <c r="L63">
        <v>100</v>
      </c>
      <c r="N63" t="s">
        <v>68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69</v>
      </c>
      <c r="AM63">
        <v>6740.2003144437604</v>
      </c>
      <c r="AN63">
        <v>461.31779135051443</v>
      </c>
      <c r="AO63">
        <v>14784.95552845728</v>
      </c>
      <c r="AP63">
        <v>15843.47561798726</v>
      </c>
      <c r="AQ63">
        <v>1058.520089529984</v>
      </c>
      <c r="AR63">
        <v>7.8812436090483322E-3</v>
      </c>
      <c r="AS63">
        <v>131.2430285486534</v>
      </c>
      <c r="AT63">
        <v>113.5963974477592</v>
      </c>
      <c r="AU63">
        <v>7.7748489260293088</v>
      </c>
      <c r="AV63">
        <v>249.17919440153631</v>
      </c>
      <c r="AW63">
        <v>267.0190304875664</v>
      </c>
      <c r="AX63">
        <v>17.83983608603015</v>
      </c>
      <c r="AY63">
        <v>1.46575996706786</v>
      </c>
      <c r="AZ63" t="str">
        <f>VLOOKUP(BA63,Sheet1!$A$1:$B$58,2,FALSE)</f>
        <v>1,4-Butanediol</v>
      </c>
      <c r="BA63" t="s">
        <v>77</v>
      </c>
      <c r="BB63" t="s">
        <v>71</v>
      </c>
      <c r="BC63">
        <v>90.119200000000006</v>
      </c>
      <c r="BD63">
        <v>5.5</v>
      </c>
      <c r="BE63">
        <v>230</v>
      </c>
      <c r="BF63" t="s">
        <v>177</v>
      </c>
      <c r="BG63">
        <v>1.584782257086323</v>
      </c>
      <c r="BH63">
        <v>0.276046511627907</v>
      </c>
      <c r="BI63">
        <v>0.42133910027989202</v>
      </c>
      <c r="BJ63">
        <v>90</v>
      </c>
      <c r="BK63">
        <v>704.154471910545</v>
      </c>
      <c r="BL63">
        <v>47.045337312443678</v>
      </c>
      <c r="BM63">
        <v>2.2805655934907429</v>
      </c>
      <c r="BN63">
        <v>387.69615089342642</v>
      </c>
      <c r="BO63">
        <v>316.45832101711858</v>
      </c>
    </row>
    <row r="64" spans="1:67" x14ac:dyDescent="0.25">
      <c r="A64" s="1">
        <v>62</v>
      </c>
      <c r="B64" t="s">
        <v>175</v>
      </c>
      <c r="C64" t="s">
        <v>176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67</v>
      </c>
      <c r="J64">
        <v>1.131</v>
      </c>
      <c r="K64">
        <v>500</v>
      </c>
      <c r="L64">
        <v>100</v>
      </c>
      <c r="N64" t="s">
        <v>68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69</v>
      </c>
      <c r="AM64">
        <v>8697.4829917945899</v>
      </c>
      <c r="AN64">
        <v>595.27958471579382</v>
      </c>
      <c r="AO64">
        <v>19078.349788452651</v>
      </c>
      <c r="AP64">
        <v>20196.056821846461</v>
      </c>
      <c r="AQ64">
        <v>1117.7070333938141</v>
      </c>
      <c r="AR64">
        <v>7.8812436090483339E-3</v>
      </c>
      <c r="AS64">
        <v>131.2430285486534</v>
      </c>
      <c r="AT64">
        <v>113.5963974477592</v>
      </c>
      <c r="AU64">
        <v>7.7748489260293123</v>
      </c>
      <c r="AV64">
        <v>249.17919440153639</v>
      </c>
      <c r="AW64">
        <v>263.77738246529498</v>
      </c>
      <c r="AX64">
        <v>14.598188063758609</v>
      </c>
      <c r="AY64">
        <v>1.4657599670678609</v>
      </c>
      <c r="AZ64" t="str">
        <f>VLOOKUP(BA64,Sheet1!$A$1:$B$58,2,FALSE)</f>
        <v>1-Propanol (PW1)</v>
      </c>
      <c r="BA64" t="s">
        <v>78</v>
      </c>
      <c r="BB64" t="s">
        <v>79</v>
      </c>
      <c r="BC64">
        <v>60.093820000000001</v>
      </c>
      <c r="BD64">
        <v>6</v>
      </c>
      <c r="BE64">
        <v>97</v>
      </c>
      <c r="BF64" t="s">
        <v>177</v>
      </c>
      <c r="BG64">
        <v>2.368584865343125</v>
      </c>
      <c r="BH64">
        <v>0.32081081081081098</v>
      </c>
      <c r="BI64">
        <v>0.32652089562844999</v>
      </c>
      <c r="BJ64">
        <v>90</v>
      </c>
      <c r="BK64">
        <v>897.6025254153983</v>
      </c>
      <c r="BL64">
        <v>49.675868150836081</v>
      </c>
      <c r="BM64">
        <v>2.6192190009190059</v>
      </c>
      <c r="BN64">
        <v>445.26723015623099</v>
      </c>
      <c r="BO64">
        <v>452.33529525916731</v>
      </c>
    </row>
    <row r="65" spans="1:67" x14ac:dyDescent="0.25">
      <c r="A65" s="1">
        <v>63</v>
      </c>
      <c r="B65" t="s">
        <v>175</v>
      </c>
      <c r="C65" t="s">
        <v>176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67</v>
      </c>
      <c r="J65">
        <v>1.131</v>
      </c>
      <c r="K65">
        <v>500</v>
      </c>
      <c r="L65">
        <v>100</v>
      </c>
      <c r="N65" t="s">
        <v>68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69</v>
      </c>
      <c r="AM65">
        <v>9214.100951900662</v>
      </c>
      <c r="AN65">
        <v>630.63833448728462</v>
      </c>
      <c r="AO65">
        <v>20211.57628158855</v>
      </c>
      <c r="AP65">
        <v>21344.90550310964</v>
      </c>
      <c r="AQ65">
        <v>1133.329221521097</v>
      </c>
      <c r="AR65">
        <v>7.8812436090483357E-3</v>
      </c>
      <c r="AS65">
        <v>131.24302854865351</v>
      </c>
      <c r="AT65">
        <v>113.5963974477592</v>
      </c>
      <c r="AU65">
        <v>7.7748489260293114</v>
      </c>
      <c r="AV65">
        <v>249.17919440153631</v>
      </c>
      <c r="AW65">
        <v>263.15148723391661</v>
      </c>
      <c r="AX65">
        <v>13.972292832380299</v>
      </c>
      <c r="AY65">
        <v>1.4657599670678609</v>
      </c>
      <c r="AZ65" t="str">
        <f>VLOOKUP(BA65,Sheet1!$A$1:$B$58,2,FALSE)</f>
        <v>1-Propanol (PW2)</v>
      </c>
      <c r="BA65" t="s">
        <v>80</v>
      </c>
      <c r="BB65" t="s">
        <v>79</v>
      </c>
      <c r="BC65">
        <v>60.093820000000001</v>
      </c>
      <c r="BD65">
        <v>6</v>
      </c>
      <c r="BE65">
        <v>97</v>
      </c>
      <c r="BF65" t="s">
        <v>177</v>
      </c>
      <c r="BG65">
        <v>2.639777861755769</v>
      </c>
      <c r="BH65">
        <v>0.30282352941176499</v>
      </c>
      <c r="BI65">
        <v>0.308213460110633</v>
      </c>
      <c r="BJ65">
        <v>90</v>
      </c>
      <c r="BK65">
        <v>948.66246680487302</v>
      </c>
      <c r="BL65">
        <v>50.3701876231599</v>
      </c>
      <c r="BM65">
        <v>2.6442943687248972</v>
      </c>
      <c r="BN65">
        <v>449.53004268323252</v>
      </c>
      <c r="BO65">
        <v>499.1324241216405</v>
      </c>
    </row>
    <row r="66" spans="1:67" x14ac:dyDescent="0.25">
      <c r="A66" s="1">
        <v>64</v>
      </c>
      <c r="B66" t="s">
        <v>175</v>
      </c>
      <c r="C66" t="s">
        <v>176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67</v>
      </c>
      <c r="J66">
        <v>1.131</v>
      </c>
      <c r="K66">
        <v>500</v>
      </c>
      <c r="L66">
        <v>100</v>
      </c>
      <c r="N66" t="s">
        <v>68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69</v>
      </c>
      <c r="AM66">
        <v>6216.4862262973811</v>
      </c>
      <c r="AN66">
        <v>425.47336311815042</v>
      </c>
      <c r="AO66">
        <v>13636.163335103931</v>
      </c>
      <c r="AP66">
        <v>14678.84665425092</v>
      </c>
      <c r="AQ66">
        <v>1042.6833191469891</v>
      </c>
      <c r="AR66">
        <v>7.8812436090483339E-3</v>
      </c>
      <c r="AS66">
        <v>131.2430285486534</v>
      </c>
      <c r="AT66">
        <v>113.5963974477592</v>
      </c>
      <c r="AU66">
        <v>7.7748489260293088</v>
      </c>
      <c r="AV66">
        <v>249.17919440153631</v>
      </c>
      <c r="AW66">
        <v>268.23257350063511</v>
      </c>
      <c r="AX66">
        <v>19.053379099098859</v>
      </c>
      <c r="AY66">
        <v>1.46575996706786</v>
      </c>
      <c r="AZ66" t="str">
        <f>VLOOKUP(BA66,Sheet1!$A$1:$B$58,2,FALSE)</f>
        <v>2,3-Butanediol</v>
      </c>
      <c r="BA66" t="s">
        <v>81</v>
      </c>
      <c r="BB66" t="s">
        <v>71</v>
      </c>
      <c r="BC66">
        <v>90.119200000000006</v>
      </c>
      <c r="BD66">
        <v>5.5</v>
      </c>
      <c r="BE66">
        <v>177</v>
      </c>
      <c r="BF66" t="s">
        <v>177</v>
      </c>
      <c r="BG66">
        <v>1.309864225203019</v>
      </c>
      <c r="BH66">
        <v>0.29930232558139502</v>
      </c>
      <c r="BI66">
        <v>0.45683523341214999</v>
      </c>
      <c r="BJ66">
        <v>90</v>
      </c>
      <c r="BK66">
        <v>652.3931846333744</v>
      </c>
      <c r="BL66">
        <v>46.34148085097744</v>
      </c>
      <c r="BM66">
        <v>2.2551457970463749</v>
      </c>
      <c r="BN66">
        <v>383.37478549788381</v>
      </c>
      <c r="BO66">
        <v>269.0183991354906</v>
      </c>
    </row>
    <row r="67" spans="1:67" x14ac:dyDescent="0.25">
      <c r="A67" s="1">
        <v>65</v>
      </c>
      <c r="B67" t="s">
        <v>175</v>
      </c>
      <c r="C67" t="s">
        <v>176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67</v>
      </c>
      <c r="J67">
        <v>1.131</v>
      </c>
      <c r="K67">
        <v>500</v>
      </c>
      <c r="L67">
        <v>100</v>
      </c>
      <c r="N67" t="s">
        <v>68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69</v>
      </c>
      <c r="AM67">
        <v>9902.9180211571911</v>
      </c>
      <c r="AN67">
        <v>677.78286346411812</v>
      </c>
      <c r="AO67">
        <v>21722.529852860931</v>
      </c>
      <c r="AP67">
        <v>22876.688450579091</v>
      </c>
      <c r="AQ67">
        <v>1154.158597718153</v>
      </c>
      <c r="AR67">
        <v>7.8812436090483322E-3</v>
      </c>
      <c r="AS67">
        <v>131.2430285486534</v>
      </c>
      <c r="AT67">
        <v>113.5963974477592</v>
      </c>
      <c r="AU67">
        <v>7.7748489260293114</v>
      </c>
      <c r="AV67">
        <v>249.17919440153639</v>
      </c>
      <c r="AW67">
        <v>262.4185505694893</v>
      </c>
      <c r="AX67">
        <v>13.239356167952931</v>
      </c>
      <c r="AY67">
        <v>1.4657599670678609</v>
      </c>
      <c r="AZ67" t="str">
        <f>VLOOKUP(BA67,Sheet1!$A$1:$B$58,2,FALSE)</f>
        <v>2-Methyl-1-Butanol</v>
      </c>
      <c r="BA67" t="s">
        <v>82</v>
      </c>
      <c r="BB67" t="s">
        <v>83</v>
      </c>
      <c r="BC67">
        <v>88.14658</v>
      </c>
      <c r="BD67">
        <v>6</v>
      </c>
      <c r="BE67">
        <v>129</v>
      </c>
      <c r="BF67" t="s">
        <v>177</v>
      </c>
      <c r="BG67">
        <v>2.7020194796414798</v>
      </c>
      <c r="BH67">
        <v>0.192089552238806</v>
      </c>
      <c r="BI67">
        <v>0.28677506267613501</v>
      </c>
      <c r="BJ67">
        <v>90</v>
      </c>
      <c r="BK67">
        <v>1016.741708914626</v>
      </c>
      <c r="BL67">
        <v>51.295937676362342</v>
      </c>
      <c r="BM67">
        <v>2.9770732923483059</v>
      </c>
      <c r="BN67">
        <v>506.10245969921209</v>
      </c>
      <c r="BO67">
        <v>510.63924921541411</v>
      </c>
    </row>
    <row r="68" spans="1:67" x14ac:dyDescent="0.25">
      <c r="A68" s="1">
        <v>66</v>
      </c>
      <c r="B68" t="s">
        <v>175</v>
      </c>
      <c r="C68" t="s">
        <v>176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67</v>
      </c>
      <c r="J68">
        <v>1.131</v>
      </c>
      <c r="K68">
        <v>500</v>
      </c>
      <c r="L68">
        <v>100</v>
      </c>
      <c r="N68" t="s">
        <v>68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84</v>
      </c>
      <c r="AM68">
        <v>4318.6073899713074</v>
      </c>
      <c r="AN68">
        <v>295.57733151970638</v>
      </c>
      <c r="AO68">
        <v>9473.0742747757704</v>
      </c>
      <c r="AP68">
        <v>11439.002666993511</v>
      </c>
      <c r="AQ68">
        <v>1965.9283922177419</v>
      </c>
      <c r="AR68">
        <v>7.8812436090483322E-3</v>
      </c>
      <c r="AS68">
        <v>131.2430285486534</v>
      </c>
      <c r="AT68">
        <v>113.5963974477592</v>
      </c>
      <c r="AU68">
        <v>7.774848926029307</v>
      </c>
      <c r="AV68">
        <v>249.17919440153631</v>
      </c>
      <c r="AW68">
        <v>300.89086041563178</v>
      </c>
      <c r="AX68">
        <v>51.711666014095471</v>
      </c>
      <c r="AY68">
        <v>1.4657599670678609</v>
      </c>
      <c r="AZ68" t="str">
        <f>VLOOKUP(BA68,Sheet1!$A$1:$B$58,2,FALSE)</f>
        <v>2-Pyrone-4,6-Dicarboxylate</v>
      </c>
      <c r="BA68" t="s">
        <v>85</v>
      </c>
      <c r="BB68" t="s">
        <v>86</v>
      </c>
      <c r="BC68">
        <v>182.08457999999999</v>
      </c>
      <c r="BD68">
        <v>2.5714285714285721</v>
      </c>
      <c r="BE68">
        <v>355.5</v>
      </c>
      <c r="BF68" t="s">
        <v>177</v>
      </c>
      <c r="BG68">
        <v>0.57510008603838247</v>
      </c>
      <c r="BH68">
        <v>0.213233532934132</v>
      </c>
      <c r="BI68">
        <v>0.65759854502838899</v>
      </c>
      <c r="BJ68">
        <v>90</v>
      </c>
      <c r="BK68">
        <v>508.40011853304492</v>
      </c>
      <c r="BL68">
        <v>87.374595209677381</v>
      </c>
      <c r="BM68">
        <v>1.9015206393931909</v>
      </c>
      <c r="BN68">
        <v>323.25850869684251</v>
      </c>
      <c r="BO68">
        <v>185.14160983620241</v>
      </c>
    </row>
    <row r="69" spans="1:67" x14ac:dyDescent="0.25">
      <c r="A69" s="1">
        <v>67</v>
      </c>
      <c r="B69" t="s">
        <v>175</v>
      </c>
      <c r="C69" t="s">
        <v>176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67</v>
      </c>
      <c r="J69">
        <v>1.131</v>
      </c>
      <c r="K69">
        <v>500</v>
      </c>
      <c r="L69">
        <v>100</v>
      </c>
      <c r="N69" t="s">
        <v>68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69</v>
      </c>
      <c r="AM69">
        <v>10201.12007653265</v>
      </c>
      <c r="AN69">
        <v>698.1926298129307</v>
      </c>
      <c r="AO69">
        <v>22376.650490458709</v>
      </c>
      <c r="AP69">
        <v>23539.826522661839</v>
      </c>
      <c r="AQ69">
        <v>1163.1760322031259</v>
      </c>
      <c r="AR69">
        <v>7.8812436090483322E-3</v>
      </c>
      <c r="AS69">
        <v>131.2430285486534</v>
      </c>
      <c r="AT69">
        <v>113.5963974477592</v>
      </c>
      <c r="AU69">
        <v>7.7748489260293088</v>
      </c>
      <c r="AV69">
        <v>249.17919440153631</v>
      </c>
      <c r="AW69">
        <v>262.1319491838097</v>
      </c>
      <c r="AX69">
        <v>12.952754782273439</v>
      </c>
      <c r="AY69">
        <v>1.46575996706786</v>
      </c>
      <c r="AZ69" t="str">
        <f>VLOOKUP(BA69,Sheet1!$A$1:$B$58,2,FALSE)</f>
        <v>3-Methyl-1-Pentanol</v>
      </c>
      <c r="BA69" t="s">
        <v>87</v>
      </c>
      <c r="BB69" t="s">
        <v>88</v>
      </c>
      <c r="BC69">
        <v>102.17296</v>
      </c>
      <c r="BD69">
        <v>6</v>
      </c>
      <c r="BE69">
        <v>153</v>
      </c>
      <c r="BF69" t="s">
        <v>177</v>
      </c>
      <c r="BG69">
        <v>2.7705262442515819</v>
      </c>
      <c r="BH69">
        <v>0.16087499999999999</v>
      </c>
      <c r="BI69">
        <v>0.27839197214500999</v>
      </c>
      <c r="BJ69">
        <v>90</v>
      </c>
      <c r="BK69">
        <v>1046.2145121183039</v>
      </c>
      <c r="BL69">
        <v>51.696712542361183</v>
      </c>
      <c r="BM69">
        <v>3.079578459136318</v>
      </c>
      <c r="BN69">
        <v>523.52833805317402</v>
      </c>
      <c r="BO69">
        <v>522.68617406512988</v>
      </c>
    </row>
    <row r="70" spans="1:67" x14ac:dyDescent="0.25">
      <c r="A70" s="1">
        <v>68</v>
      </c>
      <c r="B70" t="s">
        <v>175</v>
      </c>
      <c r="C70" t="s">
        <v>176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67</v>
      </c>
      <c r="J70">
        <v>1.131</v>
      </c>
      <c r="K70">
        <v>500</v>
      </c>
      <c r="L70">
        <v>100</v>
      </c>
      <c r="N70" t="s">
        <v>68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69</v>
      </c>
      <c r="AM70">
        <v>10229.277041244741</v>
      </c>
      <c r="AN70">
        <v>700.11976968506235</v>
      </c>
      <c r="AO70">
        <v>22438.41415498847</v>
      </c>
      <c r="AP70">
        <v>23602.441635328891</v>
      </c>
      <c r="AQ70">
        <v>1164.027480340425</v>
      </c>
      <c r="AR70">
        <v>7.8812436090483339E-3</v>
      </c>
      <c r="AS70">
        <v>131.2430285486534</v>
      </c>
      <c r="AT70">
        <v>113.5963974477592</v>
      </c>
      <c r="AU70">
        <v>7.7748489260293123</v>
      </c>
      <c r="AV70">
        <v>249.17919440153631</v>
      </c>
      <c r="AW70">
        <v>262.10575096694288</v>
      </c>
      <c r="AX70">
        <v>12.926556565406569</v>
      </c>
      <c r="AY70">
        <v>1.46575996706786</v>
      </c>
      <c r="AZ70" t="str">
        <f>VLOOKUP(BA70,Sheet1!$A$1:$B$58,2,FALSE)</f>
        <v>4-Hydroxystyrene</v>
      </c>
      <c r="BA70" t="s">
        <v>89</v>
      </c>
      <c r="BB70" t="s">
        <v>90</v>
      </c>
      <c r="BC70">
        <v>120.14731999999999</v>
      </c>
      <c r="BD70">
        <v>4.75</v>
      </c>
      <c r="BE70">
        <v>229</v>
      </c>
      <c r="BF70" t="s">
        <v>177</v>
      </c>
      <c r="BG70">
        <v>2.4393456230304609</v>
      </c>
      <c r="BH70">
        <v>0.13643109540636</v>
      </c>
      <c r="BI70">
        <v>0.27762567430165203</v>
      </c>
      <c r="BJ70">
        <v>90</v>
      </c>
      <c r="BK70">
        <v>1048.997406014618</v>
      </c>
      <c r="BL70">
        <v>51.734554681796787</v>
      </c>
      <c r="BM70">
        <v>3.42690644363319</v>
      </c>
      <c r="BN70">
        <v>582.57409541764241</v>
      </c>
      <c r="BO70">
        <v>466.42331059697523</v>
      </c>
    </row>
    <row r="71" spans="1:67" x14ac:dyDescent="0.25">
      <c r="A71" s="1">
        <v>69</v>
      </c>
      <c r="B71" t="s">
        <v>175</v>
      </c>
      <c r="C71" t="s">
        <v>176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67</v>
      </c>
      <c r="J71">
        <v>1.131</v>
      </c>
      <c r="K71">
        <v>500</v>
      </c>
      <c r="L71">
        <v>100</v>
      </c>
      <c r="N71" t="s">
        <v>68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69</v>
      </c>
      <c r="AM71">
        <v>7117.9042456288789</v>
      </c>
      <c r="AN71">
        <v>487.168884076251</v>
      </c>
      <c r="AO71">
        <v>15613.46737750851</v>
      </c>
      <c r="AP71">
        <v>16683.408986081649</v>
      </c>
      <c r="AQ71">
        <v>1069.941608573137</v>
      </c>
      <c r="AR71">
        <v>7.8812436090483339E-3</v>
      </c>
      <c r="AS71">
        <v>131.2430285486534</v>
      </c>
      <c r="AT71">
        <v>113.5963974477592</v>
      </c>
      <c r="AU71">
        <v>7.7748489260293088</v>
      </c>
      <c r="AV71">
        <v>249.17919440153639</v>
      </c>
      <c r="AW71">
        <v>266.25465763047868</v>
      </c>
      <c r="AX71">
        <v>17.075463228942368</v>
      </c>
      <c r="AY71">
        <v>1.4657599670678609</v>
      </c>
      <c r="AZ71" t="str">
        <f>VLOOKUP(BA71,Sheet1!$A$1:$B$58,2,FALSE)</f>
        <v>5-Aminopentanoate</v>
      </c>
      <c r="BA71" t="s">
        <v>91</v>
      </c>
      <c r="BB71" t="s">
        <v>92</v>
      </c>
      <c r="BC71">
        <v>117.14444</v>
      </c>
      <c r="BD71">
        <v>4.8</v>
      </c>
      <c r="BE71">
        <v>247.5</v>
      </c>
      <c r="BF71" t="s">
        <v>177</v>
      </c>
      <c r="BG71">
        <v>1.858016425758606</v>
      </c>
      <c r="BH71">
        <v>0.20109374999999999</v>
      </c>
      <c r="BI71">
        <v>0.398981194210076</v>
      </c>
      <c r="BJ71">
        <v>90</v>
      </c>
      <c r="BK71">
        <v>741.48484382585082</v>
      </c>
      <c r="BL71">
        <v>47.552960381028242</v>
      </c>
      <c r="BM71">
        <v>2.2239358297991729</v>
      </c>
      <c r="BN71">
        <v>378.06909106585948</v>
      </c>
      <c r="BO71">
        <v>363.41575275999128</v>
      </c>
    </row>
    <row r="72" spans="1:67" x14ac:dyDescent="0.25">
      <c r="A72" s="1">
        <v>70</v>
      </c>
      <c r="B72" t="s">
        <v>175</v>
      </c>
      <c r="C72" t="s">
        <v>176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67</v>
      </c>
      <c r="J72">
        <v>1.131</v>
      </c>
      <c r="K72">
        <v>500</v>
      </c>
      <c r="L72">
        <v>100</v>
      </c>
      <c r="N72" t="s">
        <v>68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69</v>
      </c>
      <c r="AM72">
        <v>6445.4738466989857</v>
      </c>
      <c r="AN72">
        <v>441.14590374931061</v>
      </c>
      <c r="AO72">
        <v>14138.458760501</v>
      </c>
      <c r="AP72">
        <v>15188.0665150354</v>
      </c>
      <c r="AQ72">
        <v>1049.6077545344031</v>
      </c>
      <c r="AR72">
        <v>7.8812436090483322E-3</v>
      </c>
      <c r="AS72">
        <v>131.2430285486534</v>
      </c>
      <c r="AT72">
        <v>113.5963974477592</v>
      </c>
      <c r="AU72">
        <v>7.7748489260293088</v>
      </c>
      <c r="AV72">
        <v>249.17919440153631</v>
      </c>
      <c r="AW72">
        <v>267.67770397339717</v>
      </c>
      <c r="AX72">
        <v>18.498509571860861</v>
      </c>
      <c r="AY72">
        <v>1.46575996706786</v>
      </c>
      <c r="AZ72" t="str">
        <f>VLOOKUP(BA72,Sheet1!$A$1:$B$58,2,FALSE)</f>
        <v>Acetone</v>
      </c>
      <c r="BA72" t="s">
        <v>93</v>
      </c>
      <c r="BB72" t="s">
        <v>94</v>
      </c>
      <c r="BC72">
        <v>58.078139999999998</v>
      </c>
      <c r="BD72">
        <v>5.333333333333333</v>
      </c>
      <c r="BE72">
        <v>56</v>
      </c>
      <c r="BF72" t="s">
        <v>177</v>
      </c>
      <c r="BG72">
        <v>1.1101650026993559</v>
      </c>
      <c r="BH72">
        <v>0.447924528301886</v>
      </c>
      <c r="BI72">
        <v>0.44060529974044099</v>
      </c>
      <c r="BJ72">
        <v>90</v>
      </c>
      <c r="BK72">
        <v>675.025178446018</v>
      </c>
      <c r="BL72">
        <v>46.649233534862333</v>
      </c>
      <c r="BM72">
        <v>2.5861640850133241</v>
      </c>
      <c r="BN72">
        <v>439.64789445226501</v>
      </c>
      <c r="BO72">
        <v>235.377283993753</v>
      </c>
    </row>
    <row r="73" spans="1:67" x14ac:dyDescent="0.25">
      <c r="A73" s="1">
        <v>71</v>
      </c>
      <c r="B73" t="s">
        <v>175</v>
      </c>
      <c r="C73" t="s">
        <v>176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67</v>
      </c>
      <c r="J73">
        <v>1.131</v>
      </c>
      <c r="K73">
        <v>500</v>
      </c>
      <c r="L73">
        <v>100</v>
      </c>
      <c r="N73" t="s">
        <v>68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69</v>
      </c>
      <c r="AM73">
        <v>5959.2416948426026</v>
      </c>
      <c r="AN73">
        <v>407.86684201321953</v>
      </c>
      <c r="AO73">
        <v>13071.88500804184</v>
      </c>
      <c r="AP73">
        <v>14106.78942135235</v>
      </c>
      <c r="AQ73">
        <v>1034.9044133105051</v>
      </c>
      <c r="AR73">
        <v>7.8812436090483322E-3</v>
      </c>
      <c r="AS73">
        <v>131.2430285486534</v>
      </c>
      <c r="AT73">
        <v>113.5963974477592</v>
      </c>
      <c r="AU73">
        <v>7.7748489260293088</v>
      </c>
      <c r="AV73">
        <v>249.17919440153631</v>
      </c>
      <c r="AW73">
        <v>268.90677369347929</v>
      </c>
      <c r="AX73">
        <v>19.727579291942991</v>
      </c>
      <c r="AY73">
        <v>1.46575996706786</v>
      </c>
      <c r="AZ73" t="str">
        <f>VLOOKUP(BA73,Sheet1!$A$1:$B$58,2,FALSE)</f>
        <v>Acrylate (PW1)</v>
      </c>
      <c r="BA73" t="s">
        <v>95</v>
      </c>
      <c r="BB73" t="s">
        <v>96</v>
      </c>
      <c r="BC73">
        <v>71.053619999999995</v>
      </c>
      <c r="BD73">
        <v>3.666666666666667</v>
      </c>
      <c r="BE73">
        <v>80</v>
      </c>
      <c r="BF73" t="s">
        <v>177</v>
      </c>
      <c r="BG73">
        <v>1.2700651602652691</v>
      </c>
      <c r="BH73">
        <v>0.39599999999999802</v>
      </c>
      <c r="BI73">
        <v>0.47655558905284301</v>
      </c>
      <c r="BJ73">
        <v>90</v>
      </c>
      <c r="BK73">
        <v>626.96841872677101</v>
      </c>
      <c r="BL73">
        <v>45.99575170268912</v>
      </c>
      <c r="BM73">
        <v>2.147421116346977</v>
      </c>
      <c r="BN73">
        <v>365.06158977898622</v>
      </c>
      <c r="BO73">
        <v>261.90682894778479</v>
      </c>
    </row>
    <row r="74" spans="1:67" x14ac:dyDescent="0.25">
      <c r="A74" s="1">
        <v>72</v>
      </c>
      <c r="B74" t="s">
        <v>175</v>
      </c>
      <c r="C74" t="s">
        <v>176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67</v>
      </c>
      <c r="J74">
        <v>1.131</v>
      </c>
      <c r="K74">
        <v>500</v>
      </c>
      <c r="L74">
        <v>100</v>
      </c>
      <c r="N74" t="s">
        <v>68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69</v>
      </c>
      <c r="AM74">
        <v>4675.7127144149481</v>
      </c>
      <c r="AN74">
        <v>320.01859911806332</v>
      </c>
      <c r="AO74">
        <v>10256.40208323279</v>
      </c>
      <c r="AP74">
        <v>11252.49342238122</v>
      </c>
      <c r="AQ74">
        <v>996.09133914842641</v>
      </c>
      <c r="AR74">
        <v>7.8812436090483357E-3</v>
      </c>
      <c r="AS74">
        <v>131.24302854865351</v>
      </c>
      <c r="AT74">
        <v>113.5963974477592</v>
      </c>
      <c r="AU74">
        <v>7.7748489260293114</v>
      </c>
      <c r="AV74">
        <v>249.17919440153639</v>
      </c>
      <c r="AW74">
        <v>273.37922433650931</v>
      </c>
      <c r="AX74">
        <v>24.20002993497295</v>
      </c>
      <c r="AY74">
        <v>1.4657599670678609</v>
      </c>
      <c r="AZ74" t="str">
        <f>VLOOKUP(BA74,Sheet1!$A$1:$B$58,2,FALSE)</f>
        <v>Acrylate (PW2)</v>
      </c>
      <c r="BA74" t="s">
        <v>97</v>
      </c>
      <c r="BB74" t="s">
        <v>96</v>
      </c>
      <c r="BC74">
        <v>71.053619999999995</v>
      </c>
      <c r="BD74">
        <v>3.666666666666667</v>
      </c>
      <c r="BE74">
        <v>80</v>
      </c>
      <c r="BF74" t="s">
        <v>177</v>
      </c>
      <c r="BG74">
        <v>0.59629053943488675</v>
      </c>
      <c r="BH74">
        <v>0.504705882352941</v>
      </c>
      <c r="BI74">
        <v>0.60737477036146903</v>
      </c>
      <c r="BJ74">
        <v>90</v>
      </c>
      <c r="BK74">
        <v>500.11081877249859</v>
      </c>
      <c r="BL74">
        <v>44.270726184374503</v>
      </c>
      <c r="BM74">
        <v>2.085121769907019</v>
      </c>
      <c r="BN74">
        <v>354.47070088419309</v>
      </c>
      <c r="BO74">
        <v>145.64011788830541</v>
      </c>
    </row>
    <row r="75" spans="1:67" x14ac:dyDescent="0.25">
      <c r="A75" s="1">
        <v>73</v>
      </c>
      <c r="B75" t="s">
        <v>175</v>
      </c>
      <c r="C75" t="s">
        <v>176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67</v>
      </c>
      <c r="J75">
        <v>1.131</v>
      </c>
      <c r="K75">
        <v>500</v>
      </c>
      <c r="L75">
        <v>100</v>
      </c>
      <c r="N75" t="s">
        <v>68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69</v>
      </c>
      <c r="AM75">
        <v>6485.2672823647026</v>
      </c>
      <c r="AN75">
        <v>443.8694756010579</v>
      </c>
      <c r="AO75">
        <v>14225.747587122571</v>
      </c>
      <c r="AP75">
        <v>15276.558669040471</v>
      </c>
      <c r="AQ75">
        <v>1050.811081917898</v>
      </c>
      <c r="AR75">
        <v>7.8812436090483339E-3</v>
      </c>
      <c r="AS75">
        <v>131.2430285486534</v>
      </c>
      <c r="AT75">
        <v>113.5963974477592</v>
      </c>
      <c r="AU75">
        <v>7.7748489260293088</v>
      </c>
      <c r="AV75">
        <v>249.17919440153631</v>
      </c>
      <c r="AW75">
        <v>267.58527515454591</v>
      </c>
      <c r="AX75">
        <v>18.406080753009601</v>
      </c>
      <c r="AY75">
        <v>1.46575996706786</v>
      </c>
      <c r="AZ75" t="str">
        <f>VLOOKUP(BA75,Sheet1!$A$1:$B$58,2,FALSE)</f>
        <v>Adipate</v>
      </c>
      <c r="BA75" t="s">
        <v>98</v>
      </c>
      <c r="BB75" t="s">
        <v>99</v>
      </c>
      <c r="BC75">
        <v>144.12291999999999</v>
      </c>
      <c r="BD75">
        <v>4</v>
      </c>
      <c r="BE75">
        <v>337.5</v>
      </c>
      <c r="BF75" t="s">
        <v>177</v>
      </c>
      <c r="BG75">
        <v>1.572184713764083</v>
      </c>
      <c r="BH75">
        <v>0.17939546599496201</v>
      </c>
      <c r="BI75">
        <v>0.43790175678903898</v>
      </c>
      <c r="BJ75">
        <v>90</v>
      </c>
      <c r="BK75">
        <v>678.95816306846552</v>
      </c>
      <c r="BL75">
        <v>46.702714751906761</v>
      </c>
      <c r="BM75">
        <v>2.1469649822156738</v>
      </c>
      <c r="BN75">
        <v>364.98404697666462</v>
      </c>
      <c r="BO75">
        <v>313.97411609180091</v>
      </c>
    </row>
    <row r="76" spans="1:67" x14ac:dyDescent="0.25">
      <c r="A76" s="1">
        <v>74</v>
      </c>
      <c r="B76" t="s">
        <v>175</v>
      </c>
      <c r="C76" t="s">
        <v>176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67</v>
      </c>
      <c r="J76">
        <v>1.131</v>
      </c>
      <c r="K76">
        <v>500</v>
      </c>
      <c r="L76">
        <v>100</v>
      </c>
      <c r="N76" t="s">
        <v>68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69</v>
      </c>
      <c r="AM76">
        <v>8749.3317686150076</v>
      </c>
      <c r="AN76">
        <v>598.82825717227331</v>
      </c>
      <c r="AO76">
        <v>19192.082589220019</v>
      </c>
      <c r="AP76">
        <v>20311.357495603559</v>
      </c>
      <c r="AQ76">
        <v>1119.2749063835361</v>
      </c>
      <c r="AR76">
        <v>7.8812436090483322E-3</v>
      </c>
      <c r="AS76">
        <v>131.2430285486534</v>
      </c>
      <c r="AT76">
        <v>113.5963974477592</v>
      </c>
      <c r="AU76">
        <v>7.7748489260293088</v>
      </c>
      <c r="AV76">
        <v>249.17919440153631</v>
      </c>
      <c r="AW76">
        <v>263.71122958791881</v>
      </c>
      <c r="AX76">
        <v>14.532035186382499</v>
      </c>
      <c r="AY76">
        <v>1.46575996706786</v>
      </c>
      <c r="AZ76" t="str">
        <f>VLOOKUP(BA76,Sheet1!$A$1:$B$58,2,FALSE)</f>
        <v>Benzoate (PW1)</v>
      </c>
      <c r="BA76" t="s">
        <v>100</v>
      </c>
      <c r="BB76" t="s">
        <v>101</v>
      </c>
      <c r="BC76">
        <v>121.1121</v>
      </c>
      <c r="BD76">
        <v>4.1428571428571432</v>
      </c>
      <c r="BE76">
        <v>249.2</v>
      </c>
      <c r="BF76" t="s">
        <v>177</v>
      </c>
      <c r="BG76">
        <v>2.0491903637353062</v>
      </c>
      <c r="BH76">
        <v>0.15823770491803399</v>
      </c>
      <c r="BI76">
        <v>0.32458592396519997</v>
      </c>
      <c r="BJ76">
        <v>90</v>
      </c>
      <c r="BK76">
        <v>902.72699980460243</v>
      </c>
      <c r="BL76">
        <v>49.745551394823792</v>
      </c>
      <c r="BM76">
        <v>2.9683475680869211</v>
      </c>
      <c r="BN76">
        <v>504.61908657477659</v>
      </c>
      <c r="BO76">
        <v>398.10791322982578</v>
      </c>
    </row>
    <row r="77" spans="1:67" x14ac:dyDescent="0.25">
      <c r="A77" s="1">
        <v>75</v>
      </c>
      <c r="B77" t="s">
        <v>175</v>
      </c>
      <c r="C77" t="s">
        <v>176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67</v>
      </c>
      <c r="J77">
        <v>1.131</v>
      </c>
      <c r="K77">
        <v>500</v>
      </c>
      <c r="L77">
        <v>100</v>
      </c>
      <c r="N77" t="s">
        <v>68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69</v>
      </c>
      <c r="AM77">
        <v>8749.331768615064</v>
      </c>
      <c r="AN77">
        <v>598.82825717227695</v>
      </c>
      <c r="AO77">
        <v>19192.082589220139</v>
      </c>
      <c r="AP77">
        <v>20311.357495603679</v>
      </c>
      <c r="AQ77">
        <v>1119.2749063835361</v>
      </c>
      <c r="AR77">
        <v>7.8812436090483322E-3</v>
      </c>
      <c r="AS77">
        <v>131.2430285486534</v>
      </c>
      <c r="AT77">
        <v>113.5963974477592</v>
      </c>
      <c r="AU77">
        <v>7.7748489260293088</v>
      </c>
      <c r="AV77">
        <v>249.17919440153639</v>
      </c>
      <c r="AW77">
        <v>263.71122958791881</v>
      </c>
      <c r="AX77">
        <v>14.532035186382441</v>
      </c>
      <c r="AY77">
        <v>1.4657599670678609</v>
      </c>
      <c r="AZ77" t="str">
        <f>VLOOKUP(BA77,Sheet1!$A$1:$B$58,2,FALSE)</f>
        <v>Benzoate (PW2)</v>
      </c>
      <c r="BA77" t="s">
        <v>102</v>
      </c>
      <c r="BB77" t="s">
        <v>101</v>
      </c>
      <c r="BC77">
        <v>121.1121</v>
      </c>
      <c r="BD77">
        <v>4.1428571428571432</v>
      </c>
      <c r="BE77">
        <v>249.2</v>
      </c>
      <c r="BF77" t="s">
        <v>177</v>
      </c>
      <c r="BG77">
        <v>2.049190363735319</v>
      </c>
      <c r="BH77">
        <v>0.15823770491803299</v>
      </c>
      <c r="BI77">
        <v>0.32458592396519798</v>
      </c>
      <c r="BJ77">
        <v>90</v>
      </c>
      <c r="BK77">
        <v>902.726999804608</v>
      </c>
      <c r="BL77">
        <v>49.745551394823913</v>
      </c>
      <c r="BM77">
        <v>2.9683475680869411</v>
      </c>
      <c r="BN77">
        <v>504.61908657478</v>
      </c>
      <c r="BO77">
        <v>398.107913229828</v>
      </c>
    </row>
    <row r="78" spans="1:67" x14ac:dyDescent="0.25">
      <c r="A78" s="1">
        <v>76</v>
      </c>
      <c r="B78" t="s">
        <v>175</v>
      </c>
      <c r="C78" t="s">
        <v>176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67</v>
      </c>
      <c r="J78">
        <v>1.131</v>
      </c>
      <c r="K78">
        <v>500</v>
      </c>
      <c r="L78">
        <v>100</v>
      </c>
      <c r="N78" t="s">
        <v>68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69</v>
      </c>
      <c r="AM78">
        <v>11244.95789792488</v>
      </c>
      <c r="AN78">
        <v>769.63575254340697</v>
      </c>
      <c r="AO78">
        <v>24666.359259964262</v>
      </c>
      <c r="AP78">
        <v>25861.10026295705</v>
      </c>
      <c r="AQ78">
        <v>1194.7410029927889</v>
      </c>
      <c r="AR78">
        <v>7.8812436090483322E-3</v>
      </c>
      <c r="AS78">
        <v>131.2430285486534</v>
      </c>
      <c r="AT78">
        <v>113.5963974477592</v>
      </c>
      <c r="AU78">
        <v>7.7748489260293114</v>
      </c>
      <c r="AV78">
        <v>249.17919440153631</v>
      </c>
      <c r="AW78">
        <v>261.24845024536188</v>
      </c>
      <c r="AX78">
        <v>12.06925584382563</v>
      </c>
      <c r="AY78">
        <v>1.46575996706786</v>
      </c>
      <c r="AZ78" t="str">
        <f>VLOOKUP(BA78,Sheet1!$A$1:$B$58,2,FALSE)</f>
        <v>Benzyl Alcohol</v>
      </c>
      <c r="BA78" t="s">
        <v>103</v>
      </c>
      <c r="BB78" t="s">
        <v>104</v>
      </c>
      <c r="BC78">
        <v>108.13661999999999</v>
      </c>
      <c r="BD78">
        <v>4.8571428571428568</v>
      </c>
      <c r="BE78">
        <v>205</v>
      </c>
      <c r="BF78" t="s">
        <v>177</v>
      </c>
      <c r="BG78">
        <v>3.054022571832546</v>
      </c>
      <c r="BH78">
        <v>0.13789285714285701</v>
      </c>
      <c r="BI78">
        <v>0.25254962819541099</v>
      </c>
      <c r="BJ78">
        <v>90</v>
      </c>
      <c r="BK78">
        <v>1149.3822339092019</v>
      </c>
      <c r="BL78">
        <v>53.09960013301275</v>
      </c>
      <c r="BM78">
        <v>3.3946988033215102</v>
      </c>
      <c r="BN78">
        <v>577.09879656465671</v>
      </c>
      <c r="BO78">
        <v>572.28343734454563</v>
      </c>
    </row>
    <row r="79" spans="1:67" x14ac:dyDescent="0.25">
      <c r="A79" s="1">
        <v>77</v>
      </c>
      <c r="B79" t="s">
        <v>175</v>
      </c>
      <c r="C79" t="s">
        <v>176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67</v>
      </c>
      <c r="J79">
        <v>1.131</v>
      </c>
      <c r="K79">
        <v>500</v>
      </c>
      <c r="L79">
        <v>100</v>
      </c>
      <c r="N79" t="s">
        <v>68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69</v>
      </c>
      <c r="AM79">
        <v>11787.80513368929</v>
      </c>
      <c r="AN79">
        <v>806.78970586240882</v>
      </c>
      <c r="AO79">
        <v>25857.12093841521</v>
      </c>
      <c r="AP79">
        <v>27068.277285620468</v>
      </c>
      <c r="AQ79">
        <v>1211.1563472052619</v>
      </c>
      <c r="AR79">
        <v>7.8812436090483339E-3</v>
      </c>
      <c r="AS79">
        <v>131.2430285486534</v>
      </c>
      <c r="AT79">
        <v>113.5963974477592</v>
      </c>
      <c r="AU79">
        <v>7.7748489260293114</v>
      </c>
      <c r="AV79">
        <v>249.17919440153631</v>
      </c>
      <c r="AW79">
        <v>260.85083269451218</v>
      </c>
      <c r="AX79">
        <v>11.671638292975871</v>
      </c>
      <c r="AY79">
        <v>1.46575996706786</v>
      </c>
      <c r="AZ79" t="str">
        <f>VLOOKUP(BA79,Sheet1!$A$1:$B$58,2,FALSE)</f>
        <v>Beta Carotene</v>
      </c>
      <c r="BA79" t="s">
        <v>105</v>
      </c>
      <c r="BB79" t="s">
        <v>106</v>
      </c>
      <c r="BC79">
        <v>536.86703999999997</v>
      </c>
      <c r="BD79">
        <v>5.4</v>
      </c>
      <c r="BE79">
        <v>633</v>
      </c>
      <c r="BF79" t="s">
        <v>177</v>
      </c>
      <c r="BG79">
        <v>2.9088563189102059</v>
      </c>
      <c r="BH79">
        <v>2.6495535714285701E-2</v>
      </c>
      <c r="BI79">
        <v>0.24091931483305401</v>
      </c>
      <c r="BJ79">
        <v>90</v>
      </c>
      <c r="BK79">
        <v>1203.0345460275771</v>
      </c>
      <c r="BL79">
        <v>53.829170986900643</v>
      </c>
      <c r="BM79">
        <v>3.851175298976123</v>
      </c>
      <c r="BN79">
        <v>654.69980082594088</v>
      </c>
      <c r="BO79">
        <v>548.334745201636</v>
      </c>
    </row>
    <row r="80" spans="1:67" x14ac:dyDescent="0.25">
      <c r="A80" s="1">
        <v>78</v>
      </c>
      <c r="B80" t="s">
        <v>175</v>
      </c>
      <c r="C80" t="s">
        <v>176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67</v>
      </c>
      <c r="J80">
        <v>1.131</v>
      </c>
      <c r="K80">
        <v>500</v>
      </c>
      <c r="L80">
        <v>100</v>
      </c>
      <c r="N80" t="s">
        <v>68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107</v>
      </c>
      <c r="AM80">
        <v>12638.35200237782</v>
      </c>
      <c r="AN80">
        <v>865.00346578029519</v>
      </c>
      <c r="AO80">
        <v>27722.836650377161</v>
      </c>
      <c r="AP80">
        <v>30275.151010981001</v>
      </c>
      <c r="AQ80">
        <v>2552.3143606038361</v>
      </c>
      <c r="AR80">
        <v>7.8812436090483339E-3</v>
      </c>
      <c r="AS80">
        <v>131.2430285486534</v>
      </c>
      <c r="AT80">
        <v>113.5963974477592</v>
      </c>
      <c r="AU80">
        <v>7.7748489260293114</v>
      </c>
      <c r="AV80">
        <v>249.17919440153639</v>
      </c>
      <c r="AW80">
        <v>272.1199794393504</v>
      </c>
      <c r="AX80">
        <v>22.940785037814042</v>
      </c>
      <c r="AY80">
        <v>1.4657599670678609</v>
      </c>
      <c r="AZ80" t="str">
        <f>VLOOKUP(BA80,Sheet1!$A$1:$B$58,2,FALSE)</f>
        <v>Butane</v>
      </c>
      <c r="BA80" t="s">
        <v>108</v>
      </c>
      <c r="BB80" t="s">
        <v>109</v>
      </c>
      <c r="BC80">
        <v>58.121200000000002</v>
      </c>
      <c r="BD80">
        <v>6.5</v>
      </c>
      <c r="BE80">
        <v>-1</v>
      </c>
      <c r="BF80" t="s">
        <v>177</v>
      </c>
      <c r="BG80">
        <v>3.605522668631314</v>
      </c>
      <c r="BH80">
        <v>0.228269230769231</v>
      </c>
      <c r="BI80">
        <v>0.22470571603478601</v>
      </c>
      <c r="BJ80">
        <v>90</v>
      </c>
      <c r="BK80">
        <v>1345.562267154711</v>
      </c>
      <c r="BL80">
        <v>113.4361938046147</v>
      </c>
      <c r="BM80">
        <v>3.6422777628398411</v>
      </c>
      <c r="BN80">
        <v>619.18721968277293</v>
      </c>
      <c r="BO80">
        <v>726.37504747193782</v>
      </c>
    </row>
    <row r="81" spans="1:67" x14ac:dyDescent="0.25">
      <c r="A81" s="1">
        <v>79</v>
      </c>
      <c r="B81" t="s">
        <v>175</v>
      </c>
      <c r="C81" t="s">
        <v>176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67</v>
      </c>
      <c r="J81">
        <v>1.131</v>
      </c>
      <c r="K81">
        <v>500</v>
      </c>
      <c r="L81">
        <v>100</v>
      </c>
      <c r="N81" t="s">
        <v>68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69</v>
      </c>
      <c r="AM81">
        <v>8099.794926926781</v>
      </c>
      <c r="AN81">
        <v>554.37217467776804</v>
      </c>
      <c r="AO81">
        <v>17767.29209777488</v>
      </c>
      <c r="AP81">
        <v>18866.925436268732</v>
      </c>
      <c r="AQ81">
        <v>1099.6333384938521</v>
      </c>
      <c r="AR81">
        <v>7.8812436090483339E-3</v>
      </c>
      <c r="AS81">
        <v>131.2430285486534</v>
      </c>
      <c r="AT81">
        <v>113.5963974477592</v>
      </c>
      <c r="AU81">
        <v>7.7748489260293088</v>
      </c>
      <c r="AV81">
        <v>249.17919440153631</v>
      </c>
      <c r="AW81">
        <v>264.60111395546119</v>
      </c>
      <c r="AX81">
        <v>15.421919553924941</v>
      </c>
      <c r="AY81">
        <v>1.46575996706786</v>
      </c>
      <c r="AZ81" t="str">
        <f>VLOOKUP(BA81,Sheet1!$A$1:$B$58,2,FALSE)</f>
        <v>Butanol (PW1)</v>
      </c>
      <c r="BA81" t="s">
        <v>110</v>
      </c>
      <c r="BB81" t="s">
        <v>111</v>
      </c>
      <c r="BC81">
        <v>74.120199999999997</v>
      </c>
      <c r="BD81">
        <v>6</v>
      </c>
      <c r="BE81">
        <v>117.7</v>
      </c>
      <c r="BF81" t="s">
        <v>177</v>
      </c>
      <c r="BG81">
        <v>1.876838470443511</v>
      </c>
      <c r="BH81">
        <v>0.27929411764705903</v>
      </c>
      <c r="BI81">
        <v>0.35061504171581498</v>
      </c>
      <c r="BJ81">
        <v>90</v>
      </c>
      <c r="BK81">
        <v>838.53001938972125</v>
      </c>
      <c r="BL81">
        <v>48.872592821949063</v>
      </c>
      <c r="BM81">
        <v>2.768205215249266</v>
      </c>
      <c r="BN81">
        <v>470.5948865923753</v>
      </c>
      <c r="BO81">
        <v>367.93513279734589</v>
      </c>
    </row>
    <row r="82" spans="1:67" x14ac:dyDescent="0.25">
      <c r="A82" s="1">
        <v>80</v>
      </c>
      <c r="B82" t="s">
        <v>175</v>
      </c>
      <c r="C82" t="s">
        <v>176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67</v>
      </c>
      <c r="J82">
        <v>1.131</v>
      </c>
      <c r="K82">
        <v>500</v>
      </c>
      <c r="L82">
        <v>100</v>
      </c>
      <c r="N82" t="s">
        <v>68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69</v>
      </c>
      <c r="AM82">
        <v>9579.7410030675055</v>
      </c>
      <c r="AN82">
        <v>655.66374218505234</v>
      </c>
      <c r="AO82">
        <v>21013.625426083559</v>
      </c>
      <c r="AP82">
        <v>22158.011362831949</v>
      </c>
      <c r="AQ82">
        <v>1144.385936748386</v>
      </c>
      <c r="AR82">
        <v>7.8812436090483339E-3</v>
      </c>
      <c r="AS82">
        <v>131.2430285486534</v>
      </c>
      <c r="AT82">
        <v>113.5963974477592</v>
      </c>
      <c r="AU82">
        <v>7.7748489260293114</v>
      </c>
      <c r="AV82">
        <v>249.17919440153639</v>
      </c>
      <c r="AW82">
        <v>262.74930236822041</v>
      </c>
      <c r="AX82">
        <v>13.57010796668399</v>
      </c>
      <c r="AY82">
        <v>1.4657599670678609</v>
      </c>
      <c r="AZ82" t="str">
        <f>VLOOKUP(BA82,Sheet1!$A$1:$B$58,2,FALSE)</f>
        <v>Butanol (PW2)</v>
      </c>
      <c r="BA82" t="s">
        <v>112</v>
      </c>
      <c r="BB82" t="s">
        <v>111</v>
      </c>
      <c r="BC82">
        <v>74.120199999999997</v>
      </c>
      <c r="BD82">
        <v>6</v>
      </c>
      <c r="BE82">
        <v>117.7</v>
      </c>
      <c r="BF82" t="s">
        <v>177</v>
      </c>
      <c r="BG82">
        <v>2.6537201158964221</v>
      </c>
      <c r="BH82">
        <v>0.236146788990826</v>
      </c>
      <c r="BI82">
        <v>0.29644955278901802</v>
      </c>
      <c r="BJ82">
        <v>90</v>
      </c>
      <c r="BK82">
        <v>984.80050501475296</v>
      </c>
      <c r="BL82">
        <v>50.861597188817051</v>
      </c>
      <c r="BM82">
        <v>2.8400381654326128</v>
      </c>
      <c r="BN82">
        <v>482.80648812354423</v>
      </c>
      <c r="BO82">
        <v>501.99401689120879</v>
      </c>
    </row>
    <row r="83" spans="1:67" x14ac:dyDescent="0.25">
      <c r="A83" s="1">
        <v>81</v>
      </c>
      <c r="B83" t="s">
        <v>175</v>
      </c>
      <c r="C83" t="s">
        <v>176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67</v>
      </c>
      <c r="J83">
        <v>1.131</v>
      </c>
      <c r="K83">
        <v>500</v>
      </c>
      <c r="L83">
        <v>100</v>
      </c>
      <c r="N83" t="s">
        <v>68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69</v>
      </c>
      <c r="AM83">
        <v>5514.4725427740987</v>
      </c>
      <c r="AN83">
        <v>377.42562167539103</v>
      </c>
      <c r="AO83">
        <v>12096.26235189157</v>
      </c>
      <c r="AP83">
        <v>13117.717237885219</v>
      </c>
      <c r="AQ83">
        <v>1021.454885993649</v>
      </c>
      <c r="AR83">
        <v>7.8812436090483339E-3</v>
      </c>
      <c r="AS83">
        <v>131.2430285486534</v>
      </c>
      <c r="AT83">
        <v>113.5963974477592</v>
      </c>
      <c r="AU83">
        <v>7.7748489260293114</v>
      </c>
      <c r="AV83">
        <v>249.17919440153631</v>
      </c>
      <c r="AW83">
        <v>270.22084331795628</v>
      </c>
      <c r="AX83">
        <v>21.04164891641997</v>
      </c>
      <c r="AY83">
        <v>1.46575996706786</v>
      </c>
      <c r="AZ83" t="str">
        <f>VLOOKUP(BA83,Sheet1!$A$1:$B$58,2,FALSE)</f>
        <v>Butyrate</v>
      </c>
      <c r="BA83" t="s">
        <v>113</v>
      </c>
      <c r="BB83" t="s">
        <v>114</v>
      </c>
      <c r="BC83">
        <v>87.095680000000002</v>
      </c>
      <c r="BD83">
        <v>4.75</v>
      </c>
      <c r="BE83">
        <v>163.5</v>
      </c>
      <c r="BF83" t="s">
        <v>177</v>
      </c>
      <c r="BG83">
        <v>0.87353717472065018</v>
      </c>
      <c r="BH83">
        <v>0.34911764705882298</v>
      </c>
      <c r="BI83">
        <v>0.51499212556879304</v>
      </c>
      <c r="BJ83">
        <v>90</v>
      </c>
      <c r="BK83">
        <v>583.00965501712096</v>
      </c>
      <c r="BL83">
        <v>45.397994933051137</v>
      </c>
      <c r="BM83">
        <v>2.288884355185643</v>
      </c>
      <c r="BN83">
        <v>389.11034038155918</v>
      </c>
      <c r="BO83">
        <v>193.89931463556169</v>
      </c>
    </row>
    <row r="84" spans="1:67" x14ac:dyDescent="0.25">
      <c r="A84" s="1">
        <v>82</v>
      </c>
      <c r="B84" t="s">
        <v>175</v>
      </c>
      <c r="C84" t="s">
        <v>176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67</v>
      </c>
      <c r="J84">
        <v>1.131</v>
      </c>
      <c r="K84">
        <v>500</v>
      </c>
      <c r="L84">
        <v>100</v>
      </c>
      <c r="N84" t="s">
        <v>68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69</v>
      </c>
      <c r="AM84">
        <v>7462.2893951581791</v>
      </c>
      <c r="AN84">
        <v>510.73954802437208</v>
      </c>
      <c r="AO84">
        <v>16368.892866798589</v>
      </c>
      <c r="AP84">
        <v>17449.248456320209</v>
      </c>
      <c r="AQ84">
        <v>1080.355589521618</v>
      </c>
      <c r="AR84">
        <v>7.8812436090483322E-3</v>
      </c>
      <c r="AS84">
        <v>131.2430285486534</v>
      </c>
      <c r="AT84">
        <v>113.5963974477592</v>
      </c>
      <c r="AU84">
        <v>7.7748489260293088</v>
      </c>
      <c r="AV84">
        <v>249.17919440153631</v>
      </c>
      <c r="AW84">
        <v>265.62515306562062</v>
      </c>
      <c r="AX84">
        <v>16.445958664084259</v>
      </c>
      <c r="AY84">
        <v>1.4657599670678609</v>
      </c>
      <c r="AZ84" t="str">
        <f>VLOOKUP(BA84,Sheet1!$A$1:$B$58,2,FALSE)</f>
        <v>Catechol</v>
      </c>
      <c r="BA84" t="s">
        <v>115</v>
      </c>
      <c r="BB84" t="s">
        <v>116</v>
      </c>
      <c r="BC84">
        <v>110.10924</v>
      </c>
      <c r="BD84">
        <v>4.333333333333333</v>
      </c>
      <c r="BE84">
        <v>245</v>
      </c>
      <c r="BF84" t="s">
        <v>177</v>
      </c>
      <c r="BG84">
        <v>1.519084043750514</v>
      </c>
      <c r="BH84">
        <v>0.20406876790830999</v>
      </c>
      <c r="BI84">
        <v>0.38056818568797701</v>
      </c>
      <c r="BJ84">
        <v>90</v>
      </c>
      <c r="BK84">
        <v>775.52215361423134</v>
      </c>
      <c r="BL84">
        <v>48.015803978738511</v>
      </c>
      <c r="BM84">
        <v>2.7603650717523851</v>
      </c>
      <c r="BN84">
        <v>469.26206219790538</v>
      </c>
      <c r="BO84">
        <v>306.26009141632602</v>
      </c>
    </row>
    <row r="85" spans="1:67" x14ac:dyDescent="0.25">
      <c r="A85" s="1">
        <v>83</v>
      </c>
      <c r="B85" t="s">
        <v>175</v>
      </c>
      <c r="C85" t="s">
        <v>176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67</v>
      </c>
      <c r="J85">
        <v>1.131</v>
      </c>
      <c r="K85">
        <v>500</v>
      </c>
      <c r="L85">
        <v>100</v>
      </c>
      <c r="N85" t="s">
        <v>68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69</v>
      </c>
      <c r="AM85">
        <v>5966.0488785346524</v>
      </c>
      <c r="AN85">
        <v>408.33274433060359</v>
      </c>
      <c r="AO85">
        <v>13086.816894850201</v>
      </c>
      <c r="AP85">
        <v>14121.92715292892</v>
      </c>
      <c r="AQ85">
        <v>1035.110258078719</v>
      </c>
      <c r="AR85">
        <v>7.8812436090483322E-3</v>
      </c>
      <c r="AS85">
        <v>131.2430285486534</v>
      </c>
      <c r="AT85">
        <v>113.5963974477592</v>
      </c>
      <c r="AU85">
        <v>7.7748489260293088</v>
      </c>
      <c r="AV85">
        <v>249.17919440153639</v>
      </c>
      <c r="AW85">
        <v>268.88818416560332</v>
      </c>
      <c r="AX85">
        <v>19.70898976406696</v>
      </c>
      <c r="AY85">
        <v>1.4657599670678609</v>
      </c>
      <c r="AZ85" t="str">
        <f>VLOOKUP(BA85,Sheet1!$A$1:$B$58,2,FALSE)</f>
        <v>cis,cis-Muconate</v>
      </c>
      <c r="BA85" t="s">
        <v>117</v>
      </c>
      <c r="BB85" t="s">
        <v>118</v>
      </c>
      <c r="BC85">
        <v>140.09155999999999</v>
      </c>
      <c r="BD85">
        <v>3.333333333333333</v>
      </c>
      <c r="BE85">
        <v>345.4</v>
      </c>
      <c r="BF85" t="s">
        <v>177</v>
      </c>
      <c r="BG85">
        <v>1.246902542345804</v>
      </c>
      <c r="BH85">
        <v>0.200619718309859</v>
      </c>
      <c r="BI85">
        <v>0.47601184536247099</v>
      </c>
      <c r="BJ85">
        <v>90</v>
      </c>
      <c r="BK85">
        <v>627.64120679684106</v>
      </c>
      <c r="BL85">
        <v>46.004900359054112</v>
      </c>
      <c r="BM85">
        <v>2.1744874955235312</v>
      </c>
      <c r="BN85">
        <v>369.66287423900019</v>
      </c>
      <c r="BO85">
        <v>257.97833255784082</v>
      </c>
    </row>
    <row r="86" spans="1:67" x14ac:dyDescent="0.25">
      <c r="A86" s="1">
        <v>84</v>
      </c>
      <c r="B86" t="s">
        <v>175</v>
      </c>
      <c r="C86" t="s">
        <v>176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67</v>
      </c>
      <c r="J86">
        <v>1.131</v>
      </c>
      <c r="K86">
        <v>500</v>
      </c>
      <c r="L86">
        <v>100</v>
      </c>
      <c r="N86" t="s">
        <v>68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69</v>
      </c>
      <c r="AM86">
        <v>2726.6618355893738</v>
      </c>
      <c r="AN86">
        <v>186.6202126156891</v>
      </c>
      <c r="AO86">
        <v>5981.0646716154006</v>
      </c>
      <c r="AP86">
        <v>6918.2179910859868</v>
      </c>
      <c r="AQ86">
        <v>937.15331947058621</v>
      </c>
      <c r="AR86">
        <v>7.8812436090483339E-3</v>
      </c>
      <c r="AS86">
        <v>131.2430285486534</v>
      </c>
      <c r="AT86">
        <v>113.5963974477592</v>
      </c>
      <c r="AU86">
        <v>7.7748489260293114</v>
      </c>
      <c r="AV86">
        <v>249.17919440153631</v>
      </c>
      <c r="AW86">
        <v>288.22226148031712</v>
      </c>
      <c r="AX86">
        <v>39.043067078780808</v>
      </c>
      <c r="AY86">
        <v>1.4657599670678609</v>
      </c>
      <c r="AZ86" t="str">
        <f>VLOOKUP(BA86,Sheet1!$A$1:$B$58,2,FALSE)</f>
        <v>Citrate</v>
      </c>
      <c r="BA86" t="s">
        <v>119</v>
      </c>
      <c r="BB86" t="s">
        <v>120</v>
      </c>
      <c r="BC86">
        <v>189.09639999999999</v>
      </c>
      <c r="BD86">
        <v>2.5</v>
      </c>
      <c r="BF86" t="s">
        <v>177</v>
      </c>
      <c r="BG86">
        <v>3.4900961450387777E-2</v>
      </c>
      <c r="BH86">
        <v>0.32520547945205402</v>
      </c>
      <c r="BI86">
        <v>1.04153360681785</v>
      </c>
      <c r="BJ86">
        <v>90</v>
      </c>
      <c r="BK86">
        <v>307.47635515937708</v>
      </c>
      <c r="BL86">
        <v>41.651258643137147</v>
      </c>
      <c r="BM86">
        <v>1.5287760768804359</v>
      </c>
      <c r="BN86">
        <v>259.89193306967422</v>
      </c>
      <c r="BO86">
        <v>47.584422089702969</v>
      </c>
    </row>
    <row r="87" spans="1:67" x14ac:dyDescent="0.25">
      <c r="A87" s="1">
        <v>85</v>
      </c>
      <c r="B87" t="s">
        <v>175</v>
      </c>
      <c r="C87" t="s">
        <v>176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67</v>
      </c>
      <c r="J87">
        <v>1.131</v>
      </c>
      <c r="K87">
        <v>500</v>
      </c>
      <c r="L87">
        <v>100</v>
      </c>
      <c r="N87" t="s">
        <v>68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69</v>
      </c>
      <c r="AM87">
        <v>7573.0814986883597</v>
      </c>
      <c r="AN87">
        <v>518.32246338522498</v>
      </c>
      <c r="AO87">
        <v>16611.920706800269</v>
      </c>
      <c r="AP87">
        <v>17695.626576834809</v>
      </c>
      <c r="AQ87">
        <v>1083.7058700345369</v>
      </c>
      <c r="AR87">
        <v>7.8812436090483339E-3</v>
      </c>
      <c r="AS87">
        <v>131.2430285486534</v>
      </c>
      <c r="AT87">
        <v>113.5963974477592</v>
      </c>
      <c r="AU87">
        <v>7.7748489260293114</v>
      </c>
      <c r="AV87">
        <v>249.17919440153631</v>
      </c>
      <c r="AW87">
        <v>265.43480748984581</v>
      </c>
      <c r="AX87">
        <v>16.255613088309449</v>
      </c>
      <c r="AY87">
        <v>1.46575996706786</v>
      </c>
      <c r="AZ87" t="str">
        <f>VLOOKUP(BA87,Sheet1!$A$1:$B$58,2,FALSE)</f>
        <v>Coumaric Acid</v>
      </c>
      <c r="BA87" t="s">
        <v>121</v>
      </c>
      <c r="BB87" t="s">
        <v>122</v>
      </c>
      <c r="BC87">
        <v>163.14818</v>
      </c>
      <c r="BD87">
        <v>4.1111111111111107</v>
      </c>
      <c r="BE87">
        <v>346</v>
      </c>
      <c r="BF87" t="s">
        <v>177</v>
      </c>
      <c r="BG87">
        <v>1.547614074398004</v>
      </c>
      <c r="BH87">
        <v>0.135711775043937</v>
      </c>
      <c r="BI87">
        <v>0.37500057759656302</v>
      </c>
      <c r="BJ87">
        <v>90</v>
      </c>
      <c r="BK87">
        <v>786.47229230376911</v>
      </c>
      <c r="BL87">
        <v>48.164705334868167</v>
      </c>
      <c r="BM87">
        <v>2.795371731301413</v>
      </c>
      <c r="BN87">
        <v>475.21319432124028</v>
      </c>
      <c r="BO87">
        <v>311.25909798252877</v>
      </c>
    </row>
    <row r="88" spans="1:67" x14ac:dyDescent="0.25">
      <c r="A88" s="1">
        <v>86</v>
      </c>
      <c r="B88" t="s">
        <v>175</v>
      </c>
      <c r="C88" t="s">
        <v>176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67</v>
      </c>
      <c r="J88">
        <v>1.131</v>
      </c>
      <c r="K88">
        <v>500</v>
      </c>
      <c r="L88">
        <v>100</v>
      </c>
      <c r="N88" t="s">
        <v>68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69</v>
      </c>
      <c r="AM88">
        <v>5691.8935436189413</v>
      </c>
      <c r="AN88">
        <v>389.5688014668799</v>
      </c>
      <c r="AO88">
        <v>12485.44390213187</v>
      </c>
      <c r="AP88">
        <v>13512.263882773719</v>
      </c>
      <c r="AQ88">
        <v>1026.819980641849</v>
      </c>
      <c r="AR88">
        <v>7.8812436090483322E-3</v>
      </c>
      <c r="AS88">
        <v>131.2430285486534</v>
      </c>
      <c r="AT88">
        <v>113.5963974477592</v>
      </c>
      <c r="AU88">
        <v>7.7748489260293088</v>
      </c>
      <c r="AV88">
        <v>249.17919440153631</v>
      </c>
      <c r="AW88">
        <v>269.6720321073746</v>
      </c>
      <c r="AX88">
        <v>20.492837705838351</v>
      </c>
      <c r="AY88">
        <v>1.46575996706786</v>
      </c>
      <c r="AZ88" t="str">
        <f>VLOOKUP(BA88,Sheet1!$A$1:$B$58,2,FALSE)</f>
        <v>Ethyl Acetate</v>
      </c>
      <c r="BA88" t="s">
        <v>123</v>
      </c>
      <c r="BB88" t="s">
        <v>124</v>
      </c>
      <c r="BC88">
        <v>88.103520000000003</v>
      </c>
      <c r="BD88">
        <v>5</v>
      </c>
      <c r="BE88">
        <v>77.099999999999994</v>
      </c>
      <c r="BF88" t="s">
        <v>177</v>
      </c>
      <c r="BG88">
        <v>0.98979374938837761</v>
      </c>
      <c r="BH88">
        <v>0.33436619718309801</v>
      </c>
      <c r="BI88">
        <v>0.49893939765928003</v>
      </c>
      <c r="BJ88">
        <v>90</v>
      </c>
      <c r="BK88">
        <v>600.5450614566098</v>
      </c>
      <c r="BL88">
        <v>45.636443584082279</v>
      </c>
      <c r="BM88">
        <v>2.2743745910382551</v>
      </c>
      <c r="BN88">
        <v>386.64368047650339</v>
      </c>
      <c r="BO88">
        <v>213.90138098010641</v>
      </c>
    </row>
    <row r="89" spans="1:67" x14ac:dyDescent="0.25">
      <c r="A89" s="1">
        <v>87</v>
      </c>
      <c r="B89" t="s">
        <v>175</v>
      </c>
      <c r="C89" t="s">
        <v>176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67</v>
      </c>
      <c r="J89">
        <v>1.131</v>
      </c>
      <c r="K89">
        <v>500</v>
      </c>
      <c r="L89">
        <v>100</v>
      </c>
      <c r="N89" t="s">
        <v>68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84</v>
      </c>
      <c r="AM89">
        <v>11348.59391598094</v>
      </c>
      <c r="AN89">
        <v>776.72888579221069</v>
      </c>
      <c r="AO89">
        <v>24893.68988021625</v>
      </c>
      <c r="AP89">
        <v>27072.200452153469</v>
      </c>
      <c r="AQ89">
        <v>2178.5105719372191</v>
      </c>
      <c r="AR89">
        <v>7.8812436090483322E-3</v>
      </c>
      <c r="AS89">
        <v>131.2430285486534</v>
      </c>
      <c r="AT89">
        <v>113.5963974477592</v>
      </c>
      <c r="AU89">
        <v>7.7748489260293088</v>
      </c>
      <c r="AV89">
        <v>249.17919440153631</v>
      </c>
      <c r="AW89">
        <v>270.98550402950178</v>
      </c>
      <c r="AX89">
        <v>21.806309627965479</v>
      </c>
      <c r="AY89">
        <v>1.46575996706786</v>
      </c>
      <c r="AZ89" t="str">
        <f>VLOOKUP(BA89,Sheet1!$A$1:$B$58,2,FALSE)</f>
        <v>Farnesene</v>
      </c>
      <c r="BA89" t="s">
        <v>125</v>
      </c>
      <c r="BB89" t="s">
        <v>126</v>
      </c>
      <c r="BC89">
        <v>204.34866</v>
      </c>
      <c r="BD89">
        <v>5.6</v>
      </c>
      <c r="BE89" t="s">
        <v>127</v>
      </c>
      <c r="BF89" t="s">
        <v>177</v>
      </c>
      <c r="BG89">
        <v>2.726813228775903</v>
      </c>
      <c r="BH89">
        <v>7.2303370786517093E-2</v>
      </c>
      <c r="BI89">
        <v>0.25024333033847102</v>
      </c>
      <c r="BJ89">
        <v>90</v>
      </c>
      <c r="BK89">
        <v>1203.208908984599</v>
      </c>
      <c r="BL89">
        <v>96.822692086098613</v>
      </c>
      <c r="BM89">
        <v>3.781340988274096</v>
      </c>
      <c r="BN89">
        <v>642.82796800659628</v>
      </c>
      <c r="BO89">
        <v>560.38094097800229</v>
      </c>
    </row>
    <row r="90" spans="1:67" x14ac:dyDescent="0.25">
      <c r="A90" s="1">
        <v>88</v>
      </c>
      <c r="B90" t="s">
        <v>175</v>
      </c>
      <c r="C90" t="s">
        <v>176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67</v>
      </c>
      <c r="J90">
        <v>1.131</v>
      </c>
      <c r="K90">
        <v>500</v>
      </c>
      <c r="L90">
        <v>100</v>
      </c>
      <c r="N90" t="s">
        <v>68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84</v>
      </c>
      <c r="AM90">
        <v>5907.2093909281912</v>
      </c>
      <c r="AN90">
        <v>404.30560845919041</v>
      </c>
      <c r="AO90">
        <v>12957.74963171345</v>
      </c>
      <c r="AP90">
        <v>14971.71630605602</v>
      </c>
      <c r="AQ90">
        <v>2013.9666743425639</v>
      </c>
      <c r="AR90">
        <v>7.8812436090483339E-3</v>
      </c>
      <c r="AS90">
        <v>131.2430285486534</v>
      </c>
      <c r="AT90">
        <v>113.5963974477592</v>
      </c>
      <c r="AU90">
        <v>7.7748489260293114</v>
      </c>
      <c r="AV90">
        <v>249.17919440153631</v>
      </c>
      <c r="AW90">
        <v>287.90803295202011</v>
      </c>
      <c r="AX90">
        <v>38.7288385504838</v>
      </c>
      <c r="AY90">
        <v>1.46575996706786</v>
      </c>
      <c r="AZ90" t="str">
        <f>VLOOKUP(BA90,Sheet1!$A$1:$B$58,2,FALSE)</f>
        <v>Gamma Butyrolactone</v>
      </c>
      <c r="BA90" t="s">
        <v>128</v>
      </c>
      <c r="BB90" t="s">
        <v>129</v>
      </c>
      <c r="BC90">
        <v>86.08784</v>
      </c>
      <c r="BD90">
        <v>4.5</v>
      </c>
      <c r="BE90">
        <v>204</v>
      </c>
      <c r="BF90" t="s">
        <v>177</v>
      </c>
      <c r="BG90">
        <v>1.056037412263569</v>
      </c>
      <c r="BH90">
        <v>0.32972222222222197</v>
      </c>
      <c r="BI90">
        <v>0.48075322004926402</v>
      </c>
      <c r="BJ90">
        <v>90</v>
      </c>
      <c r="BK90">
        <v>665.40961360248969</v>
      </c>
      <c r="BL90">
        <v>89.509629970780622</v>
      </c>
      <c r="BM90">
        <v>2.3316095502758949</v>
      </c>
      <c r="BN90">
        <v>396.37362354690219</v>
      </c>
      <c r="BO90">
        <v>269.03599005558749</v>
      </c>
    </row>
    <row r="91" spans="1:67" x14ac:dyDescent="0.25">
      <c r="A91" s="1">
        <v>89</v>
      </c>
      <c r="B91" t="s">
        <v>175</v>
      </c>
      <c r="C91" t="s">
        <v>176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67</v>
      </c>
      <c r="J91">
        <v>1.131</v>
      </c>
      <c r="K91">
        <v>500</v>
      </c>
      <c r="L91">
        <v>100</v>
      </c>
      <c r="N91" t="s">
        <v>68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69</v>
      </c>
      <c r="AM91">
        <v>3395.5306047517179</v>
      </c>
      <c r="AN91">
        <v>232.39942523524371</v>
      </c>
      <c r="AO91">
        <v>7448.2606813908651</v>
      </c>
      <c r="AP91">
        <v>8405.6401535530313</v>
      </c>
      <c r="AQ91">
        <v>957.37947216216617</v>
      </c>
      <c r="AR91">
        <v>7.8812436090483322E-3</v>
      </c>
      <c r="AS91">
        <v>131.2430285486534</v>
      </c>
      <c r="AT91">
        <v>113.5963974477592</v>
      </c>
      <c r="AU91">
        <v>7.7748489260293114</v>
      </c>
      <c r="AV91">
        <v>249.17919440153631</v>
      </c>
      <c r="AW91">
        <v>281.20802043416501</v>
      </c>
      <c r="AX91">
        <v>32.0288260326287</v>
      </c>
      <c r="AY91">
        <v>1.46575996706786</v>
      </c>
      <c r="AZ91" t="str">
        <f>VLOOKUP(BA91,Sheet1!$A$1:$B$58,2,FALSE)</f>
        <v>L-Glutamate</v>
      </c>
      <c r="BA91" t="s">
        <v>130</v>
      </c>
      <c r="BB91" t="s">
        <v>131</v>
      </c>
      <c r="BC91">
        <v>146.11892</v>
      </c>
      <c r="BD91">
        <v>3.4</v>
      </c>
      <c r="BE91">
        <v>333.8</v>
      </c>
      <c r="BF91" t="s">
        <v>177</v>
      </c>
      <c r="BG91">
        <v>0.27648183158484951</v>
      </c>
      <c r="BH91">
        <v>0.33795454545454501</v>
      </c>
      <c r="BI91">
        <v>0.83636705621789997</v>
      </c>
      <c r="BJ91">
        <v>90</v>
      </c>
      <c r="BK91">
        <v>373.58400682457909</v>
      </c>
      <c r="BL91">
        <v>42.550198762762918</v>
      </c>
      <c r="BM91">
        <v>1.670775862896422</v>
      </c>
      <c r="BN91">
        <v>284.0318966923918</v>
      </c>
      <c r="BO91">
        <v>89.552110132187352</v>
      </c>
    </row>
    <row r="92" spans="1:67" x14ac:dyDescent="0.25">
      <c r="A92" s="1">
        <v>90</v>
      </c>
      <c r="B92" t="s">
        <v>175</v>
      </c>
      <c r="C92" t="s">
        <v>176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67</v>
      </c>
      <c r="J92">
        <v>1.131</v>
      </c>
      <c r="K92">
        <v>500</v>
      </c>
      <c r="L92">
        <v>100</v>
      </c>
      <c r="N92" t="s">
        <v>68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69</v>
      </c>
      <c r="AM92">
        <v>5708.24963057068</v>
      </c>
      <c r="AN92">
        <v>390.68825690673441</v>
      </c>
      <c r="AO92">
        <v>12521.32177028407</v>
      </c>
      <c r="AP92">
        <v>13548.63634826306</v>
      </c>
      <c r="AQ92">
        <v>1027.314577978985</v>
      </c>
      <c r="AR92">
        <v>7.8812436090483339E-3</v>
      </c>
      <c r="AS92">
        <v>131.2430285486534</v>
      </c>
      <c r="AT92">
        <v>113.5963974477592</v>
      </c>
      <c r="AU92">
        <v>7.7748489260293114</v>
      </c>
      <c r="AV92">
        <v>249.17919440153631</v>
      </c>
      <c r="AW92">
        <v>269.62315580066502</v>
      </c>
      <c r="AX92">
        <v>20.44396139912871</v>
      </c>
      <c r="AY92">
        <v>1.4657599670678609</v>
      </c>
      <c r="AZ92" t="str">
        <f>VLOOKUP(BA92,Sheet1!$A$1:$B$58,2,FALSE)</f>
        <v>Glutarate</v>
      </c>
      <c r="BA92" t="s">
        <v>132</v>
      </c>
      <c r="BB92" t="s">
        <v>133</v>
      </c>
      <c r="BC92">
        <v>130.09654</v>
      </c>
      <c r="BD92">
        <v>3.6</v>
      </c>
      <c r="BE92">
        <v>200</v>
      </c>
      <c r="BF92" t="s">
        <v>177</v>
      </c>
      <c r="BG92">
        <v>1.305047527260665</v>
      </c>
      <c r="BH92">
        <v>0.22578947368421001</v>
      </c>
      <c r="BI92">
        <v>0.49750976568802602</v>
      </c>
      <c r="BJ92">
        <v>90</v>
      </c>
      <c r="BK92">
        <v>602.16161547835804</v>
      </c>
      <c r="BL92">
        <v>45.658425687954853</v>
      </c>
      <c r="BM92">
        <v>1.968500647977002</v>
      </c>
      <c r="BN92">
        <v>334.64511015609031</v>
      </c>
      <c r="BO92">
        <v>267.51650532226779</v>
      </c>
    </row>
    <row r="93" spans="1:67" x14ac:dyDescent="0.25">
      <c r="A93" s="1">
        <v>91</v>
      </c>
      <c r="B93" t="s">
        <v>175</v>
      </c>
      <c r="C93" t="s">
        <v>176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67</v>
      </c>
      <c r="J93">
        <v>1.131</v>
      </c>
      <c r="K93">
        <v>500</v>
      </c>
      <c r="L93">
        <v>100</v>
      </c>
      <c r="N93" t="s">
        <v>68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69</v>
      </c>
      <c r="AM93">
        <v>2353.0315571020678</v>
      </c>
      <c r="AN93">
        <v>161.04793185066771</v>
      </c>
      <c r="AO93">
        <v>5161.4885768690528</v>
      </c>
      <c r="AP93">
        <v>6087.343561881079</v>
      </c>
      <c r="AQ93">
        <v>925.85498501202619</v>
      </c>
      <c r="AR93">
        <v>7.8812436090483339E-3</v>
      </c>
      <c r="AS93">
        <v>131.2430285486534</v>
      </c>
      <c r="AT93">
        <v>113.5963974477592</v>
      </c>
      <c r="AU93">
        <v>7.7748489260293114</v>
      </c>
      <c r="AV93">
        <v>249.17919440153631</v>
      </c>
      <c r="AW93">
        <v>293.87633861916191</v>
      </c>
      <c r="AX93">
        <v>44.697144217625613</v>
      </c>
      <c r="AY93">
        <v>1.4657599670678609</v>
      </c>
      <c r="AZ93" t="str">
        <f>VLOOKUP(BA93,Sheet1!$A$1:$B$58,2,FALSE)</f>
        <v>Glycolate</v>
      </c>
      <c r="BA93" t="s">
        <v>134</v>
      </c>
      <c r="BB93" t="s">
        <v>135</v>
      </c>
      <c r="BC93">
        <v>75.041920000000005</v>
      </c>
      <c r="BD93">
        <v>2.5</v>
      </c>
      <c r="BE93">
        <v>112</v>
      </c>
      <c r="BF93" t="s">
        <v>177</v>
      </c>
      <c r="BG93">
        <v>6.2253999446799962E-2</v>
      </c>
      <c r="BH93">
        <v>0.9496</v>
      </c>
      <c r="BI93">
        <v>1.2069153631290599</v>
      </c>
      <c r="BJ93">
        <v>90</v>
      </c>
      <c r="BK93">
        <v>270.54860275027022</v>
      </c>
      <c r="BL93">
        <v>41.149110444978952</v>
      </c>
      <c r="BM93">
        <v>1.2871547788196189</v>
      </c>
      <c r="BN93">
        <v>218.81631239933529</v>
      </c>
      <c r="BO93">
        <v>51.73229035093496</v>
      </c>
    </row>
    <row r="94" spans="1:67" x14ac:dyDescent="0.25">
      <c r="A94" s="1">
        <v>92</v>
      </c>
      <c r="B94" t="s">
        <v>175</v>
      </c>
      <c r="C94" t="s">
        <v>176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67</v>
      </c>
      <c r="J94">
        <v>1.131</v>
      </c>
      <c r="K94">
        <v>500</v>
      </c>
      <c r="L94">
        <v>100</v>
      </c>
      <c r="N94" t="s">
        <v>68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69</v>
      </c>
      <c r="AM94">
        <v>11207.78030598264</v>
      </c>
      <c r="AN94">
        <v>767.09121620881513</v>
      </c>
      <c r="AO94">
        <v>24584.808413123199</v>
      </c>
      <c r="AP94">
        <v>25778.42519013027</v>
      </c>
      <c r="AQ94">
        <v>1193.616777007064</v>
      </c>
      <c r="AR94">
        <v>7.8812436090483339E-3</v>
      </c>
      <c r="AS94">
        <v>131.2430285486534</v>
      </c>
      <c r="AT94">
        <v>113.5963974477592</v>
      </c>
      <c r="AU94">
        <v>7.7748489260293114</v>
      </c>
      <c r="AV94">
        <v>249.17919440153639</v>
      </c>
      <c r="AW94">
        <v>261.27709087161878</v>
      </c>
      <c r="AX94">
        <v>12.097896470082469</v>
      </c>
      <c r="AY94">
        <v>1.4657599670678609</v>
      </c>
      <c r="AZ94" t="str">
        <f>VLOOKUP(BA94,Sheet1!$A$1:$B$58,2,FALSE)</f>
        <v>Heptane</v>
      </c>
      <c r="BA94" t="s">
        <v>136</v>
      </c>
      <c r="BB94" t="s">
        <v>137</v>
      </c>
      <c r="BC94">
        <v>100.20034</v>
      </c>
      <c r="BD94">
        <v>6.2857142857142856</v>
      </c>
      <c r="BE94">
        <v>98</v>
      </c>
      <c r="BF94" t="s">
        <v>177</v>
      </c>
      <c r="BG94">
        <v>2.8088622788068451</v>
      </c>
      <c r="BH94">
        <v>0.14930817610062899</v>
      </c>
      <c r="BI94">
        <v>0.25338736651342603</v>
      </c>
      <c r="BJ94">
        <v>90</v>
      </c>
      <c r="BK94">
        <v>1145.7077862280121</v>
      </c>
      <c r="BL94">
        <v>53.049634533647051</v>
      </c>
      <c r="BM94">
        <v>3.6185386135129458</v>
      </c>
      <c r="BN94">
        <v>615.15156429720082</v>
      </c>
      <c r="BO94">
        <v>530.55622193081081</v>
      </c>
    </row>
    <row r="95" spans="1:67" x14ac:dyDescent="0.25">
      <c r="A95" s="1">
        <v>93</v>
      </c>
      <c r="B95" t="s">
        <v>175</v>
      </c>
      <c r="C95" t="s">
        <v>176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67</v>
      </c>
      <c r="J95">
        <v>1.131</v>
      </c>
      <c r="K95">
        <v>500</v>
      </c>
      <c r="L95">
        <v>100</v>
      </c>
      <c r="N95" t="s">
        <v>68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69</v>
      </c>
      <c r="AM95">
        <v>11638.686597624201</v>
      </c>
      <c r="AN95">
        <v>796.58362436664777</v>
      </c>
      <c r="AO95">
        <v>25530.02221414341</v>
      </c>
      <c r="AP95">
        <v>26736.669314664341</v>
      </c>
      <c r="AQ95">
        <v>1206.647100520928</v>
      </c>
      <c r="AR95">
        <v>7.8812436090483339E-3</v>
      </c>
      <c r="AS95">
        <v>131.2430285486534</v>
      </c>
      <c r="AT95">
        <v>113.5963974477592</v>
      </c>
      <c r="AU95">
        <v>7.7748489260293088</v>
      </c>
      <c r="AV95">
        <v>249.17919440153639</v>
      </c>
      <c r="AW95">
        <v>260.95636207936877</v>
      </c>
      <c r="AX95">
        <v>11.777167677832409</v>
      </c>
      <c r="AY95">
        <v>1.4657599670678609</v>
      </c>
      <c r="AZ95" t="str">
        <f>VLOOKUP(BA95,Sheet1!$A$1:$B$58,2,FALSE)</f>
        <v>Hexane</v>
      </c>
      <c r="BA95" t="s">
        <v>138</v>
      </c>
      <c r="BB95" t="s">
        <v>139</v>
      </c>
      <c r="BC95">
        <v>86.173959999999994</v>
      </c>
      <c r="BD95">
        <v>6.333333333333333</v>
      </c>
      <c r="BE95">
        <v>69</v>
      </c>
      <c r="BF95" t="s">
        <v>177</v>
      </c>
      <c r="BG95">
        <v>3.0453355838611551</v>
      </c>
      <c r="BH95">
        <v>0.16718309859154901</v>
      </c>
      <c r="BI95">
        <v>0.244006049340111</v>
      </c>
      <c r="BJ95">
        <v>90</v>
      </c>
      <c r="BK95">
        <v>1188.2964139850819</v>
      </c>
      <c r="BL95">
        <v>53.628760023152132</v>
      </c>
      <c r="BM95">
        <v>3.6291800276796069</v>
      </c>
      <c r="BN95">
        <v>616.96060470553323</v>
      </c>
      <c r="BO95">
        <v>571.3358092795487</v>
      </c>
    </row>
    <row r="96" spans="1:67" x14ac:dyDescent="0.25">
      <c r="A96" s="1">
        <v>94</v>
      </c>
      <c r="B96" t="s">
        <v>175</v>
      </c>
      <c r="C96" t="s">
        <v>176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67</v>
      </c>
      <c r="J96">
        <v>1.131</v>
      </c>
      <c r="K96">
        <v>500</v>
      </c>
      <c r="L96">
        <v>100</v>
      </c>
      <c r="N96" t="s">
        <v>68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69</v>
      </c>
      <c r="AM96">
        <v>7185.028121861832</v>
      </c>
      <c r="AN96">
        <v>491.76302622130203</v>
      </c>
      <c r="AO96">
        <v>15760.706847954991</v>
      </c>
      <c r="AP96">
        <v>16832.67823850111</v>
      </c>
      <c r="AQ96">
        <v>1071.9713905461231</v>
      </c>
      <c r="AR96">
        <v>7.8812436090483339E-3</v>
      </c>
      <c r="AS96">
        <v>131.2430285486534</v>
      </c>
      <c r="AT96">
        <v>113.5963974477592</v>
      </c>
      <c r="AU96">
        <v>7.7748489260293114</v>
      </c>
      <c r="AV96">
        <v>249.17919440153631</v>
      </c>
      <c r="AW96">
        <v>266.12722662462392</v>
      </c>
      <c r="AX96">
        <v>16.948032223087552</v>
      </c>
      <c r="AY96">
        <v>1.4657599670678609</v>
      </c>
      <c r="AZ96" t="str">
        <f>VLOOKUP(BA96,Sheet1!$A$1:$B$58,2,FALSE)</f>
        <v>Isobutanol</v>
      </c>
      <c r="BA96" t="s">
        <v>140</v>
      </c>
      <c r="BB96" t="s">
        <v>141</v>
      </c>
      <c r="BC96">
        <v>86.130899999999997</v>
      </c>
      <c r="BD96">
        <v>5.6</v>
      </c>
      <c r="BE96">
        <v>108</v>
      </c>
      <c r="BF96" t="s">
        <v>177</v>
      </c>
      <c r="BG96">
        <v>1.727836814199547</v>
      </c>
      <c r="BH96">
        <v>0.27094736842105299</v>
      </c>
      <c r="BI96">
        <v>0.39525383728882102</v>
      </c>
      <c r="BJ96">
        <v>90</v>
      </c>
      <c r="BK96">
        <v>748.11903282227161</v>
      </c>
      <c r="BL96">
        <v>47.643172913161052</v>
      </c>
      <c r="BM96">
        <v>2.3926094205599271</v>
      </c>
      <c r="BN96">
        <v>406.74360149518748</v>
      </c>
      <c r="BO96">
        <v>341.37543132708407</v>
      </c>
    </row>
    <row r="97" spans="1:67" x14ac:dyDescent="0.25">
      <c r="A97" s="1">
        <v>95</v>
      </c>
      <c r="B97" t="s">
        <v>175</v>
      </c>
      <c r="C97" t="s">
        <v>176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67</v>
      </c>
      <c r="J97">
        <v>1.131</v>
      </c>
      <c r="K97">
        <v>500</v>
      </c>
      <c r="L97">
        <v>100</v>
      </c>
      <c r="N97" t="s">
        <v>68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69</v>
      </c>
      <c r="AM97">
        <v>5983.5265855595344</v>
      </c>
      <c r="AN97">
        <v>409.52896652377979</v>
      </c>
      <c r="AO97">
        <v>13125.155090904789</v>
      </c>
      <c r="AP97">
        <v>14160.793863375689</v>
      </c>
      <c r="AQ97">
        <v>1035.6387724709041</v>
      </c>
      <c r="AR97">
        <v>7.8812436090483339E-3</v>
      </c>
      <c r="AS97">
        <v>131.2430285486534</v>
      </c>
      <c r="AT97">
        <v>113.5963974477592</v>
      </c>
      <c r="AU97">
        <v>7.7748489260293088</v>
      </c>
      <c r="AV97">
        <v>249.17919440153631</v>
      </c>
      <c r="AW97">
        <v>268.84064855030448</v>
      </c>
      <c r="AX97">
        <v>19.661454148768168</v>
      </c>
      <c r="AY97">
        <v>1.4657599670678609</v>
      </c>
      <c r="AZ97" t="str">
        <f>VLOOKUP(BA97,Sheet1!$A$1:$B$58,2,FALSE)</f>
        <v>Isobutyrate</v>
      </c>
      <c r="BA97" t="s">
        <v>142</v>
      </c>
      <c r="BB97" t="s">
        <v>114</v>
      </c>
      <c r="BC97">
        <v>87.095680000000002</v>
      </c>
      <c r="BD97">
        <v>4.75</v>
      </c>
      <c r="BE97">
        <v>155</v>
      </c>
      <c r="BF97" t="s">
        <v>177</v>
      </c>
      <c r="BG97">
        <v>1.1197620084765809</v>
      </c>
      <c r="BH97">
        <v>0.32174999999999998</v>
      </c>
      <c r="BI97">
        <v>0.47462142861498002</v>
      </c>
      <c r="BJ97">
        <v>90</v>
      </c>
      <c r="BK97">
        <v>629.36861615003068</v>
      </c>
      <c r="BL97">
        <v>46.028389887595701</v>
      </c>
      <c r="BM97">
        <v>2.3116510871848019</v>
      </c>
      <c r="BN97">
        <v>392.98068482141628</v>
      </c>
      <c r="BO97">
        <v>236.3879313286144</v>
      </c>
    </row>
    <row r="98" spans="1:67" x14ac:dyDescent="0.25">
      <c r="A98" s="1">
        <v>96</v>
      </c>
      <c r="B98" t="s">
        <v>175</v>
      </c>
      <c r="C98" t="s">
        <v>176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67</v>
      </c>
      <c r="J98">
        <v>1.131</v>
      </c>
      <c r="K98">
        <v>500</v>
      </c>
      <c r="L98">
        <v>100</v>
      </c>
      <c r="N98" t="s">
        <v>68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107</v>
      </c>
      <c r="AM98">
        <v>11380.471988778711</v>
      </c>
      <c r="AN98">
        <v>778.91070850511471</v>
      </c>
      <c r="AO98">
        <v>24963.61597538555</v>
      </c>
      <c r="AP98">
        <v>27477.892869754261</v>
      </c>
      <c r="AQ98">
        <v>2514.276894368712</v>
      </c>
      <c r="AR98">
        <v>7.8812436090483322E-3</v>
      </c>
      <c r="AS98">
        <v>131.2430285486534</v>
      </c>
      <c r="AT98">
        <v>113.5963974477592</v>
      </c>
      <c r="AU98">
        <v>7.7748489260293088</v>
      </c>
      <c r="AV98">
        <v>249.17919440153639</v>
      </c>
      <c r="AW98">
        <v>274.27593886591751</v>
      </c>
      <c r="AX98">
        <v>25.096744464381089</v>
      </c>
      <c r="AY98">
        <v>1.4657599670678609</v>
      </c>
      <c r="AZ98" t="str">
        <f>VLOOKUP(BA98,Sheet1!$A$1:$B$58,2,FALSE)</f>
        <v>Isoprene</v>
      </c>
      <c r="BA98" t="s">
        <v>143</v>
      </c>
      <c r="BB98" t="s">
        <v>144</v>
      </c>
      <c r="BC98">
        <v>68.116219999999998</v>
      </c>
      <c r="BD98">
        <v>5.6</v>
      </c>
      <c r="BE98">
        <v>34.07</v>
      </c>
      <c r="BF98" t="s">
        <v>177</v>
      </c>
      <c r="BG98">
        <v>2.7435472774336298</v>
      </c>
      <c r="BH98">
        <v>0.216302521008403</v>
      </c>
      <c r="BI98">
        <v>0.249542368628838</v>
      </c>
      <c r="BJ98">
        <v>90</v>
      </c>
      <c r="BK98">
        <v>1221.239683100189</v>
      </c>
      <c r="BL98">
        <v>111.7456397497206</v>
      </c>
      <c r="BM98">
        <v>3.7828882716867729</v>
      </c>
      <c r="BN98">
        <v>643.09100618675143</v>
      </c>
      <c r="BO98">
        <v>578.14867691343784</v>
      </c>
    </row>
    <row r="99" spans="1:67" x14ac:dyDescent="0.25">
      <c r="A99" s="1">
        <v>97</v>
      </c>
      <c r="B99" t="s">
        <v>175</v>
      </c>
      <c r="C99" t="s">
        <v>176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67</v>
      </c>
      <c r="J99">
        <v>1.131</v>
      </c>
      <c r="K99">
        <v>500</v>
      </c>
      <c r="L99">
        <v>100</v>
      </c>
      <c r="N99" t="s">
        <v>68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69</v>
      </c>
      <c r="AM99">
        <v>7154.4783861816913</v>
      </c>
      <c r="AN99">
        <v>489.67211854306822</v>
      </c>
      <c r="AO99">
        <v>15693.69452452758</v>
      </c>
      <c r="AP99">
        <v>16764.742111112391</v>
      </c>
      <c r="AQ99">
        <v>1071.0475865848059</v>
      </c>
      <c r="AR99">
        <v>7.8812436090483339E-3</v>
      </c>
      <c r="AS99">
        <v>131.2430285486534</v>
      </c>
      <c r="AT99">
        <v>113.5963974477592</v>
      </c>
      <c r="AU99">
        <v>7.7748489260293088</v>
      </c>
      <c r="AV99">
        <v>249.17919440153631</v>
      </c>
      <c r="AW99">
        <v>266.18492714176529</v>
      </c>
      <c r="AX99">
        <v>17.005732740228979</v>
      </c>
      <c r="AY99">
        <v>1.46575996706786</v>
      </c>
      <c r="AZ99" t="str">
        <f>VLOOKUP(BA99,Sheet1!$A$1:$B$58,2,FALSE)</f>
        <v>Isopropanol</v>
      </c>
      <c r="BA99" t="s">
        <v>145</v>
      </c>
      <c r="BB99" t="s">
        <v>79</v>
      </c>
      <c r="BC99">
        <v>60.093820000000001</v>
      </c>
      <c r="BD99">
        <v>6</v>
      </c>
      <c r="BE99">
        <v>82.5</v>
      </c>
      <c r="BF99" t="s">
        <v>177</v>
      </c>
      <c r="BG99">
        <v>1.558601328594317</v>
      </c>
      <c r="BH99">
        <v>0.39</v>
      </c>
      <c r="BI99">
        <v>0.39694157741520902</v>
      </c>
      <c r="BJ99">
        <v>90</v>
      </c>
      <c r="BK99">
        <v>745.09964938277267</v>
      </c>
      <c r="BL99">
        <v>47.602114959324588</v>
      </c>
      <c r="BM99">
        <v>2.5443253444847902</v>
      </c>
      <c r="BN99">
        <v>432.53530856241417</v>
      </c>
      <c r="BO99">
        <v>312.56434082035838</v>
      </c>
    </row>
    <row r="100" spans="1:67" x14ac:dyDescent="0.25">
      <c r="A100" s="1">
        <v>98</v>
      </c>
      <c r="B100" t="s">
        <v>175</v>
      </c>
      <c r="C100" t="s">
        <v>176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67</v>
      </c>
      <c r="J100">
        <v>1.131</v>
      </c>
      <c r="K100">
        <v>500</v>
      </c>
      <c r="L100">
        <v>100</v>
      </c>
      <c r="N100" t="s">
        <v>68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69</v>
      </c>
      <c r="AM100">
        <v>3873.7346453893788</v>
      </c>
      <c r="AN100">
        <v>265.12902102620541</v>
      </c>
      <c r="AO100">
        <v>8497.2243834347664</v>
      </c>
      <c r="AP100">
        <v>9469.0644320053361</v>
      </c>
      <c r="AQ100">
        <v>971.84004857056971</v>
      </c>
      <c r="AR100">
        <v>7.8812436090483339E-3</v>
      </c>
      <c r="AS100">
        <v>131.2430285486534</v>
      </c>
      <c r="AT100">
        <v>113.5963974477592</v>
      </c>
      <c r="AU100">
        <v>7.7748489260293088</v>
      </c>
      <c r="AV100">
        <v>249.17919440153631</v>
      </c>
      <c r="AW100">
        <v>277.67818530285422</v>
      </c>
      <c r="AX100">
        <v>28.49899090131791</v>
      </c>
      <c r="AY100">
        <v>1.46575996706786</v>
      </c>
      <c r="AZ100" t="str">
        <f>VLOOKUP(BA100,Sheet1!$A$1:$B$58,2,FALSE)</f>
        <v>Itaconate</v>
      </c>
      <c r="BA100" t="s">
        <v>146</v>
      </c>
      <c r="BB100" t="s">
        <v>147</v>
      </c>
      <c r="BC100">
        <v>128.08086</v>
      </c>
      <c r="BD100">
        <v>3.2</v>
      </c>
      <c r="BE100">
        <v>381</v>
      </c>
      <c r="BF100" t="s">
        <v>177</v>
      </c>
      <c r="BG100">
        <v>0.3154197015135623</v>
      </c>
      <c r="BH100">
        <v>0.33795454545454501</v>
      </c>
      <c r="BI100">
        <v>0.733119378627061</v>
      </c>
      <c r="BJ100">
        <v>90</v>
      </c>
      <c r="BK100">
        <v>420.84730808912599</v>
      </c>
      <c r="BL100">
        <v>43.192891047580808</v>
      </c>
      <c r="BM100">
        <v>1.906076869319056</v>
      </c>
      <c r="BN100">
        <v>324.03306778423962</v>
      </c>
      <c r="BO100">
        <v>96.814240304886425</v>
      </c>
    </row>
    <row r="101" spans="1:67" x14ac:dyDescent="0.25">
      <c r="A101" s="1">
        <v>99</v>
      </c>
      <c r="B101" t="s">
        <v>175</v>
      </c>
      <c r="C101" t="s">
        <v>176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67</v>
      </c>
      <c r="J101">
        <v>1.131</v>
      </c>
      <c r="K101">
        <v>500</v>
      </c>
      <c r="L101">
        <v>100</v>
      </c>
      <c r="N101" t="s">
        <v>68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69</v>
      </c>
      <c r="AM101">
        <v>11332.654879582131</v>
      </c>
      <c r="AN101">
        <v>775.63797443576402</v>
      </c>
      <c r="AO101">
        <v>24858.726832631772</v>
      </c>
      <c r="AP101">
        <v>26056.119734806231</v>
      </c>
      <c r="AQ101">
        <v>1197.392902174463</v>
      </c>
      <c r="AR101">
        <v>7.8812436090483322E-3</v>
      </c>
      <c r="AS101">
        <v>131.2430285486534</v>
      </c>
      <c r="AT101">
        <v>113.5963974477592</v>
      </c>
      <c r="AU101">
        <v>7.7748489260293088</v>
      </c>
      <c r="AV101">
        <v>249.17919440153631</v>
      </c>
      <c r="AW101">
        <v>261.18163526485068</v>
      </c>
      <c r="AX101">
        <v>12.00244086331438</v>
      </c>
      <c r="AY101">
        <v>1.46575996706786</v>
      </c>
      <c r="AZ101" t="str">
        <f>VLOOKUP(BA101,Sheet1!$A$1:$B$58,2,FALSE)</f>
        <v>Limonene</v>
      </c>
      <c r="BA101" t="s">
        <v>148</v>
      </c>
      <c r="BB101" t="s">
        <v>149</v>
      </c>
      <c r="BC101">
        <v>136.23244</v>
      </c>
      <c r="BD101">
        <v>5.6</v>
      </c>
      <c r="BE101">
        <v>176</v>
      </c>
      <c r="BF101" t="s">
        <v>177</v>
      </c>
      <c r="BG101">
        <v>2.7184462044470381</v>
      </c>
      <c r="BH101">
        <v>0.108607594936709</v>
      </c>
      <c r="BI101">
        <v>0.25059529001545799</v>
      </c>
      <c r="BJ101">
        <v>90</v>
      </c>
      <c r="BK101">
        <v>1158.0497659913881</v>
      </c>
      <c r="BL101">
        <v>53.217462318864833</v>
      </c>
      <c r="BM101">
        <v>3.780567346567806</v>
      </c>
      <c r="BN101">
        <v>642.69644891652695</v>
      </c>
      <c r="BO101">
        <v>515.35331707486137</v>
      </c>
    </row>
    <row r="102" spans="1:67" x14ac:dyDescent="0.25">
      <c r="A102" s="1">
        <v>100</v>
      </c>
      <c r="B102" t="s">
        <v>175</v>
      </c>
      <c r="C102" t="s">
        <v>176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67</v>
      </c>
      <c r="J102">
        <v>1.131</v>
      </c>
      <c r="K102">
        <v>500</v>
      </c>
      <c r="L102">
        <v>100</v>
      </c>
      <c r="N102" t="s">
        <v>68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69</v>
      </c>
      <c r="AM102">
        <v>5753.3322853705176</v>
      </c>
      <c r="AN102">
        <v>393.77383741921727</v>
      </c>
      <c r="AO102">
        <v>12620.2127550063</v>
      </c>
      <c r="AP102">
        <v>13648.89060288479</v>
      </c>
      <c r="AQ102">
        <v>1028.6778478784961</v>
      </c>
      <c r="AR102">
        <v>7.8812436090483322E-3</v>
      </c>
      <c r="AS102">
        <v>131.2430285486534</v>
      </c>
      <c r="AT102">
        <v>113.5963974477592</v>
      </c>
      <c r="AU102">
        <v>7.7748489260293088</v>
      </c>
      <c r="AV102">
        <v>249.17919440153631</v>
      </c>
      <c r="AW102">
        <v>269.48987556112201</v>
      </c>
      <c r="AX102">
        <v>20.310681159585702</v>
      </c>
      <c r="AY102">
        <v>1.46575996706786</v>
      </c>
      <c r="AZ102" t="str">
        <f>VLOOKUP(BA102,Sheet1!$A$1:$B$58,2,FALSE)</f>
        <v>L-Lysine</v>
      </c>
      <c r="BA102" t="s">
        <v>150</v>
      </c>
      <c r="BB102" t="s">
        <v>151</v>
      </c>
      <c r="BC102">
        <v>147.19319999999999</v>
      </c>
      <c r="BD102">
        <v>4.833333333333333</v>
      </c>
      <c r="BF102" t="s">
        <v>177</v>
      </c>
      <c r="BG102">
        <v>1.226180656072799</v>
      </c>
      <c r="BH102">
        <v>0.19800000000000001</v>
      </c>
      <c r="BI102">
        <v>0.49361131868139402</v>
      </c>
      <c r="BJ102">
        <v>90</v>
      </c>
      <c r="BK102">
        <v>606.61736012821302</v>
      </c>
      <c r="BL102">
        <v>45.719015461266451</v>
      </c>
      <c r="BM102">
        <v>2.073221371379828</v>
      </c>
      <c r="BN102">
        <v>352.44763313457071</v>
      </c>
      <c r="BO102">
        <v>254.16972699364231</v>
      </c>
    </row>
    <row r="103" spans="1:67" x14ac:dyDescent="0.25">
      <c r="A103" s="1">
        <v>101</v>
      </c>
      <c r="B103" t="s">
        <v>175</v>
      </c>
      <c r="C103" t="s">
        <v>176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67</v>
      </c>
      <c r="J103">
        <v>1.131</v>
      </c>
      <c r="K103">
        <v>500</v>
      </c>
      <c r="L103">
        <v>100</v>
      </c>
      <c r="N103" t="s">
        <v>68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69</v>
      </c>
      <c r="AM103">
        <v>2673.993017984355</v>
      </c>
      <c r="AN103">
        <v>183.01541431933529</v>
      </c>
      <c r="AO103">
        <v>5865.5330717076167</v>
      </c>
      <c r="AP103">
        <v>6801.0937206932304</v>
      </c>
      <c r="AQ103">
        <v>935.56064898561362</v>
      </c>
      <c r="AR103">
        <v>7.8812436090483339E-3</v>
      </c>
      <c r="AS103">
        <v>131.2430285486534</v>
      </c>
      <c r="AT103">
        <v>113.5963974477592</v>
      </c>
      <c r="AU103">
        <v>7.7748489260293088</v>
      </c>
      <c r="AV103">
        <v>249.17919440153631</v>
      </c>
      <c r="AW103">
        <v>288.92362103387057</v>
      </c>
      <c r="AX103">
        <v>39.744426632334267</v>
      </c>
      <c r="AY103">
        <v>1.4657599670678609</v>
      </c>
      <c r="AZ103" t="str">
        <f>VLOOKUP(BA103,Sheet1!$A$1:$B$58,2,FALSE)</f>
        <v>L-Malate</v>
      </c>
      <c r="BA103" t="s">
        <v>152</v>
      </c>
      <c r="BB103" t="s">
        <v>153</v>
      </c>
      <c r="BC103">
        <v>132.06916000000001</v>
      </c>
      <c r="BD103">
        <v>2.5</v>
      </c>
      <c r="BF103" t="s">
        <v>177</v>
      </c>
      <c r="BG103">
        <v>7.074565547576446E-2</v>
      </c>
      <c r="BH103">
        <v>0.4748</v>
      </c>
      <c r="BI103">
        <v>1.0620483737592901</v>
      </c>
      <c r="BJ103">
        <v>90</v>
      </c>
      <c r="BK103">
        <v>302.2708320308102</v>
      </c>
      <c r="BL103">
        <v>41.580473288249493</v>
      </c>
      <c r="BM103">
        <v>1.4627270430098871</v>
      </c>
      <c r="BN103">
        <v>248.6635973116808</v>
      </c>
      <c r="BO103">
        <v>53.607234719129387</v>
      </c>
    </row>
    <row r="104" spans="1:67" x14ac:dyDescent="0.25">
      <c r="A104" s="1">
        <v>102</v>
      </c>
      <c r="B104" t="s">
        <v>175</v>
      </c>
      <c r="C104" t="s">
        <v>176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67</v>
      </c>
      <c r="J104">
        <v>1.131</v>
      </c>
      <c r="K104">
        <v>500</v>
      </c>
      <c r="L104">
        <v>100</v>
      </c>
      <c r="N104" t="s">
        <v>68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69</v>
      </c>
      <c r="AM104">
        <v>2487.8757716938781</v>
      </c>
      <c r="AN104">
        <v>170.27703964418319</v>
      </c>
      <c r="AO104">
        <v>5457.2758862962482</v>
      </c>
      <c r="AP104">
        <v>6387.2084718775541</v>
      </c>
      <c r="AQ104">
        <v>929.93258558130583</v>
      </c>
      <c r="AR104">
        <v>7.8812436090483339E-3</v>
      </c>
      <c r="AS104">
        <v>131.2430285486534</v>
      </c>
      <c r="AT104">
        <v>113.5963974477592</v>
      </c>
      <c r="AU104">
        <v>7.7748489260293088</v>
      </c>
      <c r="AV104">
        <v>249.17919440153631</v>
      </c>
      <c r="AW104">
        <v>291.63991241375157</v>
      </c>
      <c r="AX104">
        <v>42.460718012215267</v>
      </c>
      <c r="AY104">
        <v>1.4657599670678609</v>
      </c>
      <c r="AZ104" t="str">
        <f>VLOOKUP(BA104,Sheet1!$A$1:$B$58,2,FALSE)</f>
        <v>Malonate</v>
      </c>
      <c r="BA104" t="s">
        <v>154</v>
      </c>
      <c r="BB104" t="s">
        <v>155</v>
      </c>
      <c r="BC104">
        <v>102.04378</v>
      </c>
      <c r="BD104">
        <v>2</v>
      </c>
      <c r="BE104">
        <v>199</v>
      </c>
      <c r="BF104" t="s">
        <v>177</v>
      </c>
      <c r="BG104">
        <v>1.212698880753005E-2</v>
      </c>
      <c r="BH104">
        <v>0.66047619047618999</v>
      </c>
      <c r="BI104">
        <v>1.1414998966208101</v>
      </c>
      <c r="BJ104">
        <v>90</v>
      </c>
      <c r="BK104">
        <v>283.8759320834468</v>
      </c>
      <c r="BL104">
        <v>41.330337136946873</v>
      </c>
      <c r="BM104">
        <v>1.4146118049954111</v>
      </c>
      <c r="BN104">
        <v>240.4840068492199</v>
      </c>
      <c r="BO104">
        <v>43.391925234226932</v>
      </c>
    </row>
    <row r="105" spans="1:67" x14ac:dyDescent="0.25">
      <c r="A105" s="1">
        <v>103</v>
      </c>
      <c r="B105" t="s">
        <v>175</v>
      </c>
      <c r="C105" t="s">
        <v>176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67</v>
      </c>
      <c r="J105">
        <v>1.131</v>
      </c>
      <c r="K105">
        <v>500</v>
      </c>
      <c r="L105">
        <v>100</v>
      </c>
      <c r="N105" t="s">
        <v>68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69</v>
      </c>
      <c r="AM105">
        <v>11124.36367926759</v>
      </c>
      <c r="AN105">
        <v>761.38195354556262</v>
      </c>
      <c r="AO105">
        <v>24401.830006135351</v>
      </c>
      <c r="AP105">
        <v>25592.924319085581</v>
      </c>
      <c r="AQ105">
        <v>1191.094312950227</v>
      </c>
      <c r="AR105">
        <v>7.8812436090483322E-3</v>
      </c>
      <c r="AS105">
        <v>131.2430285486534</v>
      </c>
      <c r="AT105">
        <v>113.5963974477592</v>
      </c>
      <c r="AU105">
        <v>7.7748489260293088</v>
      </c>
      <c r="AV105">
        <v>249.17919440153631</v>
      </c>
      <c r="AW105">
        <v>261.34204945308642</v>
      </c>
      <c r="AX105">
        <v>12.16285505155005</v>
      </c>
      <c r="AY105">
        <v>1.46575996706786</v>
      </c>
      <c r="AZ105" t="str">
        <f>VLOOKUP(BA105,Sheet1!$A$1:$B$58,2,FALSE)</f>
        <v>Nonane</v>
      </c>
      <c r="BA105" t="s">
        <v>156</v>
      </c>
      <c r="BB105" t="s">
        <v>157</v>
      </c>
      <c r="BC105">
        <v>128.25309999999999</v>
      </c>
      <c r="BD105">
        <v>6.2222222222222223</v>
      </c>
      <c r="BE105">
        <v>151</v>
      </c>
      <c r="BF105" t="s">
        <v>177</v>
      </c>
      <c r="BG105">
        <v>2.7512676881964349</v>
      </c>
      <c r="BH105">
        <v>0.117524752475248</v>
      </c>
      <c r="BI105">
        <v>0.25528740502135</v>
      </c>
      <c r="BJ105">
        <v>90</v>
      </c>
      <c r="BK105">
        <v>1137.4633030704699</v>
      </c>
      <c r="BL105">
        <v>52.937525020010114</v>
      </c>
      <c r="BM105">
        <v>3.6282957121003889</v>
      </c>
      <c r="BN105">
        <v>616.81027105706619</v>
      </c>
      <c r="BO105">
        <v>520.65303201340419</v>
      </c>
    </row>
    <row r="106" spans="1:67" x14ac:dyDescent="0.25">
      <c r="A106" s="1">
        <v>104</v>
      </c>
      <c r="B106" t="s">
        <v>175</v>
      </c>
      <c r="C106" t="s">
        <v>176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67</v>
      </c>
      <c r="J106">
        <v>1.131</v>
      </c>
      <c r="K106">
        <v>500</v>
      </c>
      <c r="L106">
        <v>100</v>
      </c>
      <c r="N106" t="s">
        <v>68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69</v>
      </c>
      <c r="AM106">
        <v>11439.201295501751</v>
      </c>
      <c r="AN106">
        <v>782.93030329474823</v>
      </c>
      <c r="AO106">
        <v>25092.441551423191</v>
      </c>
      <c r="AP106">
        <v>26293.0563473031</v>
      </c>
      <c r="AQ106">
        <v>1200.6147958799049</v>
      </c>
      <c r="AR106">
        <v>7.8812436090483339E-3</v>
      </c>
      <c r="AS106">
        <v>131.2430285486534</v>
      </c>
      <c r="AT106">
        <v>113.5963974477592</v>
      </c>
      <c r="AU106">
        <v>7.7748489260293114</v>
      </c>
      <c r="AV106">
        <v>249.17919440153631</v>
      </c>
      <c r="AW106">
        <v>261.10183760111568</v>
      </c>
      <c r="AX106">
        <v>11.922643199579429</v>
      </c>
      <c r="AY106">
        <v>1.46575996706786</v>
      </c>
      <c r="AZ106" t="str">
        <f>VLOOKUP(BA106,Sheet1!$A$1:$B$58,2,FALSE)</f>
        <v>Octane</v>
      </c>
      <c r="BA106" t="s">
        <v>158</v>
      </c>
      <c r="BB106" t="s">
        <v>159</v>
      </c>
      <c r="BC106">
        <v>114.22672</v>
      </c>
      <c r="BD106">
        <v>6.25</v>
      </c>
      <c r="BE106">
        <v>126</v>
      </c>
      <c r="BF106" t="s">
        <v>177</v>
      </c>
      <c r="BG106">
        <v>2.922593604908164</v>
      </c>
      <c r="BH106">
        <v>0.128324324324324</v>
      </c>
      <c r="BI106">
        <v>0.24826120835120899</v>
      </c>
      <c r="BJ106">
        <v>90</v>
      </c>
      <c r="BK106">
        <v>1168.5802821023599</v>
      </c>
      <c r="BL106">
        <v>53.360657594662499</v>
      </c>
      <c r="BM106">
        <v>3.6375218333724089</v>
      </c>
      <c r="BN106">
        <v>618.37871167330945</v>
      </c>
      <c r="BO106">
        <v>550.20157042905066</v>
      </c>
    </row>
    <row r="107" spans="1:67" x14ac:dyDescent="0.25">
      <c r="A107" s="1">
        <v>105</v>
      </c>
      <c r="B107" t="s">
        <v>175</v>
      </c>
      <c r="C107" t="s">
        <v>176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67</v>
      </c>
      <c r="J107">
        <v>1.131</v>
      </c>
      <c r="K107">
        <v>500</v>
      </c>
      <c r="L107">
        <v>100</v>
      </c>
      <c r="N107" t="s">
        <v>68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107</v>
      </c>
      <c r="AM107">
        <v>11453.962938891011</v>
      </c>
      <c r="AN107">
        <v>783.94063064517525</v>
      </c>
      <c r="AO107">
        <v>25124.821930470611</v>
      </c>
      <c r="AP107">
        <v>27641.321142948571</v>
      </c>
      <c r="AQ107">
        <v>2516.4992124779642</v>
      </c>
      <c r="AR107">
        <v>7.8812436090483322E-3</v>
      </c>
      <c r="AS107">
        <v>131.2430285486534</v>
      </c>
      <c r="AT107">
        <v>113.5963974477592</v>
      </c>
      <c r="AU107">
        <v>7.7748489260293114</v>
      </c>
      <c r="AV107">
        <v>249.17919440153631</v>
      </c>
      <c r="AW107">
        <v>274.13695323511757</v>
      </c>
      <c r="AX107">
        <v>24.95775883358127</v>
      </c>
      <c r="AY107">
        <v>1.4657599670678609</v>
      </c>
      <c r="AZ107" t="str">
        <f>VLOOKUP(BA107,Sheet1!$A$1:$B$58,2,FALSE)</f>
        <v>Pentane</v>
      </c>
      <c r="BA107" t="s">
        <v>160</v>
      </c>
      <c r="BB107" t="s">
        <v>161</v>
      </c>
      <c r="BC107">
        <v>72.147580000000005</v>
      </c>
      <c r="BD107">
        <v>6.4</v>
      </c>
      <c r="BE107">
        <v>36.1</v>
      </c>
      <c r="BF107" t="s">
        <v>177</v>
      </c>
      <c r="BG107">
        <v>2.9626352975950252</v>
      </c>
      <c r="BH107">
        <v>0.202905982905983</v>
      </c>
      <c r="BI107">
        <v>0.24794125416202401</v>
      </c>
      <c r="BJ107">
        <v>90</v>
      </c>
      <c r="BK107">
        <v>1228.5031619088249</v>
      </c>
      <c r="BL107">
        <v>111.844409443465</v>
      </c>
      <c r="BM107">
        <v>3.6059455992600369</v>
      </c>
      <c r="BN107">
        <v>613.01075187420622</v>
      </c>
      <c r="BO107">
        <v>615.49241003461918</v>
      </c>
    </row>
    <row r="108" spans="1:67" x14ac:dyDescent="0.25">
      <c r="A108" s="1">
        <v>106</v>
      </c>
      <c r="B108" t="s">
        <v>175</v>
      </c>
      <c r="C108" t="s">
        <v>176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67</v>
      </c>
      <c r="J108">
        <v>1.131</v>
      </c>
      <c r="K108">
        <v>500</v>
      </c>
      <c r="L108">
        <v>100</v>
      </c>
      <c r="N108" t="s">
        <v>68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69</v>
      </c>
      <c r="AM108">
        <v>9214.7605384285234</v>
      </c>
      <c r="AN108">
        <v>630.68347839785736</v>
      </c>
      <c r="AO108">
        <v>20213.023116552889</v>
      </c>
      <c r="AP108">
        <v>21346.372283537788</v>
      </c>
      <c r="AQ108">
        <v>1133.3491669848991</v>
      </c>
      <c r="AR108">
        <v>7.8812436090483339E-3</v>
      </c>
      <c r="AS108">
        <v>131.2430285486534</v>
      </c>
      <c r="AT108">
        <v>113.5963974477592</v>
      </c>
      <c r="AU108">
        <v>7.7748489260293088</v>
      </c>
      <c r="AV108">
        <v>249.17919440153631</v>
      </c>
      <c r="AW108">
        <v>263.1507329871564</v>
      </c>
      <c r="AX108">
        <v>13.971538585620101</v>
      </c>
      <c r="AY108">
        <v>1.4657599670678609</v>
      </c>
      <c r="AZ108" t="str">
        <f>VLOOKUP(BA108,Sheet1!$A$1:$B$58,2,FALSE)</f>
        <v>Pentanol (PW1)</v>
      </c>
      <c r="BA108" t="s">
        <v>162</v>
      </c>
      <c r="BB108" t="s">
        <v>83</v>
      </c>
      <c r="BC108">
        <v>88.14658</v>
      </c>
      <c r="BD108">
        <v>6</v>
      </c>
      <c r="BE108">
        <v>138</v>
      </c>
      <c r="BF108" t="s">
        <v>177</v>
      </c>
      <c r="BG108">
        <v>2.3407786708499301</v>
      </c>
      <c r="BH108">
        <v>0.20643478260869599</v>
      </c>
      <c r="BI108">
        <v>0.308191398392898</v>
      </c>
      <c r="BJ108">
        <v>90</v>
      </c>
      <c r="BK108">
        <v>948.7276570461238</v>
      </c>
      <c r="BL108">
        <v>50.371074088217767</v>
      </c>
      <c r="BM108">
        <v>2.9436718171377541</v>
      </c>
      <c r="BN108">
        <v>500.42420891341811</v>
      </c>
      <c r="BO108">
        <v>448.30344813270568</v>
      </c>
    </row>
    <row r="109" spans="1:67" x14ac:dyDescent="0.25">
      <c r="A109" s="1">
        <v>107</v>
      </c>
      <c r="B109" t="s">
        <v>175</v>
      </c>
      <c r="C109" t="s">
        <v>176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67</v>
      </c>
      <c r="J109">
        <v>1.131</v>
      </c>
      <c r="K109">
        <v>500</v>
      </c>
      <c r="L109">
        <v>100</v>
      </c>
      <c r="N109" t="s">
        <v>68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69</v>
      </c>
      <c r="AM109">
        <v>9829.0156478649023</v>
      </c>
      <c r="AN109">
        <v>672.7247823934855</v>
      </c>
      <c r="AO109">
        <v>21560.42142112301</v>
      </c>
      <c r="AP109">
        <v>22712.345259564911</v>
      </c>
      <c r="AQ109">
        <v>1151.9238384419041</v>
      </c>
      <c r="AR109">
        <v>7.8812436090483322E-3</v>
      </c>
      <c r="AS109">
        <v>131.2430285486534</v>
      </c>
      <c r="AT109">
        <v>113.5963974477592</v>
      </c>
      <c r="AU109">
        <v>7.7748489260293088</v>
      </c>
      <c r="AV109">
        <v>249.17919440153631</v>
      </c>
      <c r="AW109">
        <v>262.49226692773777</v>
      </c>
      <c r="AX109">
        <v>13.31307252620152</v>
      </c>
      <c r="AY109">
        <v>1.4657599670678609</v>
      </c>
      <c r="AZ109" t="str">
        <f>VLOOKUP(BA109,Sheet1!$A$1:$B$58,2,FALSE)</f>
        <v>Pentanol (PW2)</v>
      </c>
      <c r="BA109" t="s">
        <v>163</v>
      </c>
      <c r="BB109" t="s">
        <v>83</v>
      </c>
      <c r="BC109">
        <v>88.14658</v>
      </c>
      <c r="BD109">
        <v>6</v>
      </c>
      <c r="BE109">
        <v>138</v>
      </c>
      <c r="BF109" t="s">
        <v>177</v>
      </c>
      <c r="BG109">
        <v>2.663225230113238</v>
      </c>
      <c r="BH109">
        <v>0.193533834586467</v>
      </c>
      <c r="BI109">
        <v>0.288931266154905</v>
      </c>
      <c r="BJ109">
        <v>90</v>
      </c>
      <c r="BK109">
        <v>1009.437567091774</v>
      </c>
      <c r="BL109">
        <v>51.196615041862479</v>
      </c>
      <c r="BM109">
        <v>2.9734862525332999</v>
      </c>
      <c r="BN109">
        <v>505.49266293066108</v>
      </c>
      <c r="BO109">
        <v>503.9449041611129</v>
      </c>
    </row>
    <row r="110" spans="1:67" x14ac:dyDescent="0.25">
      <c r="A110" s="1">
        <v>108</v>
      </c>
      <c r="B110" t="s">
        <v>175</v>
      </c>
      <c r="C110" t="s">
        <v>176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67</v>
      </c>
      <c r="J110">
        <v>1.131</v>
      </c>
      <c r="K110">
        <v>500</v>
      </c>
      <c r="L110">
        <v>100</v>
      </c>
      <c r="N110" t="s">
        <v>68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69</v>
      </c>
      <c r="AM110">
        <v>10290.59710887349</v>
      </c>
      <c r="AN110">
        <v>704.3166832550254</v>
      </c>
      <c r="AO110">
        <v>22572.92269043218</v>
      </c>
      <c r="AP110">
        <v>23738.804449381649</v>
      </c>
      <c r="AQ110">
        <v>1165.8817589494761</v>
      </c>
      <c r="AR110">
        <v>7.8812436090483339E-3</v>
      </c>
      <c r="AS110">
        <v>131.2430285486534</v>
      </c>
      <c r="AT110">
        <v>113.5963974477592</v>
      </c>
      <c r="AU110">
        <v>7.7748489260293088</v>
      </c>
      <c r="AV110">
        <v>249.17919440153631</v>
      </c>
      <c r="AW110">
        <v>262.04919273744582</v>
      </c>
      <c r="AX110">
        <v>12.869998335909511</v>
      </c>
      <c r="AY110">
        <v>1.46575996706786</v>
      </c>
      <c r="AZ110" t="str">
        <f>VLOOKUP(BA110,Sheet1!$A$1:$B$58,2,FALSE)</f>
        <v>Phenol</v>
      </c>
      <c r="BA110" t="s">
        <v>164</v>
      </c>
      <c r="BB110" t="s">
        <v>165</v>
      </c>
      <c r="BC110">
        <v>94.11023999999999</v>
      </c>
      <c r="BD110">
        <v>4.666666666666667</v>
      </c>
      <c r="BE110">
        <v>181.7</v>
      </c>
      <c r="BF110" t="s">
        <v>177</v>
      </c>
      <c r="BG110">
        <v>2.5960790491834049</v>
      </c>
      <c r="BH110">
        <v>0.17313901345291499</v>
      </c>
      <c r="BI110">
        <v>0.27597134608886298</v>
      </c>
      <c r="BJ110">
        <v>90</v>
      </c>
      <c r="BK110">
        <v>1055.0579755280739</v>
      </c>
      <c r="BL110">
        <v>51.816967064421107</v>
      </c>
      <c r="BM110">
        <v>3.30533864766161</v>
      </c>
      <c r="BN110">
        <v>561.90757010247364</v>
      </c>
      <c r="BO110">
        <v>493.15040542560013</v>
      </c>
    </row>
    <row r="111" spans="1:67" x14ac:dyDescent="0.25">
      <c r="A111" s="1">
        <v>109</v>
      </c>
      <c r="B111" t="s">
        <v>175</v>
      </c>
      <c r="C111" t="s">
        <v>176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67</v>
      </c>
      <c r="J111">
        <v>1.131</v>
      </c>
      <c r="K111">
        <v>500</v>
      </c>
      <c r="L111">
        <v>100</v>
      </c>
      <c r="N111" t="s">
        <v>68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107</v>
      </c>
      <c r="AM111">
        <v>11853.20582694218</v>
      </c>
      <c r="AN111">
        <v>811.26590863928516</v>
      </c>
      <c r="AO111">
        <v>26000.580523615099</v>
      </c>
      <c r="AP111">
        <v>28529.152579058751</v>
      </c>
      <c r="AQ111">
        <v>2528.5720554436521</v>
      </c>
      <c r="AR111">
        <v>7.8812436090483322E-3</v>
      </c>
      <c r="AS111">
        <v>131.2430285486534</v>
      </c>
      <c r="AT111">
        <v>113.5963974477592</v>
      </c>
      <c r="AU111">
        <v>7.7748489260293088</v>
      </c>
      <c r="AV111">
        <v>249.17919440153631</v>
      </c>
      <c r="AW111">
        <v>273.41202055668401</v>
      </c>
      <c r="AX111">
        <v>24.232826155147759</v>
      </c>
      <c r="AY111">
        <v>1.46575996706786</v>
      </c>
      <c r="AZ111" t="str">
        <f>VLOOKUP(BA111,Sheet1!$A$1:$B$58,2,FALSE)</f>
        <v>Propane (PW1)</v>
      </c>
      <c r="BA111" t="s">
        <v>166</v>
      </c>
      <c r="BB111" t="s">
        <v>167</v>
      </c>
      <c r="BC111">
        <v>44.094819999999999</v>
      </c>
      <c r="BD111">
        <v>6.666666666666667</v>
      </c>
      <c r="BE111">
        <v>-42</v>
      </c>
      <c r="BF111" t="s">
        <v>177</v>
      </c>
      <c r="BG111">
        <v>3.2279826191070509</v>
      </c>
      <c r="BH111">
        <v>0.32081081081081098</v>
      </c>
      <c r="BI111">
        <v>0.23959002970647</v>
      </c>
      <c r="BJ111">
        <v>90</v>
      </c>
      <c r="BK111">
        <v>1267.962336847055</v>
      </c>
      <c r="BL111">
        <v>112.38098024193999</v>
      </c>
      <c r="BM111">
        <v>3.5695547726877459</v>
      </c>
      <c r="BN111">
        <v>606.82431135691684</v>
      </c>
      <c r="BO111">
        <v>661.1380254901386</v>
      </c>
    </row>
    <row r="112" spans="1:67" x14ac:dyDescent="0.25">
      <c r="A112" s="1">
        <v>110</v>
      </c>
      <c r="B112" t="s">
        <v>175</v>
      </c>
      <c r="C112" t="s">
        <v>176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67</v>
      </c>
      <c r="J112">
        <v>1.131</v>
      </c>
      <c r="K112">
        <v>500</v>
      </c>
      <c r="L112">
        <v>100</v>
      </c>
      <c r="N112" t="s">
        <v>68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107</v>
      </c>
      <c r="AM112">
        <v>15068.72301278054</v>
      </c>
      <c r="AN112">
        <v>1031.344721881944</v>
      </c>
      <c r="AO112">
        <v>33053.973060292803</v>
      </c>
      <c r="AP112">
        <v>35679.780245528222</v>
      </c>
      <c r="AQ112">
        <v>2625.807185235426</v>
      </c>
      <c r="AR112">
        <v>7.8812436090483339E-3</v>
      </c>
      <c r="AS112">
        <v>131.2430285486534</v>
      </c>
      <c r="AT112">
        <v>113.5963974477592</v>
      </c>
      <c r="AU112">
        <v>7.7748489260293114</v>
      </c>
      <c r="AV112">
        <v>249.17919440153631</v>
      </c>
      <c r="AW112">
        <v>268.97398632797871</v>
      </c>
      <c r="AX112">
        <v>19.7947919264424</v>
      </c>
      <c r="AY112">
        <v>1.46575996706786</v>
      </c>
      <c r="AZ112" t="str">
        <f>VLOOKUP(BA112,Sheet1!$A$1:$B$58,2,FALSE)</f>
        <v>Propane (PW2)</v>
      </c>
      <c r="BA112" t="s">
        <v>168</v>
      </c>
      <c r="BB112" t="s">
        <v>167</v>
      </c>
      <c r="BC112">
        <v>44.094819999999999</v>
      </c>
      <c r="BD112">
        <v>6.666666666666667</v>
      </c>
      <c r="BE112">
        <v>-42</v>
      </c>
      <c r="BF112" t="s">
        <v>177</v>
      </c>
      <c r="BG112">
        <v>4.915933499608407</v>
      </c>
      <c r="BH112">
        <v>0.252352941176471</v>
      </c>
      <c r="BI112">
        <v>0.188463875391784</v>
      </c>
      <c r="BJ112">
        <v>90</v>
      </c>
      <c r="BK112">
        <v>1585.768010912366</v>
      </c>
      <c r="BL112">
        <v>116.70254156601879</v>
      </c>
      <c r="BM112">
        <v>3.7256280847818668</v>
      </c>
      <c r="BN112">
        <v>633.35677441291739</v>
      </c>
      <c r="BO112">
        <v>952.41123649944814</v>
      </c>
    </row>
    <row r="113" spans="1:67" x14ac:dyDescent="0.25">
      <c r="A113" s="1">
        <v>111</v>
      </c>
      <c r="B113" t="s">
        <v>175</v>
      </c>
      <c r="C113" t="s">
        <v>176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67</v>
      </c>
      <c r="J113">
        <v>1.131</v>
      </c>
      <c r="K113">
        <v>500</v>
      </c>
      <c r="L113">
        <v>100</v>
      </c>
      <c r="N113" t="s">
        <v>68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69</v>
      </c>
      <c r="AM113">
        <v>5104.3264219391103</v>
      </c>
      <c r="AN113">
        <v>349.35409653256693</v>
      </c>
      <c r="AO113">
        <v>11196.586990059979</v>
      </c>
      <c r="AP113">
        <v>12205.639326482869</v>
      </c>
      <c r="AQ113">
        <v>1009.0523364228879</v>
      </c>
      <c r="AR113">
        <v>7.8812436090483339E-3</v>
      </c>
      <c r="AS113">
        <v>131.2430285486534</v>
      </c>
      <c r="AT113">
        <v>113.5963974477592</v>
      </c>
      <c r="AU113">
        <v>7.7748489260293088</v>
      </c>
      <c r="AV113">
        <v>249.17919440153639</v>
      </c>
      <c r="AW113">
        <v>271.63557762993088</v>
      </c>
      <c r="AX113">
        <v>22.456383228394511</v>
      </c>
      <c r="AY113">
        <v>1.4657599670678609</v>
      </c>
      <c r="AZ113" t="str">
        <f>VLOOKUP(BA113,Sheet1!$A$1:$B$58,2,FALSE)</f>
        <v>Shikimate</v>
      </c>
      <c r="BA113" t="s">
        <v>169</v>
      </c>
      <c r="BB113" t="s">
        <v>170</v>
      </c>
      <c r="BC113">
        <v>173.14045999999999</v>
      </c>
      <c r="BD113">
        <v>3.8571428571428572</v>
      </c>
      <c r="BE113">
        <v>400.5</v>
      </c>
      <c r="BF113" t="s">
        <v>177</v>
      </c>
      <c r="BG113">
        <v>0.90015399591220158</v>
      </c>
      <c r="BH113">
        <v>0.18972972972973001</v>
      </c>
      <c r="BI113">
        <v>0.55637310419405195</v>
      </c>
      <c r="BJ113">
        <v>90</v>
      </c>
      <c r="BK113">
        <v>542.47285895479433</v>
      </c>
      <c r="BL113">
        <v>44.8467705076839</v>
      </c>
      <c r="BM113">
        <v>2.0270582890708</v>
      </c>
      <c r="BN113">
        <v>344.5999091420361</v>
      </c>
      <c r="BO113">
        <v>197.87294981275821</v>
      </c>
    </row>
    <row r="114" spans="1:67" x14ac:dyDescent="0.25">
      <c r="A114" s="1">
        <v>112</v>
      </c>
      <c r="B114" t="s">
        <v>175</v>
      </c>
      <c r="C114" t="s">
        <v>176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67</v>
      </c>
      <c r="J114">
        <v>1.131</v>
      </c>
      <c r="K114">
        <v>500</v>
      </c>
      <c r="L114">
        <v>100</v>
      </c>
      <c r="N114" t="s">
        <v>68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69</v>
      </c>
      <c r="AM114">
        <v>12238.506701406501</v>
      </c>
      <c r="AN114">
        <v>837.63695699409573</v>
      </c>
      <c r="AO114">
        <v>26845.756635343299</v>
      </c>
      <c r="AP114">
        <v>28070.54190222199</v>
      </c>
      <c r="AQ114">
        <v>1224.785266878695</v>
      </c>
      <c r="AR114">
        <v>7.8812436090483339E-3</v>
      </c>
      <c r="AS114">
        <v>131.2430285486534</v>
      </c>
      <c r="AT114">
        <v>113.5963974477592</v>
      </c>
      <c r="AU114">
        <v>7.7748489260293114</v>
      </c>
      <c r="AV114">
        <v>249.17919440153631</v>
      </c>
      <c r="AW114">
        <v>260.54750896466197</v>
      </c>
      <c r="AX114">
        <v>11.36831456312572</v>
      </c>
      <c r="AY114">
        <v>1.4657599670678609</v>
      </c>
      <c r="AZ114" t="str">
        <f>VLOOKUP(BA114,Sheet1!$A$1:$B$58,2,FALSE)</f>
        <v>Styrene</v>
      </c>
      <c r="BA114" t="s">
        <v>171</v>
      </c>
      <c r="BB114" t="s">
        <v>172</v>
      </c>
      <c r="BC114">
        <v>104.14832</v>
      </c>
      <c r="BD114">
        <v>5</v>
      </c>
      <c r="BE114">
        <v>145</v>
      </c>
      <c r="BF114" t="s">
        <v>177</v>
      </c>
      <c r="BG114">
        <v>3.0439079775641278</v>
      </c>
      <c r="BH114">
        <v>0.131550255536627</v>
      </c>
      <c r="BI114">
        <v>0.23204709573494001</v>
      </c>
      <c r="BJ114">
        <v>90</v>
      </c>
      <c r="BK114">
        <v>1247.5796400987549</v>
      </c>
      <c r="BL114">
        <v>54.434900750163933</v>
      </c>
      <c r="BM114">
        <v>3.9745904891922912</v>
      </c>
      <c r="BN114">
        <v>675.6803831626894</v>
      </c>
      <c r="BO114">
        <v>571.89925693606551</v>
      </c>
    </row>
    <row r="115" spans="1:67" x14ac:dyDescent="0.25">
      <c r="A115" s="1">
        <v>113</v>
      </c>
      <c r="B115" t="s">
        <v>175</v>
      </c>
      <c r="C115" t="s">
        <v>176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67</v>
      </c>
      <c r="J115">
        <v>1.131</v>
      </c>
      <c r="K115">
        <v>500</v>
      </c>
      <c r="L115">
        <v>100</v>
      </c>
      <c r="N115" t="s">
        <v>68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69</v>
      </c>
      <c r="AM115">
        <v>3285.9795546895361</v>
      </c>
      <c r="AN115">
        <v>224.9014509767463</v>
      </c>
      <c r="AO115">
        <v>7207.9551522222082</v>
      </c>
      <c r="AP115">
        <v>8162.0218725139948</v>
      </c>
      <c r="AQ115">
        <v>954.06672029178662</v>
      </c>
      <c r="AR115">
        <v>7.8812436090483322E-3</v>
      </c>
      <c r="AS115">
        <v>131.2430285486534</v>
      </c>
      <c r="AT115">
        <v>113.5963974477592</v>
      </c>
      <c r="AU115">
        <v>7.7748489260293088</v>
      </c>
      <c r="AV115">
        <v>249.17919440153631</v>
      </c>
      <c r="AW115">
        <v>282.16130538128209</v>
      </c>
      <c r="AX115">
        <v>32.982110979745777</v>
      </c>
      <c r="AY115">
        <v>1.46575996706786</v>
      </c>
      <c r="AZ115" t="str">
        <f>VLOOKUP(BA115,Sheet1!$A$1:$B$58,2,FALSE)</f>
        <v>Succinate</v>
      </c>
      <c r="BA115" t="s">
        <v>173</v>
      </c>
      <c r="BB115" t="s">
        <v>174</v>
      </c>
      <c r="BC115">
        <v>116.07016</v>
      </c>
      <c r="BD115">
        <v>3</v>
      </c>
      <c r="BE115">
        <v>235</v>
      </c>
      <c r="BF115" t="s">
        <v>177</v>
      </c>
      <c r="BG115">
        <v>0.20827045328205271</v>
      </c>
      <c r="BH115">
        <v>0.43962962962962898</v>
      </c>
      <c r="BI115">
        <v>0.86425064092107495</v>
      </c>
      <c r="BJ115">
        <v>90</v>
      </c>
      <c r="BK115">
        <v>362.75652766728871</v>
      </c>
      <c r="BL115">
        <v>42.402965346301627</v>
      </c>
      <c r="BM115">
        <v>1.676162266253165</v>
      </c>
      <c r="BN115">
        <v>284.94758526303798</v>
      </c>
      <c r="BO115">
        <v>77.808942404250615</v>
      </c>
    </row>
    <row r="116" spans="1:67" x14ac:dyDescent="0.25">
      <c r="A116" s="1">
        <v>114</v>
      </c>
      <c r="B116" t="s">
        <v>178</v>
      </c>
      <c r="C116" t="s">
        <v>179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67</v>
      </c>
      <c r="J116">
        <v>1.333</v>
      </c>
      <c r="K116">
        <v>500</v>
      </c>
      <c r="L116">
        <v>100</v>
      </c>
      <c r="N116" t="s">
        <v>180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69</v>
      </c>
      <c r="AM116">
        <v>10408.13912157063</v>
      </c>
      <c r="AN116">
        <v>356.18079045385832</v>
      </c>
      <c r="AO116">
        <v>22830.756782800101</v>
      </c>
      <c r="AP116">
        <v>18705.366260425879</v>
      </c>
      <c r="AQ116">
        <v>-4125.3905223742149</v>
      </c>
      <c r="AR116">
        <v>2.322214352533472E-3</v>
      </c>
      <c r="AS116">
        <v>82.907505347557162</v>
      </c>
      <c r="AT116">
        <v>121.7712078315727</v>
      </c>
      <c r="AU116">
        <v>4.1671776821355069</v>
      </c>
      <c r="AV116">
        <v>267.11103653377228</v>
      </c>
      <c r="AW116">
        <v>218.8455607538306</v>
      </c>
      <c r="AX116">
        <v>-48.265475779941681</v>
      </c>
      <c r="AY116">
        <v>1.5712413913751311</v>
      </c>
      <c r="AZ116" t="str">
        <f>VLOOKUP(BA116,Sheet1!$A$1:$B$58,2,FALSE)</f>
        <v>1,3-Butanediol (PW1)</v>
      </c>
      <c r="BA116" t="s">
        <v>70</v>
      </c>
      <c r="BB116" t="s">
        <v>71</v>
      </c>
      <c r="BC116">
        <v>90.119200000000006</v>
      </c>
      <c r="BD116">
        <v>5.5</v>
      </c>
      <c r="BE116">
        <v>207</v>
      </c>
      <c r="BF116" t="s">
        <v>181</v>
      </c>
      <c r="BG116">
        <v>3.41847242319063</v>
      </c>
      <c r="BH116">
        <v>9.0909090909090995E-2</v>
      </c>
      <c r="BI116">
        <v>0.29249034435753402</v>
      </c>
      <c r="BJ116">
        <v>90</v>
      </c>
      <c r="BK116">
        <v>831.34961157448379</v>
      </c>
      <c r="BL116">
        <v>-183.35068988329849</v>
      </c>
      <c r="BM116">
        <v>2.5503528795022059</v>
      </c>
      <c r="BN116">
        <v>433.55998951537498</v>
      </c>
      <c r="BO116">
        <v>397.78962205910881</v>
      </c>
    </row>
    <row r="117" spans="1:67" x14ac:dyDescent="0.25">
      <c r="A117" s="1">
        <v>115</v>
      </c>
      <c r="B117" t="s">
        <v>178</v>
      </c>
      <c r="C117" t="s">
        <v>179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67</v>
      </c>
      <c r="J117">
        <v>1.333</v>
      </c>
      <c r="K117">
        <v>500</v>
      </c>
      <c r="L117">
        <v>100</v>
      </c>
      <c r="N117" t="s">
        <v>180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69</v>
      </c>
      <c r="AM117">
        <v>10408.13912157063</v>
      </c>
      <c r="AN117">
        <v>356.18079045385832</v>
      </c>
      <c r="AO117">
        <v>22830.756782800101</v>
      </c>
      <c r="AP117">
        <v>18705.366260425879</v>
      </c>
      <c r="AQ117">
        <v>-4125.3905223742149</v>
      </c>
      <c r="AR117">
        <v>2.322214352533472E-3</v>
      </c>
      <c r="AS117">
        <v>82.907505347557162</v>
      </c>
      <c r="AT117">
        <v>121.7712078315727</v>
      </c>
      <c r="AU117">
        <v>4.1671776821355069</v>
      </c>
      <c r="AV117">
        <v>267.11103653377228</v>
      </c>
      <c r="AW117">
        <v>218.8455607538306</v>
      </c>
      <c r="AX117">
        <v>-48.265475779941681</v>
      </c>
      <c r="AY117">
        <v>1.5712413913751311</v>
      </c>
      <c r="AZ117" t="str">
        <f>VLOOKUP(BA117,Sheet1!$A$1:$B$58,2,FALSE)</f>
        <v>1,3-Butanediol (PW2)</v>
      </c>
      <c r="BA117" t="s">
        <v>72</v>
      </c>
      <c r="BB117" t="s">
        <v>71</v>
      </c>
      <c r="BC117">
        <v>90.119200000000006</v>
      </c>
      <c r="BD117">
        <v>5.5</v>
      </c>
      <c r="BE117">
        <v>207</v>
      </c>
      <c r="BF117" t="s">
        <v>181</v>
      </c>
      <c r="BG117">
        <v>3.4184724231906261</v>
      </c>
      <c r="BH117">
        <v>9.0909090909090995E-2</v>
      </c>
      <c r="BI117">
        <v>0.29249034435753402</v>
      </c>
      <c r="BJ117">
        <v>90</v>
      </c>
      <c r="BK117">
        <v>831.34961157448379</v>
      </c>
      <c r="BL117">
        <v>-183.35068988329849</v>
      </c>
      <c r="BM117">
        <v>2.5503528795022099</v>
      </c>
      <c r="BN117">
        <v>433.55998951537578</v>
      </c>
      <c r="BO117">
        <v>397.78962205910801</v>
      </c>
    </row>
    <row r="118" spans="1:67" x14ac:dyDescent="0.25">
      <c r="A118" s="1">
        <v>116</v>
      </c>
      <c r="B118" t="s">
        <v>178</v>
      </c>
      <c r="C118" t="s">
        <v>179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67</v>
      </c>
      <c r="J118">
        <v>1.333</v>
      </c>
      <c r="K118">
        <v>500</v>
      </c>
      <c r="L118">
        <v>100</v>
      </c>
      <c r="N118" t="s">
        <v>180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69</v>
      </c>
      <c r="AM118">
        <v>13606.512627495569</v>
      </c>
      <c r="AN118">
        <v>465.63351684430972</v>
      </c>
      <c r="AO118">
        <v>29846.543828054801</v>
      </c>
      <c r="AP118">
        <v>24190.79402325023</v>
      </c>
      <c r="AQ118">
        <v>-5655.7498048045709</v>
      </c>
      <c r="AR118">
        <v>2.322214352533472E-3</v>
      </c>
      <c r="AS118">
        <v>82.907505347557162</v>
      </c>
      <c r="AT118">
        <v>121.7712078315726</v>
      </c>
      <c r="AU118">
        <v>4.1671776821355069</v>
      </c>
      <c r="AV118">
        <v>267.11103653377222</v>
      </c>
      <c r="AW118">
        <v>216.49501876500781</v>
      </c>
      <c r="AX118">
        <v>-50.616017768764458</v>
      </c>
      <c r="AY118">
        <v>1.57124139137513</v>
      </c>
      <c r="AZ118" t="str">
        <f>VLOOKUP(BA118,Sheet1!$A$1:$B$58,2,FALSE)</f>
        <v>1,3-Diaminopropane</v>
      </c>
      <c r="BA118" t="s">
        <v>73</v>
      </c>
      <c r="BB118" t="s">
        <v>74</v>
      </c>
      <c r="BC118">
        <v>76.139580000000009</v>
      </c>
      <c r="BD118">
        <v>6</v>
      </c>
      <c r="BE118">
        <v>139.30000000000001</v>
      </c>
      <c r="BF118" t="s">
        <v>181</v>
      </c>
      <c r="BG118">
        <v>4.0893378619860972</v>
      </c>
      <c r="BH118">
        <v>8.2307692307691999E-2</v>
      </c>
      <c r="BI118">
        <v>0.22373699118446699</v>
      </c>
      <c r="BJ118">
        <v>90</v>
      </c>
      <c r="BK118">
        <v>1075.1464010333441</v>
      </c>
      <c r="BL118">
        <v>-251.36665799131441</v>
      </c>
      <c r="BM118">
        <v>3.713680132276596</v>
      </c>
      <c r="BN118">
        <v>631.32562248702129</v>
      </c>
      <c r="BO118">
        <v>443.82077854632229</v>
      </c>
    </row>
    <row r="119" spans="1:67" x14ac:dyDescent="0.25">
      <c r="A119" s="1">
        <v>117</v>
      </c>
      <c r="B119" t="s">
        <v>178</v>
      </c>
      <c r="C119" t="s">
        <v>179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67</v>
      </c>
      <c r="J119">
        <v>1.333</v>
      </c>
      <c r="K119">
        <v>500</v>
      </c>
      <c r="L119">
        <v>100</v>
      </c>
      <c r="N119" t="s">
        <v>180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69</v>
      </c>
      <c r="AM119">
        <v>8964.8708810170228</v>
      </c>
      <c r="AN119">
        <v>306.79017251986591</v>
      </c>
      <c r="AO119">
        <v>19664.878061585721</v>
      </c>
      <c r="AP119">
        <v>16230.06321615372</v>
      </c>
      <c r="AQ119">
        <v>-3434.8148454320021</v>
      </c>
      <c r="AR119">
        <v>2.322214352533472E-3</v>
      </c>
      <c r="AS119">
        <v>82.907505347557162</v>
      </c>
      <c r="AT119">
        <v>121.7712078315726</v>
      </c>
      <c r="AU119">
        <v>4.1671776821355069</v>
      </c>
      <c r="AV119">
        <v>267.11103653377222</v>
      </c>
      <c r="AW119">
        <v>220.45542286601329</v>
      </c>
      <c r="AX119">
        <v>-46.655613667758871</v>
      </c>
      <c r="AY119">
        <v>1.57124139137513</v>
      </c>
      <c r="AZ119" t="str">
        <f>VLOOKUP(BA119,Sheet1!$A$1:$B$58,2,FALSE)</f>
        <v>1,3-Propanediol</v>
      </c>
      <c r="BA119" t="s">
        <v>75</v>
      </c>
      <c r="BB119" t="s">
        <v>76</v>
      </c>
      <c r="BC119">
        <v>76.092820000000003</v>
      </c>
      <c r="BD119">
        <v>5.333333333333333</v>
      </c>
      <c r="BE119">
        <v>213</v>
      </c>
      <c r="BF119" t="s">
        <v>181</v>
      </c>
      <c r="BG119">
        <v>2.8918628590713329</v>
      </c>
      <c r="BH119">
        <v>0.125</v>
      </c>
      <c r="BI119">
        <v>0.339578811138879</v>
      </c>
      <c r="BJ119">
        <v>90</v>
      </c>
      <c r="BK119">
        <v>721.33614294016547</v>
      </c>
      <c r="BL119">
        <v>-152.65843757475571</v>
      </c>
      <c r="BM119">
        <v>2.2492817321929079</v>
      </c>
      <c r="BN119">
        <v>382.37789447279442</v>
      </c>
      <c r="BO119">
        <v>338.95824846737099</v>
      </c>
    </row>
    <row r="120" spans="1:67" x14ac:dyDescent="0.25">
      <c r="A120" s="1">
        <v>118</v>
      </c>
      <c r="B120" t="s">
        <v>178</v>
      </c>
      <c r="C120" t="s">
        <v>179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67</v>
      </c>
      <c r="J120">
        <v>1.333</v>
      </c>
      <c r="K120">
        <v>500</v>
      </c>
      <c r="L120">
        <v>100</v>
      </c>
      <c r="N120" t="s">
        <v>180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69</v>
      </c>
      <c r="AM120">
        <v>17464.804388361859</v>
      </c>
      <c r="AN120">
        <v>597.66955067660763</v>
      </c>
      <c r="AO120">
        <v>38309.893497051817</v>
      </c>
      <c r="AP120">
        <v>30808.0264080626</v>
      </c>
      <c r="AQ120">
        <v>-7501.8670889892237</v>
      </c>
      <c r="AR120">
        <v>2.322214352533472E-3</v>
      </c>
      <c r="AS120">
        <v>82.907505347557162</v>
      </c>
      <c r="AT120">
        <v>121.7712078315726</v>
      </c>
      <c r="AU120">
        <v>4.1671776821355069</v>
      </c>
      <c r="AV120">
        <v>267.11103653377222</v>
      </c>
      <c r="AW120">
        <v>214.80518780483459</v>
      </c>
      <c r="AX120">
        <v>-52.305848728937633</v>
      </c>
      <c r="AY120">
        <v>1.57124139137513</v>
      </c>
      <c r="AZ120" t="str">
        <f>VLOOKUP(BA120,Sheet1!$A$1:$B$58,2,FALSE)</f>
        <v>1,4-Butanediol</v>
      </c>
      <c r="BA120" t="s">
        <v>77</v>
      </c>
      <c r="BB120" t="s">
        <v>71</v>
      </c>
      <c r="BC120">
        <v>90.119200000000006</v>
      </c>
      <c r="BD120">
        <v>5.5</v>
      </c>
      <c r="BE120">
        <v>230</v>
      </c>
      <c r="BF120" t="s">
        <v>181</v>
      </c>
      <c r="BG120">
        <v>5.2395278261987057</v>
      </c>
      <c r="BH120">
        <v>5.4177215189873E-2</v>
      </c>
      <c r="BI120">
        <v>0.17430943559940201</v>
      </c>
      <c r="BJ120">
        <v>90</v>
      </c>
      <c r="BK120">
        <v>1369.245618136116</v>
      </c>
      <c r="BL120">
        <v>-333.41631506618779</v>
      </c>
      <c r="BM120">
        <v>4.776130604403078</v>
      </c>
      <c r="BN120">
        <v>811.9422027485233</v>
      </c>
      <c r="BO120">
        <v>557.30341538759228</v>
      </c>
    </row>
    <row r="121" spans="1:67" x14ac:dyDescent="0.25">
      <c r="A121" s="1">
        <v>119</v>
      </c>
      <c r="B121" t="s">
        <v>178</v>
      </c>
      <c r="C121" t="s">
        <v>179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67</v>
      </c>
      <c r="J121">
        <v>1.333</v>
      </c>
      <c r="K121">
        <v>500</v>
      </c>
      <c r="L121">
        <v>100</v>
      </c>
      <c r="N121" t="s">
        <v>180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69</v>
      </c>
      <c r="AM121">
        <v>17571.143276872041</v>
      </c>
      <c r="AN121">
        <v>601.30861323362558</v>
      </c>
      <c r="AO121">
        <v>38543.152994428987</v>
      </c>
      <c r="AP121">
        <v>30990.404823285549</v>
      </c>
      <c r="AQ121">
        <v>-7552.7481711434484</v>
      </c>
      <c r="AR121">
        <v>2.322214352533472E-3</v>
      </c>
      <c r="AS121">
        <v>82.907505347557176</v>
      </c>
      <c r="AT121">
        <v>121.7712078315726</v>
      </c>
      <c r="AU121">
        <v>4.1671776821355069</v>
      </c>
      <c r="AV121">
        <v>267.11103653377222</v>
      </c>
      <c r="AW121">
        <v>214.7691227063207</v>
      </c>
      <c r="AX121">
        <v>-52.341913827451442</v>
      </c>
      <c r="AY121">
        <v>1.57124139137513</v>
      </c>
      <c r="AZ121" t="str">
        <f>VLOOKUP(BA121,Sheet1!$A$1:$B$58,2,FALSE)</f>
        <v>1-Propanol (PW1)</v>
      </c>
      <c r="BA121" t="s">
        <v>78</v>
      </c>
      <c r="BB121" t="s">
        <v>79</v>
      </c>
      <c r="BC121">
        <v>60.093820000000001</v>
      </c>
      <c r="BD121">
        <v>6</v>
      </c>
      <c r="BE121">
        <v>97</v>
      </c>
      <c r="BF121" t="s">
        <v>181</v>
      </c>
      <c r="BG121">
        <v>5.6329722828388409</v>
      </c>
      <c r="BH121">
        <v>8.0754716981131999E-2</v>
      </c>
      <c r="BI121">
        <v>0.17325453146787201</v>
      </c>
      <c r="BJ121">
        <v>90</v>
      </c>
      <c r="BK121">
        <v>1377.3513254793579</v>
      </c>
      <c r="BL121">
        <v>-335.67769649526451</v>
      </c>
      <c r="BM121">
        <v>4.4436690228942322</v>
      </c>
      <c r="BN121">
        <v>755.42373389201941</v>
      </c>
      <c r="BO121">
        <v>621.92759158733827</v>
      </c>
    </row>
    <row r="122" spans="1:67" x14ac:dyDescent="0.25">
      <c r="A122" s="1">
        <v>120</v>
      </c>
      <c r="B122" t="s">
        <v>178</v>
      </c>
      <c r="C122" t="s">
        <v>179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67</v>
      </c>
      <c r="J122">
        <v>1.333</v>
      </c>
      <c r="K122">
        <v>500</v>
      </c>
      <c r="L122">
        <v>100</v>
      </c>
      <c r="N122" t="s">
        <v>180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69</v>
      </c>
      <c r="AM122">
        <v>12770.574321228531</v>
      </c>
      <c r="AN122">
        <v>437.02656191998682</v>
      </c>
      <c r="AO122">
        <v>28012.872704630328</v>
      </c>
      <c r="AP122">
        <v>22757.103059793011</v>
      </c>
      <c r="AQ122">
        <v>-5255.7696448373172</v>
      </c>
      <c r="AR122">
        <v>2.322214352533472E-3</v>
      </c>
      <c r="AS122">
        <v>82.907505347557162</v>
      </c>
      <c r="AT122">
        <v>121.7712078315726</v>
      </c>
      <c r="AU122">
        <v>4.1671776821355069</v>
      </c>
      <c r="AV122">
        <v>267.11103653377222</v>
      </c>
      <c r="AW122">
        <v>216.99571660861571</v>
      </c>
      <c r="AX122">
        <v>-50.115319925156463</v>
      </c>
      <c r="AY122">
        <v>1.57124139137513</v>
      </c>
      <c r="AZ122" t="str">
        <f>VLOOKUP(BA122,Sheet1!$A$1:$B$58,2,FALSE)</f>
        <v>1-Propanol (PW2)</v>
      </c>
      <c r="BA122" t="s">
        <v>80</v>
      </c>
      <c r="BB122" t="s">
        <v>79</v>
      </c>
      <c r="BC122">
        <v>60.093820000000001</v>
      </c>
      <c r="BD122">
        <v>6</v>
      </c>
      <c r="BE122">
        <v>97</v>
      </c>
      <c r="BF122" t="s">
        <v>181</v>
      </c>
      <c r="BG122">
        <v>4.3941290468803667</v>
      </c>
      <c r="BH122">
        <v>0.11111111111111099</v>
      </c>
      <c r="BI122">
        <v>0.23838240311</v>
      </c>
      <c r="BJ122">
        <v>90</v>
      </c>
      <c r="BK122">
        <v>1011.426802657467</v>
      </c>
      <c r="BL122">
        <v>-233.58976199276981</v>
      </c>
      <c r="BM122">
        <v>2.9294978040033799</v>
      </c>
      <c r="BN122">
        <v>498.01462668057462</v>
      </c>
      <c r="BO122">
        <v>513.41217597689263</v>
      </c>
    </row>
    <row r="123" spans="1:67" x14ac:dyDescent="0.25">
      <c r="A123" s="1">
        <v>121</v>
      </c>
      <c r="B123" t="s">
        <v>178</v>
      </c>
      <c r="C123" t="s">
        <v>179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67</v>
      </c>
      <c r="J123">
        <v>1.333</v>
      </c>
      <c r="K123">
        <v>500</v>
      </c>
      <c r="L123">
        <v>100</v>
      </c>
      <c r="N123" t="s">
        <v>180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69</v>
      </c>
      <c r="AM123">
        <v>10408.13912157063</v>
      </c>
      <c r="AN123">
        <v>356.18079045385832</v>
      </c>
      <c r="AO123">
        <v>22830.756782800101</v>
      </c>
      <c r="AP123">
        <v>18705.366260425879</v>
      </c>
      <c r="AQ123">
        <v>-4125.3905223742149</v>
      </c>
      <c r="AR123">
        <v>2.322214352533472E-3</v>
      </c>
      <c r="AS123">
        <v>82.907505347557162</v>
      </c>
      <c r="AT123">
        <v>121.7712078315727</v>
      </c>
      <c r="AU123">
        <v>4.1671776821355069</v>
      </c>
      <c r="AV123">
        <v>267.11103653377228</v>
      </c>
      <c r="AW123">
        <v>218.8455607538306</v>
      </c>
      <c r="AX123">
        <v>-48.265475779941681</v>
      </c>
      <c r="AY123">
        <v>1.5712413913751311</v>
      </c>
      <c r="AZ123" t="str">
        <f>VLOOKUP(BA123,Sheet1!$A$1:$B$58,2,FALSE)</f>
        <v>2,3-Butanediol</v>
      </c>
      <c r="BA123" t="s">
        <v>81</v>
      </c>
      <c r="BB123" t="s">
        <v>71</v>
      </c>
      <c r="BC123">
        <v>90.119200000000006</v>
      </c>
      <c r="BD123">
        <v>5.5</v>
      </c>
      <c r="BE123">
        <v>177</v>
      </c>
      <c r="BF123" t="s">
        <v>181</v>
      </c>
      <c r="BG123">
        <v>3.4184724231906172</v>
      </c>
      <c r="BH123">
        <v>9.0909090909090995E-2</v>
      </c>
      <c r="BI123">
        <v>0.29249034435753402</v>
      </c>
      <c r="BJ123">
        <v>90</v>
      </c>
      <c r="BK123">
        <v>831.34961157448379</v>
      </c>
      <c r="BL123">
        <v>-183.35068988329849</v>
      </c>
      <c r="BM123">
        <v>2.5503528795022188</v>
      </c>
      <c r="BN123">
        <v>433.55998951537731</v>
      </c>
      <c r="BO123">
        <v>397.78962205910648</v>
      </c>
    </row>
    <row r="124" spans="1:67" x14ac:dyDescent="0.25">
      <c r="A124" s="1">
        <v>122</v>
      </c>
      <c r="B124" t="s">
        <v>178</v>
      </c>
      <c r="C124" t="s">
        <v>179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67</v>
      </c>
      <c r="J124">
        <v>1.333</v>
      </c>
      <c r="K124">
        <v>500</v>
      </c>
      <c r="L124">
        <v>100</v>
      </c>
      <c r="N124" t="s">
        <v>180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69</v>
      </c>
      <c r="AM124">
        <v>14510.538290434901</v>
      </c>
      <c r="AN124">
        <v>496.57051446273857</v>
      </c>
      <c r="AO124">
        <v>31829.567862889471</v>
      </c>
      <c r="AP124">
        <v>25741.25942718342</v>
      </c>
      <c r="AQ124">
        <v>-6088.3084357060507</v>
      </c>
      <c r="AR124">
        <v>2.322214352533472E-3</v>
      </c>
      <c r="AS124">
        <v>82.907505347557176</v>
      </c>
      <c r="AT124">
        <v>121.7712078315726</v>
      </c>
      <c r="AU124">
        <v>4.1671776821355078</v>
      </c>
      <c r="AV124">
        <v>267.11103653377222</v>
      </c>
      <c r="AW124">
        <v>216.01846801370669</v>
      </c>
      <c r="AX124">
        <v>-51.092568520065441</v>
      </c>
      <c r="AY124">
        <v>1.57124139137513</v>
      </c>
      <c r="AZ124" t="str">
        <f>VLOOKUP(BA124,Sheet1!$A$1:$B$58,2,FALSE)</f>
        <v>2-Methyl-1-Butanol</v>
      </c>
      <c r="BA124" t="s">
        <v>82</v>
      </c>
      <c r="BB124" t="s">
        <v>83</v>
      </c>
      <c r="BC124">
        <v>88.14658</v>
      </c>
      <c r="BD124">
        <v>6</v>
      </c>
      <c r="BE124">
        <v>129</v>
      </c>
      <c r="BF124" t="s">
        <v>181</v>
      </c>
      <c r="BG124">
        <v>4.9928199142836851</v>
      </c>
      <c r="BH124">
        <v>6.6666666666666999E-2</v>
      </c>
      <c r="BI124">
        <v>0.209797881708913</v>
      </c>
      <c r="BJ124">
        <v>90</v>
      </c>
      <c r="BK124">
        <v>1144.0559745414851</v>
      </c>
      <c r="BL124">
        <v>-270.59148603138021</v>
      </c>
      <c r="BM124">
        <v>3.3286357361449359</v>
      </c>
      <c r="BN124">
        <v>565.86807514463919</v>
      </c>
      <c r="BO124">
        <v>578.18789939684586</v>
      </c>
    </row>
    <row r="125" spans="1:67" x14ac:dyDescent="0.25">
      <c r="A125" s="1">
        <v>123</v>
      </c>
      <c r="B125" t="s">
        <v>178</v>
      </c>
      <c r="C125" t="s">
        <v>179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67</v>
      </c>
      <c r="J125">
        <v>1.333</v>
      </c>
      <c r="K125">
        <v>500</v>
      </c>
      <c r="L125">
        <v>100</v>
      </c>
      <c r="N125" t="s">
        <v>180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69</v>
      </c>
      <c r="AM125">
        <v>15209.41778610809</v>
      </c>
      <c r="AN125">
        <v>520.48712897886969</v>
      </c>
      <c r="AO125">
        <v>33362.593853398394</v>
      </c>
      <c r="AP125">
        <v>26939.88522286755</v>
      </c>
      <c r="AQ125">
        <v>-6422.708630530833</v>
      </c>
      <c r="AR125">
        <v>2.322214352533472E-3</v>
      </c>
      <c r="AS125">
        <v>82.907505347557148</v>
      </c>
      <c r="AT125">
        <v>121.7712078315726</v>
      </c>
      <c r="AU125">
        <v>4.1671776821355078</v>
      </c>
      <c r="AV125">
        <v>267.11103653377222</v>
      </c>
      <c r="AW125">
        <v>215.6888849110876</v>
      </c>
      <c r="AX125">
        <v>-51.422151622684567</v>
      </c>
      <c r="AY125">
        <v>1.57124139137513</v>
      </c>
      <c r="AZ125" t="str">
        <f>VLOOKUP(BA125,Sheet1!$A$1:$B$58,2,FALSE)</f>
        <v>3-Methyl-1-Pentanol</v>
      </c>
      <c r="BA125" t="s">
        <v>87</v>
      </c>
      <c r="BB125" t="s">
        <v>88</v>
      </c>
      <c r="BC125">
        <v>102.17296</v>
      </c>
      <c r="BD125">
        <v>6</v>
      </c>
      <c r="BE125">
        <v>153</v>
      </c>
      <c r="BF125" t="s">
        <v>181</v>
      </c>
      <c r="BG125">
        <v>5.2171895669321859</v>
      </c>
      <c r="BH125">
        <v>5.4871794871794999E-2</v>
      </c>
      <c r="BI125">
        <v>0.20015757595730499</v>
      </c>
      <c r="BJ125">
        <v>90</v>
      </c>
      <c r="BK125">
        <v>1197.3282321274471</v>
      </c>
      <c r="BL125">
        <v>-285.45371691248158</v>
      </c>
      <c r="BM125">
        <v>3.5050571921262139</v>
      </c>
      <c r="BN125">
        <v>595.85972266145643</v>
      </c>
      <c r="BO125">
        <v>601.46850946599022</v>
      </c>
    </row>
    <row r="126" spans="1:67" x14ac:dyDescent="0.25">
      <c r="A126" s="1">
        <v>124</v>
      </c>
      <c r="B126" t="s">
        <v>178</v>
      </c>
      <c r="C126" t="s">
        <v>179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67</v>
      </c>
      <c r="J126">
        <v>1.333</v>
      </c>
      <c r="K126">
        <v>500</v>
      </c>
      <c r="L126">
        <v>100</v>
      </c>
      <c r="N126" t="s">
        <v>180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69</v>
      </c>
      <c r="AM126">
        <v>34988.25875222071</v>
      </c>
      <c r="AN126">
        <v>1197.346183924712</v>
      </c>
      <c r="AO126">
        <v>76748.438553258326</v>
      </c>
      <c r="AP126">
        <v>60861.94065229618</v>
      </c>
      <c r="AQ126">
        <v>-15886.497900962149</v>
      </c>
      <c r="AR126">
        <v>2.322214352533472E-3</v>
      </c>
      <c r="AS126">
        <v>82.907505347557162</v>
      </c>
      <c r="AT126">
        <v>121.7712078315726</v>
      </c>
      <c r="AU126">
        <v>4.1671776821355078</v>
      </c>
      <c r="AV126">
        <v>267.11103653377222</v>
      </c>
      <c r="AW126">
        <v>211.8205446200779</v>
      </c>
      <c r="AX126">
        <v>-55.290491913694296</v>
      </c>
      <c r="AY126">
        <v>1.57124139137513</v>
      </c>
      <c r="AZ126" t="str">
        <f>VLOOKUP(BA126,Sheet1!$A$1:$B$58,2,FALSE)</f>
        <v>4-Hydroxystyrene</v>
      </c>
      <c r="BA126" t="s">
        <v>89</v>
      </c>
      <c r="BB126" t="s">
        <v>90</v>
      </c>
      <c r="BC126">
        <v>120.14731999999999</v>
      </c>
      <c r="BD126">
        <v>4.75</v>
      </c>
      <c r="BE126">
        <v>229</v>
      </c>
      <c r="BF126" t="s">
        <v>181</v>
      </c>
      <c r="BG126">
        <v>9.5785818158860021</v>
      </c>
      <c r="BH126">
        <v>2.0284360189574E-2</v>
      </c>
      <c r="BI126">
        <v>8.7008622445267997E-2</v>
      </c>
      <c r="BJ126">
        <v>90</v>
      </c>
      <c r="BK126">
        <v>2704.975140102053</v>
      </c>
      <c r="BL126">
        <v>-706.06657337609511</v>
      </c>
      <c r="BM126">
        <v>10.48636943986781</v>
      </c>
      <c r="BN126">
        <v>1782.682804777528</v>
      </c>
      <c r="BO126">
        <v>922.29233532452486</v>
      </c>
    </row>
    <row r="127" spans="1:67" x14ac:dyDescent="0.25">
      <c r="A127" s="1">
        <v>125</v>
      </c>
      <c r="B127" t="s">
        <v>178</v>
      </c>
      <c r="C127" t="s">
        <v>179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67</v>
      </c>
      <c r="J127">
        <v>1.333</v>
      </c>
      <c r="K127">
        <v>500</v>
      </c>
      <c r="L127">
        <v>100</v>
      </c>
      <c r="N127" t="s">
        <v>180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69</v>
      </c>
      <c r="AM127">
        <v>11745.59492215952</v>
      </c>
      <c r="AN127">
        <v>401.95036162182743</v>
      </c>
      <c r="AO127">
        <v>25764.530796995081</v>
      </c>
      <c r="AP127">
        <v>20999.19378448146</v>
      </c>
      <c r="AQ127">
        <v>-4765.3370125136207</v>
      </c>
      <c r="AR127">
        <v>2.322214352533472E-3</v>
      </c>
      <c r="AS127">
        <v>82.907505347557162</v>
      </c>
      <c r="AT127">
        <v>121.7712078315726</v>
      </c>
      <c r="AU127">
        <v>4.1671776821355069</v>
      </c>
      <c r="AV127">
        <v>267.11103653377222</v>
      </c>
      <c r="AW127">
        <v>217.70691119283191</v>
      </c>
      <c r="AX127">
        <v>-49.404125340940311</v>
      </c>
      <c r="AY127">
        <v>1.5712413913751311</v>
      </c>
      <c r="AZ127" t="str">
        <f>VLOOKUP(BA127,Sheet1!$A$1:$B$58,2,FALSE)</f>
        <v>Acetone</v>
      </c>
      <c r="BA127" t="s">
        <v>93</v>
      </c>
      <c r="BB127" t="s">
        <v>94</v>
      </c>
      <c r="BC127">
        <v>58.078139999999998</v>
      </c>
      <c r="BD127">
        <v>5.333333333333333</v>
      </c>
      <c r="BE127">
        <v>56</v>
      </c>
      <c r="BF127" t="s">
        <v>181</v>
      </c>
      <c r="BG127">
        <v>3.7888610069124109</v>
      </c>
      <c r="BH127">
        <v>0.125</v>
      </c>
      <c r="BI127">
        <v>0.25918484469832198</v>
      </c>
      <c r="BJ127">
        <v>90</v>
      </c>
      <c r="BK127">
        <v>933.29750153250939</v>
      </c>
      <c r="BL127">
        <v>-211.79275611171639</v>
      </c>
      <c r="BM127">
        <v>2.9469640380536259</v>
      </c>
      <c r="BN127">
        <v>500.98388646911633</v>
      </c>
      <c r="BO127">
        <v>432.31361506339312</v>
      </c>
    </row>
    <row r="128" spans="1:67" x14ac:dyDescent="0.25">
      <c r="A128" s="1">
        <v>126</v>
      </c>
      <c r="B128" t="s">
        <v>178</v>
      </c>
      <c r="C128" t="s">
        <v>179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67</v>
      </c>
      <c r="J128">
        <v>1.333</v>
      </c>
      <c r="K128">
        <v>500</v>
      </c>
      <c r="L128">
        <v>100</v>
      </c>
      <c r="N128" t="s">
        <v>180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69</v>
      </c>
      <c r="AM128">
        <v>24113.83053392802</v>
      </c>
      <c r="AN128">
        <v>825.20834129173022</v>
      </c>
      <c r="AO128">
        <v>52894.85407442275</v>
      </c>
      <c r="AP128">
        <v>42211.5577802017</v>
      </c>
      <c r="AQ128">
        <v>-10683.296294221051</v>
      </c>
      <c r="AR128">
        <v>2.322214352533472E-3</v>
      </c>
      <c r="AS128">
        <v>82.907505347557162</v>
      </c>
      <c r="AT128">
        <v>121.7712078315726</v>
      </c>
      <c r="AU128">
        <v>4.1671776821355069</v>
      </c>
      <c r="AV128">
        <v>267.11103653377222</v>
      </c>
      <c r="AW128">
        <v>213.16200128864691</v>
      </c>
      <c r="AX128">
        <v>-53.949035245125323</v>
      </c>
      <c r="AY128">
        <v>1.5712413913751311</v>
      </c>
      <c r="AZ128" t="str">
        <f>VLOOKUP(BA128,Sheet1!$A$1:$B$58,2,FALSE)</f>
        <v>Acrylate (PW1)</v>
      </c>
      <c r="BA128" t="s">
        <v>95</v>
      </c>
      <c r="BB128" t="s">
        <v>96</v>
      </c>
      <c r="BC128">
        <v>71.053619999999995</v>
      </c>
      <c r="BD128">
        <v>3.666666666666667</v>
      </c>
      <c r="BE128">
        <v>80</v>
      </c>
      <c r="BF128" t="s">
        <v>181</v>
      </c>
      <c r="BG128">
        <v>6.2228573583735063</v>
      </c>
      <c r="BH128">
        <v>4.9767441860465098E-2</v>
      </c>
      <c r="BI128">
        <v>0.12624623000091301</v>
      </c>
      <c r="BJ128">
        <v>90</v>
      </c>
      <c r="BK128">
        <v>1876.0692346756309</v>
      </c>
      <c r="BL128">
        <v>-474.81316863204682</v>
      </c>
      <c r="BM128">
        <v>7.605862661083421</v>
      </c>
      <c r="BN128">
        <v>1292.996652384182</v>
      </c>
      <c r="BO128">
        <v>583.07258229144963</v>
      </c>
    </row>
    <row r="129" spans="1:67" x14ac:dyDescent="0.25">
      <c r="A129" s="1">
        <v>127</v>
      </c>
      <c r="B129" t="s">
        <v>178</v>
      </c>
      <c r="C129" t="s">
        <v>179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67</v>
      </c>
      <c r="J129">
        <v>1.333</v>
      </c>
      <c r="K129">
        <v>500</v>
      </c>
      <c r="L129">
        <v>100</v>
      </c>
      <c r="N129" t="s">
        <v>180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69</v>
      </c>
      <c r="AM129">
        <v>9533.3748622505827</v>
      </c>
      <c r="AN129">
        <v>326.24515818510167</v>
      </c>
      <c r="AO129">
        <v>20911.919052678699</v>
      </c>
      <c r="AP129">
        <v>17205.086150829051</v>
      </c>
      <c r="AQ129">
        <v>-3706.832901849652</v>
      </c>
      <c r="AR129">
        <v>2.322214352533472E-3</v>
      </c>
      <c r="AS129">
        <v>82.907505347557162</v>
      </c>
      <c r="AT129">
        <v>121.7712078315726</v>
      </c>
      <c r="AU129">
        <v>4.1671776821355069</v>
      </c>
      <c r="AV129">
        <v>267.11103653377222</v>
      </c>
      <c r="AW129">
        <v>219.76311135405419</v>
      </c>
      <c r="AX129">
        <v>-47.347925179717997</v>
      </c>
      <c r="AY129">
        <v>1.57124139137513</v>
      </c>
      <c r="AZ129" t="str">
        <f>VLOOKUP(BA129,Sheet1!$A$1:$B$58,2,FALSE)</f>
        <v>Acrylate (PW2)</v>
      </c>
      <c r="BA129" t="s">
        <v>97</v>
      </c>
      <c r="BB129" t="s">
        <v>96</v>
      </c>
      <c r="BC129">
        <v>71.053619999999995</v>
      </c>
      <c r="BD129">
        <v>3.666666666666667</v>
      </c>
      <c r="BE129">
        <v>80</v>
      </c>
      <c r="BF129" t="s">
        <v>181</v>
      </c>
      <c r="BG129">
        <v>2.4601994207523048</v>
      </c>
      <c r="BH129">
        <v>0.125882352941177</v>
      </c>
      <c r="BI129">
        <v>0.31932869941407499</v>
      </c>
      <c r="BJ129">
        <v>90</v>
      </c>
      <c r="BK129">
        <v>764.67049559240218</v>
      </c>
      <c r="BL129">
        <v>-164.74812897109561</v>
      </c>
      <c r="BM129">
        <v>3.0069689590329749</v>
      </c>
      <c r="BN129">
        <v>511.18472303560583</v>
      </c>
      <c r="BO129">
        <v>253.48577255679629</v>
      </c>
    </row>
    <row r="130" spans="1:67" x14ac:dyDescent="0.25">
      <c r="A130" s="1">
        <v>128</v>
      </c>
      <c r="B130" t="s">
        <v>178</v>
      </c>
      <c r="C130" t="s">
        <v>179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67</v>
      </c>
      <c r="J130">
        <v>1.333</v>
      </c>
      <c r="K130">
        <v>500</v>
      </c>
      <c r="L130">
        <v>100</v>
      </c>
      <c r="N130" t="s">
        <v>180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69</v>
      </c>
      <c r="AM130">
        <v>35367.542786849997</v>
      </c>
      <c r="AN130">
        <v>1210.3258035937861</v>
      </c>
      <c r="AO130">
        <v>77580.416435670966</v>
      </c>
      <c r="AP130">
        <v>61512.438528700353</v>
      </c>
      <c r="AQ130">
        <v>-16067.977906970609</v>
      </c>
      <c r="AR130">
        <v>2.322214352533472E-3</v>
      </c>
      <c r="AS130">
        <v>82.907505347557176</v>
      </c>
      <c r="AT130">
        <v>121.7712078315727</v>
      </c>
      <c r="AU130">
        <v>4.1671776821355087</v>
      </c>
      <c r="AV130">
        <v>267.11103653377228</v>
      </c>
      <c r="AW130">
        <v>211.7886442224148</v>
      </c>
      <c r="AX130">
        <v>-55.322392311357497</v>
      </c>
      <c r="AY130">
        <v>1.5712413913751311</v>
      </c>
      <c r="AZ130" t="str">
        <f>VLOOKUP(BA130,Sheet1!$A$1:$B$58,2,FALSE)</f>
        <v>Benzoate (PW1)</v>
      </c>
      <c r="BA130" t="s">
        <v>100</v>
      </c>
      <c r="BB130" t="s">
        <v>101</v>
      </c>
      <c r="BC130">
        <v>121.1121</v>
      </c>
      <c r="BD130">
        <v>4.1428571428571432</v>
      </c>
      <c r="BE130">
        <v>249.2</v>
      </c>
      <c r="BF130" t="s">
        <v>181</v>
      </c>
      <c r="BG130">
        <v>9.3087012374501281</v>
      </c>
      <c r="BH130">
        <v>1.9906976744186001E-2</v>
      </c>
      <c r="BI130">
        <v>8.6075535813621998E-2</v>
      </c>
      <c r="BJ130">
        <v>90</v>
      </c>
      <c r="BK130">
        <v>2733.8861568311272</v>
      </c>
      <c r="BL130">
        <v>-714.13235142091696</v>
      </c>
      <c r="BM130">
        <v>10.973760575797179</v>
      </c>
      <c r="BN130">
        <v>1865.5392978855209</v>
      </c>
      <c r="BO130">
        <v>868.34685894560585</v>
      </c>
    </row>
    <row r="131" spans="1:67" x14ac:dyDescent="0.25">
      <c r="A131" s="1">
        <v>129</v>
      </c>
      <c r="B131" t="s">
        <v>178</v>
      </c>
      <c r="C131" t="s">
        <v>179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67</v>
      </c>
      <c r="J131">
        <v>1.333</v>
      </c>
      <c r="K131">
        <v>500</v>
      </c>
      <c r="L131">
        <v>100</v>
      </c>
      <c r="N131" t="s">
        <v>180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69</v>
      </c>
      <c r="AM131">
        <v>37999.545970987871</v>
      </c>
      <c r="AN131">
        <v>1300.3965610705391</v>
      </c>
      <c r="AO131">
        <v>83353.842775070167</v>
      </c>
      <c r="AP131">
        <v>66026.502727696003</v>
      </c>
      <c r="AQ131">
        <v>-17327.34004737416</v>
      </c>
      <c r="AR131">
        <v>2.322214352533472E-3</v>
      </c>
      <c r="AS131">
        <v>82.907505347557162</v>
      </c>
      <c r="AT131">
        <v>121.7712078315726</v>
      </c>
      <c r="AU131">
        <v>4.1671776821355069</v>
      </c>
      <c r="AV131">
        <v>267.11103653377222</v>
      </c>
      <c r="AW131">
        <v>211.584817149781</v>
      </c>
      <c r="AX131">
        <v>-55.526219383991162</v>
      </c>
      <c r="AY131">
        <v>1.5712413913751311</v>
      </c>
      <c r="AZ131" t="str">
        <f>VLOOKUP(BA131,Sheet1!$A$1:$B$58,2,FALSE)</f>
        <v>Benzoate (PW2)</v>
      </c>
      <c r="BA131" t="s">
        <v>102</v>
      </c>
      <c r="BB131" t="s">
        <v>101</v>
      </c>
      <c r="BC131">
        <v>121.1121</v>
      </c>
      <c r="BD131">
        <v>4.1428571428571432</v>
      </c>
      <c r="BE131">
        <v>249.2</v>
      </c>
      <c r="BF131" t="s">
        <v>181</v>
      </c>
      <c r="BG131">
        <v>9.9879205907847268</v>
      </c>
      <c r="BH131">
        <v>1.8528138528139001E-2</v>
      </c>
      <c r="BI131">
        <v>8.0113593939085001E-2</v>
      </c>
      <c r="BJ131">
        <v>90</v>
      </c>
      <c r="BK131">
        <v>2934.511232342044</v>
      </c>
      <c r="BL131">
        <v>-770.10400210551802</v>
      </c>
      <c r="BM131">
        <v>11.803933729495061</v>
      </c>
      <c r="BN131">
        <v>2006.66873401416</v>
      </c>
      <c r="BO131">
        <v>927.84249832788396</v>
      </c>
    </row>
    <row r="132" spans="1:67" x14ac:dyDescent="0.25">
      <c r="A132" s="1">
        <v>130</v>
      </c>
      <c r="B132" t="s">
        <v>178</v>
      </c>
      <c r="C132" t="s">
        <v>179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67</v>
      </c>
      <c r="J132">
        <v>1.333</v>
      </c>
      <c r="K132">
        <v>500</v>
      </c>
      <c r="L132">
        <v>100</v>
      </c>
      <c r="N132" t="s">
        <v>180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107</v>
      </c>
      <c r="AM132">
        <v>25023.165597433719</v>
      </c>
      <c r="AN132">
        <v>856.32703387680726</v>
      </c>
      <c r="AO132">
        <v>54889.52453630622</v>
      </c>
      <c r="AP132">
        <v>45086.567200853337</v>
      </c>
      <c r="AQ132">
        <v>-9802.9573354528839</v>
      </c>
      <c r="AR132">
        <v>2.322214352533472E-3</v>
      </c>
      <c r="AS132">
        <v>82.907505347557162</v>
      </c>
      <c r="AT132">
        <v>121.7712078315726</v>
      </c>
      <c r="AU132">
        <v>4.1671776821355078</v>
      </c>
      <c r="AV132">
        <v>267.11103653377222</v>
      </c>
      <c r="AW132">
        <v>219.40652247413229</v>
      </c>
      <c r="AX132">
        <v>-47.704514059639877</v>
      </c>
      <c r="AY132">
        <v>1.5712413913751311</v>
      </c>
      <c r="AZ132" t="str">
        <f>VLOOKUP(BA132,Sheet1!$A$1:$B$58,2,FALSE)</f>
        <v>Butane</v>
      </c>
      <c r="BA132" t="s">
        <v>108</v>
      </c>
      <c r="BB132" t="s">
        <v>109</v>
      </c>
      <c r="BC132">
        <v>58.121200000000002</v>
      </c>
      <c r="BD132">
        <v>6.5</v>
      </c>
      <c r="BE132">
        <v>-1</v>
      </c>
      <c r="BF132" t="s">
        <v>181</v>
      </c>
      <c r="BG132">
        <v>8.3505489431334023</v>
      </c>
      <c r="BH132">
        <v>5.8630136986300999E-2</v>
      </c>
      <c r="BI132">
        <v>0.121658476180229</v>
      </c>
      <c r="BJ132">
        <v>90</v>
      </c>
      <c r="BK132">
        <v>2003.847431149037</v>
      </c>
      <c r="BL132">
        <v>-435.68699268679518</v>
      </c>
      <c r="BM132">
        <v>5.9996535500185502</v>
      </c>
      <c r="BN132">
        <v>1019.941103503153</v>
      </c>
      <c r="BO132">
        <v>983.90632764588327</v>
      </c>
    </row>
    <row r="133" spans="1:67" x14ac:dyDescent="0.25">
      <c r="A133" s="1">
        <v>131</v>
      </c>
      <c r="B133" t="s">
        <v>178</v>
      </c>
      <c r="C133" t="s">
        <v>179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67</v>
      </c>
      <c r="J133">
        <v>1.333</v>
      </c>
      <c r="K133">
        <v>500</v>
      </c>
      <c r="L133">
        <v>100</v>
      </c>
      <c r="N133" t="s">
        <v>180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69</v>
      </c>
      <c r="AM133">
        <v>13805.190210073701</v>
      </c>
      <c r="AN133">
        <v>472.43253611005753</v>
      </c>
      <c r="AO133">
        <v>30282.352718871349</v>
      </c>
      <c r="AP133">
        <v>24531.53956948053</v>
      </c>
      <c r="AQ133">
        <v>-5750.8131493908222</v>
      </c>
      <c r="AR133">
        <v>2.322214352533472E-3</v>
      </c>
      <c r="AS133">
        <v>82.907505347557148</v>
      </c>
      <c r="AT133">
        <v>121.7712078315726</v>
      </c>
      <c r="AU133">
        <v>4.1671776821355078</v>
      </c>
      <c r="AV133">
        <v>267.11103653377222</v>
      </c>
      <c r="AW133">
        <v>216.38493623679761</v>
      </c>
      <c r="AX133">
        <v>-50.726100296974579</v>
      </c>
      <c r="AY133">
        <v>1.5712413913751311</v>
      </c>
      <c r="AZ133" t="str">
        <f>VLOOKUP(BA133,Sheet1!$A$1:$B$58,2,FALSE)</f>
        <v>Butanol (PW1)</v>
      </c>
      <c r="BA133" t="s">
        <v>110</v>
      </c>
      <c r="BB133" t="s">
        <v>111</v>
      </c>
      <c r="BC133">
        <v>74.120199999999997</v>
      </c>
      <c r="BD133">
        <v>6</v>
      </c>
      <c r="BE133">
        <v>117.7</v>
      </c>
      <c r="BF133" t="s">
        <v>181</v>
      </c>
      <c r="BG133">
        <v>4.7501220989689763</v>
      </c>
      <c r="BH133">
        <v>8.3333333333332996E-2</v>
      </c>
      <c r="BI133">
        <v>0.22051707723432101</v>
      </c>
      <c r="BJ133">
        <v>90</v>
      </c>
      <c r="BK133">
        <v>1090.290647532468</v>
      </c>
      <c r="BL133">
        <v>-255.5916955284809</v>
      </c>
      <c r="BM133">
        <v>3.166832860213078</v>
      </c>
      <c r="BN133">
        <v>538.36158623622327</v>
      </c>
      <c r="BO133">
        <v>551.92906129624475</v>
      </c>
    </row>
    <row r="134" spans="1:67" x14ac:dyDescent="0.25">
      <c r="A134" s="1">
        <v>132</v>
      </c>
      <c r="B134" t="s">
        <v>178</v>
      </c>
      <c r="C134" t="s">
        <v>179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67</v>
      </c>
      <c r="J134">
        <v>1.333</v>
      </c>
      <c r="K134">
        <v>500</v>
      </c>
      <c r="L134">
        <v>100</v>
      </c>
      <c r="N134" t="s">
        <v>180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69</v>
      </c>
      <c r="AM134">
        <v>13805.190210073701</v>
      </c>
      <c r="AN134">
        <v>472.43253611005753</v>
      </c>
      <c r="AO134">
        <v>30282.352718871349</v>
      </c>
      <c r="AP134">
        <v>24531.53956948053</v>
      </c>
      <c r="AQ134">
        <v>-5750.8131493908222</v>
      </c>
      <c r="AR134">
        <v>2.322214352533472E-3</v>
      </c>
      <c r="AS134">
        <v>82.907505347557148</v>
      </c>
      <c r="AT134">
        <v>121.7712078315726</v>
      </c>
      <c r="AU134">
        <v>4.1671776821355078</v>
      </c>
      <c r="AV134">
        <v>267.11103653377222</v>
      </c>
      <c r="AW134">
        <v>216.38493623679761</v>
      </c>
      <c r="AX134">
        <v>-50.726100296974579</v>
      </c>
      <c r="AY134">
        <v>1.5712413913751311</v>
      </c>
      <c r="AZ134" t="str">
        <f>VLOOKUP(BA134,Sheet1!$A$1:$B$58,2,FALSE)</f>
        <v>Butanol (PW2)</v>
      </c>
      <c r="BA134" t="s">
        <v>112</v>
      </c>
      <c r="BB134" t="s">
        <v>111</v>
      </c>
      <c r="BC134">
        <v>74.120199999999997</v>
      </c>
      <c r="BD134">
        <v>6</v>
      </c>
      <c r="BE134">
        <v>117.7</v>
      </c>
      <c r="BF134" t="s">
        <v>181</v>
      </c>
      <c r="BG134">
        <v>4.7501220989689763</v>
      </c>
      <c r="BH134">
        <v>8.3333333333333301E-2</v>
      </c>
      <c r="BI134">
        <v>0.22051707723432101</v>
      </c>
      <c r="BJ134">
        <v>90</v>
      </c>
      <c r="BK134">
        <v>1090.290647532468</v>
      </c>
      <c r="BL134">
        <v>-255.5916955284809</v>
      </c>
      <c r="BM134">
        <v>3.166832860213078</v>
      </c>
      <c r="BN134">
        <v>538.36158623622327</v>
      </c>
      <c r="BO134">
        <v>551.92906129624475</v>
      </c>
    </row>
    <row r="135" spans="1:67" x14ac:dyDescent="0.25">
      <c r="A135" s="1">
        <v>133</v>
      </c>
      <c r="B135" t="s">
        <v>178</v>
      </c>
      <c r="C135" t="s">
        <v>179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67</v>
      </c>
      <c r="J135">
        <v>1.333</v>
      </c>
      <c r="K135">
        <v>500</v>
      </c>
      <c r="L135">
        <v>100</v>
      </c>
      <c r="N135" t="s">
        <v>180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69</v>
      </c>
      <c r="AM135">
        <v>9790.4153551655727</v>
      </c>
      <c r="AN135">
        <v>335.04143625899559</v>
      </c>
      <c r="AO135">
        <v>21475.74981133093</v>
      </c>
      <c r="AP135">
        <v>17645.928051687089</v>
      </c>
      <c r="AQ135">
        <v>-3829.8217596438481</v>
      </c>
      <c r="AR135">
        <v>2.322214352533472E-3</v>
      </c>
      <c r="AS135">
        <v>82.907505347557162</v>
      </c>
      <c r="AT135">
        <v>121.7712078315726</v>
      </c>
      <c r="AU135">
        <v>4.1671776821355069</v>
      </c>
      <c r="AV135">
        <v>267.11103653377222</v>
      </c>
      <c r="AW135">
        <v>219.4764873820439</v>
      </c>
      <c r="AX135">
        <v>-47.634549151728287</v>
      </c>
      <c r="AY135">
        <v>1.57124139137513</v>
      </c>
      <c r="AZ135" t="str">
        <f>VLOOKUP(BA135,Sheet1!$A$1:$B$58,2,FALSE)</f>
        <v>Butyrate</v>
      </c>
      <c r="BA135" t="s">
        <v>113</v>
      </c>
      <c r="BB135" t="s">
        <v>114</v>
      </c>
      <c r="BC135">
        <v>87.095680000000002</v>
      </c>
      <c r="BD135">
        <v>4.75</v>
      </c>
      <c r="BE135">
        <v>163.5</v>
      </c>
      <c r="BF135" t="s">
        <v>181</v>
      </c>
      <c r="BG135">
        <v>3.0318380888696201</v>
      </c>
      <c r="BH135">
        <v>0.1</v>
      </c>
      <c r="BI135">
        <v>0.31094494823277402</v>
      </c>
      <c r="BJ135">
        <v>90</v>
      </c>
      <c r="BK135">
        <v>784.26346896387054</v>
      </c>
      <c r="BL135">
        <v>-170.21430042861539</v>
      </c>
      <c r="BM135">
        <v>2.5827370252038269</v>
      </c>
      <c r="BN135">
        <v>439.06529428465058</v>
      </c>
      <c r="BO135">
        <v>345.19817467922002</v>
      </c>
    </row>
    <row r="136" spans="1:67" x14ac:dyDescent="0.25">
      <c r="A136" s="1">
        <v>134</v>
      </c>
      <c r="B136" t="s">
        <v>178</v>
      </c>
      <c r="C136" t="s">
        <v>179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67</v>
      </c>
      <c r="J136">
        <v>1.333</v>
      </c>
      <c r="K136">
        <v>500</v>
      </c>
      <c r="L136">
        <v>100</v>
      </c>
      <c r="N136" t="s">
        <v>180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69</v>
      </c>
      <c r="AM136">
        <v>24788.529497360691</v>
      </c>
      <c r="AN136">
        <v>848.29746484272118</v>
      </c>
      <c r="AO136">
        <v>54374.838897436362</v>
      </c>
      <c r="AP136">
        <v>43368.71232100387</v>
      </c>
      <c r="AQ136">
        <v>-11006.126576432491</v>
      </c>
      <c r="AR136">
        <v>2.322214352533472E-3</v>
      </c>
      <c r="AS136">
        <v>82.907505347557162</v>
      </c>
      <c r="AT136">
        <v>121.7712078315726</v>
      </c>
      <c r="AU136">
        <v>4.1671776821355069</v>
      </c>
      <c r="AV136">
        <v>267.11103653377228</v>
      </c>
      <c r="AW136">
        <v>213.04452456491771</v>
      </c>
      <c r="AX136">
        <v>-54.06651196885457</v>
      </c>
      <c r="AY136">
        <v>1.5712413913751311</v>
      </c>
      <c r="AZ136" t="str">
        <f>VLOOKUP(BA136,Sheet1!$A$1:$B$58,2,FALSE)</f>
        <v>Catechol</v>
      </c>
      <c r="BA136" t="s">
        <v>115</v>
      </c>
      <c r="BB136" t="s">
        <v>116</v>
      </c>
      <c r="BC136">
        <v>110.10924</v>
      </c>
      <c r="BD136">
        <v>4.333333333333333</v>
      </c>
      <c r="BE136">
        <v>245</v>
      </c>
      <c r="BF136" t="s">
        <v>181</v>
      </c>
      <c r="BG136">
        <v>6.596818343361611</v>
      </c>
      <c r="BH136">
        <v>3.1240875912408799E-2</v>
      </c>
      <c r="BI136">
        <v>0.122810035831833</v>
      </c>
      <c r="BJ136">
        <v>90</v>
      </c>
      <c r="BK136">
        <v>1927.4983253779501</v>
      </c>
      <c r="BL136">
        <v>-489.1611811747776</v>
      </c>
      <c r="BM136">
        <v>7.6188258128309014</v>
      </c>
      <c r="BN136">
        <v>1295.2003881812529</v>
      </c>
      <c r="BO136">
        <v>632.29793719669647</v>
      </c>
    </row>
    <row r="137" spans="1:67" x14ac:dyDescent="0.25">
      <c r="A137" s="1">
        <v>135</v>
      </c>
      <c r="B137" t="s">
        <v>178</v>
      </c>
      <c r="C137" t="s">
        <v>179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67</v>
      </c>
      <c r="J137">
        <v>1.333</v>
      </c>
      <c r="K137">
        <v>500</v>
      </c>
      <c r="L137">
        <v>100</v>
      </c>
      <c r="N137" t="s">
        <v>180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69</v>
      </c>
      <c r="AM137">
        <v>7269.7552894299479</v>
      </c>
      <c r="AN137">
        <v>248.7809929470402</v>
      </c>
      <c r="AO137">
        <v>15946.559989717311</v>
      </c>
      <c r="AP137">
        <v>13322.82486201436</v>
      </c>
      <c r="AQ137">
        <v>-2623.7351277029429</v>
      </c>
      <c r="AR137">
        <v>2.322214352533472E-3</v>
      </c>
      <c r="AS137">
        <v>82.907505347557148</v>
      </c>
      <c r="AT137">
        <v>121.7712078315726</v>
      </c>
      <c r="AU137">
        <v>4.1671776821355069</v>
      </c>
      <c r="AV137">
        <v>267.11103653377211</v>
      </c>
      <c r="AW137">
        <v>223.16246016352599</v>
      </c>
      <c r="AX137">
        <v>-43.948576370246123</v>
      </c>
      <c r="AY137">
        <v>1.57124139137513</v>
      </c>
      <c r="AZ137" t="str">
        <f>VLOOKUP(BA137,Sheet1!$A$1:$B$58,2,FALSE)</f>
        <v>Citrate</v>
      </c>
      <c r="BA137" t="s">
        <v>119</v>
      </c>
      <c r="BB137" t="s">
        <v>120</v>
      </c>
      <c r="BC137">
        <v>189.09639999999999</v>
      </c>
      <c r="BD137">
        <v>2.5</v>
      </c>
      <c r="BF137" t="s">
        <v>181</v>
      </c>
      <c r="BG137">
        <v>1.526938136701157</v>
      </c>
      <c r="BH137">
        <v>6.2028985507246399E-2</v>
      </c>
      <c r="BI137">
        <v>0.41875965209112698</v>
      </c>
      <c r="BJ137">
        <v>90</v>
      </c>
      <c r="BK137">
        <v>592.12554942286044</v>
      </c>
      <c r="BL137">
        <v>-116.61045012013081</v>
      </c>
      <c r="BM137">
        <v>2.6420971547282019</v>
      </c>
      <c r="BN137">
        <v>449.15651630379438</v>
      </c>
      <c r="BO137">
        <v>142.96903311906601</v>
      </c>
    </row>
    <row r="138" spans="1:67" x14ac:dyDescent="0.25">
      <c r="A138" s="1">
        <v>136</v>
      </c>
      <c r="B138" t="s">
        <v>178</v>
      </c>
      <c r="C138" t="s">
        <v>179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67</v>
      </c>
      <c r="J138">
        <v>1.333</v>
      </c>
      <c r="K138">
        <v>500</v>
      </c>
      <c r="L138">
        <v>100</v>
      </c>
      <c r="N138" t="s">
        <v>180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69</v>
      </c>
      <c r="AM138">
        <v>26254.889136705529</v>
      </c>
      <c r="AN138">
        <v>898.47830210200118</v>
      </c>
      <c r="AO138">
        <v>57591.369719225033</v>
      </c>
      <c r="AP138">
        <v>45883.618682329899</v>
      </c>
      <c r="AQ138">
        <v>-11707.75103689513</v>
      </c>
      <c r="AR138">
        <v>2.322214352533472E-3</v>
      </c>
      <c r="AS138">
        <v>82.907505347557162</v>
      </c>
      <c r="AT138">
        <v>121.7712078315726</v>
      </c>
      <c r="AU138">
        <v>4.1671776821355069</v>
      </c>
      <c r="AV138">
        <v>267.11103653377222</v>
      </c>
      <c r="AW138">
        <v>212.81002702156979</v>
      </c>
      <c r="AX138">
        <v>-54.301009512202398</v>
      </c>
      <c r="AY138">
        <v>1.57124139137513</v>
      </c>
      <c r="AZ138" t="str">
        <f>VLOOKUP(BA138,Sheet1!$A$1:$B$58,2,FALSE)</f>
        <v>Coumaric Acid</v>
      </c>
      <c r="BA138" t="s">
        <v>121</v>
      </c>
      <c r="BB138" t="s">
        <v>122</v>
      </c>
      <c r="BC138">
        <v>163.14818</v>
      </c>
      <c r="BD138">
        <v>4.1111111111111107</v>
      </c>
      <c r="BE138">
        <v>346</v>
      </c>
      <c r="BF138" t="s">
        <v>181</v>
      </c>
      <c r="BG138">
        <v>6.910260078538319</v>
      </c>
      <c r="BH138">
        <v>1.9906976744186101E-2</v>
      </c>
      <c r="BI138">
        <v>0.11595098268890699</v>
      </c>
      <c r="BJ138">
        <v>90</v>
      </c>
      <c r="BK138">
        <v>2039.2719414368851</v>
      </c>
      <c r="BL138">
        <v>-520.3444905286724</v>
      </c>
      <c r="BM138">
        <v>8.1463071683179002</v>
      </c>
      <c r="BN138">
        <v>1384.872218614043</v>
      </c>
      <c r="BO138">
        <v>654.39972282284157</v>
      </c>
    </row>
    <row r="139" spans="1:67" x14ac:dyDescent="0.25">
      <c r="A139" s="1">
        <v>137</v>
      </c>
      <c r="B139" t="s">
        <v>178</v>
      </c>
      <c r="C139" t="s">
        <v>179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67</v>
      </c>
      <c r="J139">
        <v>1.333</v>
      </c>
      <c r="K139">
        <v>500</v>
      </c>
      <c r="L139">
        <v>100</v>
      </c>
      <c r="N139" t="s">
        <v>180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69</v>
      </c>
      <c r="AM139">
        <v>9678.4201453084479</v>
      </c>
      <c r="AN139">
        <v>331.20880663058449</v>
      </c>
      <c r="AO139">
        <v>21230.082899386271</v>
      </c>
      <c r="AP139">
        <v>17453.848661235799</v>
      </c>
      <c r="AQ139">
        <v>-3776.2342381504709</v>
      </c>
      <c r="AR139">
        <v>2.322214352533472E-3</v>
      </c>
      <c r="AS139">
        <v>82.907505347557176</v>
      </c>
      <c r="AT139">
        <v>121.7712078315726</v>
      </c>
      <c r="AU139">
        <v>4.1671776821355069</v>
      </c>
      <c r="AV139">
        <v>267.11103653377222</v>
      </c>
      <c r="AW139">
        <v>219.599500835725</v>
      </c>
      <c r="AX139">
        <v>-47.511535698047169</v>
      </c>
      <c r="AY139">
        <v>1.5712413913751311</v>
      </c>
      <c r="AZ139" t="str">
        <f>VLOOKUP(BA139,Sheet1!$A$1:$B$58,2,FALSE)</f>
        <v>Ethyl Acetate</v>
      </c>
      <c r="BA139" t="s">
        <v>123</v>
      </c>
      <c r="BB139" t="s">
        <v>124</v>
      </c>
      <c r="BC139">
        <v>88.103520000000003</v>
      </c>
      <c r="BD139">
        <v>5</v>
      </c>
      <c r="BE139">
        <v>77.099999999999994</v>
      </c>
      <c r="BF139" t="s">
        <v>181</v>
      </c>
      <c r="BG139">
        <v>2.9971560727653102</v>
      </c>
      <c r="BH139">
        <v>0.1</v>
      </c>
      <c r="BI139">
        <v>0.31454309175294598</v>
      </c>
      <c r="BJ139">
        <v>90</v>
      </c>
      <c r="BK139">
        <v>775.72660716603548</v>
      </c>
      <c r="BL139">
        <v>-167.83263280668751</v>
      </c>
      <c r="BM139">
        <v>2.5531923976624729</v>
      </c>
      <c r="BN139">
        <v>434.04270760262051</v>
      </c>
      <c r="BO139">
        <v>341.68389956341503</v>
      </c>
    </row>
    <row r="140" spans="1:67" x14ac:dyDescent="0.25">
      <c r="A140" s="1">
        <v>138</v>
      </c>
      <c r="B140" t="s">
        <v>178</v>
      </c>
      <c r="C140" t="s">
        <v>179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67</v>
      </c>
      <c r="J140">
        <v>1.333</v>
      </c>
      <c r="K140">
        <v>500</v>
      </c>
      <c r="L140">
        <v>100</v>
      </c>
      <c r="N140" t="s">
        <v>180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84</v>
      </c>
      <c r="AM140">
        <v>28273.538569724609</v>
      </c>
      <c r="AN140">
        <v>967.55925329834406</v>
      </c>
      <c r="AO140">
        <v>62019.37492713784</v>
      </c>
      <c r="AP140">
        <v>50326.375229329242</v>
      </c>
      <c r="AQ140">
        <v>-11692.9996978086</v>
      </c>
      <c r="AR140">
        <v>2.322214352533472E-3</v>
      </c>
      <c r="AS140">
        <v>82.907505347557162</v>
      </c>
      <c r="AT140">
        <v>121.7712078315726</v>
      </c>
      <c r="AU140">
        <v>4.1671776821355069</v>
      </c>
      <c r="AV140">
        <v>267.11103653377222</v>
      </c>
      <c r="AW140">
        <v>216.7504956037786</v>
      </c>
      <c r="AX140">
        <v>-50.360540929993533</v>
      </c>
      <c r="AY140">
        <v>1.57124139137513</v>
      </c>
      <c r="AZ140" t="str">
        <f>VLOOKUP(BA140,Sheet1!$A$1:$B$58,2,FALSE)</f>
        <v>Farnesene</v>
      </c>
      <c r="BA140" t="s">
        <v>125</v>
      </c>
      <c r="BB140" t="s">
        <v>126</v>
      </c>
      <c r="BC140">
        <v>204.34866</v>
      </c>
      <c r="BD140">
        <v>5.6</v>
      </c>
      <c r="BE140" t="s">
        <v>127</v>
      </c>
      <c r="BF140" t="s">
        <v>181</v>
      </c>
      <c r="BG140">
        <v>8.5885221398280862</v>
      </c>
      <c r="BH140">
        <v>1.4758620689655199E-2</v>
      </c>
      <c r="BI140">
        <v>0.107672415615113</v>
      </c>
      <c r="BJ140">
        <v>90</v>
      </c>
      <c r="BK140">
        <v>2236.7277879701892</v>
      </c>
      <c r="BL140">
        <v>-519.68887545816006</v>
      </c>
      <c r="BM140">
        <v>7.6256935273974946</v>
      </c>
      <c r="BN140">
        <v>1296.3678996575741</v>
      </c>
      <c r="BO140">
        <v>940.35988831261466</v>
      </c>
    </row>
    <row r="141" spans="1:67" x14ac:dyDescent="0.25">
      <c r="A141" s="1">
        <v>139</v>
      </c>
      <c r="B141" t="s">
        <v>178</v>
      </c>
      <c r="C141" t="s">
        <v>179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67</v>
      </c>
      <c r="J141">
        <v>1.333</v>
      </c>
      <c r="K141">
        <v>500</v>
      </c>
      <c r="L141">
        <v>100</v>
      </c>
      <c r="N141" t="s">
        <v>180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84</v>
      </c>
      <c r="AM141">
        <v>19671.210091341141</v>
      </c>
      <c r="AN141">
        <v>673.17577884763045</v>
      </c>
      <c r="AO141">
        <v>43149.751168103146</v>
      </c>
      <c r="AP141">
        <v>35572.797708490871</v>
      </c>
      <c r="AQ141">
        <v>-7576.953459612283</v>
      </c>
      <c r="AR141">
        <v>2.322214352533472E-3</v>
      </c>
      <c r="AS141">
        <v>82.907505347557162</v>
      </c>
      <c r="AT141">
        <v>121.7712078315726</v>
      </c>
      <c r="AU141">
        <v>4.1671776821355069</v>
      </c>
      <c r="AV141">
        <v>267.11103653377222</v>
      </c>
      <c r="AW141">
        <v>220.20722277872849</v>
      </c>
      <c r="AX141">
        <v>-46.903813755043672</v>
      </c>
      <c r="AY141">
        <v>1.57124139137513</v>
      </c>
      <c r="AZ141" t="str">
        <f>VLOOKUP(BA141,Sheet1!$A$1:$B$58,2,FALSE)</f>
        <v>Gamma Butyrolactone</v>
      </c>
      <c r="BA141" t="s">
        <v>128</v>
      </c>
      <c r="BB141" t="s">
        <v>129</v>
      </c>
      <c r="BC141">
        <v>86.08784</v>
      </c>
      <c r="BD141">
        <v>4.5</v>
      </c>
      <c r="BE141">
        <v>204</v>
      </c>
      <c r="BF141" t="s">
        <v>181</v>
      </c>
      <c r="BG141">
        <v>5.3319979559934074</v>
      </c>
      <c r="BH141">
        <v>5.03529411764706E-2</v>
      </c>
      <c r="BI141">
        <v>0.15475815578469901</v>
      </c>
      <c r="BJ141">
        <v>90</v>
      </c>
      <c r="BK141">
        <v>1581.0132314884829</v>
      </c>
      <c r="BL141">
        <v>-336.75348709387919</v>
      </c>
      <c r="BM141">
        <v>5.9489827415498979</v>
      </c>
      <c r="BN141">
        <v>1011.327066063483</v>
      </c>
      <c r="BO141">
        <v>569.68616542500024</v>
      </c>
    </row>
    <row r="142" spans="1:67" x14ac:dyDescent="0.25">
      <c r="A142" s="1">
        <v>140</v>
      </c>
      <c r="B142" t="s">
        <v>178</v>
      </c>
      <c r="C142" t="s">
        <v>179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67</v>
      </c>
      <c r="J142">
        <v>1.333</v>
      </c>
      <c r="K142">
        <v>500</v>
      </c>
      <c r="L142">
        <v>100</v>
      </c>
      <c r="N142" t="s">
        <v>180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69</v>
      </c>
      <c r="AM142">
        <v>8317.2038069632745</v>
      </c>
      <c r="AN142">
        <v>284.62611728454459</v>
      </c>
      <c r="AO142">
        <v>18244.188995919441</v>
      </c>
      <c r="AP142">
        <v>15119.270201360339</v>
      </c>
      <c r="AQ142">
        <v>-3124.9187945591002</v>
      </c>
      <c r="AR142">
        <v>2.322214352533472E-3</v>
      </c>
      <c r="AS142">
        <v>82.907505347557176</v>
      </c>
      <c r="AT142">
        <v>121.7712078315726</v>
      </c>
      <c r="AU142">
        <v>4.1671776821355069</v>
      </c>
      <c r="AV142">
        <v>267.11103653377222</v>
      </c>
      <c r="AW142">
        <v>221.35946607562579</v>
      </c>
      <c r="AX142">
        <v>-45.751570458146347</v>
      </c>
      <c r="AY142">
        <v>1.5712413913751311</v>
      </c>
      <c r="AZ142" t="str">
        <f>VLOOKUP(BA142,Sheet1!$A$1:$B$58,2,FALSE)</f>
        <v>L-Glutamate</v>
      </c>
      <c r="BA142" t="s">
        <v>130</v>
      </c>
      <c r="BB142" t="s">
        <v>131</v>
      </c>
      <c r="BC142">
        <v>146.11892</v>
      </c>
      <c r="BD142">
        <v>3.4</v>
      </c>
      <c r="BE142">
        <v>333.8</v>
      </c>
      <c r="BF142" t="s">
        <v>181</v>
      </c>
      <c r="BG142">
        <v>1.995755673196884</v>
      </c>
      <c r="BH142">
        <v>7.0163934426229493E-2</v>
      </c>
      <c r="BI142">
        <v>0.36602207502004502</v>
      </c>
      <c r="BJ142">
        <v>90</v>
      </c>
      <c r="BK142">
        <v>671.96756450490398</v>
      </c>
      <c r="BL142">
        <v>-138.88527975818209</v>
      </c>
      <c r="BM142">
        <v>2.773966940115387</v>
      </c>
      <c r="BN142">
        <v>471.57437981961579</v>
      </c>
      <c r="BO142">
        <v>200.39318468528811</v>
      </c>
    </row>
    <row r="143" spans="1:67" x14ac:dyDescent="0.25">
      <c r="A143" s="1">
        <v>141</v>
      </c>
      <c r="B143" t="s">
        <v>178</v>
      </c>
      <c r="C143" t="s">
        <v>179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67</v>
      </c>
      <c r="J143">
        <v>1.333</v>
      </c>
      <c r="K143">
        <v>500</v>
      </c>
      <c r="L143">
        <v>100</v>
      </c>
      <c r="N143" t="s">
        <v>180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69</v>
      </c>
      <c r="AM143">
        <v>15398.485860120671</v>
      </c>
      <c r="AN143">
        <v>526.95729768672481</v>
      </c>
      <c r="AO143">
        <v>33777.323822200182</v>
      </c>
      <c r="AP143">
        <v>27264.149809330371</v>
      </c>
      <c r="AQ143">
        <v>-6513.1740128698148</v>
      </c>
      <c r="AR143">
        <v>2.322214352533472E-3</v>
      </c>
      <c r="AS143">
        <v>82.907505347557176</v>
      </c>
      <c r="AT143">
        <v>121.7712078315726</v>
      </c>
      <c r="AU143">
        <v>4.1671776821355078</v>
      </c>
      <c r="AV143">
        <v>267.11103653377222</v>
      </c>
      <c r="AW143">
        <v>215.604864201699</v>
      </c>
      <c r="AX143">
        <v>-51.506172332073248</v>
      </c>
      <c r="AY143">
        <v>1.5712413913751311</v>
      </c>
      <c r="AZ143" t="str">
        <f>VLOOKUP(BA143,Sheet1!$A$1:$B$58,2,FALSE)</f>
        <v>Glycolate</v>
      </c>
      <c r="BA143" t="s">
        <v>134</v>
      </c>
      <c r="BB143" t="s">
        <v>135</v>
      </c>
      <c r="BC143">
        <v>75.041920000000005</v>
      </c>
      <c r="BD143">
        <v>2.5</v>
      </c>
      <c r="BE143">
        <v>112</v>
      </c>
      <c r="BF143" t="s">
        <v>181</v>
      </c>
      <c r="BG143">
        <v>3.387288040215934</v>
      </c>
      <c r="BH143">
        <v>7.3793103448275901E-2</v>
      </c>
      <c r="BI143">
        <v>0.19769997020768501</v>
      </c>
      <c r="BJ143">
        <v>90</v>
      </c>
      <c r="BK143">
        <v>1211.739991525794</v>
      </c>
      <c r="BL143">
        <v>-289.47440057199191</v>
      </c>
      <c r="BM143">
        <v>5.4433848544769248</v>
      </c>
      <c r="BN143">
        <v>925.37542526107723</v>
      </c>
      <c r="BO143">
        <v>286.36456626471681</v>
      </c>
    </row>
    <row r="144" spans="1:67" x14ac:dyDescent="0.25">
      <c r="A144" s="1">
        <v>142</v>
      </c>
      <c r="B144" t="s">
        <v>178</v>
      </c>
      <c r="C144" t="s">
        <v>179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67</v>
      </c>
      <c r="J144">
        <v>1.333</v>
      </c>
      <c r="K144">
        <v>500</v>
      </c>
      <c r="L144">
        <v>100</v>
      </c>
      <c r="N144" t="s">
        <v>180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69</v>
      </c>
      <c r="AM144">
        <v>18721.955856130779</v>
      </c>
      <c r="AN144">
        <v>640.69099747704104</v>
      </c>
      <c r="AO144">
        <v>41067.516071512677</v>
      </c>
      <c r="AP144">
        <v>32964.126547899381</v>
      </c>
      <c r="AQ144">
        <v>-8103.3895236132958</v>
      </c>
      <c r="AR144">
        <v>2.322214352533472E-3</v>
      </c>
      <c r="AS144">
        <v>82.907505347557162</v>
      </c>
      <c r="AT144">
        <v>121.7712078315726</v>
      </c>
      <c r="AU144">
        <v>4.1671776821355069</v>
      </c>
      <c r="AV144">
        <v>267.11103653377222</v>
      </c>
      <c r="AW144">
        <v>214.4050298855953</v>
      </c>
      <c r="AX144">
        <v>-52.706006648176917</v>
      </c>
      <c r="AY144">
        <v>1.57124139137513</v>
      </c>
      <c r="AZ144" t="str">
        <f>VLOOKUP(BA144,Sheet1!$A$1:$B$58,2,FALSE)</f>
        <v>Heptane</v>
      </c>
      <c r="BA144" t="s">
        <v>136</v>
      </c>
      <c r="BB144" t="s">
        <v>137</v>
      </c>
      <c r="BC144">
        <v>100.20034</v>
      </c>
      <c r="BD144">
        <v>6.2857142857142856</v>
      </c>
      <c r="BE144">
        <v>98</v>
      </c>
      <c r="BF144" t="s">
        <v>181</v>
      </c>
      <c r="BG144">
        <v>6.5883009977810554</v>
      </c>
      <c r="BH144">
        <v>4.54545454545454E-2</v>
      </c>
      <c r="BI144">
        <v>0.16260481646165301</v>
      </c>
      <c r="BJ144">
        <v>90</v>
      </c>
      <c r="BK144">
        <v>1465.0722910177501</v>
      </c>
      <c r="BL144">
        <v>-360.15064549392463</v>
      </c>
      <c r="BM144">
        <v>4.1483045111111494</v>
      </c>
      <c r="BN144">
        <v>705.21176688889523</v>
      </c>
      <c r="BO144">
        <v>759.8605241288551</v>
      </c>
    </row>
    <row r="145" spans="1:67" x14ac:dyDescent="0.25">
      <c r="A145" s="1">
        <v>143</v>
      </c>
      <c r="B145" t="s">
        <v>178</v>
      </c>
      <c r="C145" t="s">
        <v>179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67</v>
      </c>
      <c r="J145">
        <v>1.333</v>
      </c>
      <c r="K145">
        <v>500</v>
      </c>
      <c r="L145">
        <v>100</v>
      </c>
      <c r="N145" t="s">
        <v>180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69</v>
      </c>
      <c r="AM145">
        <v>18800.754629323259</v>
      </c>
      <c r="AN145">
        <v>643.38759952997907</v>
      </c>
      <c r="AO145">
        <v>41240.364993354233</v>
      </c>
      <c r="AP145">
        <v>33099.271795115121</v>
      </c>
      <c r="AQ145">
        <v>-8141.0931982391121</v>
      </c>
      <c r="AR145">
        <v>2.322214352533472E-3</v>
      </c>
      <c r="AS145">
        <v>82.907505347557176</v>
      </c>
      <c r="AT145">
        <v>121.7712078315726</v>
      </c>
      <c r="AU145">
        <v>4.1671776821355078</v>
      </c>
      <c r="AV145">
        <v>267.11103653377228</v>
      </c>
      <c r="AW145">
        <v>214.38173011152989</v>
      </c>
      <c r="AX145">
        <v>-52.729306422242388</v>
      </c>
      <c r="AY145">
        <v>1.5712413913751311</v>
      </c>
      <c r="AZ145" t="str">
        <f>VLOOKUP(BA145,Sheet1!$A$1:$B$58,2,FALSE)</f>
        <v>Hexane</v>
      </c>
      <c r="BA145" t="s">
        <v>138</v>
      </c>
      <c r="BB145" t="s">
        <v>139</v>
      </c>
      <c r="BC145">
        <v>86.173959999999994</v>
      </c>
      <c r="BD145">
        <v>6.333333333333333</v>
      </c>
      <c r="BE145">
        <v>69</v>
      </c>
      <c r="BF145" t="s">
        <v>181</v>
      </c>
      <c r="BG145">
        <v>6.6392446163551124</v>
      </c>
      <c r="BH145">
        <v>5.2631578947368397E-2</v>
      </c>
      <c r="BI145">
        <v>0.161923298070238</v>
      </c>
      <c r="BJ145">
        <v>90</v>
      </c>
      <c r="BK145">
        <v>1471.0787464495611</v>
      </c>
      <c r="BL145">
        <v>-361.82636436618287</v>
      </c>
      <c r="BM145">
        <v>4.142550153149263</v>
      </c>
      <c r="BN145">
        <v>704.23352603537467</v>
      </c>
      <c r="BO145">
        <v>766.8452204141862</v>
      </c>
    </row>
    <row r="146" spans="1:67" x14ac:dyDescent="0.25">
      <c r="A146" s="1">
        <v>144</v>
      </c>
      <c r="B146" t="s">
        <v>178</v>
      </c>
      <c r="C146" t="s">
        <v>179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67</v>
      </c>
      <c r="J146">
        <v>1.333</v>
      </c>
      <c r="K146">
        <v>500</v>
      </c>
      <c r="L146">
        <v>100</v>
      </c>
      <c r="N146" t="s">
        <v>180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69</v>
      </c>
      <c r="AM146">
        <v>11880.097147582421</v>
      </c>
      <c r="AN146">
        <v>406.55321218035289</v>
      </c>
      <c r="AO146">
        <v>26059.567936632411</v>
      </c>
      <c r="AP146">
        <v>21229.874235069761</v>
      </c>
      <c r="AQ146">
        <v>-4829.6937015626536</v>
      </c>
      <c r="AR146">
        <v>2.322214352533472E-3</v>
      </c>
      <c r="AS146">
        <v>82.907505347557162</v>
      </c>
      <c r="AT146">
        <v>121.7712078315726</v>
      </c>
      <c r="AU146">
        <v>4.1671776821355078</v>
      </c>
      <c r="AV146">
        <v>267.11103653377222</v>
      </c>
      <c r="AW146">
        <v>217.6065898790153</v>
      </c>
      <c r="AX146">
        <v>-49.504446654756862</v>
      </c>
      <c r="AY146">
        <v>1.57124139137513</v>
      </c>
      <c r="AZ146" t="str">
        <f>VLOOKUP(BA146,Sheet1!$A$1:$B$58,2,FALSE)</f>
        <v>Isobutanol</v>
      </c>
      <c r="BA146" t="s">
        <v>140</v>
      </c>
      <c r="BB146" t="s">
        <v>141</v>
      </c>
      <c r="BC146">
        <v>86.130899999999997</v>
      </c>
      <c r="BD146">
        <v>5.6</v>
      </c>
      <c r="BE146">
        <v>108</v>
      </c>
      <c r="BF146" t="s">
        <v>181</v>
      </c>
      <c r="BG146">
        <v>4.0877315806522434</v>
      </c>
      <c r="BH146">
        <v>8.3333333333333301E-2</v>
      </c>
      <c r="BI146">
        <v>0.25625044626918903</v>
      </c>
      <c r="BJ146">
        <v>90</v>
      </c>
      <c r="BK146">
        <v>943.54996600310017</v>
      </c>
      <c r="BL146">
        <v>-214.65305340278459</v>
      </c>
      <c r="BM146">
        <v>2.7252273570294321</v>
      </c>
      <c r="BN146">
        <v>463.28865069500353</v>
      </c>
      <c r="BO146">
        <v>480.2613153080967</v>
      </c>
    </row>
    <row r="147" spans="1:67" x14ac:dyDescent="0.25">
      <c r="A147" s="1">
        <v>145</v>
      </c>
      <c r="B147" t="s">
        <v>178</v>
      </c>
      <c r="C147" t="s">
        <v>179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67</v>
      </c>
      <c r="J147">
        <v>1.333</v>
      </c>
      <c r="K147">
        <v>500</v>
      </c>
      <c r="L147">
        <v>100</v>
      </c>
      <c r="N147" t="s">
        <v>180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69</v>
      </c>
      <c r="AM147">
        <v>9790.4153551655727</v>
      </c>
      <c r="AN147">
        <v>335.04143625899559</v>
      </c>
      <c r="AO147">
        <v>21475.74981133093</v>
      </c>
      <c r="AP147">
        <v>17645.928051687089</v>
      </c>
      <c r="AQ147">
        <v>-3829.8217596438481</v>
      </c>
      <c r="AR147">
        <v>2.322214352533472E-3</v>
      </c>
      <c r="AS147">
        <v>82.907505347557162</v>
      </c>
      <c r="AT147">
        <v>121.7712078315726</v>
      </c>
      <c r="AU147">
        <v>4.1671776821355069</v>
      </c>
      <c r="AV147">
        <v>267.11103653377222</v>
      </c>
      <c r="AW147">
        <v>219.4764873820439</v>
      </c>
      <c r="AX147">
        <v>-47.634549151728287</v>
      </c>
      <c r="AY147">
        <v>1.57124139137513</v>
      </c>
      <c r="AZ147" t="str">
        <f>VLOOKUP(BA147,Sheet1!$A$1:$B$58,2,FALSE)</f>
        <v>Isobutyrate</v>
      </c>
      <c r="BA147" t="s">
        <v>142</v>
      </c>
      <c r="BB147" t="s">
        <v>114</v>
      </c>
      <c r="BC147">
        <v>87.095680000000002</v>
      </c>
      <c r="BD147">
        <v>4.75</v>
      </c>
      <c r="BE147">
        <v>155</v>
      </c>
      <c r="BF147" t="s">
        <v>181</v>
      </c>
      <c r="BG147">
        <v>3.0318380888696228</v>
      </c>
      <c r="BH147">
        <v>0.1</v>
      </c>
      <c r="BI147">
        <v>0.31094494823277402</v>
      </c>
      <c r="BJ147">
        <v>90</v>
      </c>
      <c r="BK147">
        <v>784.26346896387054</v>
      </c>
      <c r="BL147">
        <v>-170.21430042861539</v>
      </c>
      <c r="BM147">
        <v>2.5827370252038242</v>
      </c>
      <c r="BN147">
        <v>439.06529428465012</v>
      </c>
      <c r="BO147">
        <v>345.19817467922047</v>
      </c>
    </row>
    <row r="148" spans="1:67" x14ac:dyDescent="0.25">
      <c r="A148" s="1">
        <v>146</v>
      </c>
      <c r="B148" t="s">
        <v>178</v>
      </c>
      <c r="C148" t="s">
        <v>179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67</v>
      </c>
      <c r="J148">
        <v>1.333</v>
      </c>
      <c r="K148">
        <v>500</v>
      </c>
      <c r="L148">
        <v>100</v>
      </c>
      <c r="N148" t="s">
        <v>180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107</v>
      </c>
      <c r="AM148">
        <v>28663.51841206579</v>
      </c>
      <c r="AN148">
        <v>980.90489817143009</v>
      </c>
      <c r="AO148">
        <v>62874.814581305603</v>
      </c>
      <c r="AP148">
        <v>51330.01949273434</v>
      </c>
      <c r="AQ148">
        <v>-11544.79508857126</v>
      </c>
      <c r="AR148">
        <v>2.322214352533472E-3</v>
      </c>
      <c r="AS148">
        <v>82.907505347557162</v>
      </c>
      <c r="AT148">
        <v>121.7712078315726</v>
      </c>
      <c r="AU148">
        <v>4.1671776821355078</v>
      </c>
      <c r="AV148">
        <v>267.11103653377222</v>
      </c>
      <c r="AW148">
        <v>218.06529058265559</v>
      </c>
      <c r="AX148">
        <v>-49.045745951116537</v>
      </c>
      <c r="AY148">
        <v>1.57124139137513</v>
      </c>
      <c r="AZ148" t="str">
        <f>VLOOKUP(BA148,Sheet1!$A$1:$B$58,2,FALSE)</f>
        <v>Isoprene</v>
      </c>
      <c r="BA148" t="s">
        <v>143</v>
      </c>
      <c r="BB148" t="s">
        <v>144</v>
      </c>
      <c r="BC148">
        <v>68.116219999999998</v>
      </c>
      <c r="BD148">
        <v>5.6</v>
      </c>
      <c r="BE148">
        <v>34.07</v>
      </c>
      <c r="BF148" t="s">
        <v>181</v>
      </c>
      <c r="BG148">
        <v>8.6891610212416008</v>
      </c>
      <c r="BH148">
        <v>4.3673469387755098E-2</v>
      </c>
      <c r="BI148">
        <v>0.106207484790417</v>
      </c>
      <c r="BJ148">
        <v>90</v>
      </c>
      <c r="BK148">
        <v>2281.334199677081</v>
      </c>
      <c r="BL148">
        <v>-513.10200393650064</v>
      </c>
      <c r="BM148">
        <v>7.7486990000147653</v>
      </c>
      <c r="BN148">
        <v>1317.2788300025099</v>
      </c>
      <c r="BO148">
        <v>964.05536967457124</v>
      </c>
    </row>
    <row r="149" spans="1:67" x14ac:dyDescent="0.25">
      <c r="A149" s="1">
        <v>147</v>
      </c>
      <c r="B149" t="s">
        <v>178</v>
      </c>
      <c r="C149" t="s">
        <v>179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67</v>
      </c>
      <c r="J149">
        <v>1.333</v>
      </c>
      <c r="K149">
        <v>500</v>
      </c>
      <c r="L149">
        <v>100</v>
      </c>
      <c r="N149" t="s">
        <v>180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69</v>
      </c>
      <c r="AM149">
        <v>12770.57432122848</v>
      </c>
      <c r="AN149">
        <v>437.02656191998511</v>
      </c>
      <c r="AO149">
        <v>28012.872704630219</v>
      </c>
      <c r="AP149">
        <v>22757.10305979292</v>
      </c>
      <c r="AQ149">
        <v>-5255.7696448372917</v>
      </c>
      <c r="AR149">
        <v>2.322214352533472E-3</v>
      </c>
      <c r="AS149">
        <v>82.907505347557176</v>
      </c>
      <c r="AT149">
        <v>121.7712078315726</v>
      </c>
      <c r="AU149">
        <v>4.1671776821355069</v>
      </c>
      <c r="AV149">
        <v>267.11103653377222</v>
      </c>
      <c r="AW149">
        <v>216.99571660861579</v>
      </c>
      <c r="AX149">
        <v>-50.115319925156371</v>
      </c>
      <c r="AY149">
        <v>1.57124139137513</v>
      </c>
      <c r="AZ149" t="str">
        <f>VLOOKUP(BA149,Sheet1!$A$1:$B$58,2,FALSE)</f>
        <v>Isopropanol</v>
      </c>
      <c r="BA149" t="s">
        <v>145</v>
      </c>
      <c r="BB149" t="s">
        <v>79</v>
      </c>
      <c r="BC149">
        <v>60.093820000000001</v>
      </c>
      <c r="BD149">
        <v>6</v>
      </c>
      <c r="BE149">
        <v>82.5</v>
      </c>
      <c r="BF149" t="s">
        <v>181</v>
      </c>
      <c r="BG149">
        <v>4.3941290468803667</v>
      </c>
      <c r="BH149">
        <v>0.11111111111111099</v>
      </c>
      <c r="BI149">
        <v>0.238382403110001</v>
      </c>
      <c r="BJ149">
        <v>90</v>
      </c>
      <c r="BK149">
        <v>1011.426802657463</v>
      </c>
      <c r="BL149">
        <v>-233.58976199276839</v>
      </c>
      <c r="BM149">
        <v>2.9294978040033501</v>
      </c>
      <c r="BN149">
        <v>498.01462668056939</v>
      </c>
      <c r="BO149">
        <v>513.41217597689399</v>
      </c>
    </row>
    <row r="150" spans="1:67" x14ac:dyDescent="0.25">
      <c r="A150" s="1">
        <v>148</v>
      </c>
      <c r="B150" t="s">
        <v>178</v>
      </c>
      <c r="C150" t="s">
        <v>179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67</v>
      </c>
      <c r="J150">
        <v>1.333</v>
      </c>
      <c r="K150">
        <v>500</v>
      </c>
      <c r="L150">
        <v>100</v>
      </c>
      <c r="N150" t="s">
        <v>180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69</v>
      </c>
      <c r="AM150">
        <v>8866.3441163961652</v>
      </c>
      <c r="AN150">
        <v>303.41845155287888</v>
      </c>
      <c r="AO150">
        <v>19448.754835965781</v>
      </c>
      <c r="AP150">
        <v>16061.08312391893</v>
      </c>
      <c r="AQ150">
        <v>-3387.6717120468488</v>
      </c>
      <c r="AR150">
        <v>2.322214352533472E-3</v>
      </c>
      <c r="AS150">
        <v>82.907505347557162</v>
      </c>
      <c r="AT150">
        <v>121.7712078315726</v>
      </c>
      <c r="AU150">
        <v>4.1671776821355069</v>
      </c>
      <c r="AV150">
        <v>267.11103653377222</v>
      </c>
      <c r="AW150">
        <v>220.5844331561818</v>
      </c>
      <c r="AX150">
        <v>-46.526603377590391</v>
      </c>
      <c r="AY150">
        <v>1.5712413913751311</v>
      </c>
      <c r="AZ150" t="str">
        <f>VLOOKUP(BA150,Sheet1!$A$1:$B$58,2,FALSE)</f>
        <v>Itaconate</v>
      </c>
      <c r="BA150" t="s">
        <v>146</v>
      </c>
      <c r="BB150" t="s">
        <v>147</v>
      </c>
      <c r="BC150">
        <v>128.08086</v>
      </c>
      <c r="BD150">
        <v>3.2</v>
      </c>
      <c r="BE150">
        <v>381</v>
      </c>
      <c r="BF150" t="s">
        <v>181</v>
      </c>
      <c r="BG150">
        <v>2.1162587680208751</v>
      </c>
      <c r="BH150">
        <v>7.5087719298245606E-2</v>
      </c>
      <c r="BI150">
        <v>0.34335236212630799</v>
      </c>
      <c r="BJ150">
        <v>90</v>
      </c>
      <c r="BK150">
        <v>713.82591661861898</v>
      </c>
      <c r="BL150">
        <v>-150.56318720208219</v>
      </c>
      <c r="BM150">
        <v>2.9683830191597198</v>
      </c>
      <c r="BN150">
        <v>504.62511325715252</v>
      </c>
      <c r="BO150">
        <v>209.20080336146651</v>
      </c>
    </row>
    <row r="151" spans="1:67" x14ac:dyDescent="0.25">
      <c r="A151" s="1">
        <v>149</v>
      </c>
      <c r="B151" t="s">
        <v>178</v>
      </c>
      <c r="C151" t="s">
        <v>179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67</v>
      </c>
      <c r="J151">
        <v>1.333</v>
      </c>
      <c r="K151">
        <v>500</v>
      </c>
      <c r="L151">
        <v>100</v>
      </c>
      <c r="N151" t="s">
        <v>180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69</v>
      </c>
      <c r="AM151">
        <v>28078.54864855417</v>
      </c>
      <c r="AN151">
        <v>960.88643086180639</v>
      </c>
      <c r="AO151">
        <v>61591.655100054297</v>
      </c>
      <c r="AP151">
        <v>49011.318589079943</v>
      </c>
      <c r="AQ151">
        <v>-12580.336510974361</v>
      </c>
      <c r="AR151">
        <v>2.322214352533472E-3</v>
      </c>
      <c r="AS151">
        <v>82.907505347557162</v>
      </c>
      <c r="AT151">
        <v>121.7712078315726</v>
      </c>
      <c r="AU151">
        <v>4.1671776821355078</v>
      </c>
      <c r="AV151">
        <v>267.11103653377222</v>
      </c>
      <c r="AW151">
        <v>212.55256233899351</v>
      </c>
      <c r="AX151">
        <v>-54.558474194778711</v>
      </c>
      <c r="AY151">
        <v>1.5712413913751311</v>
      </c>
      <c r="AZ151" t="str">
        <f>VLOOKUP(BA151,Sheet1!$A$1:$B$58,2,FALSE)</f>
        <v>Limonene</v>
      </c>
      <c r="BA151" t="s">
        <v>148</v>
      </c>
      <c r="BB151" t="s">
        <v>149</v>
      </c>
      <c r="BC151">
        <v>136.23244</v>
      </c>
      <c r="BD151">
        <v>5.6</v>
      </c>
      <c r="BE151">
        <v>176</v>
      </c>
      <c r="BF151" t="s">
        <v>181</v>
      </c>
      <c r="BG151">
        <v>8.5382026991213458</v>
      </c>
      <c r="BH151">
        <v>2.2291666666666699E-2</v>
      </c>
      <c r="BI151">
        <v>0.108420140723551</v>
      </c>
      <c r="BJ151">
        <v>90</v>
      </c>
      <c r="BK151">
        <v>2178.2808261813311</v>
      </c>
      <c r="BL151">
        <v>-559.12606715441643</v>
      </c>
      <c r="BM151">
        <v>7.564190791088933</v>
      </c>
      <c r="BN151">
        <v>1285.9124344851191</v>
      </c>
      <c r="BO151">
        <v>892.36839169621203</v>
      </c>
    </row>
    <row r="152" spans="1:67" x14ac:dyDescent="0.25">
      <c r="A152" s="1">
        <v>150</v>
      </c>
      <c r="B152" t="s">
        <v>178</v>
      </c>
      <c r="C152" t="s">
        <v>179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67</v>
      </c>
      <c r="J152">
        <v>1.333</v>
      </c>
      <c r="K152">
        <v>500</v>
      </c>
      <c r="L152">
        <v>100</v>
      </c>
      <c r="N152" t="s">
        <v>180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69</v>
      </c>
      <c r="AM152">
        <v>10557.49338341251</v>
      </c>
      <c r="AN152">
        <v>361.29189806100442</v>
      </c>
      <c r="AO152">
        <v>23158.372582969379</v>
      </c>
      <c r="AP152">
        <v>18961.518962068109</v>
      </c>
      <c r="AQ152">
        <v>-4196.8536209012746</v>
      </c>
      <c r="AR152">
        <v>2.322214352533472E-3</v>
      </c>
      <c r="AS152">
        <v>82.907505347557162</v>
      </c>
      <c r="AT152">
        <v>121.7712078315726</v>
      </c>
      <c r="AU152">
        <v>4.1671776821355069</v>
      </c>
      <c r="AV152">
        <v>267.11103653377222</v>
      </c>
      <c r="AW152">
        <v>218.70409788369389</v>
      </c>
      <c r="AX152">
        <v>-48.406938650078267</v>
      </c>
      <c r="AY152">
        <v>1.57124139137513</v>
      </c>
      <c r="AZ152" t="str">
        <f>VLOOKUP(BA152,Sheet1!$A$1:$B$58,2,FALSE)</f>
        <v>L-Lysine</v>
      </c>
      <c r="BA152" t="s">
        <v>150</v>
      </c>
      <c r="BB152" t="s">
        <v>151</v>
      </c>
      <c r="BC152">
        <v>147.19319999999999</v>
      </c>
      <c r="BD152">
        <v>4.833333333333333</v>
      </c>
      <c r="BF152" t="s">
        <v>181</v>
      </c>
      <c r="BG152">
        <v>3.023480031241792</v>
      </c>
      <c r="BH152">
        <v>5.4871794871794902E-2</v>
      </c>
      <c r="BI152">
        <v>0.28835255540603599</v>
      </c>
      <c r="BJ152">
        <v>90</v>
      </c>
      <c r="BK152">
        <v>842.73417609191608</v>
      </c>
      <c r="BL152">
        <v>-186.5268275956121</v>
      </c>
      <c r="BM152">
        <v>3.0309964610377849</v>
      </c>
      <c r="BN152">
        <v>515.26939837642351</v>
      </c>
      <c r="BO152">
        <v>327.46477771549257</v>
      </c>
    </row>
    <row r="153" spans="1:67" x14ac:dyDescent="0.25">
      <c r="A153" s="1">
        <v>151</v>
      </c>
      <c r="B153" t="s">
        <v>178</v>
      </c>
      <c r="C153" t="s">
        <v>179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67</v>
      </c>
      <c r="J153">
        <v>1.333</v>
      </c>
      <c r="K153">
        <v>500</v>
      </c>
      <c r="L153">
        <v>100</v>
      </c>
      <c r="N153" t="s">
        <v>180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69</v>
      </c>
      <c r="AM153">
        <v>6939.21555500246</v>
      </c>
      <c r="AN153">
        <v>237.46947006003401</v>
      </c>
      <c r="AO153">
        <v>15221.505088392491</v>
      </c>
      <c r="AP153">
        <v>12755.92677066065</v>
      </c>
      <c r="AQ153">
        <v>-2465.578317731844</v>
      </c>
      <c r="AR153">
        <v>2.322214352533472E-3</v>
      </c>
      <c r="AS153">
        <v>82.907505347557176</v>
      </c>
      <c r="AT153">
        <v>121.7712078315727</v>
      </c>
      <c r="AU153">
        <v>4.1671776821355078</v>
      </c>
      <c r="AV153">
        <v>267.11103653377228</v>
      </c>
      <c r="AW153">
        <v>223.8444097264952</v>
      </c>
      <c r="AX153">
        <v>-43.266626807277113</v>
      </c>
      <c r="AY153">
        <v>1.5712413913751311</v>
      </c>
      <c r="AZ153" t="str">
        <f>VLOOKUP(BA153,Sheet1!$A$1:$B$58,2,FALSE)</f>
        <v>L-Malate</v>
      </c>
      <c r="BA153" t="s">
        <v>152</v>
      </c>
      <c r="BB153" t="s">
        <v>153</v>
      </c>
      <c r="BC153">
        <v>132.06916000000001</v>
      </c>
      <c r="BD153">
        <v>2.5</v>
      </c>
      <c r="BF153" t="s">
        <v>181</v>
      </c>
      <c r="BG153">
        <v>1.457511628366515</v>
      </c>
      <c r="BH153">
        <v>9.3043478260869603E-2</v>
      </c>
      <c r="BI153">
        <v>0.43870667680797198</v>
      </c>
      <c r="BJ153">
        <v>90</v>
      </c>
      <c r="BK153">
        <v>566.93007869602889</v>
      </c>
      <c r="BL153">
        <v>-109.5812585658598</v>
      </c>
      <c r="BM153">
        <v>2.521966826115182</v>
      </c>
      <c r="BN153">
        <v>428.734360439581</v>
      </c>
      <c r="BO153">
        <v>138.19571825644789</v>
      </c>
    </row>
    <row r="154" spans="1:67" x14ac:dyDescent="0.25">
      <c r="A154" s="1">
        <v>152</v>
      </c>
      <c r="B154" t="s">
        <v>178</v>
      </c>
      <c r="C154" t="s">
        <v>179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67</v>
      </c>
      <c r="J154">
        <v>1.333</v>
      </c>
      <c r="K154">
        <v>500</v>
      </c>
      <c r="L154">
        <v>100</v>
      </c>
      <c r="N154" t="s">
        <v>180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69</v>
      </c>
      <c r="AM154">
        <v>7809.5752832167454</v>
      </c>
      <c r="AN154">
        <v>267.25437323567382</v>
      </c>
      <c r="AO154">
        <v>17130.681266410931</v>
      </c>
      <c r="AP154">
        <v>14248.65281030129</v>
      </c>
      <c r="AQ154">
        <v>-2882.028456109636</v>
      </c>
      <c r="AR154">
        <v>2.322214352533472E-3</v>
      </c>
      <c r="AS154">
        <v>82.907505347557162</v>
      </c>
      <c r="AT154">
        <v>121.7712078315726</v>
      </c>
      <c r="AU154">
        <v>4.1671776821355069</v>
      </c>
      <c r="AV154">
        <v>267.11103653377222</v>
      </c>
      <c r="AW154">
        <v>222.17285828742871</v>
      </c>
      <c r="AX154">
        <v>-44.93817824634354</v>
      </c>
      <c r="AY154">
        <v>1.57124139137513</v>
      </c>
      <c r="AZ154" t="str">
        <f>VLOOKUP(BA154,Sheet1!$A$1:$B$58,2,FALSE)</f>
        <v>Malonate</v>
      </c>
      <c r="BA154" t="s">
        <v>154</v>
      </c>
      <c r="BB154" t="s">
        <v>155</v>
      </c>
      <c r="BC154">
        <v>102.04378</v>
      </c>
      <c r="BD154">
        <v>2</v>
      </c>
      <c r="BE154">
        <v>199</v>
      </c>
      <c r="BF154" t="s">
        <v>181</v>
      </c>
      <c r="BG154">
        <v>1.5840672073053019</v>
      </c>
      <c r="BH154">
        <v>0.107</v>
      </c>
      <c r="BI154">
        <v>0.38981379721527998</v>
      </c>
      <c r="BJ154">
        <v>90</v>
      </c>
      <c r="BK154">
        <v>633.27345823561291</v>
      </c>
      <c r="BL154">
        <v>-128.0901536048728</v>
      </c>
      <c r="BM154">
        <v>2.8945422741093192</v>
      </c>
      <c r="BN154">
        <v>492.07218659858421</v>
      </c>
      <c r="BO154">
        <v>141.2012716370287</v>
      </c>
    </row>
    <row r="155" spans="1:67" x14ac:dyDescent="0.25">
      <c r="A155" s="1">
        <v>153</v>
      </c>
      <c r="B155" t="s">
        <v>178</v>
      </c>
      <c r="C155" t="s">
        <v>179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67</v>
      </c>
      <c r="J155">
        <v>1.333</v>
      </c>
      <c r="K155">
        <v>500</v>
      </c>
      <c r="L155">
        <v>100</v>
      </c>
      <c r="N155" t="s">
        <v>180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69</v>
      </c>
      <c r="AM155">
        <v>18616.065201961152</v>
      </c>
      <c r="AN155">
        <v>637.06727411369275</v>
      </c>
      <c r="AO155">
        <v>40835.23979785027</v>
      </c>
      <c r="AP155">
        <v>32782.516885009893</v>
      </c>
      <c r="AQ155">
        <v>-8052.7229128403851</v>
      </c>
      <c r="AR155">
        <v>2.322214352533472E-3</v>
      </c>
      <c r="AS155">
        <v>82.907505347557162</v>
      </c>
      <c r="AT155">
        <v>121.7712078315726</v>
      </c>
      <c r="AU155">
        <v>4.1671776821355069</v>
      </c>
      <c r="AV155">
        <v>267.11103653377222</v>
      </c>
      <c r="AW155">
        <v>214.43665100754129</v>
      </c>
      <c r="AX155">
        <v>-52.674385526230907</v>
      </c>
      <c r="AY155">
        <v>1.5712413913751311</v>
      </c>
      <c r="AZ155" t="str">
        <f>VLOOKUP(BA155,Sheet1!$A$1:$B$58,2,FALSE)</f>
        <v>Nonane</v>
      </c>
      <c r="BA155" t="s">
        <v>156</v>
      </c>
      <c r="BB155" t="s">
        <v>157</v>
      </c>
      <c r="BC155">
        <v>128.25309999999999</v>
      </c>
      <c r="BD155">
        <v>6.2222222222222223</v>
      </c>
      <c r="BE155">
        <v>151</v>
      </c>
      <c r="BF155" t="s">
        <v>181</v>
      </c>
      <c r="BG155">
        <v>6.5198424053687569</v>
      </c>
      <c r="BH155">
        <v>3.5714285714285698E-2</v>
      </c>
      <c r="BI155">
        <v>0.16352973427857401</v>
      </c>
      <c r="BJ155">
        <v>90</v>
      </c>
      <c r="BK155">
        <v>1457.000750444884</v>
      </c>
      <c r="BL155">
        <v>-357.89879612623929</v>
      </c>
      <c r="BM155">
        <v>4.1560372803437327</v>
      </c>
      <c r="BN155">
        <v>706.5263376584345</v>
      </c>
      <c r="BO155">
        <v>750.47441278644953</v>
      </c>
    </row>
    <row r="156" spans="1:67" x14ac:dyDescent="0.25">
      <c r="A156" s="1">
        <v>154</v>
      </c>
      <c r="B156" t="s">
        <v>178</v>
      </c>
      <c r="C156" t="s">
        <v>179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67</v>
      </c>
      <c r="J156">
        <v>1.333</v>
      </c>
      <c r="K156">
        <v>500</v>
      </c>
      <c r="L156">
        <v>100</v>
      </c>
      <c r="N156" t="s">
        <v>180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69</v>
      </c>
      <c r="AM156">
        <v>18662.509149360729</v>
      </c>
      <c r="AN156">
        <v>638.65664966905024</v>
      </c>
      <c r="AO156">
        <v>40937.116843759031</v>
      </c>
      <c r="AP156">
        <v>32862.171408788578</v>
      </c>
      <c r="AQ156">
        <v>-8074.9454349704538</v>
      </c>
      <c r="AR156">
        <v>2.322214352533472E-3</v>
      </c>
      <c r="AS156">
        <v>82.907505347557176</v>
      </c>
      <c r="AT156">
        <v>121.7712078315726</v>
      </c>
      <c r="AU156">
        <v>4.1671776821355078</v>
      </c>
      <c r="AV156">
        <v>267.11103653377222</v>
      </c>
      <c r="AW156">
        <v>214.42273771388511</v>
      </c>
      <c r="AX156">
        <v>-52.688298819887137</v>
      </c>
      <c r="AY156">
        <v>1.5712413913751311</v>
      </c>
      <c r="AZ156" t="str">
        <f>VLOOKUP(BA156,Sheet1!$A$1:$B$58,2,FALSE)</f>
        <v>Octane</v>
      </c>
      <c r="BA156" t="s">
        <v>158</v>
      </c>
      <c r="BB156" t="s">
        <v>159</v>
      </c>
      <c r="BC156">
        <v>114.22672</v>
      </c>
      <c r="BD156">
        <v>6.25</v>
      </c>
      <c r="BE156">
        <v>126</v>
      </c>
      <c r="BF156" t="s">
        <v>181</v>
      </c>
      <c r="BG156">
        <v>6.5498685421414526</v>
      </c>
      <c r="BH156">
        <v>0.04</v>
      </c>
      <c r="BI156">
        <v>0.16312277043912901</v>
      </c>
      <c r="BJ156">
        <v>90</v>
      </c>
      <c r="BK156">
        <v>1460.5409515017141</v>
      </c>
      <c r="BL156">
        <v>-358.88646377646472</v>
      </c>
      <c r="BM156">
        <v>4.1526456653772472</v>
      </c>
      <c r="BN156">
        <v>705.949763114132</v>
      </c>
      <c r="BO156">
        <v>754.59118838758229</v>
      </c>
    </row>
    <row r="157" spans="1:67" x14ac:dyDescent="0.25">
      <c r="A157" s="1">
        <v>155</v>
      </c>
      <c r="B157" t="s">
        <v>178</v>
      </c>
      <c r="C157" t="s">
        <v>179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67</v>
      </c>
      <c r="J157">
        <v>1.333</v>
      </c>
      <c r="K157">
        <v>500</v>
      </c>
      <c r="L157">
        <v>100</v>
      </c>
      <c r="N157" t="s">
        <v>180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107</v>
      </c>
      <c r="AM157">
        <v>18910.192310607519</v>
      </c>
      <c r="AN157">
        <v>647.1327070242171</v>
      </c>
      <c r="AO157">
        <v>41480.421842622949</v>
      </c>
      <c r="AP157">
        <v>34602.402884571333</v>
      </c>
      <c r="AQ157">
        <v>-6878.0189580516226</v>
      </c>
      <c r="AR157">
        <v>2.322214352533472E-3</v>
      </c>
      <c r="AS157">
        <v>82.907505347557162</v>
      </c>
      <c r="AT157">
        <v>121.7712078315726</v>
      </c>
      <c r="AU157">
        <v>4.1671776821355069</v>
      </c>
      <c r="AV157">
        <v>267.11103653377228</v>
      </c>
      <c r="AW157">
        <v>222.82038828158139</v>
      </c>
      <c r="AX157">
        <v>-44.290648252190827</v>
      </c>
      <c r="AY157">
        <v>1.5712413913751311</v>
      </c>
      <c r="AZ157" t="str">
        <f>VLOOKUP(BA157,Sheet1!$A$1:$B$58,2,FALSE)</f>
        <v>Pentane</v>
      </c>
      <c r="BA157" t="s">
        <v>160</v>
      </c>
      <c r="BB157" t="s">
        <v>161</v>
      </c>
      <c r="BC157">
        <v>72.147580000000005</v>
      </c>
      <c r="BD157">
        <v>6.4</v>
      </c>
      <c r="BE157">
        <v>36.1</v>
      </c>
      <c r="BF157" t="s">
        <v>181</v>
      </c>
      <c r="BG157">
        <v>6.7099963713266604</v>
      </c>
      <c r="BH157">
        <v>6.25E-2</v>
      </c>
      <c r="BI157">
        <v>0.16098621028204199</v>
      </c>
      <c r="BJ157">
        <v>90</v>
      </c>
      <c r="BK157">
        <v>1537.884572647614</v>
      </c>
      <c r="BL157">
        <v>-305.68973146896133</v>
      </c>
      <c r="BM157">
        <v>4.1345583587708434</v>
      </c>
      <c r="BN157">
        <v>702.87492099104327</v>
      </c>
      <c r="BO157">
        <v>835.00965165657101</v>
      </c>
    </row>
    <row r="158" spans="1:67" x14ac:dyDescent="0.25">
      <c r="A158" s="1">
        <v>156</v>
      </c>
      <c r="B158" t="s">
        <v>178</v>
      </c>
      <c r="C158" t="s">
        <v>179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67</v>
      </c>
      <c r="J158">
        <v>1.333</v>
      </c>
      <c r="K158">
        <v>500</v>
      </c>
      <c r="L158">
        <v>100</v>
      </c>
      <c r="N158" t="s">
        <v>180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69</v>
      </c>
      <c r="AM158">
        <v>16047.480040823601</v>
      </c>
      <c r="AN158">
        <v>549.1667683310643</v>
      </c>
      <c r="AO158">
        <v>35200.923960516287</v>
      </c>
      <c r="AP158">
        <v>28377.21890215034</v>
      </c>
      <c r="AQ158">
        <v>-6823.7050583659466</v>
      </c>
      <c r="AR158">
        <v>2.322214352533472E-3</v>
      </c>
      <c r="AS158">
        <v>82.907505347557162</v>
      </c>
      <c r="AT158">
        <v>121.7712078315726</v>
      </c>
      <c r="AU158">
        <v>4.1671776821355069</v>
      </c>
      <c r="AV158">
        <v>267.11103653377222</v>
      </c>
      <c r="AW158">
        <v>215.33151696248709</v>
      </c>
      <c r="AX158">
        <v>-51.779519571285107</v>
      </c>
      <c r="AY158">
        <v>1.57124139137513</v>
      </c>
      <c r="AZ158" t="str">
        <f>VLOOKUP(BA158,Sheet1!$A$1:$B$58,2,FALSE)</f>
        <v>Pentanol (PW1)</v>
      </c>
      <c r="BA158" t="s">
        <v>162</v>
      </c>
      <c r="BB158" t="s">
        <v>83</v>
      </c>
      <c r="BC158">
        <v>88.14658</v>
      </c>
      <c r="BD158">
        <v>6</v>
      </c>
      <c r="BE158">
        <v>138</v>
      </c>
      <c r="BF158" t="s">
        <v>181</v>
      </c>
      <c r="BG158">
        <v>5.389445795324912</v>
      </c>
      <c r="BH158">
        <v>6.0281690140845098E-2</v>
      </c>
      <c r="BI158">
        <v>0.189704563460736</v>
      </c>
      <c r="BJ158">
        <v>90</v>
      </c>
      <c r="BK158">
        <v>1261.2097289844601</v>
      </c>
      <c r="BL158">
        <v>-303.27578037181979</v>
      </c>
      <c r="BM158">
        <v>3.8134101420649649</v>
      </c>
      <c r="BN158">
        <v>648.27972415104409</v>
      </c>
      <c r="BO158">
        <v>612.93000483341552</v>
      </c>
    </row>
    <row r="159" spans="1:67" x14ac:dyDescent="0.25">
      <c r="A159" s="1">
        <v>157</v>
      </c>
      <c r="B159" t="s">
        <v>178</v>
      </c>
      <c r="C159" t="s">
        <v>179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67</v>
      </c>
      <c r="J159">
        <v>1.333</v>
      </c>
      <c r="K159">
        <v>500</v>
      </c>
      <c r="L159">
        <v>100</v>
      </c>
      <c r="N159" t="s">
        <v>180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69</v>
      </c>
      <c r="AM159">
        <v>16047.480040823601</v>
      </c>
      <c r="AN159">
        <v>549.1667683310643</v>
      </c>
      <c r="AO159">
        <v>35200.923960516287</v>
      </c>
      <c r="AP159">
        <v>28377.21890215034</v>
      </c>
      <c r="AQ159">
        <v>-6823.7050583659466</v>
      </c>
      <c r="AR159">
        <v>2.322214352533472E-3</v>
      </c>
      <c r="AS159">
        <v>82.907505347557162</v>
      </c>
      <c r="AT159">
        <v>121.7712078315726</v>
      </c>
      <c r="AU159">
        <v>4.1671776821355069</v>
      </c>
      <c r="AV159">
        <v>267.11103653377222</v>
      </c>
      <c r="AW159">
        <v>215.33151696248709</v>
      </c>
      <c r="AX159">
        <v>-51.779519571285107</v>
      </c>
      <c r="AY159">
        <v>1.57124139137513</v>
      </c>
      <c r="AZ159" t="str">
        <f>VLOOKUP(BA159,Sheet1!$A$1:$B$58,2,FALSE)</f>
        <v>Pentanol (PW2)</v>
      </c>
      <c r="BA159" t="s">
        <v>163</v>
      </c>
      <c r="BB159" t="s">
        <v>83</v>
      </c>
      <c r="BC159">
        <v>88.14658</v>
      </c>
      <c r="BD159">
        <v>6</v>
      </c>
      <c r="BE159">
        <v>138</v>
      </c>
      <c r="BF159" t="s">
        <v>181</v>
      </c>
      <c r="BG159">
        <v>5.389445795324912</v>
      </c>
      <c r="BH159">
        <v>6.0281690140845098E-2</v>
      </c>
      <c r="BI159">
        <v>0.189704563460736</v>
      </c>
      <c r="BJ159">
        <v>90</v>
      </c>
      <c r="BK159">
        <v>1261.2097289844601</v>
      </c>
      <c r="BL159">
        <v>-303.27578037181979</v>
      </c>
      <c r="BM159">
        <v>3.8134101420649649</v>
      </c>
      <c r="BN159">
        <v>648.27972415104409</v>
      </c>
      <c r="BO159">
        <v>612.93000483341552</v>
      </c>
    </row>
    <row r="160" spans="1:67" x14ac:dyDescent="0.25">
      <c r="A160" s="1">
        <v>158</v>
      </c>
      <c r="B160" t="s">
        <v>178</v>
      </c>
      <c r="C160" t="s">
        <v>179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67</v>
      </c>
      <c r="J160">
        <v>1.333</v>
      </c>
      <c r="K160">
        <v>500</v>
      </c>
      <c r="L160">
        <v>100</v>
      </c>
      <c r="N160" t="s">
        <v>180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69</v>
      </c>
      <c r="AM160">
        <v>40222.650212628643</v>
      </c>
      <c r="AN160">
        <v>1376.474236128503</v>
      </c>
      <c r="AO160">
        <v>88230.329498669278</v>
      </c>
      <c r="AP160">
        <v>69839.277472158588</v>
      </c>
      <c r="AQ160">
        <v>-18391.05202651069</v>
      </c>
      <c r="AR160">
        <v>2.322214352533472E-3</v>
      </c>
      <c r="AS160">
        <v>82.907505347557162</v>
      </c>
      <c r="AT160">
        <v>121.7712078315726</v>
      </c>
      <c r="AU160">
        <v>4.1671776821355078</v>
      </c>
      <c r="AV160">
        <v>267.11103653377222</v>
      </c>
      <c r="AW160">
        <v>211.4334368051903</v>
      </c>
      <c r="AX160">
        <v>-55.677599728581903</v>
      </c>
      <c r="AY160">
        <v>1.57124139137513</v>
      </c>
      <c r="AZ160" t="str">
        <f>VLOOKUP(BA160,Sheet1!$A$1:$B$58,2,FALSE)</f>
        <v>Phenol</v>
      </c>
      <c r="BA160" t="s">
        <v>164</v>
      </c>
      <c r="BB160" t="s">
        <v>165</v>
      </c>
      <c r="BC160">
        <v>94.11023999999999</v>
      </c>
      <c r="BD160">
        <v>4.666666666666667</v>
      </c>
      <c r="BE160">
        <v>181.7</v>
      </c>
      <c r="BF160" t="s">
        <v>181</v>
      </c>
      <c r="BG160">
        <v>10.847570643061941</v>
      </c>
      <c r="BH160">
        <v>2.25263157894737E-2</v>
      </c>
      <c r="BI160">
        <v>7.5685718859805698E-2</v>
      </c>
      <c r="BJ160">
        <v>90</v>
      </c>
      <c r="BK160">
        <v>3103.9678876514931</v>
      </c>
      <c r="BL160">
        <v>-817.38009006714151</v>
      </c>
      <c r="BM160">
        <v>12.219182167047659</v>
      </c>
      <c r="BN160">
        <v>2077.2609683981032</v>
      </c>
      <c r="BO160">
        <v>1026.70691925339</v>
      </c>
    </row>
    <row r="161" spans="1:67" x14ac:dyDescent="0.25">
      <c r="A161" s="1">
        <v>159</v>
      </c>
      <c r="B161" t="s">
        <v>178</v>
      </c>
      <c r="C161" t="s">
        <v>179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67</v>
      </c>
      <c r="J161">
        <v>1.333</v>
      </c>
      <c r="K161">
        <v>500</v>
      </c>
      <c r="L161">
        <v>100</v>
      </c>
      <c r="N161" t="s">
        <v>180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107</v>
      </c>
      <c r="AM161">
        <v>19337.937717867651</v>
      </c>
      <c r="AN161">
        <v>661.77074130598123</v>
      </c>
      <c r="AO161">
        <v>42418.702090806459</v>
      </c>
      <c r="AP161">
        <v>35336.015306028268</v>
      </c>
      <c r="AQ161">
        <v>-7082.6867847781896</v>
      </c>
      <c r="AR161">
        <v>2.322214352533472E-3</v>
      </c>
      <c r="AS161">
        <v>82.907505347557176</v>
      </c>
      <c r="AT161">
        <v>121.7712078315726</v>
      </c>
      <c r="AU161">
        <v>4.1671776821355078</v>
      </c>
      <c r="AV161">
        <v>267.11103653377228</v>
      </c>
      <c r="AW161">
        <v>222.51127946255849</v>
      </c>
      <c r="AX161">
        <v>-44.59975707121373</v>
      </c>
      <c r="AY161">
        <v>1.5712413913751311</v>
      </c>
      <c r="AZ161" t="str">
        <f>VLOOKUP(BA161,Sheet1!$A$1:$B$58,2,FALSE)</f>
        <v>Propane (PW1)</v>
      </c>
      <c r="BA161" t="s">
        <v>166</v>
      </c>
      <c r="BB161" t="s">
        <v>167</v>
      </c>
      <c r="BC161">
        <v>44.094819999999999</v>
      </c>
      <c r="BD161">
        <v>6.666666666666667</v>
      </c>
      <c r="BE161">
        <v>-42</v>
      </c>
      <c r="BF161" t="s">
        <v>181</v>
      </c>
      <c r="BG161">
        <v>6.986534926324679</v>
      </c>
      <c r="BH161">
        <v>0.1</v>
      </c>
      <c r="BI161">
        <v>0.15742527668689801</v>
      </c>
      <c r="BJ161">
        <v>90</v>
      </c>
      <c r="BK161">
        <v>1570.489569156812</v>
      </c>
      <c r="BL161">
        <v>-314.78607932347529</v>
      </c>
      <c r="BM161">
        <v>4.1033218294417138</v>
      </c>
      <c r="BN161">
        <v>697.56471100509134</v>
      </c>
      <c r="BO161">
        <v>872.92485815172063</v>
      </c>
    </row>
    <row r="162" spans="1:67" x14ac:dyDescent="0.25">
      <c r="A162" s="1">
        <v>160</v>
      </c>
      <c r="B162" t="s">
        <v>178</v>
      </c>
      <c r="C162" t="s">
        <v>179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67</v>
      </c>
      <c r="J162">
        <v>1.333</v>
      </c>
      <c r="K162">
        <v>500</v>
      </c>
      <c r="L162">
        <v>100</v>
      </c>
      <c r="N162" t="s">
        <v>180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107</v>
      </c>
      <c r="AM162">
        <v>19337.937717867651</v>
      </c>
      <c r="AN162">
        <v>661.77074130598123</v>
      </c>
      <c r="AO162">
        <v>42418.702090806459</v>
      </c>
      <c r="AP162">
        <v>35336.015306028268</v>
      </c>
      <c r="AQ162">
        <v>-7082.6867847781896</v>
      </c>
      <c r="AR162">
        <v>2.322214352533472E-3</v>
      </c>
      <c r="AS162">
        <v>82.907505347557176</v>
      </c>
      <c r="AT162">
        <v>121.7712078315726</v>
      </c>
      <c r="AU162">
        <v>4.1671776821355078</v>
      </c>
      <c r="AV162">
        <v>267.11103653377228</v>
      </c>
      <c r="AW162">
        <v>222.51127946255849</v>
      </c>
      <c r="AX162">
        <v>-44.59975707121373</v>
      </c>
      <c r="AY162">
        <v>1.5712413913751311</v>
      </c>
      <c r="AZ162" t="str">
        <f>VLOOKUP(BA162,Sheet1!$A$1:$B$58,2,FALSE)</f>
        <v>Propane (PW2)</v>
      </c>
      <c r="BA162" t="s">
        <v>168</v>
      </c>
      <c r="BB162" t="s">
        <v>167</v>
      </c>
      <c r="BC162">
        <v>44.094819999999999</v>
      </c>
      <c r="BD162">
        <v>6.666666666666667</v>
      </c>
      <c r="BE162">
        <v>-42</v>
      </c>
      <c r="BF162" t="s">
        <v>181</v>
      </c>
      <c r="BG162">
        <v>6.986534926324679</v>
      </c>
      <c r="BH162">
        <v>0.1</v>
      </c>
      <c r="BI162">
        <v>0.15742527668689801</v>
      </c>
      <c r="BJ162">
        <v>90</v>
      </c>
      <c r="BK162">
        <v>1570.489569156812</v>
      </c>
      <c r="BL162">
        <v>-314.78607932347529</v>
      </c>
      <c r="BM162">
        <v>4.1033218294417138</v>
      </c>
      <c r="BN162">
        <v>697.56471100509134</v>
      </c>
      <c r="BO162">
        <v>872.92485815172063</v>
      </c>
    </row>
    <row r="163" spans="1:67" x14ac:dyDescent="0.25">
      <c r="A163" s="1">
        <v>161</v>
      </c>
      <c r="B163" t="s">
        <v>178</v>
      </c>
      <c r="C163" t="s">
        <v>179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67</v>
      </c>
      <c r="J163">
        <v>1.333</v>
      </c>
      <c r="K163">
        <v>500</v>
      </c>
      <c r="L163">
        <v>100</v>
      </c>
      <c r="N163" t="s">
        <v>180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69</v>
      </c>
      <c r="AM163">
        <v>16339.687248340009</v>
      </c>
      <c r="AN163">
        <v>559.16649959270831</v>
      </c>
      <c r="AO163">
        <v>35841.894609261959</v>
      </c>
      <c r="AP163">
        <v>28878.374106706211</v>
      </c>
      <c r="AQ163">
        <v>-6963.5205025557516</v>
      </c>
      <c r="AR163">
        <v>2.322214352533472E-3</v>
      </c>
      <c r="AS163">
        <v>82.907505347557148</v>
      </c>
      <c r="AT163">
        <v>121.7712078315726</v>
      </c>
      <c r="AU163">
        <v>4.1671776821355078</v>
      </c>
      <c r="AV163">
        <v>267.11103653377222</v>
      </c>
      <c r="AW163">
        <v>215.21553269282319</v>
      </c>
      <c r="AX163">
        <v>-51.895503840948919</v>
      </c>
      <c r="AY163">
        <v>1.5712413913751311</v>
      </c>
      <c r="AZ163" t="str">
        <f>VLOOKUP(BA163,Sheet1!$A$1:$B$58,2,FALSE)</f>
        <v>Shikimate</v>
      </c>
      <c r="BA163" t="s">
        <v>169</v>
      </c>
      <c r="BB163" t="s">
        <v>170</v>
      </c>
      <c r="BC163">
        <v>173.14045999999999</v>
      </c>
      <c r="BD163">
        <v>3.8571428571428572</v>
      </c>
      <c r="BE163">
        <v>400.5</v>
      </c>
      <c r="BF163" t="s">
        <v>181</v>
      </c>
      <c r="BG163">
        <v>4.2166483207133831</v>
      </c>
      <c r="BH163">
        <v>3.0140845070422501E-2</v>
      </c>
      <c r="BI163">
        <v>0.18631202357307</v>
      </c>
      <c r="BJ163">
        <v>90</v>
      </c>
      <c r="BK163">
        <v>1283.4832936313869</v>
      </c>
      <c r="BL163">
        <v>-309.48980011358879</v>
      </c>
      <c r="BM163">
        <v>5.1537816424923593</v>
      </c>
      <c r="BN163">
        <v>876.14287922370113</v>
      </c>
      <c r="BO163">
        <v>407.34041440768578</v>
      </c>
    </row>
    <row r="164" spans="1:67" x14ac:dyDescent="0.25">
      <c r="A164" s="1">
        <v>162</v>
      </c>
      <c r="B164" t="s">
        <v>178</v>
      </c>
      <c r="C164" t="s">
        <v>179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67</v>
      </c>
      <c r="J164">
        <v>1.333</v>
      </c>
      <c r="K164">
        <v>500</v>
      </c>
      <c r="L164">
        <v>100</v>
      </c>
      <c r="N164" t="s">
        <v>180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69</v>
      </c>
      <c r="AM164">
        <v>39789.183607463208</v>
      </c>
      <c r="AN164">
        <v>1361.640414610572</v>
      </c>
      <c r="AO164">
        <v>87279.499526048327</v>
      </c>
      <c r="AP164">
        <v>69095.852807769988</v>
      </c>
      <c r="AQ164">
        <v>-18183.646718278342</v>
      </c>
      <c r="AR164">
        <v>2.322214352533472E-3</v>
      </c>
      <c r="AS164">
        <v>82.907505347557148</v>
      </c>
      <c r="AT164">
        <v>121.7712078315726</v>
      </c>
      <c r="AU164">
        <v>4.1671776821355078</v>
      </c>
      <c r="AV164">
        <v>267.11103653377211</v>
      </c>
      <c r="AW164">
        <v>211.46162574133649</v>
      </c>
      <c r="AX164">
        <v>-55.64941079243556</v>
      </c>
      <c r="AY164">
        <v>1.57124139137513</v>
      </c>
      <c r="AZ164" t="str">
        <f>VLOOKUP(BA164,Sheet1!$A$1:$B$58,2,FALSE)</f>
        <v>Styrene</v>
      </c>
      <c r="BA164" t="s">
        <v>171</v>
      </c>
      <c r="BB164" t="s">
        <v>172</v>
      </c>
      <c r="BC164">
        <v>104.14832</v>
      </c>
      <c r="BD164">
        <v>5</v>
      </c>
      <c r="BE164">
        <v>145</v>
      </c>
      <c r="BF164" t="s">
        <v>181</v>
      </c>
      <c r="BG164">
        <v>11.11320729089895</v>
      </c>
      <c r="BH164">
        <v>2.05769230769231E-2</v>
      </c>
      <c r="BI164">
        <v>7.6510245242083899E-2</v>
      </c>
      <c r="BJ164">
        <v>90</v>
      </c>
      <c r="BK164">
        <v>3070.9267914564439</v>
      </c>
      <c r="BL164">
        <v>-808.16207636792569</v>
      </c>
      <c r="BM164">
        <v>11.70496251983265</v>
      </c>
      <c r="BN164">
        <v>1989.84362837155</v>
      </c>
      <c r="BO164">
        <v>1081.083163084895</v>
      </c>
    </row>
    <row r="165" spans="1:67" x14ac:dyDescent="0.25">
      <c r="A165" s="1">
        <v>163</v>
      </c>
      <c r="B165" t="s">
        <v>178</v>
      </c>
      <c r="C165" t="s">
        <v>179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67</v>
      </c>
      <c r="J165">
        <v>1.333</v>
      </c>
      <c r="K165">
        <v>500</v>
      </c>
      <c r="L165">
        <v>100</v>
      </c>
      <c r="N165" t="s">
        <v>180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69</v>
      </c>
      <c r="AM165">
        <v>7037.4810084379806</v>
      </c>
      <c r="AN165">
        <v>240.83224859999731</v>
      </c>
      <c r="AO165">
        <v>15437.05511528331</v>
      </c>
      <c r="AP165">
        <v>12924.45869646706</v>
      </c>
      <c r="AQ165">
        <v>-2512.596418816252</v>
      </c>
      <c r="AR165">
        <v>2.322214352533472E-3</v>
      </c>
      <c r="AS165">
        <v>82.907505347557176</v>
      </c>
      <c r="AT165">
        <v>121.7712078315726</v>
      </c>
      <c r="AU165">
        <v>4.1671776821355069</v>
      </c>
      <c r="AV165">
        <v>267.11103653377222</v>
      </c>
      <c r="AW165">
        <v>223.6349830501907</v>
      </c>
      <c r="AX165">
        <v>-43.476053483581502</v>
      </c>
      <c r="AY165">
        <v>1.57124139137513</v>
      </c>
      <c r="AZ165" t="str">
        <f>VLOOKUP(BA165,Sheet1!$A$1:$B$58,2,FALSE)</f>
        <v>Succinate</v>
      </c>
      <c r="BA165" t="s">
        <v>173</v>
      </c>
      <c r="BB165" t="s">
        <v>174</v>
      </c>
      <c r="BC165">
        <v>116.07016</v>
      </c>
      <c r="BD165">
        <v>3</v>
      </c>
      <c r="BE165">
        <v>235</v>
      </c>
      <c r="BF165" t="s">
        <v>181</v>
      </c>
      <c r="BG165">
        <v>1.6265210692193739</v>
      </c>
      <c r="BH165">
        <v>0.10439024390243901</v>
      </c>
      <c r="BI165">
        <v>0.43258094652606599</v>
      </c>
      <c r="BJ165">
        <v>90</v>
      </c>
      <c r="BK165">
        <v>574.42038650964719</v>
      </c>
      <c r="BL165">
        <v>-111.6709519473889</v>
      </c>
      <c r="BM165">
        <v>2.4093103334690742</v>
      </c>
      <c r="BN165">
        <v>409.58275668974261</v>
      </c>
      <c r="BO165">
        <v>164.83762981990461</v>
      </c>
    </row>
    <row r="166" spans="1:67" x14ac:dyDescent="0.25">
      <c r="A166" s="1">
        <v>164</v>
      </c>
      <c r="B166" t="s">
        <v>182</v>
      </c>
      <c r="C166" t="s">
        <v>179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67</v>
      </c>
      <c r="J166">
        <v>1.333</v>
      </c>
      <c r="K166">
        <v>500</v>
      </c>
      <c r="L166">
        <v>66.666666666666657</v>
      </c>
      <c r="N166" t="s">
        <v>183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33894.022000903977</v>
      </c>
      <c r="Z166">
        <v>169470110.00451991</v>
      </c>
      <c r="AA166">
        <v>225903656.63602501</v>
      </c>
      <c r="AB166">
        <v>225903.656636025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92.760787371017116</v>
      </c>
      <c r="AI166">
        <v>92.760787371017116</v>
      </c>
      <c r="AJ166">
        <v>7341.8688406708116</v>
      </c>
      <c r="AK166">
        <v>854.70085470085473</v>
      </c>
      <c r="AL166" t="s">
        <v>69</v>
      </c>
      <c r="AM166">
        <v>7188.9610212538264</v>
      </c>
      <c r="AN166">
        <v>369.02415347986312</v>
      </c>
      <c r="AO166">
        <v>15769.333853072911</v>
      </c>
      <c r="AP166">
        <v>15754.554870105359</v>
      </c>
      <c r="AQ166">
        <v>-14.778982967554841</v>
      </c>
      <c r="AR166">
        <v>3.4833215288002091E-3</v>
      </c>
      <c r="AS166">
        <v>120.032995820088</v>
      </c>
      <c r="AT166">
        <v>117.53308959086419</v>
      </c>
      <c r="AU166">
        <v>6.0332151981228774</v>
      </c>
      <c r="AV166">
        <v>257.81451910254071</v>
      </c>
      <c r="AW166">
        <v>257.57289593556959</v>
      </c>
      <c r="AX166">
        <v>-0.24162316697113051</v>
      </c>
      <c r="AY166">
        <v>1.5712413913751311</v>
      </c>
      <c r="AZ166" t="str">
        <f>VLOOKUP(BA166,Sheet1!$A$1:$B$58,2,FALSE)</f>
        <v>1,3-Butanediol (PW1)</v>
      </c>
      <c r="BA166" t="s">
        <v>70</v>
      </c>
      <c r="BB166" t="s">
        <v>71</v>
      </c>
      <c r="BC166">
        <v>90.119200000000006</v>
      </c>
      <c r="BD166">
        <v>5.5</v>
      </c>
      <c r="BE166">
        <v>207</v>
      </c>
      <c r="BF166" t="s">
        <v>184</v>
      </c>
      <c r="BG166">
        <v>1.6278440110431609</v>
      </c>
      <c r="BH166">
        <v>0.13636363636363599</v>
      </c>
      <c r="BI166">
        <v>0.42346594824885597</v>
      </c>
      <c r="BJ166">
        <v>90</v>
      </c>
      <c r="BK166">
        <v>675.83263253765176</v>
      </c>
      <c r="BL166">
        <v>-0.63398293684220375</v>
      </c>
      <c r="BM166">
        <v>2.4948576498909318</v>
      </c>
      <c r="BN166">
        <v>424.1258004814585</v>
      </c>
      <c r="BO166">
        <v>251.70683205619329</v>
      </c>
    </row>
    <row r="167" spans="1:67" x14ac:dyDescent="0.25">
      <c r="A167" s="1">
        <v>165</v>
      </c>
      <c r="B167" t="s">
        <v>182</v>
      </c>
      <c r="C167" t="s">
        <v>179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67</v>
      </c>
      <c r="J167">
        <v>1.333</v>
      </c>
      <c r="K167">
        <v>500</v>
      </c>
      <c r="L167">
        <v>66.666666666666657</v>
      </c>
      <c r="N167" t="s">
        <v>183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33894.022000903977</v>
      </c>
      <c r="Z167">
        <v>169470110.00451991</v>
      </c>
      <c r="AA167">
        <v>225903656.63602501</v>
      </c>
      <c r="AB167">
        <v>225903.656636025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92.760787371017116</v>
      </c>
      <c r="AI167">
        <v>92.760787371017116</v>
      </c>
      <c r="AJ167">
        <v>7341.8688406708116</v>
      </c>
      <c r="AK167">
        <v>854.70085470085473</v>
      </c>
      <c r="AL167" t="s">
        <v>69</v>
      </c>
      <c r="AM167">
        <v>7188.9610212538264</v>
      </c>
      <c r="AN167">
        <v>369.02415347986312</v>
      </c>
      <c r="AO167">
        <v>15769.333853072911</v>
      </c>
      <c r="AP167">
        <v>15754.554870105359</v>
      </c>
      <c r="AQ167">
        <v>-14.778982967554841</v>
      </c>
      <c r="AR167">
        <v>3.4833215288002091E-3</v>
      </c>
      <c r="AS167">
        <v>120.032995820088</v>
      </c>
      <c r="AT167">
        <v>117.53308959086419</v>
      </c>
      <c r="AU167">
        <v>6.0332151981228774</v>
      </c>
      <c r="AV167">
        <v>257.81451910254071</v>
      </c>
      <c r="AW167">
        <v>257.57289593556959</v>
      </c>
      <c r="AX167">
        <v>-0.24162316697113051</v>
      </c>
      <c r="AY167">
        <v>1.5712413913751311</v>
      </c>
      <c r="AZ167" t="str">
        <f>VLOOKUP(BA167,Sheet1!$A$1:$B$58,2,FALSE)</f>
        <v>1,3-Butanediol (PW2)</v>
      </c>
      <c r="BA167" t="s">
        <v>72</v>
      </c>
      <c r="BB167" t="s">
        <v>71</v>
      </c>
      <c r="BC167">
        <v>90.119200000000006</v>
      </c>
      <c r="BD167">
        <v>5.5</v>
      </c>
      <c r="BE167">
        <v>207</v>
      </c>
      <c r="BF167" t="s">
        <v>184</v>
      </c>
      <c r="BG167">
        <v>1.627844011043158</v>
      </c>
      <c r="BH167">
        <v>0.13636363636363599</v>
      </c>
      <c r="BI167">
        <v>0.42346594824885597</v>
      </c>
      <c r="BJ167">
        <v>90</v>
      </c>
      <c r="BK167">
        <v>675.83263253765176</v>
      </c>
      <c r="BL167">
        <v>-0.63398293684220375</v>
      </c>
      <c r="BM167">
        <v>2.4948576498909349</v>
      </c>
      <c r="BN167">
        <v>424.12580048145901</v>
      </c>
      <c r="BO167">
        <v>251.70683205619281</v>
      </c>
    </row>
    <row r="168" spans="1:67" x14ac:dyDescent="0.25">
      <c r="A168" s="1">
        <v>166</v>
      </c>
      <c r="B168" t="s">
        <v>182</v>
      </c>
      <c r="C168" t="s">
        <v>179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67</v>
      </c>
      <c r="J168">
        <v>1.333</v>
      </c>
      <c r="K168">
        <v>500</v>
      </c>
      <c r="L168">
        <v>66.666666666666657</v>
      </c>
      <c r="N168" t="s">
        <v>183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49215.741995194971</v>
      </c>
      <c r="Z168">
        <v>246078709.97597489</v>
      </c>
      <c r="AA168">
        <v>328022920.39797449</v>
      </c>
      <c r="AB168">
        <v>328022.92039797449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134.69310247103039</v>
      </c>
      <c r="AI168">
        <v>134.69310247103039</v>
      </c>
      <c r="AJ168">
        <v>10660.744912934169</v>
      </c>
      <c r="AK168">
        <v>854.70085470085473</v>
      </c>
      <c r="AL168" t="s">
        <v>69</v>
      </c>
      <c r="AM168">
        <v>10438.715441504861</v>
      </c>
      <c r="AN168">
        <v>535.84073106389633</v>
      </c>
      <c r="AO168">
        <v>22897.827420075169</v>
      </c>
      <c r="AP168">
        <v>22490.00194020378</v>
      </c>
      <c r="AQ168">
        <v>-407.82547987138969</v>
      </c>
      <c r="AR168">
        <v>3.4833215288002091E-3</v>
      </c>
      <c r="AS168">
        <v>120.032995820088</v>
      </c>
      <c r="AT168">
        <v>117.53308959086419</v>
      </c>
      <c r="AU168">
        <v>6.0332151981228774</v>
      </c>
      <c r="AV168">
        <v>257.81451910254071</v>
      </c>
      <c r="AW168">
        <v>253.22267167344251</v>
      </c>
      <c r="AX168">
        <v>-4.5918474290981486</v>
      </c>
      <c r="AY168">
        <v>1.5712413913751311</v>
      </c>
      <c r="AZ168" t="str">
        <f>VLOOKUP(BA168,Sheet1!$A$1:$B$58,2,FALSE)</f>
        <v>1,3-Diaminopropane</v>
      </c>
      <c r="BA168" t="s">
        <v>73</v>
      </c>
      <c r="BB168" t="s">
        <v>74</v>
      </c>
      <c r="BC168">
        <v>76.139580000000009</v>
      </c>
      <c r="BD168">
        <v>6</v>
      </c>
      <c r="BE168">
        <v>139.30000000000001</v>
      </c>
      <c r="BF168" t="s">
        <v>184</v>
      </c>
      <c r="BG168">
        <v>1.8780564466699721</v>
      </c>
      <c r="BH168">
        <v>0.11115384615384601</v>
      </c>
      <c r="BI168">
        <v>0.29163360308540498</v>
      </c>
      <c r="BJ168">
        <v>90</v>
      </c>
      <c r="BK168">
        <v>964.76716367697463</v>
      </c>
      <c r="BL168">
        <v>-17.4947353289182</v>
      </c>
      <c r="BM168">
        <v>4.1083036631536034</v>
      </c>
      <c r="BN168">
        <v>698.41162273611246</v>
      </c>
      <c r="BO168">
        <v>266.35554094086223</v>
      </c>
    </row>
    <row r="169" spans="1:67" x14ac:dyDescent="0.25">
      <c r="A169" s="1">
        <v>167</v>
      </c>
      <c r="B169" t="s">
        <v>182</v>
      </c>
      <c r="C169" t="s">
        <v>179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67</v>
      </c>
      <c r="J169">
        <v>1.333</v>
      </c>
      <c r="K169">
        <v>500</v>
      </c>
      <c r="L169">
        <v>66.666666666666657</v>
      </c>
      <c r="N169" t="s">
        <v>183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29194.0304916487</v>
      </c>
      <c r="Z169">
        <v>145970152.45824349</v>
      </c>
      <c r="AA169">
        <v>194578213.22683859</v>
      </c>
      <c r="AB169">
        <v>194578.21322683859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79.897902198405049</v>
      </c>
      <c r="AI169">
        <v>79.897902198405049</v>
      </c>
      <c r="AJ169">
        <v>6323.7919298722536</v>
      </c>
      <c r="AK169">
        <v>854.70085470085473</v>
      </c>
      <c r="AL169" t="s">
        <v>69</v>
      </c>
      <c r="AM169">
        <v>6192.0874203763906</v>
      </c>
      <c r="AN169">
        <v>317.85258145399922</v>
      </c>
      <c r="AO169">
        <v>13582.643373728861</v>
      </c>
      <c r="AP169">
        <v>13688.4327864035</v>
      </c>
      <c r="AQ169">
        <v>105.78941267463961</v>
      </c>
      <c r="AR169">
        <v>3.4833215288002091E-3</v>
      </c>
      <c r="AS169">
        <v>120.032995820088</v>
      </c>
      <c r="AT169">
        <v>117.53308959086419</v>
      </c>
      <c r="AU169">
        <v>6.0332151981228774</v>
      </c>
      <c r="AV169">
        <v>257.81451910254071</v>
      </c>
      <c r="AW169">
        <v>259.82252636625242</v>
      </c>
      <c r="AX169">
        <v>2.008007263711677</v>
      </c>
      <c r="AY169">
        <v>1.5712413913751311</v>
      </c>
      <c r="AZ169" t="str">
        <f>VLOOKUP(BA169,Sheet1!$A$1:$B$58,2,FALSE)</f>
        <v>1,3-Propanediol</v>
      </c>
      <c r="BA169" t="s">
        <v>75</v>
      </c>
      <c r="BB169" t="s">
        <v>76</v>
      </c>
      <c r="BC169">
        <v>76.092820000000003</v>
      </c>
      <c r="BD169">
        <v>5.333333333333333</v>
      </c>
      <c r="BE169">
        <v>213</v>
      </c>
      <c r="BF169" t="s">
        <v>184</v>
      </c>
      <c r="BG169">
        <v>1.349536000899954</v>
      </c>
      <c r="BH169">
        <v>0.1875</v>
      </c>
      <c r="BI169">
        <v>0.49164037732598198</v>
      </c>
      <c r="BJ169">
        <v>90</v>
      </c>
      <c r="BK169">
        <v>587.20094865415365</v>
      </c>
      <c r="BL169">
        <v>4.5381121746689246</v>
      </c>
      <c r="BM169">
        <v>2.201481874584716</v>
      </c>
      <c r="BN169">
        <v>374.25191867940163</v>
      </c>
      <c r="BO169">
        <v>212.94902997475199</v>
      </c>
    </row>
    <row r="170" spans="1:67" x14ac:dyDescent="0.25">
      <c r="A170" s="1">
        <v>168</v>
      </c>
      <c r="B170" t="s">
        <v>182</v>
      </c>
      <c r="C170" t="s">
        <v>179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67</v>
      </c>
      <c r="J170">
        <v>1.333</v>
      </c>
      <c r="K170">
        <v>500</v>
      </c>
      <c r="L170">
        <v>66.666666666666657</v>
      </c>
      <c r="N170" t="s">
        <v>183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63171.462835909209</v>
      </c>
      <c r="Z170">
        <v>315857314.17954612</v>
      </c>
      <c r="AA170">
        <v>421037799.80133492</v>
      </c>
      <c r="AB170">
        <v>421037.79980133491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172.88696608155851</v>
      </c>
      <c r="AI170">
        <v>172.88696608155851</v>
      </c>
      <c r="AJ170">
        <v>13683.72849354338</v>
      </c>
      <c r="AK170">
        <v>854.70085470085473</v>
      </c>
      <c r="AL170" t="s">
        <v>69</v>
      </c>
      <c r="AM170">
        <v>13398.73987132078</v>
      </c>
      <c r="AN170">
        <v>687.78487240269931</v>
      </c>
      <c r="AO170">
        <v>29390.784233864939</v>
      </c>
      <c r="AP170">
        <v>28624.95409196772</v>
      </c>
      <c r="AQ170">
        <v>-765.83014189722235</v>
      </c>
      <c r="AR170">
        <v>3.4833215288002082E-3</v>
      </c>
      <c r="AS170">
        <v>120.032995820088</v>
      </c>
      <c r="AT170">
        <v>117.53308959086409</v>
      </c>
      <c r="AU170">
        <v>6.0332151981228757</v>
      </c>
      <c r="AV170">
        <v>257.8145191025406</v>
      </c>
      <c r="AW170">
        <v>251.0966946247587</v>
      </c>
      <c r="AX170">
        <v>-6.7178244777818801</v>
      </c>
      <c r="AY170">
        <v>1.57124139137513</v>
      </c>
      <c r="AZ170" t="str">
        <f>VLOOKUP(BA170,Sheet1!$A$1:$B$58,2,FALSE)</f>
        <v>1,4-Butanediol</v>
      </c>
      <c r="BA170" t="s">
        <v>77</v>
      </c>
      <c r="BB170" t="s">
        <v>71</v>
      </c>
      <c r="BC170">
        <v>90.119200000000006</v>
      </c>
      <c r="BD170">
        <v>5.5</v>
      </c>
      <c r="BE170">
        <v>230</v>
      </c>
      <c r="BF170" t="s">
        <v>184</v>
      </c>
      <c r="BG170">
        <v>2.4012107332446222</v>
      </c>
      <c r="BH170">
        <v>7.3164556962025007E-2</v>
      </c>
      <c r="BI170">
        <v>0.22720645560896499</v>
      </c>
      <c r="BJ170">
        <v>90</v>
      </c>
      <c r="BK170">
        <v>1227.9419025003911</v>
      </c>
      <c r="BL170">
        <v>-32.852277017181393</v>
      </c>
      <c r="BM170">
        <v>5.2826544259357533</v>
      </c>
      <c r="BN170">
        <v>898.05125240907807</v>
      </c>
      <c r="BO170">
        <v>329.89065009131252</v>
      </c>
    </row>
    <row r="171" spans="1:67" x14ac:dyDescent="0.25">
      <c r="A171" s="1">
        <v>169</v>
      </c>
      <c r="B171" t="s">
        <v>182</v>
      </c>
      <c r="C171" t="s">
        <v>179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67</v>
      </c>
      <c r="J171">
        <v>1.333</v>
      </c>
      <c r="K171">
        <v>500</v>
      </c>
      <c r="L171">
        <v>66.666666666666657</v>
      </c>
      <c r="N171" t="s">
        <v>183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63556.098300135323</v>
      </c>
      <c r="Z171">
        <v>317780491.50067657</v>
      </c>
      <c r="AA171">
        <v>423601395.17040187</v>
      </c>
      <c r="AB171">
        <v>423601.39517040201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173.93963219806361</v>
      </c>
      <c r="AI171">
        <v>173.93963219806361</v>
      </c>
      <c r="AJ171">
        <v>13767.04534303806</v>
      </c>
      <c r="AK171">
        <v>854.70085470085473</v>
      </c>
      <c r="AL171" t="s">
        <v>69</v>
      </c>
      <c r="AM171">
        <v>13480.32149534993</v>
      </c>
      <c r="AN171">
        <v>691.97262493854748</v>
      </c>
      <c r="AO171">
        <v>29569.737473670812</v>
      </c>
      <c r="AP171">
        <v>28794.04031802739</v>
      </c>
      <c r="AQ171">
        <v>-775.69715564341823</v>
      </c>
      <c r="AR171">
        <v>3.4833215288002099E-3</v>
      </c>
      <c r="AS171">
        <v>120.0329958200881</v>
      </c>
      <c r="AT171">
        <v>117.53308959086409</v>
      </c>
      <c r="AU171">
        <v>6.0332151981228774</v>
      </c>
      <c r="AV171">
        <v>257.81451910254071</v>
      </c>
      <c r="AW171">
        <v>251.05132110900129</v>
      </c>
      <c r="AX171">
        <v>-6.7631979935393369</v>
      </c>
      <c r="AY171">
        <v>1.57124139137513</v>
      </c>
      <c r="AZ171" t="str">
        <f>VLOOKUP(BA171,Sheet1!$A$1:$B$58,2,FALSE)</f>
        <v>1-Propanol (PW1)</v>
      </c>
      <c r="BA171" t="s">
        <v>78</v>
      </c>
      <c r="BB171" t="s">
        <v>79</v>
      </c>
      <c r="BC171">
        <v>60.093820000000001</v>
      </c>
      <c r="BD171">
        <v>6</v>
      </c>
      <c r="BE171">
        <v>97</v>
      </c>
      <c r="BF171" t="s">
        <v>184</v>
      </c>
      <c r="BG171">
        <v>2.7773733768055759</v>
      </c>
      <c r="BH171">
        <v>0.109056603773585</v>
      </c>
      <c r="BI171">
        <v>0.22583142374159601</v>
      </c>
      <c r="BJ171">
        <v>90</v>
      </c>
      <c r="BK171">
        <v>1235.195296215792</v>
      </c>
      <c r="BL171">
        <v>-33.275548250824762</v>
      </c>
      <c r="BM171">
        <v>4.9532769431083619</v>
      </c>
      <c r="BN171">
        <v>842.05708032842153</v>
      </c>
      <c r="BO171">
        <v>393.13821588737102</v>
      </c>
    </row>
    <row r="172" spans="1:67" x14ac:dyDescent="0.25">
      <c r="A172" s="1">
        <v>170</v>
      </c>
      <c r="B172" t="s">
        <v>182</v>
      </c>
      <c r="C172" t="s">
        <v>179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67</v>
      </c>
      <c r="J172">
        <v>1.333</v>
      </c>
      <c r="K172">
        <v>500</v>
      </c>
      <c r="L172">
        <v>66.666666666666657</v>
      </c>
      <c r="N172" t="s">
        <v>183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41587.27337827719</v>
      </c>
      <c r="Z172">
        <v>207936366.89138591</v>
      </c>
      <c r="AA172">
        <v>277179177.06621748</v>
      </c>
      <c r="AB172">
        <v>277179.17706621753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113.8155932948838</v>
      </c>
      <c r="AI172">
        <v>113.8155932948838</v>
      </c>
      <c r="AJ172">
        <v>9008.3232546520685</v>
      </c>
      <c r="AK172">
        <v>854.70085470085473</v>
      </c>
      <c r="AL172" t="s">
        <v>69</v>
      </c>
      <c r="AM172">
        <v>8820.7084803534945</v>
      </c>
      <c r="AN172">
        <v>452.78510628054352</v>
      </c>
      <c r="AO172">
        <v>19348.650860130241</v>
      </c>
      <c r="AP172">
        <v>19136.51769598696</v>
      </c>
      <c r="AQ172">
        <v>-212.1331641432844</v>
      </c>
      <c r="AR172">
        <v>3.4833215288002099E-3</v>
      </c>
      <c r="AS172">
        <v>120.0329958200881</v>
      </c>
      <c r="AT172">
        <v>117.53308959086409</v>
      </c>
      <c r="AU172">
        <v>6.0332151981228774</v>
      </c>
      <c r="AV172">
        <v>257.81451910254071</v>
      </c>
      <c r="AW172">
        <v>254.98791325313769</v>
      </c>
      <c r="AX172">
        <v>-2.8266058494030042</v>
      </c>
      <c r="AY172">
        <v>1.5712413913751311</v>
      </c>
      <c r="AZ172" t="str">
        <f>VLOOKUP(BA172,Sheet1!$A$1:$B$58,2,FALSE)</f>
        <v>1-Propanol (PW2)</v>
      </c>
      <c r="BA172" t="s">
        <v>80</v>
      </c>
      <c r="BB172" t="s">
        <v>79</v>
      </c>
      <c r="BC172">
        <v>60.093820000000001</v>
      </c>
      <c r="BD172">
        <v>6</v>
      </c>
      <c r="BE172">
        <v>97</v>
      </c>
      <c r="BF172" t="s">
        <v>184</v>
      </c>
      <c r="BG172">
        <v>2.1970645234401762</v>
      </c>
      <c r="BH172">
        <v>0.16666666666666699</v>
      </c>
      <c r="BI172">
        <v>0.345128761773489</v>
      </c>
      <c r="BJ172">
        <v>90</v>
      </c>
      <c r="BK172">
        <v>820.91072954546382</v>
      </c>
      <c r="BL172">
        <v>-9.1000041545786576</v>
      </c>
      <c r="BM172">
        <v>2.861406289665771</v>
      </c>
      <c r="BN172">
        <v>486.43906924318122</v>
      </c>
      <c r="BO172">
        <v>334.47166030228271</v>
      </c>
    </row>
    <row r="173" spans="1:67" x14ac:dyDescent="0.25">
      <c r="A173" s="1">
        <v>171</v>
      </c>
      <c r="B173" t="s">
        <v>182</v>
      </c>
      <c r="C173" t="s">
        <v>179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67</v>
      </c>
      <c r="J173">
        <v>1.333</v>
      </c>
      <c r="K173">
        <v>500</v>
      </c>
      <c r="L173">
        <v>66.666666666666657</v>
      </c>
      <c r="N173" t="s">
        <v>183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33894.022000903889</v>
      </c>
      <c r="Z173">
        <v>169470110.00451949</v>
      </c>
      <c r="AA173">
        <v>225903656.63602439</v>
      </c>
      <c r="AB173">
        <v>225903.65663602439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92.76078737101686</v>
      </c>
      <c r="AI173">
        <v>92.76078737101686</v>
      </c>
      <c r="AJ173">
        <v>7341.8688406707952</v>
      </c>
      <c r="AK173">
        <v>854.70085470085473</v>
      </c>
      <c r="AL173" t="s">
        <v>69</v>
      </c>
      <c r="AM173">
        <v>7188.9610212538064</v>
      </c>
      <c r="AN173">
        <v>369.02415347986198</v>
      </c>
      <c r="AO173">
        <v>15769.333853072871</v>
      </c>
      <c r="AP173">
        <v>15754.554870105319</v>
      </c>
      <c r="AQ173">
        <v>-14.778982967547559</v>
      </c>
      <c r="AR173">
        <v>3.4833215288002099E-3</v>
      </c>
      <c r="AS173">
        <v>120.0329958200881</v>
      </c>
      <c r="AT173">
        <v>117.53308959086409</v>
      </c>
      <c r="AU173">
        <v>6.0332151981228757</v>
      </c>
      <c r="AV173">
        <v>257.81451910254071</v>
      </c>
      <c r="AW173">
        <v>257.5728959355697</v>
      </c>
      <c r="AX173">
        <v>-0.241623166970966</v>
      </c>
      <c r="AY173">
        <v>1.57124139137513</v>
      </c>
      <c r="AZ173" t="str">
        <f>VLOOKUP(BA173,Sheet1!$A$1:$B$58,2,FALSE)</f>
        <v>2,3-Butanediol</v>
      </c>
      <c r="BA173" t="s">
        <v>81</v>
      </c>
      <c r="BB173" t="s">
        <v>71</v>
      </c>
      <c r="BC173">
        <v>90.119200000000006</v>
      </c>
      <c r="BD173">
        <v>5.5</v>
      </c>
      <c r="BE173">
        <v>177</v>
      </c>
      <c r="BF173" t="s">
        <v>184</v>
      </c>
      <c r="BG173">
        <v>1.627844011043154</v>
      </c>
      <c r="BH173">
        <v>0.13636363636363599</v>
      </c>
      <c r="BI173">
        <v>0.42346594824885703</v>
      </c>
      <c r="BJ173">
        <v>90</v>
      </c>
      <c r="BK173">
        <v>675.8326325376504</v>
      </c>
      <c r="BL173">
        <v>-0.63398293684177043</v>
      </c>
      <c r="BM173">
        <v>2.4948576498909301</v>
      </c>
      <c r="BN173">
        <v>424.1258004814581</v>
      </c>
      <c r="BO173">
        <v>251.7068320561923</v>
      </c>
    </row>
    <row r="174" spans="1:67" x14ac:dyDescent="0.25">
      <c r="A174" s="1">
        <v>172</v>
      </c>
      <c r="B174" t="s">
        <v>182</v>
      </c>
      <c r="C174" t="s">
        <v>179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67</v>
      </c>
      <c r="J174">
        <v>1.333</v>
      </c>
      <c r="K174">
        <v>500</v>
      </c>
      <c r="L174">
        <v>66.666666666666657</v>
      </c>
      <c r="N174" t="s">
        <v>183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47253.452160499313</v>
      </c>
      <c r="Z174">
        <v>236267260.80249661</v>
      </c>
      <c r="AA174">
        <v>314944258.64972788</v>
      </c>
      <c r="AB174">
        <v>314944.25864972791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129.3227291907022</v>
      </c>
      <c r="AI174">
        <v>129.3227291907022</v>
      </c>
      <c r="AJ174">
        <v>10235.68840611616</v>
      </c>
      <c r="AK174">
        <v>854.70085470085473</v>
      </c>
      <c r="AL174" t="s">
        <v>69</v>
      </c>
      <c r="AM174">
        <v>10022.51151227942</v>
      </c>
      <c r="AN174">
        <v>514.4761274440782</v>
      </c>
      <c r="AO174">
        <v>21984.863962419371</v>
      </c>
      <c r="AP174">
        <v>21627.376900540508</v>
      </c>
      <c r="AQ174">
        <v>-357.48706187885909</v>
      </c>
      <c r="AR174">
        <v>3.4833215288002091E-3</v>
      </c>
      <c r="AS174">
        <v>120.032995820088</v>
      </c>
      <c r="AT174">
        <v>117.53308959086409</v>
      </c>
      <c r="AU174">
        <v>6.0332151981228748</v>
      </c>
      <c r="AV174">
        <v>257.81451910254071</v>
      </c>
      <c r="AW174">
        <v>253.62230053338209</v>
      </c>
      <c r="AX174">
        <v>-4.1922185691585216</v>
      </c>
      <c r="AY174">
        <v>1.57124139137513</v>
      </c>
      <c r="AZ174" t="str">
        <f>VLOOKUP(BA174,Sheet1!$A$1:$B$58,2,FALSE)</f>
        <v>2-Methyl-1-Butanol</v>
      </c>
      <c r="BA174" t="s">
        <v>82</v>
      </c>
      <c r="BB174" t="s">
        <v>83</v>
      </c>
      <c r="BC174">
        <v>88.14658</v>
      </c>
      <c r="BD174">
        <v>6</v>
      </c>
      <c r="BE174">
        <v>129</v>
      </c>
      <c r="BF174" t="s">
        <v>184</v>
      </c>
      <c r="BG174">
        <v>2.496409957141843</v>
      </c>
      <c r="BH174">
        <v>0.1</v>
      </c>
      <c r="BI174">
        <v>0.30374424534803601</v>
      </c>
      <c r="BJ174">
        <v>90</v>
      </c>
      <c r="BK174">
        <v>927.76261761044259</v>
      </c>
      <c r="BL174">
        <v>-15.33533788289917</v>
      </c>
      <c r="BM174">
        <v>3.251266895778254</v>
      </c>
      <c r="BN174">
        <v>552.71537228230318</v>
      </c>
      <c r="BO174">
        <v>375.04724532813941</v>
      </c>
    </row>
    <row r="175" spans="1:67" x14ac:dyDescent="0.25">
      <c r="A175" s="1">
        <v>173</v>
      </c>
      <c r="B175" t="s">
        <v>182</v>
      </c>
      <c r="C175" t="s">
        <v>179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67</v>
      </c>
      <c r="J175">
        <v>1.333</v>
      </c>
      <c r="K175">
        <v>500</v>
      </c>
      <c r="L175">
        <v>66.666666666666657</v>
      </c>
      <c r="N175" t="s">
        <v>183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55013.56608787446</v>
      </c>
      <c r="Z175">
        <v>275067830.4393723</v>
      </c>
      <c r="AA175">
        <v>366665417.97568327</v>
      </c>
      <c r="AB175">
        <v>366665.41797568329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150.5605238074908</v>
      </c>
      <c r="AI175">
        <v>150.5605238074908</v>
      </c>
      <c r="AJ175">
        <v>11916.626084209711</v>
      </c>
      <c r="AK175">
        <v>854.70085470085473</v>
      </c>
      <c r="AL175" t="s">
        <v>69</v>
      </c>
      <c r="AM175">
        <v>11668.440595080539</v>
      </c>
      <c r="AN175">
        <v>598.96505215417994</v>
      </c>
      <c r="AO175">
        <v>25595.28904727344</v>
      </c>
      <c r="AP175">
        <v>25038.732586145281</v>
      </c>
      <c r="AQ175">
        <v>-556.55646112815884</v>
      </c>
      <c r="AR175">
        <v>3.4833215288002082E-3</v>
      </c>
      <c r="AS175">
        <v>120.032995820088</v>
      </c>
      <c r="AT175">
        <v>117.53308959086409</v>
      </c>
      <c r="AU175">
        <v>6.0332151981228748</v>
      </c>
      <c r="AV175">
        <v>257.8145191025406</v>
      </c>
      <c r="AW175">
        <v>252.20847432945169</v>
      </c>
      <c r="AX175">
        <v>-5.6060447730889429</v>
      </c>
      <c r="AY175">
        <v>1.57124139137513</v>
      </c>
      <c r="AZ175" t="str">
        <f>VLOOKUP(BA175,Sheet1!$A$1:$B$58,2,FALSE)</f>
        <v>3-Methyl-1-Pentanol</v>
      </c>
      <c r="BA175" t="s">
        <v>87</v>
      </c>
      <c r="BB175" t="s">
        <v>88</v>
      </c>
      <c r="BC175">
        <v>102.17296</v>
      </c>
      <c r="BD175">
        <v>6</v>
      </c>
      <c r="BE175">
        <v>153</v>
      </c>
      <c r="BF175" t="s">
        <v>184</v>
      </c>
      <c r="BG175">
        <v>2.7454097796385302</v>
      </c>
      <c r="BH175">
        <v>7.4102564102563995E-2</v>
      </c>
      <c r="BI175">
        <v>0.26089863259644103</v>
      </c>
      <c r="BJ175">
        <v>90</v>
      </c>
      <c r="BK175">
        <v>1074.1015978312871</v>
      </c>
      <c r="BL175">
        <v>-23.87493784377336</v>
      </c>
      <c r="BM175">
        <v>3.9461690562499498</v>
      </c>
      <c r="BN175">
        <v>670.84873956249146</v>
      </c>
      <c r="BO175">
        <v>403.25285826879559</v>
      </c>
    </row>
    <row r="176" spans="1:67" x14ac:dyDescent="0.25">
      <c r="A176" s="1">
        <v>174</v>
      </c>
      <c r="B176" t="s">
        <v>182</v>
      </c>
      <c r="C176" t="s">
        <v>179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67</v>
      </c>
      <c r="J176">
        <v>1.333</v>
      </c>
      <c r="K176">
        <v>500</v>
      </c>
      <c r="L176">
        <v>66.666666666666657</v>
      </c>
      <c r="N176" t="s">
        <v>183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126555.06688251031</v>
      </c>
      <c r="Z176">
        <v>632775334.4125514</v>
      </c>
      <c r="AA176">
        <v>843489520.77193105</v>
      </c>
      <c r="AB176">
        <v>843489.52077193104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346.35451789994971</v>
      </c>
      <c r="AI176">
        <v>346.35451789994971</v>
      </c>
      <c r="AJ176">
        <v>27413.409425087761</v>
      </c>
      <c r="AK176">
        <v>854.70085470085473</v>
      </c>
      <c r="AL176" t="s">
        <v>69</v>
      </c>
      <c r="AM176">
        <v>26842.4751372461</v>
      </c>
      <c r="AN176">
        <v>1377.8794509444831</v>
      </c>
      <c r="AO176">
        <v>58880.26804299144</v>
      </c>
      <c r="AP176">
        <v>56488.464867979194</v>
      </c>
      <c r="AQ176">
        <v>-2391.8031750122459</v>
      </c>
      <c r="AR176">
        <v>3.4833215288002091E-3</v>
      </c>
      <c r="AS176">
        <v>120.032995820088</v>
      </c>
      <c r="AT176">
        <v>117.53308959086409</v>
      </c>
      <c r="AU176">
        <v>6.0332151981228774</v>
      </c>
      <c r="AV176">
        <v>257.8145191025406</v>
      </c>
      <c r="AW176">
        <v>247.34171376640541</v>
      </c>
      <c r="AX176">
        <v>-10.472805336135229</v>
      </c>
      <c r="AY176">
        <v>1.57124139137513</v>
      </c>
      <c r="AZ176" t="str">
        <f>VLOOKUP(BA176,Sheet1!$A$1:$B$58,2,FALSE)</f>
        <v>4-Hydroxystyrene</v>
      </c>
      <c r="BA176" t="s">
        <v>89</v>
      </c>
      <c r="BB176" t="s">
        <v>90</v>
      </c>
      <c r="BC176">
        <v>120.14731999999999</v>
      </c>
      <c r="BD176">
        <v>4.75</v>
      </c>
      <c r="BE176">
        <v>229</v>
      </c>
      <c r="BF176" t="s">
        <v>184</v>
      </c>
      <c r="BG176">
        <v>3.8924160472442089</v>
      </c>
      <c r="BH176">
        <v>2.7393364928910001E-2</v>
      </c>
      <c r="BI176">
        <v>0.113412797449708</v>
      </c>
      <c r="BJ176">
        <v>90</v>
      </c>
      <c r="BK176">
        <v>2423.219712299096</v>
      </c>
      <c r="BL176">
        <v>-102.60262188351081</v>
      </c>
      <c r="BM176">
        <v>11.50111808164244</v>
      </c>
      <c r="BN176">
        <v>1955.1900738792151</v>
      </c>
      <c r="BO176">
        <v>468.02963841988088</v>
      </c>
    </row>
    <row r="177" spans="1:67" x14ac:dyDescent="0.25">
      <c r="A177" s="1">
        <v>175</v>
      </c>
      <c r="B177" t="s">
        <v>182</v>
      </c>
      <c r="C177" t="s">
        <v>179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67</v>
      </c>
      <c r="J177">
        <v>1.333</v>
      </c>
      <c r="K177">
        <v>500</v>
      </c>
      <c r="L177">
        <v>66.666666666666657</v>
      </c>
      <c r="N177" t="s">
        <v>183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38249.436143711529</v>
      </c>
      <c r="Z177">
        <v>191247180.71855769</v>
      </c>
      <c r="AA177">
        <v>254932491.89783731</v>
      </c>
      <c r="AB177">
        <v>254932.49189783729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104.6806369894223</v>
      </c>
      <c r="AI177">
        <v>104.6806369894223</v>
      </c>
      <c r="AJ177">
        <v>8285.3059866797139</v>
      </c>
      <c r="AK177">
        <v>854.70085470085473</v>
      </c>
      <c r="AL177" t="s">
        <v>69</v>
      </c>
      <c r="AM177">
        <v>8112.7493666802302</v>
      </c>
      <c r="AN177">
        <v>416.44410904196519</v>
      </c>
      <c r="AO177">
        <v>17795.7082882018</v>
      </c>
      <c r="AP177">
        <v>17669.200317102761</v>
      </c>
      <c r="AQ177">
        <v>-126.5079710990321</v>
      </c>
      <c r="AR177">
        <v>3.4833215288002091E-3</v>
      </c>
      <c r="AS177">
        <v>120.032995820088</v>
      </c>
      <c r="AT177">
        <v>117.53308959086419</v>
      </c>
      <c r="AU177">
        <v>6.0332151981228774</v>
      </c>
      <c r="AV177">
        <v>257.81451910254083</v>
      </c>
      <c r="AW177">
        <v>255.98174059194011</v>
      </c>
      <c r="AX177">
        <v>-1.8327785106007319</v>
      </c>
      <c r="AY177">
        <v>1.5712413913751311</v>
      </c>
      <c r="AZ177" t="str">
        <f>VLOOKUP(BA177,Sheet1!$A$1:$B$58,2,FALSE)</f>
        <v>Acetone</v>
      </c>
      <c r="BA177" t="s">
        <v>93</v>
      </c>
      <c r="BB177" t="s">
        <v>94</v>
      </c>
      <c r="BC177">
        <v>58.078139999999998</v>
      </c>
      <c r="BD177">
        <v>5.333333333333333</v>
      </c>
      <c r="BE177">
        <v>56</v>
      </c>
      <c r="BF177" t="s">
        <v>184</v>
      </c>
      <c r="BG177">
        <v>1.7681351365591249</v>
      </c>
      <c r="BH177">
        <v>0.1875</v>
      </c>
      <c r="BI177">
        <v>0.37524642487939303</v>
      </c>
      <c r="BJ177">
        <v>90</v>
      </c>
      <c r="BK177">
        <v>757.96633187027101</v>
      </c>
      <c r="BL177">
        <v>-5.4268886585359661</v>
      </c>
      <c r="BM177">
        <v>2.8843376185263101</v>
      </c>
      <c r="BN177">
        <v>490.33739514947268</v>
      </c>
      <c r="BO177">
        <v>267.62893672079832</v>
      </c>
    </row>
    <row r="178" spans="1:67" x14ac:dyDescent="0.25">
      <c r="A178" s="1">
        <v>176</v>
      </c>
      <c r="B178" t="s">
        <v>182</v>
      </c>
      <c r="C178" t="s">
        <v>179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67</v>
      </c>
      <c r="J178">
        <v>1.333</v>
      </c>
      <c r="K178">
        <v>500</v>
      </c>
      <c r="L178">
        <v>66.666666666666657</v>
      </c>
      <c r="N178" t="s">
        <v>183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87221.472140881117</v>
      </c>
      <c r="Z178">
        <v>436107360.70440549</v>
      </c>
      <c r="AA178">
        <v>581331111.81897259</v>
      </c>
      <c r="AB178">
        <v>581331.11181897263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238.7067675601196</v>
      </c>
      <c r="AI178">
        <v>238.7067675601196</v>
      </c>
      <c r="AJ178">
        <v>18893.261134116608</v>
      </c>
      <c r="AK178">
        <v>854.70085470085473</v>
      </c>
      <c r="AL178" t="s">
        <v>69</v>
      </c>
      <c r="AM178">
        <v>18499.774485909271</v>
      </c>
      <c r="AN178">
        <v>949.63146956114178</v>
      </c>
      <c r="AO178">
        <v>40580.150485220329</v>
      </c>
      <c r="AP178">
        <v>39197.367944287878</v>
      </c>
      <c r="AQ178">
        <v>-1382.782540932451</v>
      </c>
      <c r="AR178">
        <v>3.4833215288002099E-3</v>
      </c>
      <c r="AS178">
        <v>120.0329958200881</v>
      </c>
      <c r="AT178">
        <v>117.53308959086419</v>
      </c>
      <c r="AU178">
        <v>6.0332151981228774</v>
      </c>
      <c r="AV178">
        <v>257.81451910254071</v>
      </c>
      <c r="AW178">
        <v>249.02940097086369</v>
      </c>
      <c r="AX178">
        <v>-8.7851181316769686</v>
      </c>
      <c r="AY178">
        <v>1.57124139137513</v>
      </c>
      <c r="AZ178" t="str">
        <f>VLOOKUP(BA178,Sheet1!$A$1:$B$58,2,FALSE)</f>
        <v>Acrylate (PW1)</v>
      </c>
      <c r="BA178" t="s">
        <v>95</v>
      </c>
      <c r="BB178" t="s">
        <v>96</v>
      </c>
      <c r="BC178">
        <v>71.053619999999995</v>
      </c>
      <c r="BD178">
        <v>3.666666666666667</v>
      </c>
      <c r="BE178">
        <v>80</v>
      </c>
      <c r="BF178" t="s">
        <v>184</v>
      </c>
      <c r="BG178">
        <v>2.303964489086384</v>
      </c>
      <c r="BH178">
        <v>6.7209302325581394E-2</v>
      </c>
      <c r="BI178">
        <v>0.164557692209062</v>
      </c>
      <c r="BJ178">
        <v>90</v>
      </c>
      <c r="BK178">
        <v>1681.473109507021</v>
      </c>
      <c r="BL178">
        <v>-59.318055798502662</v>
      </c>
      <c r="BM178">
        <v>8.3052251802522647</v>
      </c>
      <c r="BN178">
        <v>1411.8882806428851</v>
      </c>
      <c r="BO178">
        <v>269.58482886413589</v>
      </c>
    </row>
    <row r="179" spans="1:67" x14ac:dyDescent="0.25">
      <c r="A179" s="1">
        <v>177</v>
      </c>
      <c r="B179" t="s">
        <v>182</v>
      </c>
      <c r="C179" t="s">
        <v>179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67</v>
      </c>
      <c r="J179">
        <v>1.333</v>
      </c>
      <c r="K179">
        <v>500</v>
      </c>
      <c r="L179">
        <v>66.666666666666657</v>
      </c>
      <c r="N179" t="s">
        <v>183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34482.907590580893</v>
      </c>
      <c r="Z179">
        <v>172414537.95290449</v>
      </c>
      <c r="AA179">
        <v>229828579.0912216</v>
      </c>
      <c r="AB179">
        <v>229828.57909122159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94.372442988884444</v>
      </c>
      <c r="AI179">
        <v>94.372442988884444</v>
      </c>
      <c r="AJ179">
        <v>7469.4288204647028</v>
      </c>
      <c r="AK179">
        <v>854.70085470085473</v>
      </c>
      <c r="AL179" t="s">
        <v>69</v>
      </c>
      <c r="AM179">
        <v>7313.8643316385442</v>
      </c>
      <c r="AN179">
        <v>375.43569726835818</v>
      </c>
      <c r="AO179">
        <v>16043.315308110359</v>
      </c>
      <c r="AP179">
        <v>16013.42970407246</v>
      </c>
      <c r="AQ179">
        <v>-29.885604037894151</v>
      </c>
      <c r="AR179">
        <v>3.4833215288002082E-3</v>
      </c>
      <c r="AS179">
        <v>120.032995820088</v>
      </c>
      <c r="AT179">
        <v>117.53308959086409</v>
      </c>
      <c r="AU179">
        <v>6.0332151981228757</v>
      </c>
      <c r="AV179">
        <v>257.8145191025406</v>
      </c>
      <c r="AW179">
        <v>257.33426034771679</v>
      </c>
      <c r="AX179">
        <v>-0.48025875482379382</v>
      </c>
      <c r="AY179">
        <v>1.57124139137513</v>
      </c>
      <c r="AZ179" t="str">
        <f>VLOOKUP(BA179,Sheet1!$A$1:$B$58,2,FALSE)</f>
        <v>Acrylate (PW2)</v>
      </c>
      <c r="BA179" t="s">
        <v>97</v>
      </c>
      <c r="BB179" t="s">
        <v>96</v>
      </c>
      <c r="BC179">
        <v>71.053619999999995</v>
      </c>
      <c r="BD179">
        <v>3.666666666666667</v>
      </c>
      <c r="BE179">
        <v>80</v>
      </c>
      <c r="BF179" t="s">
        <v>184</v>
      </c>
      <c r="BG179">
        <v>0.91086968173182625</v>
      </c>
      <c r="BH179">
        <v>0.17</v>
      </c>
      <c r="BI179">
        <v>0.41623416264645102</v>
      </c>
      <c r="BJ179">
        <v>90</v>
      </c>
      <c r="BK179">
        <v>686.93774226498022</v>
      </c>
      <c r="BL179">
        <v>-1.282020762784821</v>
      </c>
      <c r="BM179">
        <v>3.2834611177741491</v>
      </c>
      <c r="BN179">
        <v>558.1883900216053</v>
      </c>
      <c r="BO179">
        <v>128.74935224337489</v>
      </c>
    </row>
    <row r="180" spans="1:67" x14ac:dyDescent="0.25">
      <c r="A180" s="1">
        <v>178</v>
      </c>
      <c r="B180" t="s">
        <v>182</v>
      </c>
      <c r="C180" t="s">
        <v>179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67</v>
      </c>
      <c r="J180">
        <v>1.333</v>
      </c>
      <c r="K180">
        <v>500</v>
      </c>
      <c r="L180">
        <v>66.666666666666657</v>
      </c>
      <c r="N180" t="s">
        <v>183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127926.96471572079</v>
      </c>
      <c r="Z180">
        <v>639634823.57860386</v>
      </c>
      <c r="AA180">
        <v>852633219.83027887</v>
      </c>
      <c r="AB180">
        <v>852633.21983027889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350.10911283110897</v>
      </c>
      <c r="AI180">
        <v>350.10911283110897</v>
      </c>
      <c r="AJ180">
        <v>27710.57964448406</v>
      </c>
      <c r="AK180">
        <v>854.70085470085473</v>
      </c>
      <c r="AL180" t="s">
        <v>69</v>
      </c>
      <c r="AM180">
        <v>27133.456244410951</v>
      </c>
      <c r="AN180">
        <v>1392.8161095844009</v>
      </c>
      <c r="AO180">
        <v>59518.549181288538</v>
      </c>
      <c r="AP180">
        <v>57091.552853180263</v>
      </c>
      <c r="AQ180">
        <v>-2426.9963281082751</v>
      </c>
      <c r="AR180">
        <v>3.4833215288002091E-3</v>
      </c>
      <c r="AS180">
        <v>120.032995820088</v>
      </c>
      <c r="AT180">
        <v>117.53308959086409</v>
      </c>
      <c r="AU180">
        <v>6.0332151981228757</v>
      </c>
      <c r="AV180">
        <v>257.81451910254071</v>
      </c>
      <c r="AW180">
        <v>247.30157986255699</v>
      </c>
      <c r="AX180">
        <v>-10.51293923998368</v>
      </c>
      <c r="AY180">
        <v>1.57124139137513</v>
      </c>
      <c r="AZ180" t="str">
        <f>VLOOKUP(BA180,Sheet1!$A$1:$B$58,2,FALSE)</f>
        <v>Benzoate (PW1)</v>
      </c>
      <c r="BA180" t="s">
        <v>100</v>
      </c>
      <c r="BB180" t="s">
        <v>101</v>
      </c>
      <c r="BC180">
        <v>121.1121</v>
      </c>
      <c r="BD180">
        <v>4.1428571428571432</v>
      </c>
      <c r="BE180">
        <v>249.2</v>
      </c>
      <c r="BF180" t="s">
        <v>184</v>
      </c>
      <c r="BG180">
        <v>3.5608955938555731</v>
      </c>
      <c r="BH180">
        <v>2.6883720930233002E-2</v>
      </c>
      <c r="BI180">
        <v>0.112196550574584</v>
      </c>
      <c r="BJ180">
        <v>90</v>
      </c>
      <c r="BK180">
        <v>2449.090740966727</v>
      </c>
      <c r="BL180">
        <v>-104.11232377609289</v>
      </c>
      <c r="BM180">
        <v>11.99950942086039</v>
      </c>
      <c r="BN180">
        <v>2039.9166015462661</v>
      </c>
      <c r="BO180">
        <v>409.17413942046193</v>
      </c>
    </row>
    <row r="181" spans="1:67" x14ac:dyDescent="0.25">
      <c r="A181" s="1">
        <v>179</v>
      </c>
      <c r="B181" t="s">
        <v>182</v>
      </c>
      <c r="C181" t="s">
        <v>179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67</v>
      </c>
      <c r="J181">
        <v>1.333</v>
      </c>
      <c r="K181">
        <v>500</v>
      </c>
      <c r="L181">
        <v>66.666666666666657</v>
      </c>
      <c r="N181" t="s">
        <v>183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137447.11092712381</v>
      </c>
      <c r="Z181">
        <v>687235554.63561869</v>
      </c>
      <c r="AA181">
        <v>916084994.32927966</v>
      </c>
      <c r="AB181">
        <v>916084.99432927964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376.16374448365798</v>
      </c>
      <c r="AI181">
        <v>376.16374448365798</v>
      </c>
      <c r="AJ181">
        <v>29772.762315701591</v>
      </c>
      <c r="AK181">
        <v>854.70085470085473</v>
      </c>
      <c r="AL181" t="s">
        <v>69</v>
      </c>
      <c r="AM181">
        <v>29152.690197483498</v>
      </c>
      <c r="AN181">
        <v>1496.467540995339</v>
      </c>
      <c r="AO181">
        <v>63947.836562221863</v>
      </c>
      <c r="AP181">
        <v>61276.620908881283</v>
      </c>
      <c r="AQ181">
        <v>-2671.2156533405869</v>
      </c>
      <c r="AR181">
        <v>3.4833215288002091E-3</v>
      </c>
      <c r="AS181">
        <v>120.032995820088</v>
      </c>
      <c r="AT181">
        <v>117.53308959086419</v>
      </c>
      <c r="AU181">
        <v>6.0332151981228792</v>
      </c>
      <c r="AV181">
        <v>257.81451910254071</v>
      </c>
      <c r="AW181">
        <v>247.04514493590901</v>
      </c>
      <c r="AX181">
        <v>-10.76937416663179</v>
      </c>
      <c r="AY181">
        <v>1.5712413913751311</v>
      </c>
      <c r="AZ181" t="str">
        <f>VLOOKUP(BA181,Sheet1!$A$1:$B$58,2,FALSE)</f>
        <v>Benzoate (PW2)</v>
      </c>
      <c r="BA181" t="s">
        <v>102</v>
      </c>
      <c r="BB181" t="s">
        <v>101</v>
      </c>
      <c r="BC181">
        <v>121.1121</v>
      </c>
      <c r="BD181">
        <v>4.1428571428571432</v>
      </c>
      <c r="BE181">
        <v>249.2</v>
      </c>
      <c r="BF181" t="s">
        <v>184</v>
      </c>
      <c r="BG181">
        <v>3.812371271387724</v>
      </c>
      <c r="BH181">
        <v>2.5021645021645E-2</v>
      </c>
      <c r="BI181">
        <v>0.104425360924396</v>
      </c>
      <c r="BJ181">
        <v>90</v>
      </c>
      <c r="BK181">
        <v>2628.620126896928</v>
      </c>
      <c r="BL181">
        <v>-114.5887473151365</v>
      </c>
      <c r="BM181">
        <v>12.906017372330419</v>
      </c>
      <c r="BN181">
        <v>2194.0229532961712</v>
      </c>
      <c r="BO181">
        <v>434.59717360075678</v>
      </c>
    </row>
    <row r="182" spans="1:67" x14ac:dyDescent="0.25">
      <c r="A182" s="1">
        <v>180</v>
      </c>
      <c r="B182" t="s">
        <v>182</v>
      </c>
      <c r="C182" t="s">
        <v>179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67</v>
      </c>
      <c r="J182">
        <v>1.333</v>
      </c>
      <c r="K182">
        <v>500</v>
      </c>
      <c r="L182">
        <v>66.666666666666657</v>
      </c>
      <c r="N182" t="s">
        <v>183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90510.602948891901</v>
      </c>
      <c r="Z182">
        <v>452553014.74445951</v>
      </c>
      <c r="AA182">
        <v>603253168.65436447</v>
      </c>
      <c r="AB182">
        <v>603253.16865436442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247.70842465201659</v>
      </c>
      <c r="AI182">
        <v>247.70842465201659</v>
      </c>
      <c r="AJ182">
        <v>19605.727981266849</v>
      </c>
      <c r="AK182">
        <v>2170.1388888888891</v>
      </c>
      <c r="AL182" t="s">
        <v>107</v>
      </c>
      <c r="AM182">
        <v>19197.402910531291</v>
      </c>
      <c r="AN182">
        <v>985.44217128542675</v>
      </c>
      <c r="AO182">
        <v>42110.432190842832</v>
      </c>
      <c r="AP182">
        <v>41958.711951972451</v>
      </c>
      <c r="AQ182">
        <v>-151.72023887038091</v>
      </c>
      <c r="AR182">
        <v>3.4833215288002082E-3</v>
      </c>
      <c r="AS182">
        <v>120.032995820088</v>
      </c>
      <c r="AT182">
        <v>117.53308959086419</v>
      </c>
      <c r="AU182">
        <v>6.0332151981228774</v>
      </c>
      <c r="AV182">
        <v>257.81451910254071</v>
      </c>
      <c r="AW182">
        <v>256.88563572644</v>
      </c>
      <c r="AX182">
        <v>-0.92888337610072247</v>
      </c>
      <c r="AY182">
        <v>1.5712413913751311</v>
      </c>
      <c r="AZ182" t="str">
        <f>VLOOKUP(BA182,Sheet1!$A$1:$B$58,2,FALSE)</f>
        <v>Butane</v>
      </c>
      <c r="BA182" t="s">
        <v>108</v>
      </c>
      <c r="BB182" t="s">
        <v>109</v>
      </c>
      <c r="BC182">
        <v>58.121200000000002</v>
      </c>
      <c r="BD182">
        <v>6.5</v>
      </c>
      <c r="BE182">
        <v>-1</v>
      </c>
      <c r="BF182" t="s">
        <v>184</v>
      </c>
      <c r="BG182">
        <v>4.283874215167657</v>
      </c>
      <c r="BH182">
        <v>7.9178082191781005E-2</v>
      </c>
      <c r="BI182">
        <v>0.15857771022346401</v>
      </c>
      <c r="BJ182">
        <v>90</v>
      </c>
      <c r="BK182">
        <v>1799.9281471416739</v>
      </c>
      <c r="BL182">
        <v>-6.5084344997636361</v>
      </c>
      <c r="BM182">
        <v>6.725389102699749</v>
      </c>
      <c r="BN182">
        <v>1143.3161474589569</v>
      </c>
      <c r="BO182">
        <v>656.61199968271649</v>
      </c>
    </row>
    <row r="183" spans="1:67" x14ac:dyDescent="0.25">
      <c r="A183" s="1">
        <v>181</v>
      </c>
      <c r="B183" t="s">
        <v>182</v>
      </c>
      <c r="C183" t="s">
        <v>179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67</v>
      </c>
      <c r="J183">
        <v>1.333</v>
      </c>
      <c r="K183">
        <v>500</v>
      </c>
      <c r="L183">
        <v>66.666666666666657</v>
      </c>
      <c r="N183" t="s">
        <v>183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44956.491764907732</v>
      </c>
      <c r="Z183">
        <v>224782458.82453859</v>
      </c>
      <c r="AA183">
        <v>299635017.61310989</v>
      </c>
      <c r="AB183">
        <v>299635.01761311002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123.0364331928582</v>
      </c>
      <c r="AI183">
        <v>123.0364331928582</v>
      </c>
      <c r="AJ183">
        <v>9738.1380724260744</v>
      </c>
      <c r="AK183">
        <v>854.70085470085473</v>
      </c>
      <c r="AL183" t="s">
        <v>69</v>
      </c>
      <c r="AM183">
        <v>9535.3235724465085</v>
      </c>
      <c r="AN183">
        <v>489.46776857957548</v>
      </c>
      <c r="AO183">
        <v>20916.193642785889</v>
      </c>
      <c r="AP183">
        <v>20617.630268153011</v>
      </c>
      <c r="AQ183">
        <v>-298.56337463287491</v>
      </c>
      <c r="AR183">
        <v>3.4833215288002091E-3</v>
      </c>
      <c r="AS183">
        <v>120.032995820088</v>
      </c>
      <c r="AT183">
        <v>117.53308959086419</v>
      </c>
      <c r="AU183">
        <v>6.0332151981228774</v>
      </c>
      <c r="AV183">
        <v>257.81451910254071</v>
      </c>
      <c r="AW183">
        <v>254.13440530329049</v>
      </c>
      <c r="AX183">
        <v>-3.6801137992502362</v>
      </c>
      <c r="AY183">
        <v>1.5712413913751311</v>
      </c>
      <c r="AZ183" t="str">
        <f>VLOOKUP(BA183,Sheet1!$A$1:$B$58,2,FALSE)</f>
        <v>Butanol (PW1)</v>
      </c>
      <c r="BA183" t="s">
        <v>110</v>
      </c>
      <c r="BB183" t="s">
        <v>111</v>
      </c>
      <c r="BC183">
        <v>74.120199999999997</v>
      </c>
      <c r="BD183">
        <v>6</v>
      </c>
      <c r="BE183">
        <v>117.7</v>
      </c>
      <c r="BF183" t="s">
        <v>184</v>
      </c>
      <c r="BG183">
        <v>2.3750610494844859</v>
      </c>
      <c r="BH183">
        <v>0.125</v>
      </c>
      <c r="BI183">
        <v>0.31926343900757997</v>
      </c>
      <c r="BJ183">
        <v>90</v>
      </c>
      <c r="BK183">
        <v>884.44690793860832</v>
      </c>
      <c r="BL183">
        <v>-12.807652969005259</v>
      </c>
      <c r="BM183">
        <v>3.0932248701981</v>
      </c>
      <c r="BN183">
        <v>525.84822793367698</v>
      </c>
      <c r="BO183">
        <v>358.59868000493128</v>
      </c>
    </row>
    <row r="184" spans="1:67" x14ac:dyDescent="0.25">
      <c r="A184" s="1">
        <v>182</v>
      </c>
      <c r="B184" t="s">
        <v>182</v>
      </c>
      <c r="C184" t="s">
        <v>179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67</v>
      </c>
      <c r="J184">
        <v>1.333</v>
      </c>
      <c r="K184">
        <v>500</v>
      </c>
      <c r="L184">
        <v>66.666666666666657</v>
      </c>
      <c r="N184" t="s">
        <v>183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44956.491764907572</v>
      </c>
      <c r="Z184">
        <v>224782458.8245379</v>
      </c>
      <c r="AA184">
        <v>299635017.61310899</v>
      </c>
      <c r="AB184">
        <v>299635.01761310903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123.0364331928578</v>
      </c>
      <c r="AI184">
        <v>123.0364331928578</v>
      </c>
      <c r="AJ184">
        <v>9738.1380724260416</v>
      </c>
      <c r="AK184">
        <v>854.70085470085473</v>
      </c>
      <c r="AL184" t="s">
        <v>69</v>
      </c>
      <c r="AM184">
        <v>9535.3235724464757</v>
      </c>
      <c r="AN184">
        <v>489.46776857957377</v>
      </c>
      <c r="AO184">
        <v>20916.19364278582</v>
      </c>
      <c r="AP184">
        <v>20617.630268152949</v>
      </c>
      <c r="AQ184">
        <v>-298.56337463287491</v>
      </c>
      <c r="AR184">
        <v>3.4833215288002091E-3</v>
      </c>
      <c r="AS184">
        <v>120.032995820088</v>
      </c>
      <c r="AT184">
        <v>117.53308959086409</v>
      </c>
      <c r="AU184">
        <v>6.0332151981228757</v>
      </c>
      <c r="AV184">
        <v>257.81451910254071</v>
      </c>
      <c r="AW184">
        <v>254.13440530329041</v>
      </c>
      <c r="AX184">
        <v>-3.6801137992502362</v>
      </c>
      <c r="AY184">
        <v>1.57124139137513</v>
      </c>
      <c r="AZ184" t="str">
        <f>VLOOKUP(BA184,Sheet1!$A$1:$B$58,2,FALSE)</f>
        <v>Butanol (PW2)</v>
      </c>
      <c r="BA184" t="s">
        <v>112</v>
      </c>
      <c r="BB184" t="s">
        <v>111</v>
      </c>
      <c r="BC184">
        <v>74.120199999999997</v>
      </c>
      <c r="BD184">
        <v>6</v>
      </c>
      <c r="BE184">
        <v>117.7</v>
      </c>
      <c r="BF184" t="s">
        <v>184</v>
      </c>
      <c r="BG184">
        <v>2.3750610494844859</v>
      </c>
      <c r="BH184">
        <v>0.125</v>
      </c>
      <c r="BI184">
        <v>0.31926343900758097</v>
      </c>
      <c r="BJ184">
        <v>90</v>
      </c>
      <c r="BK184">
        <v>884.44690793860514</v>
      </c>
      <c r="BL184">
        <v>-12.80765296900522</v>
      </c>
      <c r="BM184">
        <v>3.0932248701980818</v>
      </c>
      <c r="BN184">
        <v>525.84822793367402</v>
      </c>
      <c r="BO184">
        <v>358.59868000493111</v>
      </c>
    </row>
    <row r="185" spans="1:67" x14ac:dyDescent="0.25">
      <c r="A185" s="1">
        <v>183</v>
      </c>
      <c r="B185" t="s">
        <v>182</v>
      </c>
      <c r="C185" t="s">
        <v>179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67</v>
      </c>
      <c r="J185">
        <v>1.333</v>
      </c>
      <c r="K185">
        <v>500</v>
      </c>
      <c r="L185">
        <v>66.666666666666657</v>
      </c>
      <c r="N185" t="s">
        <v>183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31882.40948453949</v>
      </c>
      <c r="Z185">
        <v>159412047.42269751</v>
      </c>
      <c r="AA185">
        <v>212496259.21445569</v>
      </c>
      <c r="AB185">
        <v>212496.2592144557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87.255428316892875</v>
      </c>
      <c r="AI185">
        <v>87.255428316892875</v>
      </c>
      <c r="AJ185">
        <v>6906.1284244698109</v>
      </c>
      <c r="AK185">
        <v>854.70085470085473</v>
      </c>
      <c r="AL185" t="s">
        <v>69</v>
      </c>
      <c r="AM185">
        <v>6762.2956945591977</v>
      </c>
      <c r="AN185">
        <v>347.12254481385389</v>
      </c>
      <c r="AO185">
        <v>14833.42281387179</v>
      </c>
      <c r="AP185">
        <v>14870.24751854372</v>
      </c>
      <c r="AQ185">
        <v>36.824704671929787</v>
      </c>
      <c r="AR185">
        <v>3.4833215288002091E-3</v>
      </c>
      <c r="AS185">
        <v>120.032995820088</v>
      </c>
      <c r="AT185">
        <v>117.53308959086409</v>
      </c>
      <c r="AU185">
        <v>6.0332151981228757</v>
      </c>
      <c r="AV185">
        <v>257.81451910254071</v>
      </c>
      <c r="AW185">
        <v>258.45455637817258</v>
      </c>
      <c r="AX185">
        <v>0.64003727563188451</v>
      </c>
      <c r="AY185">
        <v>1.57124139137513</v>
      </c>
      <c r="AZ185" t="str">
        <f>VLOOKUP(BA185,Sheet1!$A$1:$B$58,2,FALSE)</f>
        <v>Butyrate</v>
      </c>
      <c r="BA185" t="s">
        <v>113</v>
      </c>
      <c r="BB185" t="s">
        <v>114</v>
      </c>
      <c r="BC185">
        <v>87.095680000000002</v>
      </c>
      <c r="BD185">
        <v>4.75</v>
      </c>
      <c r="BE185">
        <v>163.5</v>
      </c>
      <c r="BF185" t="s">
        <v>184</v>
      </c>
      <c r="BG185">
        <v>1.347483595053165</v>
      </c>
      <c r="BH185">
        <v>0.15</v>
      </c>
      <c r="BI185">
        <v>0.45018442453480401</v>
      </c>
      <c r="BJ185">
        <v>90</v>
      </c>
      <c r="BK185">
        <v>637.89796727380826</v>
      </c>
      <c r="BL185">
        <v>1.5796915435595931</v>
      </c>
      <c r="BM185">
        <v>2.530535441253186</v>
      </c>
      <c r="BN185">
        <v>430.19102501304161</v>
      </c>
      <c r="BO185">
        <v>207.70694226076671</v>
      </c>
    </row>
    <row r="186" spans="1:67" x14ac:dyDescent="0.25">
      <c r="A186" s="1">
        <v>184</v>
      </c>
      <c r="B186" t="s">
        <v>182</v>
      </c>
      <c r="C186" t="s">
        <v>179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67</v>
      </c>
      <c r="J186">
        <v>1.333</v>
      </c>
      <c r="K186">
        <v>500</v>
      </c>
      <c r="L186">
        <v>66.666666666666657</v>
      </c>
      <c r="N186" t="s">
        <v>183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89661.907175030326</v>
      </c>
      <c r="Z186">
        <v>448309535.87515157</v>
      </c>
      <c r="AA186">
        <v>597596611.32157707</v>
      </c>
      <c r="AB186">
        <v>597596.6113215771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245.38572337390471</v>
      </c>
      <c r="AI186">
        <v>245.38572337390471</v>
      </c>
      <c r="AJ186">
        <v>19421.88986795126</v>
      </c>
      <c r="AK186">
        <v>854.70085470085473</v>
      </c>
      <c r="AL186" t="s">
        <v>69</v>
      </c>
      <c r="AM186">
        <v>19017.393561477609</v>
      </c>
      <c r="AN186">
        <v>976.20192120525462</v>
      </c>
      <c r="AO186">
        <v>41715.572973563787</v>
      </c>
      <c r="AP186">
        <v>40270.186205334983</v>
      </c>
      <c r="AQ186">
        <v>-1445.386768228818</v>
      </c>
      <c r="AR186">
        <v>3.4833215288002091E-3</v>
      </c>
      <c r="AS186">
        <v>120.032995820088</v>
      </c>
      <c r="AT186">
        <v>117.53308959086419</v>
      </c>
      <c r="AU186">
        <v>6.0332151981228774</v>
      </c>
      <c r="AV186">
        <v>257.81451910254071</v>
      </c>
      <c r="AW186">
        <v>248.88160345484621</v>
      </c>
      <c r="AX186">
        <v>-8.9329156476944327</v>
      </c>
      <c r="AY186">
        <v>1.57124139137513</v>
      </c>
      <c r="AZ186" t="str">
        <f>VLOOKUP(BA186,Sheet1!$A$1:$B$58,2,FALSE)</f>
        <v>Catechol</v>
      </c>
      <c r="BA186" t="s">
        <v>115</v>
      </c>
      <c r="BB186" t="s">
        <v>116</v>
      </c>
      <c r="BC186">
        <v>110.10924</v>
      </c>
      <c r="BD186">
        <v>4.333333333333333</v>
      </c>
      <c r="BE186">
        <v>245</v>
      </c>
      <c r="BF186" t="s">
        <v>184</v>
      </c>
      <c r="BG186">
        <v>2.5682758291127921</v>
      </c>
      <c r="BH186">
        <v>4.2189781021897799E-2</v>
      </c>
      <c r="BI186">
        <v>0.160078729293163</v>
      </c>
      <c r="BJ186">
        <v>90</v>
      </c>
      <c r="BK186">
        <v>1727.4944408347451</v>
      </c>
      <c r="BL186">
        <v>-62.003627056499319</v>
      </c>
      <c r="BM186">
        <v>8.3377563208385244</v>
      </c>
      <c r="BN186">
        <v>1417.4185745425491</v>
      </c>
      <c r="BO186">
        <v>310.07586629219583</v>
      </c>
    </row>
    <row r="187" spans="1:67" x14ac:dyDescent="0.25">
      <c r="A187" s="1">
        <v>185</v>
      </c>
      <c r="B187" t="s">
        <v>182</v>
      </c>
      <c r="C187" t="s">
        <v>179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67</v>
      </c>
      <c r="J187">
        <v>1.333</v>
      </c>
      <c r="K187">
        <v>500</v>
      </c>
      <c r="L187">
        <v>66.666666666666657</v>
      </c>
      <c r="N187" t="s">
        <v>183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26295.231591509051</v>
      </c>
      <c r="Z187">
        <v>131476157.9575453</v>
      </c>
      <c r="AA187">
        <v>175257718.5574078</v>
      </c>
      <c r="AB187">
        <v>175257.71855740779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71.964501187453308</v>
      </c>
      <c r="AI187">
        <v>71.964501187453308</v>
      </c>
      <c r="AJ187">
        <v>5695.8758531157546</v>
      </c>
      <c r="AK187">
        <v>854.70085470085473</v>
      </c>
      <c r="AL187" t="s">
        <v>69</v>
      </c>
      <c r="AM187">
        <v>5577.2488420276313</v>
      </c>
      <c r="AN187">
        <v>286.29165279808871</v>
      </c>
      <c r="AO187">
        <v>12233.96520186706</v>
      </c>
      <c r="AP187">
        <v>12414.11720264233</v>
      </c>
      <c r="AQ187">
        <v>180.15200077526791</v>
      </c>
      <c r="AR187">
        <v>3.4833215288002099E-3</v>
      </c>
      <c r="AS187">
        <v>120.0329958200881</v>
      </c>
      <c r="AT187">
        <v>117.53308959086409</v>
      </c>
      <c r="AU187">
        <v>6.0332151981228774</v>
      </c>
      <c r="AV187">
        <v>257.81451910254071</v>
      </c>
      <c r="AW187">
        <v>261.6109825286544</v>
      </c>
      <c r="AX187">
        <v>3.7964634261137382</v>
      </c>
      <c r="AY187">
        <v>1.57124139137513</v>
      </c>
      <c r="AZ187" t="str">
        <f>VLOOKUP(BA187,Sheet1!$A$1:$B$58,2,FALSE)</f>
        <v>Citrate</v>
      </c>
      <c r="BA187" t="s">
        <v>119</v>
      </c>
      <c r="BB187" t="s">
        <v>120</v>
      </c>
      <c r="BC187">
        <v>189.09639999999999</v>
      </c>
      <c r="BD187">
        <v>2.5</v>
      </c>
      <c r="BF187" t="s">
        <v>184</v>
      </c>
      <c r="BG187">
        <v>0.34548369605868351</v>
      </c>
      <c r="BH187">
        <v>8.3768115942029001E-2</v>
      </c>
      <c r="BI187">
        <v>0.54583904753343504</v>
      </c>
      <c r="BJ187">
        <v>90</v>
      </c>
      <c r="BK187">
        <v>532.53586526983918</v>
      </c>
      <c r="BL187">
        <v>7.7280889206145371</v>
      </c>
      <c r="BM187">
        <v>2.852938578939241</v>
      </c>
      <c r="BN187">
        <v>484.9995584196709</v>
      </c>
      <c r="BO187">
        <v>47.536306850168273</v>
      </c>
    </row>
    <row r="188" spans="1:67" x14ac:dyDescent="0.25">
      <c r="A188" s="1">
        <v>186</v>
      </c>
      <c r="B188" t="s">
        <v>182</v>
      </c>
      <c r="C188" t="s">
        <v>179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67</v>
      </c>
      <c r="J188">
        <v>1.333</v>
      </c>
      <c r="K188">
        <v>500</v>
      </c>
      <c r="L188">
        <v>66.666666666666657</v>
      </c>
      <c r="N188" t="s">
        <v>183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94965.836231497524</v>
      </c>
      <c r="Z188">
        <v>474829181.15748757</v>
      </c>
      <c r="AA188">
        <v>632947298.48293102</v>
      </c>
      <c r="AB188">
        <v>632947.29848293099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259.90145819654663</v>
      </c>
      <c r="AI188">
        <v>259.90145819654663</v>
      </c>
      <c r="AJ188">
        <v>20570.78720069526</v>
      </c>
      <c r="AK188">
        <v>854.70085470085473</v>
      </c>
      <c r="AL188" t="s">
        <v>69</v>
      </c>
      <c r="AM188">
        <v>20142.363010232359</v>
      </c>
      <c r="AN188">
        <v>1033.9489165346331</v>
      </c>
      <c r="AO188">
        <v>44183.247893412918</v>
      </c>
      <c r="AP188">
        <v>42601.799982163102</v>
      </c>
      <c r="AQ188">
        <v>-1581.4479112498229</v>
      </c>
      <c r="AR188">
        <v>3.4833215288002091E-3</v>
      </c>
      <c r="AS188">
        <v>120.032995820088</v>
      </c>
      <c r="AT188">
        <v>117.53308959086419</v>
      </c>
      <c r="AU188">
        <v>6.0332151981228774</v>
      </c>
      <c r="AV188">
        <v>257.81451910254083</v>
      </c>
      <c r="AW188">
        <v>248.58658199596661</v>
      </c>
      <c r="AX188">
        <v>-9.2279371065742435</v>
      </c>
      <c r="AY188">
        <v>1.5712413913751311</v>
      </c>
      <c r="AZ188" t="str">
        <f>VLOOKUP(BA188,Sheet1!$A$1:$B$58,2,FALSE)</f>
        <v>Coumaric Acid</v>
      </c>
      <c r="BA188" t="s">
        <v>121</v>
      </c>
      <c r="BB188" t="s">
        <v>122</v>
      </c>
      <c r="BC188">
        <v>163.14818</v>
      </c>
      <c r="BD188">
        <v>4.1111111111111107</v>
      </c>
      <c r="BE188">
        <v>346</v>
      </c>
      <c r="BF188" t="s">
        <v>184</v>
      </c>
      <c r="BG188">
        <v>2.643410078203726</v>
      </c>
      <c r="BH188">
        <v>2.6883720930232499E-2</v>
      </c>
      <c r="BI188">
        <v>0.15113818543746901</v>
      </c>
      <c r="BJ188">
        <v>90</v>
      </c>
      <c r="BK188">
        <v>1827.515081839646</v>
      </c>
      <c r="BL188">
        <v>-67.840323886853085</v>
      </c>
      <c r="BM188">
        <v>8.9077658416427941</v>
      </c>
      <c r="BN188">
        <v>1514.320193079275</v>
      </c>
      <c r="BO188">
        <v>313.19488876037047</v>
      </c>
    </row>
    <row r="189" spans="1:67" x14ac:dyDescent="0.25">
      <c r="A189" s="1">
        <v>187</v>
      </c>
      <c r="B189" t="s">
        <v>182</v>
      </c>
      <c r="C189" t="s">
        <v>179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67</v>
      </c>
      <c r="J189">
        <v>1.333</v>
      </c>
      <c r="K189">
        <v>500</v>
      </c>
      <c r="L189">
        <v>66.666666666666657</v>
      </c>
      <c r="N189" t="s">
        <v>183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31517.697977270549</v>
      </c>
      <c r="Z189">
        <v>157588489.88635269</v>
      </c>
      <c r="AA189">
        <v>210065457.0185082</v>
      </c>
      <c r="AB189">
        <v>210065.4570185082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86.257289867090861</v>
      </c>
      <c r="AI189">
        <v>86.257289867090861</v>
      </c>
      <c r="AJ189">
        <v>6827.1273531015167</v>
      </c>
      <c r="AK189">
        <v>854.70085470085473</v>
      </c>
      <c r="AL189" t="s">
        <v>69</v>
      </c>
      <c r="AM189">
        <v>6684.9399646995416</v>
      </c>
      <c r="AN189">
        <v>343.15171611637157</v>
      </c>
      <c r="AO189">
        <v>14663.73927740545</v>
      </c>
      <c r="AP189">
        <v>14709.919888618289</v>
      </c>
      <c r="AQ189">
        <v>46.180611212839722</v>
      </c>
      <c r="AR189">
        <v>3.4833215288002091E-3</v>
      </c>
      <c r="AS189">
        <v>120.032995820088</v>
      </c>
      <c r="AT189">
        <v>117.53308959086409</v>
      </c>
      <c r="AU189">
        <v>6.0332151981228757</v>
      </c>
      <c r="AV189">
        <v>257.81451910254071</v>
      </c>
      <c r="AW189">
        <v>258.62645607485467</v>
      </c>
      <c r="AX189">
        <v>0.8119369723140446</v>
      </c>
      <c r="AY189">
        <v>1.57124139137513</v>
      </c>
      <c r="AZ189" t="str">
        <f>VLOOKUP(BA189,Sheet1!$A$1:$B$58,2,FALSE)</f>
        <v>Ethyl Acetate</v>
      </c>
      <c r="BA189" t="s">
        <v>123</v>
      </c>
      <c r="BB189" t="s">
        <v>124</v>
      </c>
      <c r="BC189">
        <v>88.103520000000003</v>
      </c>
      <c r="BD189">
        <v>5</v>
      </c>
      <c r="BE189">
        <v>77.099999999999994</v>
      </c>
      <c r="BF189" t="s">
        <v>184</v>
      </c>
      <c r="BG189">
        <v>1.332069365673471</v>
      </c>
      <c r="BH189">
        <v>0.15</v>
      </c>
      <c r="BI189">
        <v>0.45539379738111702</v>
      </c>
      <c r="BJ189">
        <v>90</v>
      </c>
      <c r="BK189">
        <v>631.02029633391828</v>
      </c>
      <c r="BL189">
        <v>1.9810375034709631</v>
      </c>
      <c r="BM189">
        <v>2.5015879617527892</v>
      </c>
      <c r="BN189">
        <v>425.26995349797409</v>
      </c>
      <c r="BO189">
        <v>205.75034283594411</v>
      </c>
    </row>
    <row r="190" spans="1:67" x14ac:dyDescent="0.25">
      <c r="A190" s="1">
        <v>188</v>
      </c>
      <c r="B190" t="s">
        <v>182</v>
      </c>
      <c r="C190" t="s">
        <v>179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67</v>
      </c>
      <c r="J190">
        <v>1.333</v>
      </c>
      <c r="K190">
        <v>500</v>
      </c>
      <c r="L190">
        <v>66.666666666666657</v>
      </c>
      <c r="N190" t="s">
        <v>183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102267.4374862859</v>
      </c>
      <c r="Z190">
        <v>511337187.43142962</v>
      </c>
      <c r="AA190">
        <v>681612470.84609568</v>
      </c>
      <c r="AB190">
        <v>681612.4708460957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279.88440036390921</v>
      </c>
      <c r="AI190">
        <v>279.88440036390921</v>
      </c>
      <c r="AJ190">
        <v>22152.405302498111</v>
      </c>
      <c r="AK190">
        <v>1835.336538461539</v>
      </c>
      <c r="AL190" t="s">
        <v>84</v>
      </c>
      <c r="AM190">
        <v>21691.041028202959</v>
      </c>
      <c r="AN190">
        <v>1113.445744087998</v>
      </c>
      <c r="AO190">
        <v>47580.348061864563</v>
      </c>
      <c r="AP190">
        <v>46792.228613250612</v>
      </c>
      <c r="AQ190">
        <v>-788.11944861394295</v>
      </c>
      <c r="AR190">
        <v>3.4833215288002099E-3</v>
      </c>
      <c r="AS190">
        <v>120.0329958200881</v>
      </c>
      <c r="AT190">
        <v>117.53308959086419</v>
      </c>
      <c r="AU190">
        <v>6.0332151981228792</v>
      </c>
      <c r="AV190">
        <v>257.81451910254083</v>
      </c>
      <c r="AW190">
        <v>253.54408719280411</v>
      </c>
      <c r="AX190">
        <v>-4.2704319097367032</v>
      </c>
      <c r="AY190">
        <v>1.5712413913751311</v>
      </c>
      <c r="AZ190" t="str">
        <f>VLOOKUP(BA190,Sheet1!$A$1:$B$58,2,FALSE)</f>
        <v>Farnesene</v>
      </c>
      <c r="BA190" t="s">
        <v>125</v>
      </c>
      <c r="BB190" t="s">
        <v>126</v>
      </c>
      <c r="BC190">
        <v>204.34866</v>
      </c>
      <c r="BD190">
        <v>5.6</v>
      </c>
      <c r="BE190" t="s">
        <v>127</v>
      </c>
      <c r="BF190" t="s">
        <v>184</v>
      </c>
      <c r="BG190">
        <v>3.9936085057411388</v>
      </c>
      <c r="BH190">
        <v>1.9931034482758601E-2</v>
      </c>
      <c r="BI190">
        <v>0.14034735316903901</v>
      </c>
      <c r="BJ190">
        <v>90</v>
      </c>
      <c r="BK190">
        <v>2007.2744236019989</v>
      </c>
      <c r="BL190">
        <v>-33.808434836935952</v>
      </c>
      <c r="BM190">
        <v>8.445698177099267</v>
      </c>
      <c r="BN190">
        <v>1435.7686901068751</v>
      </c>
      <c r="BO190">
        <v>571.50573349512342</v>
      </c>
    </row>
    <row r="191" spans="1:67" x14ac:dyDescent="0.25">
      <c r="A191" s="1">
        <v>189</v>
      </c>
      <c r="B191" t="s">
        <v>182</v>
      </c>
      <c r="C191" t="s">
        <v>179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67</v>
      </c>
      <c r="J191">
        <v>1.333</v>
      </c>
      <c r="K191">
        <v>500</v>
      </c>
      <c r="L191">
        <v>66.666666666666657</v>
      </c>
      <c r="N191" t="s">
        <v>183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71152.192122495166</v>
      </c>
      <c r="Z191">
        <v>355760960.61247581</v>
      </c>
      <c r="AA191">
        <v>474229360.49643022</v>
      </c>
      <c r="AB191">
        <v>474229.36049643019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194.72853839182909</v>
      </c>
      <c r="AI191">
        <v>194.72853839182909</v>
      </c>
      <c r="AJ191">
        <v>15412.45421613398</v>
      </c>
      <c r="AK191">
        <v>1835.336538461539</v>
      </c>
      <c r="AL191" t="s">
        <v>84</v>
      </c>
      <c r="AM191">
        <v>15091.46172536676</v>
      </c>
      <c r="AN191">
        <v>774.67576629117889</v>
      </c>
      <c r="AO191">
        <v>33103.851526610953</v>
      </c>
      <c r="AP191">
        <v>33113.928246253447</v>
      </c>
      <c r="AQ191">
        <v>10.07671964250039</v>
      </c>
      <c r="AR191">
        <v>3.4833215288002082E-3</v>
      </c>
      <c r="AS191">
        <v>120.032995820088</v>
      </c>
      <c r="AT191">
        <v>117.53308959086409</v>
      </c>
      <c r="AU191">
        <v>6.0332151981228774</v>
      </c>
      <c r="AV191">
        <v>257.8145191025406</v>
      </c>
      <c r="AW191">
        <v>257.89299711971859</v>
      </c>
      <c r="AX191">
        <v>7.8478017177965459E-2</v>
      </c>
      <c r="AY191">
        <v>1.57124139137513</v>
      </c>
      <c r="AZ191" t="str">
        <f>VLOOKUP(BA191,Sheet1!$A$1:$B$58,2,FALSE)</f>
        <v>Gamma Butyrolactone</v>
      </c>
      <c r="BA191" t="s">
        <v>128</v>
      </c>
      <c r="BB191" t="s">
        <v>129</v>
      </c>
      <c r="BC191">
        <v>86.08784</v>
      </c>
      <c r="BD191">
        <v>4.5</v>
      </c>
      <c r="BE191">
        <v>204</v>
      </c>
      <c r="BF191" t="s">
        <v>184</v>
      </c>
      <c r="BG191">
        <v>2.135103756677307</v>
      </c>
      <c r="BH191">
        <v>6.8000000000000102E-2</v>
      </c>
      <c r="BI191">
        <v>0.20172202343211601</v>
      </c>
      <c r="BJ191">
        <v>90</v>
      </c>
      <c r="BK191">
        <v>1420.508131448001</v>
      </c>
      <c r="BL191">
        <v>0.43226711382731142</v>
      </c>
      <c r="BM191">
        <v>6.5194979496262073</v>
      </c>
      <c r="BN191">
        <v>1108.3146514364551</v>
      </c>
      <c r="BO191">
        <v>312.19348001154623</v>
      </c>
    </row>
    <row r="192" spans="1:67" x14ac:dyDescent="0.25">
      <c r="A192" s="1">
        <v>190</v>
      </c>
      <c r="B192" t="s">
        <v>182</v>
      </c>
      <c r="C192" t="s">
        <v>179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67</v>
      </c>
      <c r="J192">
        <v>1.333</v>
      </c>
      <c r="K192">
        <v>500</v>
      </c>
      <c r="L192">
        <v>66.666666666666657</v>
      </c>
      <c r="N192" t="s">
        <v>183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30083.928769358739</v>
      </c>
      <c r="Z192">
        <v>150419643.84679371</v>
      </c>
      <c r="AA192">
        <v>200509385.247776</v>
      </c>
      <c r="AB192">
        <v>200509.38524777599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82.333366036786188</v>
      </c>
      <c r="AI192">
        <v>82.333366036786188</v>
      </c>
      <c r="AJ192">
        <v>6516.5550205527197</v>
      </c>
      <c r="AK192">
        <v>854.70085470085473</v>
      </c>
      <c r="AL192" t="s">
        <v>69</v>
      </c>
      <c r="AM192">
        <v>6380.8358678509294</v>
      </c>
      <c r="AN192">
        <v>327.54142742826508</v>
      </c>
      <c r="AO192">
        <v>13996.67222625365</v>
      </c>
      <c r="AP192">
        <v>14079.63317053277</v>
      </c>
      <c r="AQ192">
        <v>82.960944279118848</v>
      </c>
      <c r="AR192">
        <v>3.4833215288002082E-3</v>
      </c>
      <c r="AS192">
        <v>120.032995820088</v>
      </c>
      <c r="AT192">
        <v>117.53308959086419</v>
      </c>
      <c r="AU192">
        <v>6.0332151981228774</v>
      </c>
      <c r="AV192">
        <v>257.81451910254071</v>
      </c>
      <c r="AW192">
        <v>259.34263490091558</v>
      </c>
      <c r="AX192">
        <v>1.5281157983749249</v>
      </c>
      <c r="AY192">
        <v>1.5712413913751311</v>
      </c>
      <c r="AZ192" t="str">
        <f>VLOOKUP(BA192,Sheet1!$A$1:$B$58,2,FALSE)</f>
        <v>L-Glutamate</v>
      </c>
      <c r="BA192" t="s">
        <v>130</v>
      </c>
      <c r="BB192" t="s">
        <v>131</v>
      </c>
      <c r="BC192">
        <v>146.11892</v>
      </c>
      <c r="BD192">
        <v>3.4</v>
      </c>
      <c r="BE192">
        <v>333.8</v>
      </c>
      <c r="BF192" t="s">
        <v>184</v>
      </c>
      <c r="BG192">
        <v>0.64407367287527739</v>
      </c>
      <c r="BH192">
        <v>9.4754098360655695E-2</v>
      </c>
      <c r="BI192">
        <v>0.47709739896735998</v>
      </c>
      <c r="BJ192">
        <v>90</v>
      </c>
      <c r="BK192">
        <v>603.98250723423791</v>
      </c>
      <c r="BL192">
        <v>3.558825611528782</v>
      </c>
      <c r="BM192">
        <v>3.0151870398707752</v>
      </c>
      <c r="BN192">
        <v>512.58179677803173</v>
      </c>
      <c r="BO192">
        <v>91.400710456206184</v>
      </c>
    </row>
    <row r="193" spans="1:67" x14ac:dyDescent="0.25">
      <c r="A193" s="1">
        <v>191</v>
      </c>
      <c r="B193" t="s">
        <v>182</v>
      </c>
      <c r="C193" t="s">
        <v>179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67</v>
      </c>
      <c r="J193">
        <v>1.333</v>
      </c>
      <c r="K193">
        <v>500</v>
      </c>
      <c r="L193">
        <v>66.666666666666657</v>
      </c>
      <c r="N193" t="s">
        <v>183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55697.439009972797</v>
      </c>
      <c r="Z193">
        <v>278487195.04986399</v>
      </c>
      <c r="AA193">
        <v>371223431.00146872</v>
      </c>
      <c r="AB193">
        <v>371223.43100146868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152.43213971409139</v>
      </c>
      <c r="AI193">
        <v>152.43213971409139</v>
      </c>
      <c r="AJ193">
        <v>12064.761507547741</v>
      </c>
      <c r="AK193">
        <v>854.70085470085473</v>
      </c>
      <c r="AL193" t="s">
        <v>69</v>
      </c>
      <c r="AM193">
        <v>11813.490827842081</v>
      </c>
      <c r="AN193">
        <v>606.4107789008732</v>
      </c>
      <c r="AO193">
        <v>25913.463751395531</v>
      </c>
      <c r="AP193">
        <v>25339.36396899154</v>
      </c>
      <c r="AQ193">
        <v>-574.09978240398777</v>
      </c>
      <c r="AR193">
        <v>3.4833215288002099E-3</v>
      </c>
      <c r="AS193">
        <v>120.0329958200881</v>
      </c>
      <c r="AT193">
        <v>117.53308959086419</v>
      </c>
      <c r="AU193">
        <v>6.0332151981228757</v>
      </c>
      <c r="AV193">
        <v>257.81451910254071</v>
      </c>
      <c r="AW193">
        <v>252.10276783928529</v>
      </c>
      <c r="AX193">
        <v>-5.7117512632554019</v>
      </c>
      <c r="AY193">
        <v>1.5712413913751311</v>
      </c>
      <c r="AZ193" t="str">
        <f>VLOOKUP(BA193,Sheet1!$A$1:$B$58,2,FALSE)</f>
        <v>Glycolate</v>
      </c>
      <c r="BA193" t="s">
        <v>134</v>
      </c>
      <c r="BB193" t="s">
        <v>135</v>
      </c>
      <c r="BC193">
        <v>75.041920000000005</v>
      </c>
      <c r="BD193">
        <v>2.5</v>
      </c>
      <c r="BE193">
        <v>112</v>
      </c>
      <c r="BF193" t="s">
        <v>184</v>
      </c>
      <c r="BG193">
        <v>0.88478159064374406</v>
      </c>
      <c r="BH193">
        <v>9.9655172413793097E-2</v>
      </c>
      <c r="BI193">
        <v>0.25769522659758998</v>
      </c>
      <c r="BJ193">
        <v>90</v>
      </c>
      <c r="BK193">
        <v>1086.997963394618</v>
      </c>
      <c r="BL193">
        <v>-24.627504266566628</v>
      </c>
      <c r="BM193">
        <v>5.8899801744269844</v>
      </c>
      <c r="BN193">
        <v>1001.2966296525869</v>
      </c>
      <c r="BO193">
        <v>85.701333742030556</v>
      </c>
    </row>
    <row r="194" spans="1:67" x14ac:dyDescent="0.25">
      <c r="A194" s="1">
        <v>192</v>
      </c>
      <c r="B194" t="s">
        <v>182</v>
      </c>
      <c r="C194" t="s">
        <v>179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67</v>
      </c>
      <c r="J194">
        <v>1.333</v>
      </c>
      <c r="K194">
        <v>500</v>
      </c>
      <c r="L194">
        <v>66.666666666666657</v>
      </c>
      <c r="N194" t="s">
        <v>183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60967.89985949875</v>
      </c>
      <c r="Z194">
        <v>304839499.29749382</v>
      </c>
      <c r="AA194">
        <v>406351052.56355917</v>
      </c>
      <c r="AB194">
        <v>406351.05256355909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166.85627911534351</v>
      </c>
      <c r="AI194">
        <v>166.85627911534351</v>
      </c>
      <c r="AJ194">
        <v>13206.40920831567</v>
      </c>
      <c r="AK194">
        <v>854.70085470085473</v>
      </c>
      <c r="AL194" t="s">
        <v>69</v>
      </c>
      <c r="AM194">
        <v>12931.36163143912</v>
      </c>
      <c r="AN194">
        <v>663.79338617578446</v>
      </c>
      <c r="AO194">
        <v>28365.567449608399</v>
      </c>
      <c r="AP194">
        <v>27656.265080631441</v>
      </c>
      <c r="AQ194">
        <v>-709.30236897696523</v>
      </c>
      <c r="AR194">
        <v>3.4833215288002091E-3</v>
      </c>
      <c r="AS194">
        <v>120.032995820088</v>
      </c>
      <c r="AT194">
        <v>117.53308959086419</v>
      </c>
      <c r="AU194">
        <v>6.0332151981228774</v>
      </c>
      <c r="AV194">
        <v>257.81451910254083</v>
      </c>
      <c r="AW194">
        <v>251.3676729577931</v>
      </c>
      <c r="AX194">
        <v>-6.446846144747723</v>
      </c>
      <c r="AY194">
        <v>1.5712413913751311</v>
      </c>
      <c r="AZ194" t="str">
        <f>VLOOKUP(BA194,Sheet1!$A$1:$B$58,2,FALSE)</f>
        <v>Heptane</v>
      </c>
      <c r="BA194" t="s">
        <v>136</v>
      </c>
      <c r="BB194" t="s">
        <v>137</v>
      </c>
      <c r="BC194">
        <v>100.20034</v>
      </c>
      <c r="BD194">
        <v>6.2857142857142856</v>
      </c>
      <c r="BE194">
        <v>98</v>
      </c>
      <c r="BF194" t="s">
        <v>184</v>
      </c>
      <c r="BG194">
        <v>3.3673538433103132</v>
      </c>
      <c r="BH194">
        <v>6.8181818181818205E-2</v>
      </c>
      <c r="BI194">
        <v>0.235418379174237</v>
      </c>
      <c r="BJ194">
        <v>90</v>
      </c>
      <c r="BK194">
        <v>1186.387466336412</v>
      </c>
      <c r="BL194">
        <v>-30.427371083680139</v>
      </c>
      <c r="BM194">
        <v>4.0484807840382899</v>
      </c>
      <c r="BN194">
        <v>688.24173328650932</v>
      </c>
      <c r="BO194">
        <v>498.1457330499029</v>
      </c>
    </row>
    <row r="195" spans="1:67" x14ac:dyDescent="0.25">
      <c r="A195" s="1">
        <v>193</v>
      </c>
      <c r="B195" t="s">
        <v>182</v>
      </c>
      <c r="C195" t="s">
        <v>179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67</v>
      </c>
      <c r="J195">
        <v>1.333</v>
      </c>
      <c r="K195">
        <v>500</v>
      </c>
      <c r="L195">
        <v>66.666666666666657</v>
      </c>
      <c r="N195" t="s">
        <v>183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61224.507435650041</v>
      </c>
      <c r="Z195">
        <v>306122537.17825019</v>
      </c>
      <c r="AA195">
        <v>408061342.05860752</v>
      </c>
      <c r="AB195">
        <v>408061.34205860749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167.5585599130761</v>
      </c>
      <c r="AI195">
        <v>167.5585599130761</v>
      </c>
      <c r="AJ195">
        <v>13261.99361690474</v>
      </c>
      <c r="AK195">
        <v>854.70085470085473</v>
      </c>
      <c r="AL195" t="s">
        <v>69</v>
      </c>
      <c r="AM195">
        <v>12985.788393263399</v>
      </c>
      <c r="AN195">
        <v>666.58722379007611</v>
      </c>
      <c r="AO195">
        <v>28484.955185222942</v>
      </c>
      <c r="AP195">
        <v>27769.070088659071</v>
      </c>
      <c r="AQ195">
        <v>-715.88509656386668</v>
      </c>
      <c r="AR195">
        <v>3.4833215288002091E-3</v>
      </c>
      <c r="AS195">
        <v>120.032995820088</v>
      </c>
      <c r="AT195">
        <v>117.53308959086409</v>
      </c>
      <c r="AU195">
        <v>6.0332151981228774</v>
      </c>
      <c r="AV195">
        <v>257.81451910254071</v>
      </c>
      <c r="AW195">
        <v>251.33511372158941</v>
      </c>
      <c r="AX195">
        <v>-6.4794053809512411</v>
      </c>
      <c r="AY195">
        <v>1.5712413913751311</v>
      </c>
      <c r="AZ195" t="str">
        <f>VLOOKUP(BA195,Sheet1!$A$1:$B$58,2,FALSE)</f>
        <v>Hexane</v>
      </c>
      <c r="BA195" t="s">
        <v>138</v>
      </c>
      <c r="BB195" t="s">
        <v>139</v>
      </c>
      <c r="BC195">
        <v>86.173959999999994</v>
      </c>
      <c r="BD195">
        <v>6.333333333333333</v>
      </c>
      <c r="BE195">
        <v>69</v>
      </c>
      <c r="BF195" t="s">
        <v>184</v>
      </c>
      <c r="BG195">
        <v>3.404740828900052</v>
      </c>
      <c r="BH195">
        <v>7.8947368421052599E-2</v>
      </c>
      <c r="BI195">
        <v>0.234431680510718</v>
      </c>
      <c r="BJ195">
        <v>90</v>
      </c>
      <c r="BK195">
        <v>1191.2265307319039</v>
      </c>
      <c r="BL195">
        <v>-30.709754315133608</v>
      </c>
      <c r="BM195">
        <v>4.0423062783477768</v>
      </c>
      <c r="BN195">
        <v>687.19206731912209</v>
      </c>
      <c r="BO195">
        <v>504.03446341278158</v>
      </c>
    </row>
    <row r="196" spans="1:67" x14ac:dyDescent="0.25">
      <c r="A196" s="1">
        <v>194</v>
      </c>
      <c r="B196" t="s">
        <v>182</v>
      </c>
      <c r="C196" t="s">
        <v>179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67</v>
      </c>
      <c r="J196">
        <v>1.333</v>
      </c>
      <c r="K196">
        <v>500</v>
      </c>
      <c r="L196">
        <v>66.666666666666657</v>
      </c>
      <c r="N196" t="s">
        <v>183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38687.441567582588</v>
      </c>
      <c r="Z196">
        <v>193437207.83791301</v>
      </c>
      <c r="AA196">
        <v>257851798.04793799</v>
      </c>
      <c r="AB196">
        <v>257851.79804793801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105.8793654256631</v>
      </c>
      <c r="AI196">
        <v>105.8793654256631</v>
      </c>
      <c r="AJ196">
        <v>8380.1834365579853</v>
      </c>
      <c r="AK196">
        <v>854.70085470085473</v>
      </c>
      <c r="AL196" t="s">
        <v>69</v>
      </c>
      <c r="AM196">
        <v>8205.6508204888924</v>
      </c>
      <c r="AN196">
        <v>421.21293171987872</v>
      </c>
      <c r="AO196">
        <v>17999.492122362739</v>
      </c>
      <c r="AP196">
        <v>17861.748043467611</v>
      </c>
      <c r="AQ196">
        <v>-137.7440788951244</v>
      </c>
      <c r="AR196">
        <v>3.4833215288002091E-3</v>
      </c>
      <c r="AS196">
        <v>120.032995820088</v>
      </c>
      <c r="AT196">
        <v>117.53308959086409</v>
      </c>
      <c r="AU196">
        <v>6.0332151981228774</v>
      </c>
      <c r="AV196">
        <v>257.81451910254071</v>
      </c>
      <c r="AW196">
        <v>255.8415510199886</v>
      </c>
      <c r="AX196">
        <v>-1.972968082552079</v>
      </c>
      <c r="AY196">
        <v>1.5712413913751311</v>
      </c>
      <c r="AZ196" t="str">
        <f>VLOOKUP(BA196,Sheet1!$A$1:$B$58,2,FALSE)</f>
        <v>Isobutanol</v>
      </c>
      <c r="BA196" t="s">
        <v>140</v>
      </c>
      <c r="BB196" t="s">
        <v>141</v>
      </c>
      <c r="BC196">
        <v>86.130899999999997</v>
      </c>
      <c r="BD196">
        <v>5.6</v>
      </c>
      <c r="BE196">
        <v>108</v>
      </c>
      <c r="BF196" t="s">
        <v>184</v>
      </c>
      <c r="BG196">
        <v>2.0438657903261199</v>
      </c>
      <c r="BH196">
        <v>0.125</v>
      </c>
      <c r="BI196">
        <v>0.37099801860785703</v>
      </c>
      <c r="BJ196">
        <v>90</v>
      </c>
      <c r="BK196">
        <v>766.22616770004845</v>
      </c>
      <c r="BL196">
        <v>-5.9088907445307122</v>
      </c>
      <c r="BM196">
        <v>2.661883784147796</v>
      </c>
      <c r="BN196">
        <v>452.5202433051254</v>
      </c>
      <c r="BO196">
        <v>313.70592439492299</v>
      </c>
    </row>
    <row r="197" spans="1:67" x14ac:dyDescent="0.25">
      <c r="A197" s="1">
        <v>195</v>
      </c>
      <c r="B197" t="s">
        <v>182</v>
      </c>
      <c r="C197" t="s">
        <v>179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67</v>
      </c>
      <c r="J197">
        <v>1.333</v>
      </c>
      <c r="K197">
        <v>500</v>
      </c>
      <c r="L197">
        <v>66.666666666666657</v>
      </c>
      <c r="N197" t="s">
        <v>183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31882.40948453949</v>
      </c>
      <c r="Z197">
        <v>159412047.42269751</v>
      </c>
      <c r="AA197">
        <v>212496259.21445569</v>
      </c>
      <c r="AB197">
        <v>212496.2592144557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87.255428316892875</v>
      </c>
      <c r="AI197">
        <v>87.255428316892875</v>
      </c>
      <c r="AJ197">
        <v>6906.1284244698109</v>
      </c>
      <c r="AK197">
        <v>854.70085470085473</v>
      </c>
      <c r="AL197" t="s">
        <v>69</v>
      </c>
      <c r="AM197">
        <v>6762.2956945591977</v>
      </c>
      <c r="AN197">
        <v>347.12254481385389</v>
      </c>
      <c r="AO197">
        <v>14833.42281387179</v>
      </c>
      <c r="AP197">
        <v>14870.24751854372</v>
      </c>
      <c r="AQ197">
        <v>36.824704671929787</v>
      </c>
      <c r="AR197">
        <v>3.4833215288002091E-3</v>
      </c>
      <c r="AS197">
        <v>120.032995820088</v>
      </c>
      <c r="AT197">
        <v>117.53308959086409</v>
      </c>
      <c r="AU197">
        <v>6.0332151981228757</v>
      </c>
      <c r="AV197">
        <v>257.81451910254071</v>
      </c>
      <c r="AW197">
        <v>258.45455637817258</v>
      </c>
      <c r="AX197">
        <v>0.64003727563188451</v>
      </c>
      <c r="AY197">
        <v>1.57124139137513</v>
      </c>
      <c r="AZ197" t="str">
        <f>VLOOKUP(BA197,Sheet1!$A$1:$B$58,2,FALSE)</f>
        <v>Isobutyrate</v>
      </c>
      <c r="BA197" t="s">
        <v>142</v>
      </c>
      <c r="BB197" t="s">
        <v>114</v>
      </c>
      <c r="BC197">
        <v>87.095680000000002</v>
      </c>
      <c r="BD197">
        <v>4.75</v>
      </c>
      <c r="BE197">
        <v>155</v>
      </c>
      <c r="BF197" t="s">
        <v>184</v>
      </c>
      <c r="BG197">
        <v>1.347483595053165</v>
      </c>
      <c r="BH197">
        <v>0.15</v>
      </c>
      <c r="BI197">
        <v>0.45018442453480401</v>
      </c>
      <c r="BJ197">
        <v>90</v>
      </c>
      <c r="BK197">
        <v>637.89796727380826</v>
      </c>
      <c r="BL197">
        <v>1.5796915435595931</v>
      </c>
      <c r="BM197">
        <v>2.530535441253186</v>
      </c>
      <c r="BN197">
        <v>430.19102501304161</v>
      </c>
      <c r="BO197">
        <v>207.70694226076671</v>
      </c>
    </row>
    <row r="198" spans="1:67" x14ac:dyDescent="0.25">
      <c r="A198" s="1">
        <v>196</v>
      </c>
      <c r="B198" t="s">
        <v>182</v>
      </c>
      <c r="C198" t="s">
        <v>179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67</v>
      </c>
      <c r="J198">
        <v>1.333</v>
      </c>
      <c r="K198">
        <v>500</v>
      </c>
      <c r="L198">
        <v>66.666666666666657</v>
      </c>
      <c r="N198" t="s">
        <v>183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103678.02283092419</v>
      </c>
      <c r="Z198">
        <v>518390114.15462089</v>
      </c>
      <c r="AA198">
        <v>691014022.16810966</v>
      </c>
      <c r="AB198">
        <v>691014.02216810966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283.74487485168669</v>
      </c>
      <c r="AI198">
        <v>283.74487485168669</v>
      </c>
      <c r="AJ198">
        <v>22457.95572046356</v>
      </c>
      <c r="AK198">
        <v>2170.1388888888891</v>
      </c>
      <c r="AL198" t="s">
        <v>107</v>
      </c>
      <c r="AM198">
        <v>21990.22780100572</v>
      </c>
      <c r="AN198">
        <v>1128.803616420244</v>
      </c>
      <c r="AO198">
        <v>48236.628724786737</v>
      </c>
      <c r="AP198">
        <v>47747.126026778416</v>
      </c>
      <c r="AQ198">
        <v>-489.50269800832029</v>
      </c>
      <c r="AR198">
        <v>3.4833215288002091E-3</v>
      </c>
      <c r="AS198">
        <v>120.032995820088</v>
      </c>
      <c r="AT198">
        <v>117.53308959086409</v>
      </c>
      <c r="AU198">
        <v>6.0332151981228774</v>
      </c>
      <c r="AV198">
        <v>257.81451910254071</v>
      </c>
      <c r="AW198">
        <v>255.19823131413719</v>
      </c>
      <c r="AX198">
        <v>-2.6162877884034481</v>
      </c>
      <c r="AY198">
        <v>1.57124139137513</v>
      </c>
      <c r="AZ198" t="str">
        <f>VLOOKUP(BA198,Sheet1!$A$1:$B$58,2,FALSE)</f>
        <v>Isoprene</v>
      </c>
      <c r="BA198" t="s">
        <v>143</v>
      </c>
      <c r="BB198" t="s">
        <v>144</v>
      </c>
      <c r="BC198">
        <v>68.116219999999998</v>
      </c>
      <c r="BD198">
        <v>5.6</v>
      </c>
      <c r="BE198">
        <v>34.07</v>
      </c>
      <c r="BF198" t="s">
        <v>184</v>
      </c>
      <c r="BG198">
        <v>4.030869268063773</v>
      </c>
      <c r="BH198">
        <v>5.8979591836734797E-2</v>
      </c>
      <c r="BI198">
        <v>0.13843786537082101</v>
      </c>
      <c r="BJ198">
        <v>90</v>
      </c>
      <c r="BK198">
        <v>2048.2372332852142</v>
      </c>
      <c r="BL198">
        <v>-20.998492166667731</v>
      </c>
      <c r="BM198">
        <v>8.5800140586778575</v>
      </c>
      <c r="BN198">
        <v>1458.6023899752361</v>
      </c>
      <c r="BO198">
        <v>589.63484330997835</v>
      </c>
    </row>
    <row r="199" spans="1:67" x14ac:dyDescent="0.25">
      <c r="A199" s="1">
        <v>197</v>
      </c>
      <c r="B199" t="s">
        <v>182</v>
      </c>
      <c r="C199" t="s">
        <v>179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67</v>
      </c>
      <c r="J199">
        <v>1.333</v>
      </c>
      <c r="K199">
        <v>500</v>
      </c>
      <c r="L199">
        <v>66.666666666666657</v>
      </c>
      <c r="N199" t="s">
        <v>183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41587.27337827719</v>
      </c>
      <c r="Z199">
        <v>207936366.89138591</v>
      </c>
      <c r="AA199">
        <v>277179177.06621748</v>
      </c>
      <c r="AB199">
        <v>277179.17706621753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113.8155932948838</v>
      </c>
      <c r="AI199">
        <v>113.8155932948838</v>
      </c>
      <c r="AJ199">
        <v>9008.3232546520685</v>
      </c>
      <c r="AK199">
        <v>854.70085470085473</v>
      </c>
      <c r="AL199" t="s">
        <v>69</v>
      </c>
      <c r="AM199">
        <v>8820.7084803534945</v>
      </c>
      <c r="AN199">
        <v>452.78510628054352</v>
      </c>
      <c r="AO199">
        <v>19348.650860130241</v>
      </c>
      <c r="AP199">
        <v>19136.51769598696</v>
      </c>
      <c r="AQ199">
        <v>-212.1331641432844</v>
      </c>
      <c r="AR199">
        <v>3.4833215288002099E-3</v>
      </c>
      <c r="AS199">
        <v>120.0329958200881</v>
      </c>
      <c r="AT199">
        <v>117.53308959086409</v>
      </c>
      <c r="AU199">
        <v>6.0332151981228774</v>
      </c>
      <c r="AV199">
        <v>257.81451910254071</v>
      </c>
      <c r="AW199">
        <v>254.98791325313769</v>
      </c>
      <c r="AX199">
        <v>-2.8266058494030042</v>
      </c>
      <c r="AY199">
        <v>1.5712413913751311</v>
      </c>
      <c r="AZ199" t="str">
        <f>VLOOKUP(BA199,Sheet1!$A$1:$B$58,2,FALSE)</f>
        <v>Isopropanol</v>
      </c>
      <c r="BA199" t="s">
        <v>145</v>
      </c>
      <c r="BB199" t="s">
        <v>79</v>
      </c>
      <c r="BC199">
        <v>60.093820000000001</v>
      </c>
      <c r="BD199">
        <v>6</v>
      </c>
      <c r="BE199">
        <v>82.5</v>
      </c>
      <c r="BF199" t="s">
        <v>184</v>
      </c>
      <c r="BG199">
        <v>2.1970645234401762</v>
      </c>
      <c r="BH199">
        <v>0.16666666666666699</v>
      </c>
      <c r="BI199">
        <v>0.345128761773489</v>
      </c>
      <c r="BJ199">
        <v>90</v>
      </c>
      <c r="BK199">
        <v>820.91072954546382</v>
      </c>
      <c r="BL199">
        <v>-9.1000041545786576</v>
      </c>
      <c r="BM199">
        <v>2.861406289665771</v>
      </c>
      <c r="BN199">
        <v>486.43906924318122</v>
      </c>
      <c r="BO199">
        <v>334.47166030228271</v>
      </c>
    </row>
    <row r="200" spans="1:67" x14ac:dyDescent="0.25">
      <c r="A200" s="1">
        <v>198</v>
      </c>
      <c r="B200" t="s">
        <v>182</v>
      </c>
      <c r="C200" t="s">
        <v>179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67</v>
      </c>
      <c r="J200">
        <v>1.333</v>
      </c>
      <c r="K200">
        <v>500</v>
      </c>
      <c r="L200">
        <v>66.666666666666657</v>
      </c>
      <c r="N200" t="s">
        <v>183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32070.209054991741</v>
      </c>
      <c r="Z200">
        <v>160351045.2749587</v>
      </c>
      <c r="AA200">
        <v>213747943.35152</v>
      </c>
      <c r="AB200">
        <v>213747.94335151999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87.769396119906219</v>
      </c>
      <c r="AI200">
        <v>87.769396119906219</v>
      </c>
      <c r="AJ200">
        <v>6946.8081589243993</v>
      </c>
      <c r="AK200">
        <v>854.70085470085473</v>
      </c>
      <c r="AL200" t="s">
        <v>69</v>
      </c>
      <c r="AM200">
        <v>6802.1281992927316</v>
      </c>
      <c r="AN200">
        <v>349.16722919826191</v>
      </c>
      <c r="AO200">
        <v>14920.797340384061</v>
      </c>
      <c r="AP200">
        <v>14952.80444211625</v>
      </c>
      <c r="AQ200">
        <v>32.007101732191593</v>
      </c>
      <c r="AR200">
        <v>3.4833215288002082E-3</v>
      </c>
      <c r="AS200">
        <v>120.032995820088</v>
      </c>
      <c r="AT200">
        <v>117.53308959086409</v>
      </c>
      <c r="AU200">
        <v>6.0332151981228774</v>
      </c>
      <c r="AV200">
        <v>257.81451910254071</v>
      </c>
      <c r="AW200">
        <v>258.36756565579799</v>
      </c>
      <c r="AX200">
        <v>0.55304655325735874</v>
      </c>
      <c r="AY200">
        <v>1.5712413913751311</v>
      </c>
      <c r="AZ200" t="str">
        <f>VLOOKUP(BA200,Sheet1!$A$1:$B$58,2,FALSE)</f>
        <v>Itaconate</v>
      </c>
      <c r="BA200" t="s">
        <v>146</v>
      </c>
      <c r="BB200" t="s">
        <v>147</v>
      </c>
      <c r="BC200">
        <v>128.08086</v>
      </c>
      <c r="BD200">
        <v>3.2</v>
      </c>
      <c r="BE200">
        <v>381</v>
      </c>
      <c r="BF200" t="s">
        <v>184</v>
      </c>
      <c r="BG200">
        <v>0.67533246286570514</v>
      </c>
      <c r="BH200">
        <v>0.10140350877193</v>
      </c>
      <c r="BI200">
        <v>0.44754819471145102</v>
      </c>
      <c r="BJ200">
        <v>90</v>
      </c>
      <c r="BK200">
        <v>641.43946136566012</v>
      </c>
      <c r="BL200">
        <v>1.3730279276003781</v>
      </c>
      <c r="BM200">
        <v>3.2255295869079039</v>
      </c>
      <c r="BN200">
        <v>548.34002977434375</v>
      </c>
      <c r="BO200">
        <v>93.099431591316375</v>
      </c>
    </row>
    <row r="201" spans="1:67" x14ac:dyDescent="0.25">
      <c r="A201" s="1">
        <v>199</v>
      </c>
      <c r="B201" t="s">
        <v>182</v>
      </c>
      <c r="C201" t="s">
        <v>179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67</v>
      </c>
      <c r="J201">
        <v>1.333</v>
      </c>
      <c r="K201">
        <v>500</v>
      </c>
      <c r="L201">
        <v>66.666666666666657</v>
      </c>
      <c r="N201" t="s">
        <v>183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101562.1448139662</v>
      </c>
      <c r="Z201">
        <v>507810724.06983078</v>
      </c>
      <c r="AA201">
        <v>676911695.18508446</v>
      </c>
      <c r="AB201">
        <v>676911.69518508448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277.95416312001862</v>
      </c>
      <c r="AI201">
        <v>277.95416312001862</v>
      </c>
      <c r="AJ201">
        <v>21999.63009351525</v>
      </c>
      <c r="AK201">
        <v>854.70085470085473</v>
      </c>
      <c r="AL201" t="s">
        <v>69</v>
      </c>
      <c r="AM201">
        <v>21541.447641801438</v>
      </c>
      <c r="AN201">
        <v>1105.766807921867</v>
      </c>
      <c r="AO201">
        <v>47252.207730403163</v>
      </c>
      <c r="AP201">
        <v>45501.545397939401</v>
      </c>
      <c r="AQ201">
        <v>-1750.6623324637551</v>
      </c>
      <c r="AR201">
        <v>3.4833215288002099E-3</v>
      </c>
      <c r="AS201">
        <v>120.0329958200881</v>
      </c>
      <c r="AT201">
        <v>117.53308959086409</v>
      </c>
      <c r="AU201">
        <v>6.0332151981228774</v>
      </c>
      <c r="AV201">
        <v>257.81451910254071</v>
      </c>
      <c r="AW201">
        <v>248.26266556946931</v>
      </c>
      <c r="AX201">
        <v>-9.5518535330713803</v>
      </c>
      <c r="AY201">
        <v>1.57124139137513</v>
      </c>
      <c r="AZ201" t="str">
        <f>VLOOKUP(BA201,Sheet1!$A$1:$B$58,2,FALSE)</f>
        <v>Limonene</v>
      </c>
      <c r="BA201" t="s">
        <v>148</v>
      </c>
      <c r="BB201" t="s">
        <v>149</v>
      </c>
      <c r="BC201">
        <v>136.23244</v>
      </c>
      <c r="BD201">
        <v>5.6</v>
      </c>
      <c r="BE201">
        <v>176</v>
      </c>
      <c r="BF201" t="s">
        <v>184</v>
      </c>
      <c r="BG201">
        <v>3.9749781245797848</v>
      </c>
      <c r="BH201">
        <v>3.01041666666668E-2</v>
      </c>
      <c r="BI201">
        <v>0.141321987566047</v>
      </c>
      <c r="BJ201">
        <v>90</v>
      </c>
      <c r="BK201">
        <v>1951.907208065423</v>
      </c>
      <c r="BL201">
        <v>-75.099216867024708</v>
      </c>
      <c r="BM201">
        <v>8.3785402363099291</v>
      </c>
      <c r="BN201">
        <v>1424.3518401726881</v>
      </c>
      <c r="BO201">
        <v>527.55536789273492</v>
      </c>
    </row>
    <row r="202" spans="1:67" x14ac:dyDescent="0.25">
      <c r="A202" s="1">
        <v>200</v>
      </c>
      <c r="B202" t="s">
        <v>182</v>
      </c>
      <c r="C202" t="s">
        <v>179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67</v>
      </c>
      <c r="J202">
        <v>1.333</v>
      </c>
      <c r="K202">
        <v>500</v>
      </c>
      <c r="L202">
        <v>66.666666666666657</v>
      </c>
      <c r="N202" t="s">
        <v>183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38187.218481246113</v>
      </c>
      <c r="Z202">
        <v>190936092.4062306</v>
      </c>
      <c r="AA202">
        <v>254517811.17750531</v>
      </c>
      <c r="AB202">
        <v>254517.81117750541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104.51036037372521</v>
      </c>
      <c r="AI202">
        <v>104.51036037372521</v>
      </c>
      <c r="AJ202">
        <v>8271.8288632689237</v>
      </c>
      <c r="AK202">
        <v>854.70085470085473</v>
      </c>
      <c r="AL202" t="s">
        <v>69</v>
      </c>
      <c r="AM202">
        <v>8099.5529289637052</v>
      </c>
      <c r="AN202">
        <v>415.76670875520722</v>
      </c>
      <c r="AO202">
        <v>17766.761263533292</v>
      </c>
      <c r="AP202">
        <v>17641.84935568869</v>
      </c>
      <c r="AQ202">
        <v>-124.9119078445983</v>
      </c>
      <c r="AR202">
        <v>3.4833215288002091E-3</v>
      </c>
      <c r="AS202">
        <v>120.032995820088</v>
      </c>
      <c r="AT202">
        <v>117.53308959086409</v>
      </c>
      <c r="AU202">
        <v>6.0332151981228757</v>
      </c>
      <c r="AV202">
        <v>257.81451910254083</v>
      </c>
      <c r="AW202">
        <v>256.00191505088202</v>
      </c>
      <c r="AX202">
        <v>-1.81260405165886</v>
      </c>
      <c r="AY202">
        <v>1.5712413913751311</v>
      </c>
      <c r="AZ202" t="str">
        <f>VLOOKUP(BA202,Sheet1!$A$1:$B$58,2,FALSE)</f>
        <v>L-Lysine</v>
      </c>
      <c r="BA202" t="s">
        <v>150</v>
      </c>
      <c r="BB202" t="s">
        <v>151</v>
      </c>
      <c r="BC202">
        <v>147.19319999999999</v>
      </c>
      <c r="BD202">
        <v>4.833333333333333</v>
      </c>
      <c r="BF202" t="s">
        <v>184</v>
      </c>
      <c r="BG202">
        <v>1.307714239507098</v>
      </c>
      <c r="BH202">
        <v>7.4102564102563995E-2</v>
      </c>
      <c r="BI202">
        <v>0.37585780628744098</v>
      </c>
      <c r="BJ202">
        <v>90</v>
      </c>
      <c r="BK202">
        <v>756.7930411992678</v>
      </c>
      <c r="BL202">
        <v>-5.3584213714665996</v>
      </c>
      <c r="BM202">
        <v>3.3371906659918009</v>
      </c>
      <c r="BN202">
        <v>567.32241321860613</v>
      </c>
      <c r="BO202">
        <v>189.4706279806617</v>
      </c>
    </row>
    <row r="203" spans="1:67" x14ac:dyDescent="0.25">
      <c r="A203" s="1">
        <v>201</v>
      </c>
      <c r="B203" t="s">
        <v>182</v>
      </c>
      <c r="C203" t="s">
        <v>179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67</v>
      </c>
      <c r="J203">
        <v>1.333</v>
      </c>
      <c r="K203">
        <v>500</v>
      </c>
      <c r="L203">
        <v>66.666666666666657</v>
      </c>
      <c r="N203" t="s">
        <v>183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25099.64542375943</v>
      </c>
      <c r="Z203">
        <v>125498227.11879709</v>
      </c>
      <c r="AA203">
        <v>167289136.7493566</v>
      </c>
      <c r="AB203">
        <v>167289.13674935661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68.692434087024978</v>
      </c>
      <c r="AI203">
        <v>68.692434087024978</v>
      </c>
      <c r="AJ203">
        <v>5436.8969443540891</v>
      </c>
      <c r="AK203">
        <v>854.70085470085473</v>
      </c>
      <c r="AL203" t="s">
        <v>69</v>
      </c>
      <c r="AM203">
        <v>5323.6636417444361</v>
      </c>
      <c r="AN203">
        <v>273.27460296392411</v>
      </c>
      <c r="AO203">
        <v>11677.71379479425</v>
      </c>
      <c r="AP203">
        <v>11888.536043763301</v>
      </c>
      <c r="AQ203">
        <v>210.82224896905791</v>
      </c>
      <c r="AR203">
        <v>3.4833215288002099E-3</v>
      </c>
      <c r="AS203">
        <v>120.0329958200881</v>
      </c>
      <c r="AT203">
        <v>117.53308959086419</v>
      </c>
      <c r="AU203">
        <v>6.0332151981228774</v>
      </c>
      <c r="AV203">
        <v>257.81451910254071</v>
      </c>
      <c r="AW203">
        <v>262.4689435634574</v>
      </c>
      <c r="AX203">
        <v>4.6544244609166556</v>
      </c>
      <c r="AY203">
        <v>1.5712413913751311</v>
      </c>
      <c r="AZ203" t="str">
        <f>VLOOKUP(BA203,Sheet1!$A$1:$B$58,2,FALSE)</f>
        <v>L-Malate</v>
      </c>
      <c r="BA203" t="s">
        <v>152</v>
      </c>
      <c r="BB203" t="s">
        <v>153</v>
      </c>
      <c r="BC203">
        <v>132.06916000000001</v>
      </c>
      <c r="BD203">
        <v>2.5</v>
      </c>
      <c r="BF203" t="s">
        <v>184</v>
      </c>
      <c r="BG203">
        <v>0.3297753146073415</v>
      </c>
      <c r="BH203">
        <v>0.12565217391304401</v>
      </c>
      <c r="BI203">
        <v>0.57183931980942704</v>
      </c>
      <c r="BJ203">
        <v>90</v>
      </c>
      <c r="BK203">
        <v>509.98969362957217</v>
      </c>
      <c r="BL203">
        <v>9.0437690365107049</v>
      </c>
      <c r="BM203">
        <v>2.7232217559271019</v>
      </c>
      <c r="BN203">
        <v>462.94769850760741</v>
      </c>
      <c r="BO203">
        <v>47.041995121964817</v>
      </c>
    </row>
    <row r="204" spans="1:67" x14ac:dyDescent="0.25">
      <c r="A204" s="1">
        <v>202</v>
      </c>
      <c r="B204" t="s">
        <v>182</v>
      </c>
      <c r="C204" t="s">
        <v>179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67</v>
      </c>
      <c r="J204">
        <v>1.333</v>
      </c>
      <c r="K204">
        <v>500</v>
      </c>
      <c r="L204">
        <v>66.666666666666657</v>
      </c>
      <c r="N204" t="s">
        <v>183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28247.799620172871</v>
      </c>
      <c r="Z204">
        <v>141238998.10086441</v>
      </c>
      <c r="AA204">
        <v>188271584.46845219</v>
      </c>
      <c r="AB204">
        <v>188271.5844684522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77.308267935746002</v>
      </c>
      <c r="AI204">
        <v>77.308267935746002</v>
      </c>
      <c r="AJ204">
        <v>6118.8264952246964</v>
      </c>
      <c r="AK204">
        <v>854.70085470085473</v>
      </c>
      <c r="AL204" t="s">
        <v>69</v>
      </c>
      <c r="AM204">
        <v>5991.3907650203146</v>
      </c>
      <c r="AN204">
        <v>307.55040939741752</v>
      </c>
      <c r="AO204">
        <v>13142.405549076821</v>
      </c>
      <c r="AP204">
        <v>13272.46852434329</v>
      </c>
      <c r="AQ204">
        <v>130.06297526646449</v>
      </c>
      <c r="AR204">
        <v>3.4833215288002091E-3</v>
      </c>
      <c r="AS204">
        <v>120.032995820088</v>
      </c>
      <c r="AT204">
        <v>117.53308959086419</v>
      </c>
      <c r="AU204">
        <v>6.0332151981228774</v>
      </c>
      <c r="AV204">
        <v>257.81451910254083</v>
      </c>
      <c r="AW204">
        <v>260.36596398804159</v>
      </c>
      <c r="AX204">
        <v>2.551444885500771</v>
      </c>
      <c r="AY204">
        <v>1.5712413913751311</v>
      </c>
      <c r="AZ204" t="str">
        <f>VLOOKUP(BA204,Sheet1!$A$1:$B$58,2,FALSE)</f>
        <v>Malonate</v>
      </c>
      <c r="BA204" t="s">
        <v>154</v>
      </c>
      <c r="BB204" t="s">
        <v>155</v>
      </c>
      <c r="BC204">
        <v>102.04378</v>
      </c>
      <c r="BD204">
        <v>2</v>
      </c>
      <c r="BE204">
        <v>199</v>
      </c>
      <c r="BF204" t="s">
        <v>184</v>
      </c>
      <c r="BG204">
        <v>0.31488316595201321</v>
      </c>
      <c r="BH204">
        <v>0.14449999999999999</v>
      </c>
      <c r="BI204">
        <v>0.50810910441075097</v>
      </c>
      <c r="BJ204">
        <v>90</v>
      </c>
      <c r="BK204">
        <v>569.35707908198481</v>
      </c>
      <c r="BL204">
        <v>5.5793898142312841</v>
      </c>
      <c r="BM204">
        <v>3.1210398534144761</v>
      </c>
      <c r="BN204">
        <v>530.57677508046083</v>
      </c>
      <c r="BO204">
        <v>38.780304001523973</v>
      </c>
    </row>
    <row r="205" spans="1:67" x14ac:dyDescent="0.25">
      <c r="A205" s="1">
        <v>203</v>
      </c>
      <c r="B205" t="s">
        <v>182</v>
      </c>
      <c r="C205" t="s">
        <v>179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67</v>
      </c>
      <c r="J205">
        <v>1.333</v>
      </c>
      <c r="K205">
        <v>500</v>
      </c>
      <c r="L205">
        <v>66.666666666666657</v>
      </c>
      <c r="N205" t="s">
        <v>183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60623.067789116772</v>
      </c>
      <c r="Z205">
        <v>303115338.94558382</v>
      </c>
      <c r="AA205">
        <v>404052746.8144632</v>
      </c>
      <c r="AB205">
        <v>404052.74681446317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165.9125464902051</v>
      </c>
      <c r="AI205">
        <v>165.9125464902051</v>
      </c>
      <c r="AJ205">
        <v>13131.714271470049</v>
      </c>
      <c r="AK205">
        <v>854.70085470085473</v>
      </c>
      <c r="AL205" t="s">
        <v>69</v>
      </c>
      <c r="AM205">
        <v>12858.222352990901</v>
      </c>
      <c r="AN205">
        <v>660.0389966004775</v>
      </c>
      <c r="AO205">
        <v>28205.13290333487</v>
      </c>
      <c r="AP205">
        <v>27504.67647576228</v>
      </c>
      <c r="AQ205">
        <v>-700.45642757259338</v>
      </c>
      <c r="AR205">
        <v>3.4833215288002091E-3</v>
      </c>
      <c r="AS205">
        <v>120.032995820088</v>
      </c>
      <c r="AT205">
        <v>117.53308959086409</v>
      </c>
      <c r="AU205">
        <v>6.0332151981228774</v>
      </c>
      <c r="AV205">
        <v>257.81451910254071</v>
      </c>
      <c r="AW205">
        <v>251.4118604926407</v>
      </c>
      <c r="AX205">
        <v>-6.4026586099000591</v>
      </c>
      <c r="AY205">
        <v>1.57124139137513</v>
      </c>
      <c r="AZ205" t="str">
        <f>VLOOKUP(BA205,Sheet1!$A$1:$B$58,2,FALSE)</f>
        <v>Nonane</v>
      </c>
      <c r="BA205" t="s">
        <v>156</v>
      </c>
      <c r="BB205" t="s">
        <v>157</v>
      </c>
      <c r="BC205">
        <v>128.25309999999999</v>
      </c>
      <c r="BD205">
        <v>6.2222222222222223</v>
      </c>
      <c r="BE205">
        <v>151</v>
      </c>
      <c r="BF205" t="s">
        <v>184</v>
      </c>
      <c r="BG205">
        <v>3.3171128027314731</v>
      </c>
      <c r="BH205">
        <v>5.3571428571428603E-2</v>
      </c>
      <c r="BI205">
        <v>0.236757470217584</v>
      </c>
      <c r="BJ205">
        <v>90</v>
      </c>
      <c r="BK205">
        <v>1179.88467861971</v>
      </c>
      <c r="BL205">
        <v>-30.04790140548991</v>
      </c>
      <c r="BM205">
        <v>4.0567781523887554</v>
      </c>
      <c r="BN205">
        <v>689.65228590608842</v>
      </c>
      <c r="BO205">
        <v>490.23239271362161</v>
      </c>
    </row>
    <row r="206" spans="1:67" x14ac:dyDescent="0.25">
      <c r="A206" s="1">
        <v>204</v>
      </c>
      <c r="B206" t="s">
        <v>182</v>
      </c>
      <c r="C206" t="s">
        <v>179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67</v>
      </c>
      <c r="J206">
        <v>1.333</v>
      </c>
      <c r="K206">
        <v>500</v>
      </c>
      <c r="L206">
        <v>66.666666666666657</v>
      </c>
      <c r="N206" t="s">
        <v>183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60774.312133238687</v>
      </c>
      <c r="Z206">
        <v>303871560.66619349</v>
      </c>
      <c r="AA206">
        <v>405060790.36803591</v>
      </c>
      <c r="AB206">
        <v>405060.7903680359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166.32647035104969</v>
      </c>
      <c r="AI206">
        <v>166.32647035104969</v>
      </c>
      <c r="AJ206">
        <v>13164.47568696117</v>
      </c>
      <c r="AK206">
        <v>854.70085470085473</v>
      </c>
      <c r="AL206" t="s">
        <v>69</v>
      </c>
      <c r="AM206">
        <v>12890.301452206349</v>
      </c>
      <c r="AN206">
        <v>661.68568273459061</v>
      </c>
      <c r="AO206">
        <v>28275.49995967844</v>
      </c>
      <c r="AP206">
        <v>27571.163676602959</v>
      </c>
      <c r="AQ206">
        <v>-704.33628307548133</v>
      </c>
      <c r="AR206">
        <v>3.4833215288002091E-3</v>
      </c>
      <c r="AS206">
        <v>120.032995820088</v>
      </c>
      <c r="AT206">
        <v>117.53308959086419</v>
      </c>
      <c r="AU206">
        <v>6.0332151981228774</v>
      </c>
      <c r="AV206">
        <v>257.81451910254083</v>
      </c>
      <c r="AW206">
        <v>251.3924179773077</v>
      </c>
      <c r="AX206">
        <v>-6.4221011252330271</v>
      </c>
      <c r="AY206">
        <v>1.5712413913751311</v>
      </c>
      <c r="AZ206" t="str">
        <f>VLOOKUP(BA206,Sheet1!$A$1:$B$58,2,FALSE)</f>
        <v>Octane</v>
      </c>
      <c r="BA206" t="s">
        <v>158</v>
      </c>
      <c r="BB206" t="s">
        <v>159</v>
      </c>
      <c r="BC206">
        <v>114.22672</v>
      </c>
      <c r="BD206">
        <v>6.25</v>
      </c>
      <c r="BE206">
        <v>126</v>
      </c>
      <c r="BF206" t="s">
        <v>184</v>
      </c>
      <c r="BG206">
        <v>3.3391486685427019</v>
      </c>
      <c r="BH206">
        <v>0.06</v>
      </c>
      <c r="BI206">
        <v>0.236168270158511</v>
      </c>
      <c r="BJ206">
        <v>90</v>
      </c>
      <c r="BK206">
        <v>1182.736820133367</v>
      </c>
      <c r="BL206">
        <v>-30.21433790464858</v>
      </c>
      <c r="BM206">
        <v>4.0531389026150588</v>
      </c>
      <c r="BN206">
        <v>689.03361344456005</v>
      </c>
      <c r="BO206">
        <v>493.70320668880697</v>
      </c>
    </row>
    <row r="207" spans="1:67" x14ac:dyDescent="0.25">
      <c r="A207" s="1">
        <v>205</v>
      </c>
      <c r="B207" t="s">
        <v>182</v>
      </c>
      <c r="C207" t="s">
        <v>179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67</v>
      </c>
      <c r="J207">
        <v>1.333</v>
      </c>
      <c r="K207">
        <v>500</v>
      </c>
      <c r="L207">
        <v>66.666666666666657</v>
      </c>
      <c r="N207" t="s">
        <v>183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61580.890371528447</v>
      </c>
      <c r="Z207">
        <v>307904451.85764217</v>
      </c>
      <c r="AA207">
        <v>410436634.32623708</v>
      </c>
      <c r="AB207">
        <v>410436.63432623708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168.53390482011591</v>
      </c>
      <c r="AI207">
        <v>168.53390482011591</v>
      </c>
      <c r="AJ207">
        <v>13339.190615602711</v>
      </c>
      <c r="AK207">
        <v>2170.1388888888891</v>
      </c>
      <c r="AL207" t="s">
        <v>107</v>
      </c>
      <c r="AM207">
        <v>13061.377623558979</v>
      </c>
      <c r="AN207">
        <v>670.46737443208872</v>
      </c>
      <c r="AO207">
        <v>28650.763819419699</v>
      </c>
      <c r="AP207">
        <v>29241.174502482671</v>
      </c>
      <c r="AQ207">
        <v>590.41068306296438</v>
      </c>
      <c r="AR207">
        <v>3.4833215288002082E-3</v>
      </c>
      <c r="AS207">
        <v>120.032995820088</v>
      </c>
      <c r="AT207">
        <v>117.53308959086409</v>
      </c>
      <c r="AU207">
        <v>6.0332151981228774</v>
      </c>
      <c r="AV207">
        <v>257.81451910254071</v>
      </c>
      <c r="AW207">
        <v>263.12734242851798</v>
      </c>
      <c r="AX207">
        <v>5.3128233259773463</v>
      </c>
      <c r="AY207">
        <v>1.5712413913751311</v>
      </c>
      <c r="AZ207" t="str">
        <f>VLOOKUP(BA207,Sheet1!$A$1:$B$58,2,FALSE)</f>
        <v>Pentane</v>
      </c>
      <c r="BA207" t="s">
        <v>160</v>
      </c>
      <c r="BB207" t="s">
        <v>161</v>
      </c>
      <c r="BC207">
        <v>72.147580000000005</v>
      </c>
      <c r="BD207">
        <v>6.4</v>
      </c>
      <c r="BE207">
        <v>36.1</v>
      </c>
      <c r="BF207" t="s">
        <v>184</v>
      </c>
      <c r="BG207">
        <v>3.4566647973500979</v>
      </c>
      <c r="BH207">
        <v>9.375E-2</v>
      </c>
      <c r="BI207">
        <v>0.23307496984838</v>
      </c>
      <c r="BJ207">
        <v>90</v>
      </c>
      <c r="BK207">
        <v>1254.376280729128</v>
      </c>
      <c r="BL207">
        <v>25.327202799613481</v>
      </c>
      <c r="BM207">
        <v>4.0337309724328323</v>
      </c>
      <c r="BN207">
        <v>685.73426531358155</v>
      </c>
      <c r="BO207">
        <v>568.64201541554621</v>
      </c>
    </row>
    <row r="208" spans="1:67" x14ac:dyDescent="0.25">
      <c r="A208" s="1">
        <v>206</v>
      </c>
      <c r="B208" t="s">
        <v>182</v>
      </c>
      <c r="C208" t="s">
        <v>179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67</v>
      </c>
      <c r="J208">
        <v>1.333</v>
      </c>
      <c r="K208">
        <v>500</v>
      </c>
      <c r="L208">
        <v>66.666666666666657</v>
      </c>
      <c r="N208" t="s">
        <v>183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58044.897982620321</v>
      </c>
      <c r="Z208">
        <v>290224489.91310161</v>
      </c>
      <c r="AA208">
        <v>386869245.05416453</v>
      </c>
      <c r="AB208">
        <v>386869.24505416449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158.85663966331941</v>
      </c>
      <c r="AI208">
        <v>158.85663966331941</v>
      </c>
      <c r="AJ208">
        <v>12573.250464260351</v>
      </c>
      <c r="AK208">
        <v>854.70085470085473</v>
      </c>
      <c r="AL208" t="s">
        <v>69</v>
      </c>
      <c r="AM208">
        <v>12311.38957390726</v>
      </c>
      <c r="AN208">
        <v>631.96894547629063</v>
      </c>
      <c r="AO208">
        <v>27005.6287427643</v>
      </c>
      <c r="AP208">
        <v>26371.30983834475</v>
      </c>
      <c r="AQ208">
        <v>-634.31890441955329</v>
      </c>
      <c r="AR208">
        <v>3.4833215288002099E-3</v>
      </c>
      <c r="AS208">
        <v>120.0329958200881</v>
      </c>
      <c r="AT208">
        <v>117.53308959086419</v>
      </c>
      <c r="AU208">
        <v>6.0332151981228774</v>
      </c>
      <c r="AV208">
        <v>257.81451910254071</v>
      </c>
      <c r="AW208">
        <v>251.75886956153931</v>
      </c>
      <c r="AX208">
        <v>-6.0556495410015074</v>
      </c>
      <c r="AY208">
        <v>1.5712413913751311</v>
      </c>
      <c r="AZ208" t="str">
        <f>VLOOKUP(BA208,Sheet1!$A$1:$B$58,2,FALSE)</f>
        <v>Pentanol (PW1)</v>
      </c>
      <c r="BA208" t="s">
        <v>162</v>
      </c>
      <c r="BB208" t="s">
        <v>83</v>
      </c>
      <c r="BC208">
        <v>88.14658</v>
      </c>
      <c r="BD208">
        <v>6</v>
      </c>
      <c r="BE208">
        <v>138</v>
      </c>
      <c r="BF208" t="s">
        <v>184</v>
      </c>
      <c r="BG208">
        <v>2.7814671494798442</v>
      </c>
      <c r="BH208">
        <v>8.1408450704225296E-2</v>
      </c>
      <c r="BI208">
        <v>0.24727348424107701</v>
      </c>
      <c r="BJ208">
        <v>90</v>
      </c>
      <c r="BK208">
        <v>1131.265967109829</v>
      </c>
      <c r="BL208">
        <v>-27.210760226283639</v>
      </c>
      <c r="BM208">
        <v>4.2788279466676862</v>
      </c>
      <c r="BN208">
        <v>727.40075093350663</v>
      </c>
      <c r="BO208">
        <v>403.86521617632292</v>
      </c>
    </row>
    <row r="209" spans="1:67" x14ac:dyDescent="0.25">
      <c r="A209" s="1">
        <v>207</v>
      </c>
      <c r="B209" t="s">
        <v>182</v>
      </c>
      <c r="C209" t="s">
        <v>179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67</v>
      </c>
      <c r="J209">
        <v>1.333</v>
      </c>
      <c r="K209">
        <v>500</v>
      </c>
      <c r="L209">
        <v>66.666666666666657</v>
      </c>
      <c r="N209" t="s">
        <v>183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58044.897982620321</v>
      </c>
      <c r="Z209">
        <v>290224489.91310161</v>
      </c>
      <c r="AA209">
        <v>386869245.05416453</v>
      </c>
      <c r="AB209">
        <v>386869.24505416449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158.85663966331941</v>
      </c>
      <c r="AI209">
        <v>158.85663966331941</v>
      </c>
      <c r="AJ209">
        <v>12573.250464260351</v>
      </c>
      <c r="AK209">
        <v>854.70085470085473</v>
      </c>
      <c r="AL209" t="s">
        <v>69</v>
      </c>
      <c r="AM209">
        <v>12311.38957390726</v>
      </c>
      <c r="AN209">
        <v>631.96894547629063</v>
      </c>
      <c r="AO209">
        <v>27005.6287427643</v>
      </c>
      <c r="AP209">
        <v>26371.30983834475</v>
      </c>
      <c r="AQ209">
        <v>-634.31890441955329</v>
      </c>
      <c r="AR209">
        <v>3.4833215288002099E-3</v>
      </c>
      <c r="AS209">
        <v>120.0329958200881</v>
      </c>
      <c r="AT209">
        <v>117.53308959086419</v>
      </c>
      <c r="AU209">
        <v>6.0332151981228774</v>
      </c>
      <c r="AV209">
        <v>257.81451910254071</v>
      </c>
      <c r="AW209">
        <v>251.75886956153931</v>
      </c>
      <c r="AX209">
        <v>-6.0556495410015074</v>
      </c>
      <c r="AY209">
        <v>1.5712413913751311</v>
      </c>
      <c r="AZ209" t="str">
        <f>VLOOKUP(BA209,Sheet1!$A$1:$B$58,2,FALSE)</f>
        <v>Pentanol (PW2)</v>
      </c>
      <c r="BA209" t="s">
        <v>163</v>
      </c>
      <c r="BB209" t="s">
        <v>83</v>
      </c>
      <c r="BC209">
        <v>88.14658</v>
      </c>
      <c r="BD209">
        <v>6</v>
      </c>
      <c r="BE209">
        <v>138</v>
      </c>
      <c r="BF209" t="s">
        <v>184</v>
      </c>
      <c r="BG209">
        <v>2.781467149479838</v>
      </c>
      <c r="BH209">
        <v>8.1408450704225296E-2</v>
      </c>
      <c r="BI209">
        <v>0.24727348424107701</v>
      </c>
      <c r="BJ209">
        <v>90</v>
      </c>
      <c r="BK209">
        <v>1131.265967109829</v>
      </c>
      <c r="BL209">
        <v>-27.210760226283639</v>
      </c>
      <c r="BM209">
        <v>4.2788279466676924</v>
      </c>
      <c r="BN209">
        <v>727.40075093350754</v>
      </c>
      <c r="BO209">
        <v>403.86521617632201</v>
      </c>
    </row>
    <row r="210" spans="1:67" x14ac:dyDescent="0.25">
      <c r="A210" s="1">
        <v>208</v>
      </c>
      <c r="B210" t="s">
        <v>182</v>
      </c>
      <c r="C210" t="s">
        <v>179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67</v>
      </c>
      <c r="J210">
        <v>1.333</v>
      </c>
      <c r="K210">
        <v>500</v>
      </c>
      <c r="L210">
        <v>66.666666666666657</v>
      </c>
      <c r="N210" t="s">
        <v>183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145488.2400378935</v>
      </c>
      <c r="Z210">
        <v>727441200.18946767</v>
      </c>
      <c r="AA210">
        <v>969679119.8525604</v>
      </c>
      <c r="AB210">
        <v>969679.11985256046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398.17061836977052</v>
      </c>
      <c r="AI210">
        <v>398.17061836977052</v>
      </c>
      <c r="AJ210">
        <v>31514.571395208219</v>
      </c>
      <c r="AK210">
        <v>854.70085470085473</v>
      </c>
      <c r="AL210" t="s">
        <v>69</v>
      </c>
      <c r="AM210">
        <v>30858.222923657209</v>
      </c>
      <c r="AN210">
        <v>1584.016043295979</v>
      </c>
      <c r="AO210">
        <v>67689.005122860981</v>
      </c>
      <c r="AP210">
        <v>64811.511216862258</v>
      </c>
      <c r="AQ210">
        <v>-2877.4939059987232</v>
      </c>
      <c r="AR210">
        <v>3.4833215288002091E-3</v>
      </c>
      <c r="AS210">
        <v>120.032995820088</v>
      </c>
      <c r="AT210">
        <v>117.53308959086419</v>
      </c>
      <c r="AU210">
        <v>6.0332151981228757</v>
      </c>
      <c r="AV210">
        <v>257.81451910254071</v>
      </c>
      <c r="AW210">
        <v>246.85469326008641</v>
      </c>
      <c r="AX210">
        <v>-10.95982584245429</v>
      </c>
      <c r="AY210">
        <v>1.5712413913751311</v>
      </c>
      <c r="AZ210" t="str">
        <f>VLOOKUP(BA210,Sheet1!$A$1:$B$58,2,FALSE)</f>
        <v>Phenol</v>
      </c>
      <c r="BA210" t="s">
        <v>164</v>
      </c>
      <c r="BB210" t="s">
        <v>165</v>
      </c>
      <c r="BC210">
        <v>94.11023999999999</v>
      </c>
      <c r="BD210">
        <v>4.666666666666667</v>
      </c>
      <c r="BE210">
        <v>181.7</v>
      </c>
      <c r="BF210" t="s">
        <v>184</v>
      </c>
      <c r="BG210">
        <v>4.3107304309555126</v>
      </c>
      <c r="BH210">
        <v>3.0421052631578901E-2</v>
      </c>
      <c r="BI210">
        <v>9.8653775472450897E-2</v>
      </c>
      <c r="BJ210">
        <v>90</v>
      </c>
      <c r="BK210">
        <v>2780.258446244673</v>
      </c>
      <c r="BL210">
        <v>-123.4375898040948</v>
      </c>
      <c r="BM210">
        <v>13.385741496589841</v>
      </c>
      <c r="BN210">
        <v>2275.5760544202731</v>
      </c>
      <c r="BO210">
        <v>504.68239182439947</v>
      </c>
    </row>
    <row r="211" spans="1:67" x14ac:dyDescent="0.25">
      <c r="A211" s="1">
        <v>209</v>
      </c>
      <c r="B211" t="s">
        <v>182</v>
      </c>
      <c r="C211" t="s">
        <v>179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67</v>
      </c>
      <c r="J211">
        <v>1.333</v>
      </c>
      <c r="K211">
        <v>500</v>
      </c>
      <c r="L211">
        <v>66.666666666666657</v>
      </c>
      <c r="N211" t="s">
        <v>183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62973.839877210368</v>
      </c>
      <c r="Z211">
        <v>314869199.38605177</v>
      </c>
      <c r="AA211">
        <v>419720642.78160709</v>
      </c>
      <c r="AB211">
        <v>419720.64278160711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172.3461137374193</v>
      </c>
      <c r="AI211">
        <v>172.3461137374193</v>
      </c>
      <c r="AJ211">
        <v>13640.920890402231</v>
      </c>
      <c r="AK211">
        <v>2170.1388888888891</v>
      </c>
      <c r="AL211" t="s">
        <v>107</v>
      </c>
      <c r="AM211">
        <v>13356.823814650001</v>
      </c>
      <c r="AN211">
        <v>685.63323501248101</v>
      </c>
      <c r="AO211">
        <v>29298.839335361281</v>
      </c>
      <c r="AP211">
        <v>29853.516828953601</v>
      </c>
      <c r="AQ211">
        <v>554.67749359231675</v>
      </c>
      <c r="AR211">
        <v>3.4833215288002091E-3</v>
      </c>
      <c r="AS211">
        <v>120.032995820088</v>
      </c>
      <c r="AT211">
        <v>117.53308959086419</v>
      </c>
      <c r="AU211">
        <v>6.0332151981228774</v>
      </c>
      <c r="AV211">
        <v>257.81451910254071</v>
      </c>
      <c r="AW211">
        <v>262.69539201462612</v>
      </c>
      <c r="AX211">
        <v>4.880872912085378</v>
      </c>
      <c r="AY211">
        <v>1.5712413913751311</v>
      </c>
      <c r="AZ211" t="str">
        <f>VLOOKUP(BA211,Sheet1!$A$1:$B$58,2,FALSE)</f>
        <v>Propane (PW1)</v>
      </c>
      <c r="BA211" t="s">
        <v>166</v>
      </c>
      <c r="BB211" t="s">
        <v>167</v>
      </c>
      <c r="BC211">
        <v>44.094819999999999</v>
      </c>
      <c r="BD211">
        <v>6.666666666666667</v>
      </c>
      <c r="BE211">
        <v>-42</v>
      </c>
      <c r="BF211" t="s">
        <v>184</v>
      </c>
      <c r="BG211">
        <v>3.6596135328367358</v>
      </c>
      <c r="BH211">
        <v>0.15</v>
      </c>
      <c r="BI211">
        <v>0.22791946933149601</v>
      </c>
      <c r="BJ211">
        <v>90</v>
      </c>
      <c r="BK211">
        <v>1280.6442984500441</v>
      </c>
      <c r="BL211">
        <v>23.794334641292011</v>
      </c>
      <c r="BM211">
        <v>4.0002137443819024</v>
      </c>
      <c r="BN211">
        <v>680.03633654492342</v>
      </c>
      <c r="BO211">
        <v>600.60796190512087</v>
      </c>
    </row>
    <row r="212" spans="1:67" x14ac:dyDescent="0.25">
      <c r="A212" s="1">
        <v>210</v>
      </c>
      <c r="B212" t="s">
        <v>182</v>
      </c>
      <c r="C212" t="s">
        <v>179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67</v>
      </c>
      <c r="J212">
        <v>1.333</v>
      </c>
      <c r="K212">
        <v>500</v>
      </c>
      <c r="L212">
        <v>66.666666666666657</v>
      </c>
      <c r="N212" t="s">
        <v>183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62973.839877210652</v>
      </c>
      <c r="Z212">
        <v>314869199.38605332</v>
      </c>
      <c r="AA212">
        <v>419720642.781609</v>
      </c>
      <c r="AB212">
        <v>419720.64278160903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172.3461137374201</v>
      </c>
      <c r="AI212">
        <v>172.3461137374201</v>
      </c>
      <c r="AJ212">
        <v>13640.920890402291</v>
      </c>
      <c r="AK212">
        <v>2170.1388888888891</v>
      </c>
      <c r="AL212" t="s">
        <v>107</v>
      </c>
      <c r="AM212">
        <v>13356.823814650061</v>
      </c>
      <c r="AN212">
        <v>685.63323501248419</v>
      </c>
      <c r="AO212">
        <v>29298.839335361408</v>
      </c>
      <c r="AP212">
        <v>29853.516828953721</v>
      </c>
      <c r="AQ212">
        <v>554.67749359230584</v>
      </c>
      <c r="AR212">
        <v>3.4833215288002091E-3</v>
      </c>
      <c r="AS212">
        <v>120.032995820088</v>
      </c>
      <c r="AT212">
        <v>117.53308959086409</v>
      </c>
      <c r="AU212">
        <v>6.0332151981228774</v>
      </c>
      <c r="AV212">
        <v>257.81451910254071</v>
      </c>
      <c r="AW212">
        <v>262.69539201462601</v>
      </c>
      <c r="AX212">
        <v>4.8808729120852679</v>
      </c>
      <c r="AY212">
        <v>1.57124139137513</v>
      </c>
      <c r="AZ212" t="str">
        <f>VLOOKUP(BA212,Sheet1!$A$1:$B$58,2,FALSE)</f>
        <v>Propane (PW2)</v>
      </c>
      <c r="BA212" t="s">
        <v>168</v>
      </c>
      <c r="BB212" t="s">
        <v>167</v>
      </c>
      <c r="BC212">
        <v>44.094819999999999</v>
      </c>
      <c r="BD212">
        <v>6.666666666666667</v>
      </c>
      <c r="BE212">
        <v>-42</v>
      </c>
      <c r="BF212" t="s">
        <v>184</v>
      </c>
      <c r="BG212">
        <v>3.6596135328367358</v>
      </c>
      <c r="BH212">
        <v>0.15</v>
      </c>
      <c r="BI212">
        <v>0.22791946933149501</v>
      </c>
      <c r="BJ212">
        <v>90</v>
      </c>
      <c r="BK212">
        <v>1280.6442984500491</v>
      </c>
      <c r="BL212">
        <v>23.794334641291581</v>
      </c>
      <c r="BM212">
        <v>4.0002137443819326</v>
      </c>
      <c r="BN212">
        <v>680.03633654492853</v>
      </c>
      <c r="BO212">
        <v>600.60796190512076</v>
      </c>
    </row>
    <row r="213" spans="1:67" x14ac:dyDescent="0.25">
      <c r="A213" s="1">
        <v>211</v>
      </c>
      <c r="B213" t="s">
        <v>182</v>
      </c>
      <c r="C213" t="s">
        <v>179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67</v>
      </c>
      <c r="J213">
        <v>1.333</v>
      </c>
      <c r="K213">
        <v>500</v>
      </c>
      <c r="L213">
        <v>66.666666666666657</v>
      </c>
      <c r="N213" t="s">
        <v>183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59101.832623257113</v>
      </c>
      <c r="Z213">
        <v>295509163.11628562</v>
      </c>
      <c r="AA213">
        <v>393913714.43400872</v>
      </c>
      <c r="AB213">
        <v>393913.71443400858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161.74924678626749</v>
      </c>
      <c r="AI213">
        <v>161.74924678626749</v>
      </c>
      <c r="AJ213">
        <v>12802.195719105281</v>
      </c>
      <c r="AK213">
        <v>854.70085470085473</v>
      </c>
      <c r="AL213" t="s">
        <v>69</v>
      </c>
      <c r="AM213">
        <v>12535.566625935729</v>
      </c>
      <c r="AN213">
        <v>643.47641458202656</v>
      </c>
      <c r="AO213">
        <v>27497.371953665472</v>
      </c>
      <c r="AP213">
        <v>26835.939614323888</v>
      </c>
      <c r="AQ213">
        <v>-661.43233934157615</v>
      </c>
      <c r="AR213">
        <v>3.4833215288002091E-3</v>
      </c>
      <c r="AS213">
        <v>120.032995820088</v>
      </c>
      <c r="AT213">
        <v>117.53308959086419</v>
      </c>
      <c r="AU213">
        <v>6.0332151981228792</v>
      </c>
      <c r="AV213">
        <v>257.81451910254071</v>
      </c>
      <c r="AW213">
        <v>251.61294970261531</v>
      </c>
      <c r="AX213">
        <v>-6.2015693999253543</v>
      </c>
      <c r="AY213">
        <v>1.5712413913751311</v>
      </c>
      <c r="AZ213" t="str">
        <f>VLOOKUP(BA213,Sheet1!$A$1:$B$58,2,FALSE)</f>
        <v>Shikimate</v>
      </c>
      <c r="BA213" t="s">
        <v>169</v>
      </c>
      <c r="BB213" t="s">
        <v>170</v>
      </c>
      <c r="BC213">
        <v>173.14045999999999</v>
      </c>
      <c r="BD213">
        <v>3.8571428571428572</v>
      </c>
      <c r="BE213">
        <v>400.5</v>
      </c>
      <c r="BF213" t="s">
        <v>184</v>
      </c>
      <c r="BG213">
        <v>1.5611812121672359</v>
      </c>
      <c r="BH213">
        <v>4.0704225352112697E-2</v>
      </c>
      <c r="BI213">
        <v>0.24285142320497799</v>
      </c>
      <c r="BJ213">
        <v>90</v>
      </c>
      <c r="BK213">
        <v>1151.1974705540299</v>
      </c>
      <c r="BL213">
        <v>-28.373861580245752</v>
      </c>
      <c r="BM213">
        <v>5.6276742005557621</v>
      </c>
      <c r="BN213">
        <v>956.70461409447955</v>
      </c>
      <c r="BO213">
        <v>194.49285645955081</v>
      </c>
    </row>
    <row r="214" spans="1:67" x14ac:dyDescent="0.25">
      <c r="A214" s="1">
        <v>212</v>
      </c>
      <c r="B214" t="s">
        <v>182</v>
      </c>
      <c r="C214" t="s">
        <v>179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67</v>
      </c>
      <c r="J214">
        <v>1.333</v>
      </c>
      <c r="K214">
        <v>500</v>
      </c>
      <c r="L214">
        <v>66.666666666666657</v>
      </c>
      <c r="N214" t="s">
        <v>183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143920.359921408</v>
      </c>
      <c r="Z214">
        <v>719601799.60703993</v>
      </c>
      <c r="AA214">
        <v>959229198.87618423</v>
      </c>
      <c r="AB214">
        <v>959229.19887618418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393.87966127696268</v>
      </c>
      <c r="AI214">
        <v>393.87966127696268</v>
      </c>
      <c r="AJ214">
        <v>31174.948963475988</v>
      </c>
      <c r="AK214">
        <v>854.70085470085473</v>
      </c>
      <c r="AL214" t="s">
        <v>69</v>
      </c>
      <c r="AM214">
        <v>30525.673748964611</v>
      </c>
      <c r="AN214">
        <v>1566.9456102642021</v>
      </c>
      <c r="AO214">
        <v>66959.542417083663</v>
      </c>
      <c r="AP214">
        <v>64122.269177405651</v>
      </c>
      <c r="AQ214">
        <v>-2837.273239678012</v>
      </c>
      <c r="AR214">
        <v>3.4833215288002091E-3</v>
      </c>
      <c r="AS214">
        <v>120.032995820088</v>
      </c>
      <c r="AT214">
        <v>117.53308959086419</v>
      </c>
      <c r="AU214">
        <v>6.0332151981228757</v>
      </c>
      <c r="AV214">
        <v>257.81451910254083</v>
      </c>
      <c r="AW214">
        <v>246.89015777262421</v>
      </c>
      <c r="AX214">
        <v>-10.9243613299166</v>
      </c>
      <c r="AY214">
        <v>1.5712413913751311</v>
      </c>
      <c r="AZ214" t="str">
        <f>VLOOKUP(BA214,Sheet1!$A$1:$B$58,2,FALSE)</f>
        <v>Styrene</v>
      </c>
      <c r="BA214" t="s">
        <v>171</v>
      </c>
      <c r="BB214" t="s">
        <v>172</v>
      </c>
      <c r="BC214">
        <v>104.14832</v>
      </c>
      <c r="BD214">
        <v>5</v>
      </c>
      <c r="BE214">
        <v>145</v>
      </c>
      <c r="BF214" t="s">
        <v>184</v>
      </c>
      <c r="BG214">
        <v>4.6468125099183029</v>
      </c>
      <c r="BH214">
        <v>2.7788461538461599E-2</v>
      </c>
      <c r="BI214">
        <v>9.9728517733128602E-2</v>
      </c>
      <c r="BJ214">
        <v>90</v>
      </c>
      <c r="BK214">
        <v>2750.6916152029739</v>
      </c>
      <c r="BL214">
        <v>-121.7122196475876</v>
      </c>
      <c r="BM214">
        <v>12.85895021350227</v>
      </c>
      <c r="BN214">
        <v>2186.021536295385</v>
      </c>
      <c r="BO214">
        <v>564.67007890758896</v>
      </c>
    </row>
    <row r="215" spans="1:67" x14ac:dyDescent="0.25">
      <c r="A215" s="1">
        <v>213</v>
      </c>
      <c r="B215" t="s">
        <v>182</v>
      </c>
      <c r="C215" t="s">
        <v>179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67</v>
      </c>
      <c r="J215">
        <v>1.333</v>
      </c>
      <c r="K215">
        <v>500</v>
      </c>
      <c r="L215">
        <v>66.666666666666657</v>
      </c>
      <c r="N215" t="s">
        <v>183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25455.07868838236</v>
      </c>
      <c r="Z215">
        <v>127275393.4419118</v>
      </c>
      <c r="AA215">
        <v>169658099.4580684</v>
      </c>
      <c r="AB215">
        <v>169658.09945806841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69.665179944196936</v>
      </c>
      <c r="AI215">
        <v>69.665179944196936</v>
      </c>
      <c r="AJ215">
        <v>5513.888232387224</v>
      </c>
      <c r="AK215">
        <v>854.70085470085473</v>
      </c>
      <c r="AL215" t="s">
        <v>69</v>
      </c>
      <c r="AM215">
        <v>5399.0514456752626</v>
      </c>
      <c r="AN215">
        <v>277.14441397639592</v>
      </c>
      <c r="AO215">
        <v>11843.08059051348</v>
      </c>
      <c r="AP215">
        <v>12044.784946739739</v>
      </c>
      <c r="AQ215">
        <v>201.7043562262588</v>
      </c>
      <c r="AR215">
        <v>3.4833215288002091E-3</v>
      </c>
      <c r="AS215">
        <v>120.032995820088</v>
      </c>
      <c r="AT215">
        <v>117.53308959086419</v>
      </c>
      <c r="AU215">
        <v>6.0332151981228774</v>
      </c>
      <c r="AV215">
        <v>257.81451910254071</v>
      </c>
      <c r="AW215">
        <v>262.20546377305283</v>
      </c>
      <c r="AX215">
        <v>4.3909446705120603</v>
      </c>
      <c r="AY215">
        <v>1.5712413913751311</v>
      </c>
      <c r="AZ215" t="str">
        <f>VLOOKUP(BA215,Sheet1!$A$1:$B$58,2,FALSE)</f>
        <v>Succinate</v>
      </c>
      <c r="BA215" t="s">
        <v>173</v>
      </c>
      <c r="BB215" t="s">
        <v>174</v>
      </c>
      <c r="BC215">
        <v>116.07016</v>
      </c>
      <c r="BD215">
        <v>3</v>
      </c>
      <c r="BE215">
        <v>235</v>
      </c>
      <c r="BF215" t="s">
        <v>184</v>
      </c>
      <c r="BG215">
        <v>0.48281500796512422</v>
      </c>
      <c r="BH215">
        <v>0.14097560975609799</v>
      </c>
      <c r="BI215">
        <v>0.56385463750819398</v>
      </c>
      <c r="BJ215">
        <v>90</v>
      </c>
      <c r="BK215">
        <v>516.69239696205761</v>
      </c>
      <c r="BL215">
        <v>8.6526332979023639</v>
      </c>
      <c r="BM215">
        <v>2.6134152117769611</v>
      </c>
      <c r="BN215">
        <v>444.2805860020834</v>
      </c>
      <c r="BO215">
        <v>72.411810959974218</v>
      </c>
    </row>
    <row r="216" spans="1:67" x14ac:dyDescent="0.25">
      <c r="A216" s="1">
        <v>214</v>
      </c>
      <c r="B216" t="s">
        <v>185</v>
      </c>
      <c r="C216" t="s">
        <v>179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67</v>
      </c>
      <c r="J216">
        <v>1.333</v>
      </c>
      <c r="K216">
        <v>500</v>
      </c>
      <c r="L216">
        <v>50</v>
      </c>
      <c r="N216" t="s">
        <v>183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35073.655433740423</v>
      </c>
      <c r="Z216">
        <v>175368277.1687021</v>
      </c>
      <c r="AA216">
        <v>233765913.46587989</v>
      </c>
      <c r="AB216">
        <v>233765.91346587989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71.991896401231358</v>
      </c>
      <c r="AI216">
        <v>71.991896401231358</v>
      </c>
      <c r="AJ216">
        <v>7597.3921876410959</v>
      </c>
      <c r="AK216">
        <v>854.70085470085473</v>
      </c>
      <c r="AL216" t="s">
        <v>69</v>
      </c>
      <c r="AM216">
        <v>5579.3719710954301</v>
      </c>
      <c r="AN216">
        <v>381.86751650586808</v>
      </c>
      <c r="AO216">
        <v>12238.622388209331</v>
      </c>
      <c r="AP216">
        <v>14413.332529943251</v>
      </c>
      <c r="AQ216">
        <v>2174.7101417339181</v>
      </c>
      <c r="AR216">
        <v>4.6444287050669449E-3</v>
      </c>
      <c r="AS216">
        <v>154.66117560504921</v>
      </c>
      <c r="AT216">
        <v>113.5800557448126</v>
      </c>
      <c r="AU216">
        <v>7.7737304550702104</v>
      </c>
      <c r="AV216">
        <v>249.14334808539539</v>
      </c>
      <c r="AW216">
        <v>293.4142266729101</v>
      </c>
      <c r="AX216">
        <v>44.270878587514659</v>
      </c>
      <c r="AY216">
        <v>1.5712413913751311</v>
      </c>
      <c r="AZ216" t="str">
        <f>VLOOKUP(BA216,Sheet1!$A$1:$B$58,2,FALSE)</f>
        <v>1,3-Butanediol (PW1)</v>
      </c>
      <c r="BA216" t="s">
        <v>70</v>
      </c>
      <c r="BB216" t="s">
        <v>71</v>
      </c>
      <c r="BC216">
        <v>90.119200000000006</v>
      </c>
      <c r="BD216">
        <v>5.5</v>
      </c>
      <c r="BE216">
        <v>207</v>
      </c>
      <c r="BF216" t="s">
        <v>186</v>
      </c>
      <c r="BG216">
        <v>0.73252980496942355</v>
      </c>
      <c r="BH216">
        <v>0.18181818181818199</v>
      </c>
      <c r="BI216">
        <v>0.54563133835861</v>
      </c>
      <c r="BJ216">
        <v>90</v>
      </c>
      <c r="BK216">
        <v>597.50198438945665</v>
      </c>
      <c r="BL216">
        <v>90.152199184917478</v>
      </c>
      <c r="BM216">
        <v>2.467110035085303</v>
      </c>
      <c r="BN216">
        <v>419.40870596450162</v>
      </c>
      <c r="BO216">
        <v>178.09327842495509</v>
      </c>
    </row>
    <row r="217" spans="1:67" x14ac:dyDescent="0.25">
      <c r="A217" s="1">
        <v>215</v>
      </c>
      <c r="B217" t="s">
        <v>185</v>
      </c>
      <c r="C217" t="s">
        <v>179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67</v>
      </c>
      <c r="J217">
        <v>1.333</v>
      </c>
      <c r="K217">
        <v>500</v>
      </c>
      <c r="L217">
        <v>50</v>
      </c>
      <c r="N217" t="s">
        <v>183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35073.655433740343</v>
      </c>
      <c r="Z217">
        <v>175368277.16870171</v>
      </c>
      <c r="AA217">
        <v>233765913.46587941</v>
      </c>
      <c r="AB217">
        <v>233765.91346587939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71.991896401231216</v>
      </c>
      <c r="AI217">
        <v>71.991896401231216</v>
      </c>
      <c r="AJ217">
        <v>7597.3921876410805</v>
      </c>
      <c r="AK217">
        <v>854.70085470085473</v>
      </c>
      <c r="AL217" t="s">
        <v>69</v>
      </c>
      <c r="AM217">
        <v>5579.3719710954192</v>
      </c>
      <c r="AN217">
        <v>381.86751650586729</v>
      </c>
      <c r="AO217">
        <v>12238.622388209311</v>
      </c>
      <c r="AP217">
        <v>14413.33252994322</v>
      </c>
      <c r="AQ217">
        <v>2174.710141733914</v>
      </c>
      <c r="AR217">
        <v>4.644428705066944E-3</v>
      </c>
      <c r="AS217">
        <v>154.6611756050491</v>
      </c>
      <c r="AT217">
        <v>113.5800557448126</v>
      </c>
      <c r="AU217">
        <v>7.7737304550702078</v>
      </c>
      <c r="AV217">
        <v>249.14334808539539</v>
      </c>
      <c r="AW217">
        <v>293.4142266729101</v>
      </c>
      <c r="AX217">
        <v>44.270878587514659</v>
      </c>
      <c r="AY217">
        <v>1.57124139137513</v>
      </c>
      <c r="AZ217" t="str">
        <f>VLOOKUP(BA217,Sheet1!$A$1:$B$58,2,FALSE)</f>
        <v>1,3-Butanediol (PW2)</v>
      </c>
      <c r="BA217" t="s">
        <v>72</v>
      </c>
      <c r="BB217" t="s">
        <v>71</v>
      </c>
      <c r="BC217">
        <v>90.119200000000006</v>
      </c>
      <c r="BD217">
        <v>5.5</v>
      </c>
      <c r="BE217">
        <v>207</v>
      </c>
      <c r="BF217" t="s">
        <v>186</v>
      </c>
      <c r="BG217">
        <v>0.73252980496941833</v>
      </c>
      <c r="BH217">
        <v>0.18181818181818199</v>
      </c>
      <c r="BI217">
        <v>0.545631338358611</v>
      </c>
      <c r="BJ217">
        <v>90</v>
      </c>
      <c r="BK217">
        <v>597.50198438945552</v>
      </c>
      <c r="BL217">
        <v>90.152199184917293</v>
      </c>
      <c r="BM217">
        <v>2.467110035085303</v>
      </c>
      <c r="BN217">
        <v>419.40870596450151</v>
      </c>
      <c r="BO217">
        <v>178.09327842495409</v>
      </c>
    </row>
    <row r="218" spans="1:67" x14ac:dyDescent="0.25">
      <c r="A218" s="1">
        <v>216</v>
      </c>
      <c r="B218" t="s">
        <v>185</v>
      </c>
      <c r="C218" t="s">
        <v>179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67</v>
      </c>
      <c r="J218">
        <v>1.333</v>
      </c>
      <c r="K218">
        <v>500</v>
      </c>
      <c r="L218">
        <v>50</v>
      </c>
      <c r="N218" t="s">
        <v>183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53913.454101559139</v>
      </c>
      <c r="Z218">
        <v>269567270.50779569</v>
      </c>
      <c r="AA218">
        <v>359333171.58689171</v>
      </c>
      <c r="AB218">
        <v>359333.17158689158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110.6623120491226</v>
      </c>
      <c r="AI218">
        <v>110.6623120491226</v>
      </c>
      <c r="AJ218">
        <v>11678.32807657398</v>
      </c>
      <c r="AK218">
        <v>854.70085470085473</v>
      </c>
      <c r="AL218" t="s">
        <v>69</v>
      </c>
      <c r="AM218">
        <v>8576.3291838070054</v>
      </c>
      <c r="AN218">
        <v>586.98748588977401</v>
      </c>
      <c r="AO218">
        <v>18812.593048350849</v>
      </c>
      <c r="AP218">
        <v>21696.34560097161</v>
      </c>
      <c r="AQ218">
        <v>2883.7525526207651</v>
      </c>
      <c r="AR218">
        <v>4.644428705066944E-3</v>
      </c>
      <c r="AS218">
        <v>154.6611756050491</v>
      </c>
      <c r="AT218">
        <v>113.5800557448126</v>
      </c>
      <c r="AU218">
        <v>7.7737304550702078</v>
      </c>
      <c r="AV218">
        <v>249.14334808539539</v>
      </c>
      <c r="AW218">
        <v>287.33413678545321</v>
      </c>
      <c r="AX218">
        <v>38.190788700057702</v>
      </c>
      <c r="AY218">
        <v>1.5712413913751311</v>
      </c>
      <c r="AZ218" t="str">
        <f>VLOOKUP(BA218,Sheet1!$A$1:$B$58,2,FALSE)</f>
        <v>1,3-Diaminopropane</v>
      </c>
      <c r="BA218" t="s">
        <v>73</v>
      </c>
      <c r="BB218" t="s">
        <v>74</v>
      </c>
      <c r="BC218">
        <v>76.139580000000009</v>
      </c>
      <c r="BD218">
        <v>6</v>
      </c>
      <c r="BE218">
        <v>139.30000000000001</v>
      </c>
      <c r="BF218" t="s">
        <v>186</v>
      </c>
      <c r="BG218">
        <v>0.57801737283026766</v>
      </c>
      <c r="BH218">
        <v>0.14000000000000001</v>
      </c>
      <c r="BI218">
        <v>0.35496307692307699</v>
      </c>
      <c r="BJ218">
        <v>90</v>
      </c>
      <c r="BK218">
        <v>899.41791904464128</v>
      </c>
      <c r="BL218">
        <v>119.5454187364016</v>
      </c>
      <c r="BM218">
        <v>4.3403076071307387</v>
      </c>
      <c r="BN218">
        <v>737.85229321222562</v>
      </c>
      <c r="BO218">
        <v>161.56562583241569</v>
      </c>
    </row>
    <row r="219" spans="1:67" x14ac:dyDescent="0.25">
      <c r="A219" s="1">
        <v>217</v>
      </c>
      <c r="B219" t="s">
        <v>185</v>
      </c>
      <c r="C219" t="s">
        <v>179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67</v>
      </c>
      <c r="J219">
        <v>1.333</v>
      </c>
      <c r="K219">
        <v>500</v>
      </c>
      <c r="L219">
        <v>50</v>
      </c>
      <c r="N219" t="s">
        <v>183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30210.087376437281</v>
      </c>
      <c r="Z219">
        <v>151050436.88218641</v>
      </c>
      <c r="AA219">
        <v>201350232.36395451</v>
      </c>
      <c r="AB219">
        <v>201350.23236395451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62.008976645884808</v>
      </c>
      <c r="AI219">
        <v>62.008976645884808</v>
      </c>
      <c r="AJ219">
        <v>6543.8825518285212</v>
      </c>
      <c r="AK219">
        <v>854.70085470085473</v>
      </c>
      <c r="AL219" t="s">
        <v>69</v>
      </c>
      <c r="AM219">
        <v>4805.6956900560745</v>
      </c>
      <c r="AN219">
        <v>328.91499038813203</v>
      </c>
      <c r="AO219">
        <v>10541.52602980042</v>
      </c>
      <c r="AP219">
        <v>12533.194086973581</v>
      </c>
      <c r="AQ219">
        <v>1991.6680571731649</v>
      </c>
      <c r="AR219">
        <v>4.644428705066944E-3</v>
      </c>
      <c r="AS219">
        <v>154.6611756050491</v>
      </c>
      <c r="AT219">
        <v>113.5800557448126</v>
      </c>
      <c r="AU219">
        <v>7.7737304550702078</v>
      </c>
      <c r="AV219">
        <v>249.14334808539539</v>
      </c>
      <c r="AW219">
        <v>296.21536086951141</v>
      </c>
      <c r="AX219">
        <v>47.072012784116033</v>
      </c>
      <c r="AY219">
        <v>1.5712413913751311</v>
      </c>
      <c r="AZ219" t="str">
        <f>VLOOKUP(BA219,Sheet1!$A$1:$B$58,2,FALSE)</f>
        <v>1,3-Propanediol</v>
      </c>
      <c r="BA219" t="s">
        <v>75</v>
      </c>
      <c r="BB219" t="s">
        <v>76</v>
      </c>
      <c r="BC219">
        <v>76.092820000000003</v>
      </c>
      <c r="BD219">
        <v>5.333333333333333</v>
      </c>
      <c r="BE219">
        <v>213</v>
      </c>
      <c r="BF219" t="s">
        <v>186</v>
      </c>
      <c r="BG219">
        <v>0.57837257181426571</v>
      </c>
      <c r="BH219">
        <v>0.25</v>
      </c>
      <c r="BI219">
        <v>0.63347335997335996</v>
      </c>
      <c r="BJ219">
        <v>90</v>
      </c>
      <c r="BK219">
        <v>519.56119947608011</v>
      </c>
      <c r="BL219">
        <v>82.564224056707147</v>
      </c>
      <c r="BM219">
        <v>2.1775819457806151</v>
      </c>
      <c r="BN219">
        <v>370.18893078270457</v>
      </c>
      <c r="BO219">
        <v>149.3722686933755</v>
      </c>
    </row>
    <row r="220" spans="1:67" x14ac:dyDescent="0.25">
      <c r="A220" s="1">
        <v>218</v>
      </c>
      <c r="B220" t="s">
        <v>185</v>
      </c>
      <c r="C220" t="s">
        <v>179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67</v>
      </c>
      <c r="J220">
        <v>1.333</v>
      </c>
      <c r="K220">
        <v>500</v>
      </c>
      <c r="L220">
        <v>50</v>
      </c>
      <c r="N220" t="s">
        <v>183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69201.268213423682</v>
      </c>
      <c r="Z220">
        <v>346006341.06711841</v>
      </c>
      <c r="AA220">
        <v>461226452.64246881</v>
      </c>
      <c r="AB220">
        <v>461226.45264246879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142.04195343899249</v>
      </c>
      <c r="AI220">
        <v>142.04195343899249</v>
      </c>
      <c r="AJ220">
        <v>14989.859710880241</v>
      </c>
      <c r="AK220">
        <v>854.70085470085473</v>
      </c>
      <c r="AL220" t="s">
        <v>69</v>
      </c>
      <c r="AM220">
        <v>11008.251391521921</v>
      </c>
      <c r="AN220">
        <v>753.43491018889836</v>
      </c>
      <c r="AO220">
        <v>24147.132084628731</v>
      </c>
      <c r="AP220">
        <v>27606.246867291909</v>
      </c>
      <c r="AQ220">
        <v>3459.1147826631859</v>
      </c>
      <c r="AR220">
        <v>4.644428705066944E-3</v>
      </c>
      <c r="AS220">
        <v>154.6611756050491</v>
      </c>
      <c r="AT220">
        <v>113.5800557448126</v>
      </c>
      <c r="AU220">
        <v>7.7737304550702104</v>
      </c>
      <c r="AV220">
        <v>249.14334808539539</v>
      </c>
      <c r="AW220">
        <v>284.83352592282881</v>
      </c>
      <c r="AX220">
        <v>35.69017783743336</v>
      </c>
      <c r="AY220">
        <v>1.5712413913751311</v>
      </c>
      <c r="AZ220" t="str">
        <f>VLOOKUP(BA220,Sheet1!$A$1:$B$58,2,FALSE)</f>
        <v>1,4-Butanediol</v>
      </c>
      <c r="BA220" t="s">
        <v>77</v>
      </c>
      <c r="BB220" t="s">
        <v>71</v>
      </c>
      <c r="BC220">
        <v>90.119200000000006</v>
      </c>
      <c r="BD220">
        <v>5.5</v>
      </c>
      <c r="BE220">
        <v>230</v>
      </c>
      <c r="BF220" t="s">
        <v>186</v>
      </c>
      <c r="BG220">
        <v>0.73252980496941933</v>
      </c>
      <c r="BH220">
        <v>9.2151898734177007E-2</v>
      </c>
      <c r="BI220">
        <v>0.27654530111239001</v>
      </c>
      <c r="BJ220">
        <v>90</v>
      </c>
      <c r="BK220">
        <v>1144.4117625458739</v>
      </c>
      <c r="BL220">
        <v>143.3969515778804</v>
      </c>
      <c r="BM220">
        <v>5.5804459034302472</v>
      </c>
      <c r="BN220">
        <v>948.67580358314206</v>
      </c>
      <c r="BO220">
        <v>195.7359589627321</v>
      </c>
    </row>
    <row r="221" spans="1:67" x14ac:dyDescent="0.25">
      <c r="A221" s="1">
        <v>219</v>
      </c>
      <c r="B221" t="s">
        <v>185</v>
      </c>
      <c r="C221" t="s">
        <v>179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67</v>
      </c>
      <c r="J221">
        <v>1.333</v>
      </c>
      <c r="K221">
        <v>500</v>
      </c>
      <c r="L221">
        <v>50</v>
      </c>
      <c r="N221" t="s">
        <v>183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69622.617676130132</v>
      </c>
      <c r="Z221">
        <v>348113088.38065058</v>
      </c>
      <c r="AA221">
        <v>464034746.81140733</v>
      </c>
      <c r="AB221">
        <v>464034.74681140733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142.906811877406</v>
      </c>
      <c r="AI221">
        <v>142.906811877406</v>
      </c>
      <c r="AJ221">
        <v>15081.129271370741</v>
      </c>
      <c r="AK221">
        <v>854.70085470085473</v>
      </c>
      <c r="AL221" t="s">
        <v>69</v>
      </c>
      <c r="AM221">
        <v>11075.277920498969</v>
      </c>
      <c r="AN221">
        <v>758.02238962082572</v>
      </c>
      <c r="AO221">
        <v>24294.158019159018</v>
      </c>
      <c r="AP221">
        <v>27769.130436191379</v>
      </c>
      <c r="AQ221">
        <v>3474.9724170323639</v>
      </c>
      <c r="AR221">
        <v>4.644428705066944E-3</v>
      </c>
      <c r="AS221">
        <v>154.6611756050491</v>
      </c>
      <c r="AT221">
        <v>113.5800557448126</v>
      </c>
      <c r="AU221">
        <v>7.7737304550702078</v>
      </c>
      <c r="AV221">
        <v>249.14334808539539</v>
      </c>
      <c r="AW221">
        <v>284.78015681122469</v>
      </c>
      <c r="AX221">
        <v>35.63680872582929</v>
      </c>
      <c r="AY221">
        <v>1.57124139137513</v>
      </c>
      <c r="AZ221" t="str">
        <f>VLOOKUP(BA221,Sheet1!$A$1:$B$58,2,FALSE)</f>
        <v>1-Propanol (PW1)</v>
      </c>
      <c r="BA221" t="s">
        <v>78</v>
      </c>
      <c r="BB221" t="s">
        <v>79</v>
      </c>
      <c r="BC221">
        <v>60.093820000000001</v>
      </c>
      <c r="BD221">
        <v>6</v>
      </c>
      <c r="BE221">
        <v>97</v>
      </c>
      <c r="BF221" t="s">
        <v>186</v>
      </c>
      <c r="BG221">
        <v>1.0985322617200901</v>
      </c>
      <c r="BH221">
        <v>0.13735849056603799</v>
      </c>
      <c r="BI221">
        <v>0.27487167524299599</v>
      </c>
      <c r="BJ221">
        <v>90</v>
      </c>
      <c r="BK221">
        <v>1151.164070205444</v>
      </c>
      <c r="BL221">
        <v>144.0543268228918</v>
      </c>
      <c r="BM221">
        <v>5.252881599497953</v>
      </c>
      <c r="BN221">
        <v>892.98987191465199</v>
      </c>
      <c r="BO221">
        <v>258.17419829079222</v>
      </c>
    </row>
    <row r="222" spans="1:67" x14ac:dyDescent="0.25">
      <c r="A222" s="1">
        <v>220</v>
      </c>
      <c r="B222" t="s">
        <v>185</v>
      </c>
      <c r="C222" t="s">
        <v>179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67</v>
      </c>
      <c r="J222">
        <v>1.333</v>
      </c>
      <c r="K222">
        <v>500</v>
      </c>
      <c r="L222">
        <v>50</v>
      </c>
      <c r="N222" t="s">
        <v>183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43349.931760609346</v>
      </c>
      <c r="Z222">
        <v>216749658.8030467</v>
      </c>
      <c r="AA222">
        <v>288927295.1844613</v>
      </c>
      <c r="AB222">
        <v>288927.29518446128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88.979713055743403</v>
      </c>
      <c r="AI222">
        <v>88.979713055743403</v>
      </c>
      <c r="AJ222">
        <v>9390.1370934949919</v>
      </c>
      <c r="AK222">
        <v>854.70085470085473</v>
      </c>
      <c r="AL222" t="s">
        <v>69</v>
      </c>
      <c r="AM222">
        <v>6895.927761820114</v>
      </c>
      <c r="AN222">
        <v>471.97620485825018</v>
      </c>
      <c r="AO222">
        <v>15126.55121947638</v>
      </c>
      <c r="AP222">
        <v>17612.741914874208</v>
      </c>
      <c r="AQ222">
        <v>2486.1906953978341</v>
      </c>
      <c r="AR222">
        <v>4.644428705066944E-3</v>
      </c>
      <c r="AS222">
        <v>154.6611756050491</v>
      </c>
      <c r="AT222">
        <v>113.5800557448126</v>
      </c>
      <c r="AU222">
        <v>7.7737304550702078</v>
      </c>
      <c r="AV222">
        <v>249.14334808539539</v>
      </c>
      <c r="AW222">
        <v>290.09239620897802</v>
      </c>
      <c r="AX222">
        <v>40.949048123582543</v>
      </c>
      <c r="AY222">
        <v>1.5712413913751311</v>
      </c>
      <c r="AZ222" t="str">
        <f>VLOOKUP(BA222,Sheet1!$A$1:$B$58,2,FALSE)</f>
        <v>1-Propanol (PW2)</v>
      </c>
      <c r="BA222" t="s">
        <v>80</v>
      </c>
      <c r="BB222" t="s">
        <v>79</v>
      </c>
      <c r="BC222">
        <v>60.093820000000001</v>
      </c>
      <c r="BD222">
        <v>6</v>
      </c>
      <c r="BE222">
        <v>97</v>
      </c>
      <c r="BF222" t="s">
        <v>186</v>
      </c>
      <c r="BG222">
        <v>1.098532261720089</v>
      </c>
      <c r="BH222">
        <v>0.220606060606061</v>
      </c>
      <c r="BI222">
        <v>0.44146056932965999</v>
      </c>
      <c r="BJ222">
        <v>90</v>
      </c>
      <c r="BK222">
        <v>730.13289763586249</v>
      </c>
      <c r="BL222">
        <v>103.06456685049911</v>
      </c>
      <c r="BM222">
        <v>2.856121651868508</v>
      </c>
      <c r="BN222">
        <v>485.54068081764632</v>
      </c>
      <c r="BO222">
        <v>244.5922168182162</v>
      </c>
    </row>
    <row r="223" spans="1:67" x14ac:dyDescent="0.25">
      <c r="A223" s="1">
        <v>221</v>
      </c>
      <c r="B223" t="s">
        <v>185</v>
      </c>
      <c r="C223" t="s">
        <v>179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67</v>
      </c>
      <c r="J223">
        <v>1.333</v>
      </c>
      <c r="K223">
        <v>500</v>
      </c>
      <c r="L223">
        <v>50</v>
      </c>
      <c r="N223" t="s">
        <v>183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35073.655433740343</v>
      </c>
      <c r="Z223">
        <v>175368277.16870171</v>
      </c>
      <c r="AA223">
        <v>233765913.46587941</v>
      </c>
      <c r="AB223">
        <v>233765.91346587939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71.991896401231216</v>
      </c>
      <c r="AI223">
        <v>71.991896401231216</v>
      </c>
      <c r="AJ223">
        <v>7597.3921876410805</v>
      </c>
      <c r="AK223">
        <v>854.70085470085473</v>
      </c>
      <c r="AL223" t="s">
        <v>69</v>
      </c>
      <c r="AM223">
        <v>5579.3719710954192</v>
      </c>
      <c r="AN223">
        <v>381.86751650586729</v>
      </c>
      <c r="AO223">
        <v>12238.622388209311</v>
      </c>
      <c r="AP223">
        <v>14413.33252994322</v>
      </c>
      <c r="AQ223">
        <v>2174.710141733914</v>
      </c>
      <c r="AR223">
        <v>4.644428705066944E-3</v>
      </c>
      <c r="AS223">
        <v>154.6611756050491</v>
      </c>
      <c r="AT223">
        <v>113.5800557448126</v>
      </c>
      <c r="AU223">
        <v>7.7737304550702078</v>
      </c>
      <c r="AV223">
        <v>249.14334808539539</v>
      </c>
      <c r="AW223">
        <v>293.4142266729101</v>
      </c>
      <c r="AX223">
        <v>44.270878587514659</v>
      </c>
      <c r="AY223">
        <v>1.57124139137513</v>
      </c>
      <c r="AZ223" t="str">
        <f>VLOOKUP(BA223,Sheet1!$A$1:$B$58,2,FALSE)</f>
        <v>2,3-Butanediol</v>
      </c>
      <c r="BA223" t="s">
        <v>81</v>
      </c>
      <c r="BB223" t="s">
        <v>71</v>
      </c>
      <c r="BC223">
        <v>90.119200000000006</v>
      </c>
      <c r="BD223">
        <v>5.5</v>
      </c>
      <c r="BE223">
        <v>177</v>
      </c>
      <c r="BF223" t="s">
        <v>186</v>
      </c>
      <c r="BG223">
        <v>0.73252980496941833</v>
      </c>
      <c r="BH223">
        <v>0.18181818181818199</v>
      </c>
      <c r="BI223">
        <v>0.545631338358611</v>
      </c>
      <c r="BJ223">
        <v>90</v>
      </c>
      <c r="BK223">
        <v>597.50198438945552</v>
      </c>
      <c r="BL223">
        <v>90.152199184917293</v>
      </c>
      <c r="BM223">
        <v>2.467110035085303</v>
      </c>
      <c r="BN223">
        <v>419.40870596450151</v>
      </c>
      <c r="BO223">
        <v>178.09327842495409</v>
      </c>
    </row>
    <row r="224" spans="1:67" x14ac:dyDescent="0.25">
      <c r="A224" s="1">
        <v>222</v>
      </c>
      <c r="B224" t="s">
        <v>185</v>
      </c>
      <c r="C224" t="s">
        <v>179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67</v>
      </c>
      <c r="J224">
        <v>1.333</v>
      </c>
      <c r="K224">
        <v>500</v>
      </c>
      <c r="L224">
        <v>50</v>
      </c>
      <c r="N224" t="s">
        <v>183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49256.269050830633</v>
      </c>
      <c r="Z224">
        <v>246281345.25415319</v>
      </c>
      <c r="AA224">
        <v>328293033.22378618</v>
      </c>
      <c r="AB224">
        <v>328293.03322378622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101.10301235403369</v>
      </c>
      <c r="AI224">
        <v>101.10301235403369</v>
      </c>
      <c r="AJ224">
        <v>10669.523579773049</v>
      </c>
      <c r="AK224">
        <v>854.70085470085473</v>
      </c>
      <c r="AL224" t="s">
        <v>69</v>
      </c>
      <c r="AM224">
        <v>7835.48345743761</v>
      </c>
      <c r="AN224">
        <v>536.28197295600887</v>
      </c>
      <c r="AO224">
        <v>17187.51210018573</v>
      </c>
      <c r="AP224">
        <v>19895.98986486753</v>
      </c>
      <c r="AQ224">
        <v>2708.4777646818002</v>
      </c>
      <c r="AR224">
        <v>4.6444287050669449E-3</v>
      </c>
      <c r="AS224">
        <v>154.66117560504921</v>
      </c>
      <c r="AT224">
        <v>113.5800557448126</v>
      </c>
      <c r="AU224">
        <v>7.7737304550702104</v>
      </c>
      <c r="AV224">
        <v>249.14334808539539</v>
      </c>
      <c r="AW224">
        <v>288.40436588566098</v>
      </c>
      <c r="AX224">
        <v>39.261017800265513</v>
      </c>
      <c r="AY224">
        <v>1.5712413913751311</v>
      </c>
      <c r="AZ224" t="str">
        <f>VLOOKUP(BA224,Sheet1!$A$1:$B$58,2,FALSE)</f>
        <v>2-Methyl-1-Butanol</v>
      </c>
      <c r="BA224" t="s">
        <v>82</v>
      </c>
      <c r="BB224" t="s">
        <v>83</v>
      </c>
      <c r="BC224">
        <v>88.14658</v>
      </c>
      <c r="BD224">
        <v>6</v>
      </c>
      <c r="BE224">
        <v>129</v>
      </c>
      <c r="BF224" t="s">
        <v>186</v>
      </c>
      <c r="BG224">
        <v>1.248204978570929</v>
      </c>
      <c r="BH224">
        <v>0.13236363636363599</v>
      </c>
      <c r="BI224">
        <v>0.388524870523416</v>
      </c>
      <c r="BJ224">
        <v>90</v>
      </c>
      <c r="BK224">
        <v>824.78451121238845</v>
      </c>
      <c r="BL224">
        <v>112.2794354261988</v>
      </c>
      <c r="BM224">
        <v>3.2452622371639022</v>
      </c>
      <c r="BN224">
        <v>551.69458031786326</v>
      </c>
      <c r="BO224">
        <v>273.0899308945252</v>
      </c>
    </row>
    <row r="225" spans="1:67" x14ac:dyDescent="0.25">
      <c r="A225" s="1">
        <v>223</v>
      </c>
      <c r="B225" t="s">
        <v>185</v>
      </c>
      <c r="C225" t="s">
        <v>179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67</v>
      </c>
      <c r="J225">
        <v>1.333</v>
      </c>
      <c r="K225">
        <v>500</v>
      </c>
      <c r="L225">
        <v>50</v>
      </c>
      <c r="N225" t="s">
        <v>183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60264.688695159552</v>
      </c>
      <c r="Z225">
        <v>301323443.47579777</v>
      </c>
      <c r="AA225">
        <v>401664150.15323842</v>
      </c>
      <c r="AB225">
        <v>401664.15015323838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123.6988038897348</v>
      </c>
      <c r="AI225">
        <v>123.6988038897348</v>
      </c>
      <c r="AJ225">
        <v>13054.08487998025</v>
      </c>
      <c r="AK225">
        <v>854.70085470085473</v>
      </c>
      <c r="AL225" t="s">
        <v>69</v>
      </c>
      <c r="AM225">
        <v>9586.6573014544447</v>
      </c>
      <c r="AN225">
        <v>656.13711261135074</v>
      </c>
      <c r="AO225">
        <v>21028.79666125491</v>
      </c>
      <c r="AP225">
        <v>24151.5801487469</v>
      </c>
      <c r="AQ225">
        <v>3122.7834874919899</v>
      </c>
      <c r="AR225">
        <v>4.644428705066944E-3</v>
      </c>
      <c r="AS225">
        <v>154.6611756050491</v>
      </c>
      <c r="AT225">
        <v>113.5800557448126</v>
      </c>
      <c r="AU225">
        <v>7.7737304550702104</v>
      </c>
      <c r="AV225">
        <v>249.14334808539539</v>
      </c>
      <c r="AW225">
        <v>286.14122038177032</v>
      </c>
      <c r="AX225">
        <v>36.997872296374787</v>
      </c>
      <c r="AY225">
        <v>1.5712413913751311</v>
      </c>
      <c r="AZ225" t="str">
        <f>VLOOKUP(BA225,Sheet1!$A$1:$B$58,2,FALSE)</f>
        <v>3-Methyl-1-Pentanol</v>
      </c>
      <c r="BA225" t="s">
        <v>87</v>
      </c>
      <c r="BB225" t="s">
        <v>88</v>
      </c>
      <c r="BC225">
        <v>102.17296</v>
      </c>
      <c r="BD225">
        <v>6</v>
      </c>
      <c r="BE225">
        <v>153</v>
      </c>
      <c r="BF225" t="s">
        <v>186</v>
      </c>
      <c r="BG225">
        <v>1.292220564031815</v>
      </c>
      <c r="BH225">
        <v>9.3333333333333005E-2</v>
      </c>
      <c r="BI225">
        <v>0.31755387723387701</v>
      </c>
      <c r="BJ225">
        <v>90</v>
      </c>
      <c r="BK225">
        <v>1001.199204627946</v>
      </c>
      <c r="BL225">
        <v>129.45440110528261</v>
      </c>
      <c r="BM225">
        <v>4.2055040532897312</v>
      </c>
      <c r="BN225">
        <v>714.93568905925429</v>
      </c>
      <c r="BO225">
        <v>286.26351556869167</v>
      </c>
    </row>
    <row r="226" spans="1:67" x14ac:dyDescent="0.25">
      <c r="A226" s="1">
        <v>224</v>
      </c>
      <c r="B226" t="s">
        <v>185</v>
      </c>
      <c r="C226" t="s">
        <v>179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67</v>
      </c>
      <c r="J226">
        <v>1.333</v>
      </c>
      <c r="K226">
        <v>500</v>
      </c>
      <c r="L226">
        <v>50</v>
      </c>
      <c r="N226" t="s">
        <v>183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138634.92681581739</v>
      </c>
      <c r="Z226">
        <v>693174634.0790869</v>
      </c>
      <c r="AA226">
        <v>924001787.22742283</v>
      </c>
      <c r="AB226">
        <v>924001.78722742281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284.560909477243</v>
      </c>
      <c r="AI226">
        <v>284.560909477243</v>
      </c>
      <c r="AJ226">
        <v>30030.05808489124</v>
      </c>
      <c r="AK226">
        <v>854.70085470085473</v>
      </c>
      <c r="AL226" t="s">
        <v>69</v>
      </c>
      <c r="AM226">
        <v>22053.47048448633</v>
      </c>
      <c r="AN226">
        <v>1509.3999912310589</v>
      </c>
      <c r="AO226">
        <v>48375.354611131312</v>
      </c>
      <c r="AP226">
        <v>54447.629415309493</v>
      </c>
      <c r="AQ226">
        <v>6072.2748041781824</v>
      </c>
      <c r="AR226">
        <v>4.644428705066944E-3</v>
      </c>
      <c r="AS226">
        <v>154.6611756050491</v>
      </c>
      <c r="AT226">
        <v>113.5800557448126</v>
      </c>
      <c r="AU226">
        <v>7.7737304550702078</v>
      </c>
      <c r="AV226">
        <v>249.14334808539539</v>
      </c>
      <c r="AW226">
        <v>280.41685269055711</v>
      </c>
      <c r="AX226">
        <v>31.27350460516163</v>
      </c>
      <c r="AY226">
        <v>1.5712413913751311</v>
      </c>
      <c r="AZ226" t="str">
        <f>VLOOKUP(BA226,Sheet1!$A$1:$B$58,2,FALSE)</f>
        <v>4-Hydroxystyrene</v>
      </c>
      <c r="BA226" t="s">
        <v>89</v>
      </c>
      <c r="BB226" t="s">
        <v>90</v>
      </c>
      <c r="BC226">
        <v>120.14731999999999</v>
      </c>
      <c r="BD226">
        <v>4.75</v>
      </c>
      <c r="BE226">
        <v>229</v>
      </c>
      <c r="BF226" t="s">
        <v>186</v>
      </c>
      <c r="BG226">
        <v>0.54945045798774583</v>
      </c>
      <c r="BH226">
        <v>3.4502369668246997E-2</v>
      </c>
      <c r="BI226">
        <v>0.13804086744219399</v>
      </c>
      <c r="BJ226">
        <v>90</v>
      </c>
      <c r="BK226">
        <v>2257.1162188455569</v>
      </c>
      <c r="BL226">
        <v>251.7250079200698</v>
      </c>
      <c r="BM226">
        <v>12.09770107433417</v>
      </c>
      <c r="BN226">
        <v>2056.6091826368079</v>
      </c>
      <c r="BO226">
        <v>200.50703620874901</v>
      </c>
    </row>
    <row r="227" spans="1:67" x14ac:dyDescent="0.25">
      <c r="A227" s="1">
        <v>225</v>
      </c>
      <c r="B227" t="s">
        <v>185</v>
      </c>
      <c r="C227" t="s">
        <v>179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67</v>
      </c>
      <c r="J227">
        <v>1.333</v>
      </c>
      <c r="K227">
        <v>500</v>
      </c>
      <c r="L227">
        <v>50</v>
      </c>
      <c r="N227" t="s">
        <v>183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39580.653597369237</v>
      </c>
      <c r="Z227">
        <v>197903267.98684621</v>
      </c>
      <c r="AA227">
        <v>263805056.22646591</v>
      </c>
      <c r="AB227">
        <v>263805.05622646603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81.242923728265339</v>
      </c>
      <c r="AI227">
        <v>81.242923728265339</v>
      </c>
      <c r="AJ227">
        <v>8573.6643273601439</v>
      </c>
      <c r="AK227">
        <v>854.70085470085473</v>
      </c>
      <c r="AL227" t="s">
        <v>69</v>
      </c>
      <c r="AM227">
        <v>6296.3265889405639</v>
      </c>
      <c r="AN227">
        <v>430.93785646210188</v>
      </c>
      <c r="AO227">
        <v>13811.297033805109</v>
      </c>
      <c r="AP227">
        <v>16155.629627463661</v>
      </c>
      <c r="AQ227">
        <v>2344.332593658557</v>
      </c>
      <c r="AR227">
        <v>4.644428705066944E-3</v>
      </c>
      <c r="AS227">
        <v>154.6611756050491</v>
      </c>
      <c r="AT227">
        <v>113.5800557448126</v>
      </c>
      <c r="AU227">
        <v>7.7737304550702104</v>
      </c>
      <c r="AV227">
        <v>249.14334808539539</v>
      </c>
      <c r="AW227">
        <v>291.43299474060859</v>
      </c>
      <c r="AX227">
        <v>42.289646655213197</v>
      </c>
      <c r="AY227">
        <v>1.57124139137513</v>
      </c>
      <c r="AZ227" t="str">
        <f>VLOOKUP(BA227,Sheet1!$A$1:$B$58,2,FALSE)</f>
        <v>Acetone</v>
      </c>
      <c r="BA227" t="s">
        <v>93</v>
      </c>
      <c r="BB227" t="s">
        <v>94</v>
      </c>
      <c r="BC227">
        <v>58.078139999999998</v>
      </c>
      <c r="BD227">
        <v>5.333333333333333</v>
      </c>
      <c r="BE227">
        <v>56</v>
      </c>
      <c r="BF227" t="s">
        <v>186</v>
      </c>
      <c r="BG227">
        <v>0.75777220138248214</v>
      </c>
      <c r="BH227">
        <v>0.25</v>
      </c>
      <c r="BI227">
        <v>0.48350099900099902</v>
      </c>
      <c r="BJ227">
        <v>90</v>
      </c>
      <c r="BK227">
        <v>669.72858229814562</v>
      </c>
      <c r="BL227">
        <v>97.183865970612274</v>
      </c>
      <c r="BM227">
        <v>2.8530244087626451</v>
      </c>
      <c r="BN227">
        <v>485.01414948964958</v>
      </c>
      <c r="BO227">
        <v>184.71443280849601</v>
      </c>
    </row>
    <row r="228" spans="1:67" x14ac:dyDescent="0.25">
      <c r="A228" s="1">
        <v>226</v>
      </c>
      <c r="B228" t="s">
        <v>185</v>
      </c>
      <c r="C228" t="s">
        <v>179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67</v>
      </c>
      <c r="J228">
        <v>1.333</v>
      </c>
      <c r="K228">
        <v>500</v>
      </c>
      <c r="L228">
        <v>50</v>
      </c>
      <c r="N228" t="s">
        <v>183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95546.884884858999</v>
      </c>
      <c r="Z228">
        <v>477734424.42429501</v>
      </c>
      <c r="AA228">
        <v>636819987.75758529</v>
      </c>
      <c r="AB228">
        <v>636819.98775758524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196.11874932984659</v>
      </c>
      <c r="AI228">
        <v>196.11874932984659</v>
      </c>
      <c r="AJ228">
        <v>20696.649602121521</v>
      </c>
      <c r="AK228">
        <v>854.70085470085473</v>
      </c>
      <c r="AL228" t="s">
        <v>69</v>
      </c>
      <c r="AM228">
        <v>15199.20307306311</v>
      </c>
      <c r="AN228">
        <v>1040.275134987894</v>
      </c>
      <c r="AO228">
        <v>33340.187386073922</v>
      </c>
      <c r="AP228">
        <v>37790.828664873377</v>
      </c>
      <c r="AQ228">
        <v>4450.6412787994559</v>
      </c>
      <c r="AR228">
        <v>4.644428705066944E-3</v>
      </c>
      <c r="AS228">
        <v>154.6611756050491</v>
      </c>
      <c r="AT228">
        <v>113.5800557448126</v>
      </c>
      <c r="AU228">
        <v>7.7737304550702104</v>
      </c>
      <c r="AV228">
        <v>249.14334808539539</v>
      </c>
      <c r="AW228">
        <v>282.40193948102518</v>
      </c>
      <c r="AX228">
        <v>33.25859139562975</v>
      </c>
      <c r="AY228">
        <v>1.5712413913751311</v>
      </c>
      <c r="AZ228" t="str">
        <f>VLOOKUP(BA228,Sheet1!$A$1:$B$58,2,FALSE)</f>
        <v>Acrylate (PW1)</v>
      </c>
      <c r="BA228" t="s">
        <v>95</v>
      </c>
      <c r="BB228" t="s">
        <v>96</v>
      </c>
      <c r="BC228">
        <v>71.053619999999995</v>
      </c>
      <c r="BD228">
        <v>3.666666666666667</v>
      </c>
      <c r="BE228">
        <v>80</v>
      </c>
      <c r="BF228" t="s">
        <v>186</v>
      </c>
      <c r="BG228">
        <v>0</v>
      </c>
      <c r="BH228">
        <v>8.4651162790697704E-2</v>
      </c>
      <c r="BI228">
        <v>0.20029209302325601</v>
      </c>
      <c r="BJ228">
        <v>90</v>
      </c>
      <c r="BK228">
        <v>1566.611682071052</v>
      </c>
      <c r="BL228">
        <v>184.50049566009511</v>
      </c>
      <c r="BM228">
        <v>8.7163888591042937</v>
      </c>
      <c r="BN228">
        <v>1481.7861060477301</v>
      </c>
      <c r="BO228">
        <v>84.825576023322128</v>
      </c>
    </row>
    <row r="229" spans="1:67" x14ac:dyDescent="0.25">
      <c r="A229" s="1">
        <v>227</v>
      </c>
      <c r="B229" t="s">
        <v>185</v>
      </c>
      <c r="C229" t="s">
        <v>179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67</v>
      </c>
      <c r="J229">
        <v>1.333</v>
      </c>
      <c r="K229">
        <v>500</v>
      </c>
      <c r="L229">
        <v>50</v>
      </c>
      <c r="N229" t="s">
        <v>183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37774.34983820012</v>
      </c>
      <c r="Z229">
        <v>188871749.19100061</v>
      </c>
      <c r="AA229">
        <v>251766041.6716038</v>
      </c>
      <c r="AB229">
        <v>251766.0416716038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77.5353195024976</v>
      </c>
      <c r="AI229">
        <v>77.5353195024976</v>
      </c>
      <c r="AJ229">
        <v>8182.3963543271238</v>
      </c>
      <c r="AK229">
        <v>854.70085470085473</v>
      </c>
      <c r="AL229" t="s">
        <v>69</v>
      </c>
      <c r="AM229">
        <v>6008.9872614435644</v>
      </c>
      <c r="AN229">
        <v>411.27156499521431</v>
      </c>
      <c r="AO229">
        <v>13181.00431542459</v>
      </c>
      <c r="AP229">
        <v>15457.356035466761</v>
      </c>
      <c r="AQ229">
        <v>2276.351720042167</v>
      </c>
      <c r="AR229">
        <v>4.644428705066944E-3</v>
      </c>
      <c r="AS229">
        <v>154.6611756050491</v>
      </c>
      <c r="AT229">
        <v>113.5800557448126</v>
      </c>
      <c r="AU229">
        <v>7.7737304550702078</v>
      </c>
      <c r="AV229">
        <v>249.14334808539539</v>
      </c>
      <c r="AW229">
        <v>292.17025827975613</v>
      </c>
      <c r="AX229">
        <v>43.02691019436061</v>
      </c>
      <c r="AY229">
        <v>1.5712413913751311</v>
      </c>
      <c r="AZ229" t="str">
        <f>VLOOKUP(BA229,Sheet1!$A$1:$B$58,2,FALSE)</f>
        <v>Acrylate (PW2)</v>
      </c>
      <c r="BA229" t="s">
        <v>97</v>
      </c>
      <c r="BB229" t="s">
        <v>96</v>
      </c>
      <c r="BC229">
        <v>71.053619999999995</v>
      </c>
      <c r="BD229">
        <v>3.666666666666667</v>
      </c>
      <c r="BE229">
        <v>80</v>
      </c>
      <c r="BF229" t="s">
        <v>186</v>
      </c>
      <c r="BG229">
        <v>0</v>
      </c>
      <c r="BH229">
        <v>0.214117647058824</v>
      </c>
      <c r="BI229">
        <v>0.50662117647058802</v>
      </c>
      <c r="BJ229">
        <v>90</v>
      </c>
      <c r="BK229">
        <v>640.78178210477301</v>
      </c>
      <c r="BL229">
        <v>94.365731663231202</v>
      </c>
      <c r="BM229">
        <v>3.446014200111005</v>
      </c>
      <c r="BN229">
        <v>585.82241401887086</v>
      </c>
      <c r="BO229">
        <v>54.959368085902163</v>
      </c>
    </row>
    <row r="230" spans="1:67" x14ac:dyDescent="0.25">
      <c r="A230" s="1">
        <v>228</v>
      </c>
      <c r="B230" t="s">
        <v>185</v>
      </c>
      <c r="C230" t="s">
        <v>179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67</v>
      </c>
      <c r="J230">
        <v>1.333</v>
      </c>
      <c r="K230">
        <v>500</v>
      </c>
      <c r="L230">
        <v>50</v>
      </c>
      <c r="N230" t="s">
        <v>183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140137.77423545069</v>
      </c>
      <c r="Z230">
        <v>700688871.17725325</v>
      </c>
      <c r="AA230">
        <v>934018265.27927852</v>
      </c>
      <c r="AB230">
        <v>934018.26527927851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287.64564171866817</v>
      </c>
      <c r="AI230">
        <v>287.64564171866817</v>
      </c>
      <c r="AJ230">
        <v>30355.593621576551</v>
      </c>
      <c r="AK230">
        <v>854.70085470085473</v>
      </c>
      <c r="AL230" t="s">
        <v>69</v>
      </c>
      <c r="AM230">
        <v>22292.537233196781</v>
      </c>
      <c r="AN230">
        <v>1525.7623750409471</v>
      </c>
      <c r="AO230">
        <v>48899.75909217359</v>
      </c>
      <c r="AP230">
        <v>55028.594084515127</v>
      </c>
      <c r="AQ230">
        <v>6128.8349923415444</v>
      </c>
      <c r="AR230">
        <v>4.644428705066944E-3</v>
      </c>
      <c r="AS230">
        <v>154.6611756050491</v>
      </c>
      <c r="AT230">
        <v>113.5800557448126</v>
      </c>
      <c r="AU230">
        <v>7.7737304550702104</v>
      </c>
      <c r="AV230">
        <v>249.14334808539539</v>
      </c>
      <c r="AW230">
        <v>280.36964650082649</v>
      </c>
      <c r="AX230">
        <v>31.226298415431032</v>
      </c>
      <c r="AY230">
        <v>1.57124139137513</v>
      </c>
      <c r="AZ230" t="str">
        <f>VLOOKUP(BA230,Sheet1!$A$1:$B$58,2,FALSE)</f>
        <v>Benzoate (PW1)</v>
      </c>
      <c r="BA230" t="s">
        <v>100</v>
      </c>
      <c r="BB230" t="s">
        <v>101</v>
      </c>
      <c r="BC230">
        <v>121.1121</v>
      </c>
      <c r="BD230">
        <v>4.1428571428571432</v>
      </c>
      <c r="BE230">
        <v>249.2</v>
      </c>
      <c r="BF230" t="s">
        <v>186</v>
      </c>
      <c r="BG230">
        <v>0.18169117701699661</v>
      </c>
      <c r="BH230">
        <v>3.3860465116279E-2</v>
      </c>
      <c r="BI230">
        <v>0.13656050739957701</v>
      </c>
      <c r="BJ230">
        <v>90</v>
      </c>
      <c r="BK230">
        <v>2281.199999746982</v>
      </c>
      <c r="BL230">
        <v>254.06969986378479</v>
      </c>
      <c r="BM230">
        <v>12.60255956603492</v>
      </c>
      <c r="BN230">
        <v>2142.435126225937</v>
      </c>
      <c r="BO230">
        <v>138.76487352104499</v>
      </c>
    </row>
    <row r="231" spans="1:67" x14ac:dyDescent="0.25">
      <c r="A231" s="1">
        <v>229</v>
      </c>
      <c r="B231" t="s">
        <v>185</v>
      </c>
      <c r="C231" t="s">
        <v>179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67</v>
      </c>
      <c r="J231">
        <v>1.333</v>
      </c>
      <c r="K231">
        <v>500</v>
      </c>
      <c r="L231">
        <v>50</v>
      </c>
      <c r="N231" t="s">
        <v>183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150566.6318529729</v>
      </c>
      <c r="Z231">
        <v>752833159.26486444</v>
      </c>
      <c r="AA231">
        <v>1003526601.300064</v>
      </c>
      <c r="AB231">
        <v>1003526.601300064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309.05182900936052</v>
      </c>
      <c r="AI231">
        <v>309.05182900936052</v>
      </c>
      <c r="AJ231">
        <v>32614.614542252089</v>
      </c>
      <c r="AK231">
        <v>854.70085470085473</v>
      </c>
      <c r="AL231" t="s">
        <v>69</v>
      </c>
      <c r="AM231">
        <v>23951.51674822544</v>
      </c>
      <c r="AN231">
        <v>1639.3074820207421</v>
      </c>
      <c r="AO231">
        <v>52538.810931591281</v>
      </c>
      <c r="AP231">
        <v>59060.139627199118</v>
      </c>
      <c r="AQ231">
        <v>6521.3286956078373</v>
      </c>
      <c r="AR231">
        <v>4.6444287050669449E-3</v>
      </c>
      <c r="AS231">
        <v>154.66117560504921</v>
      </c>
      <c r="AT231">
        <v>113.5800557448126</v>
      </c>
      <c r="AU231">
        <v>7.7737304550702104</v>
      </c>
      <c r="AV231">
        <v>249.1433480853955</v>
      </c>
      <c r="AW231">
        <v>280.06802331842692</v>
      </c>
      <c r="AX231">
        <v>30.92467523303139</v>
      </c>
      <c r="AY231">
        <v>1.5712413913751311</v>
      </c>
      <c r="AZ231" t="str">
        <f>VLOOKUP(BA231,Sheet1!$A$1:$B$58,2,FALSE)</f>
        <v>Benzoate (PW2)</v>
      </c>
      <c r="BA231" t="s">
        <v>102</v>
      </c>
      <c r="BB231" t="s">
        <v>101</v>
      </c>
      <c r="BC231">
        <v>121.1121</v>
      </c>
      <c r="BD231">
        <v>4.1428571428571432</v>
      </c>
      <c r="BE231">
        <v>249.2</v>
      </c>
      <c r="BF231" t="s">
        <v>186</v>
      </c>
      <c r="BG231">
        <v>0.18169117701699561</v>
      </c>
      <c r="BH231">
        <v>3.1515151515152003E-2</v>
      </c>
      <c r="BI231">
        <v>0.127101770956316</v>
      </c>
      <c r="BJ231">
        <v>90</v>
      </c>
      <c r="BK231">
        <v>2448.3269606289168</v>
      </c>
      <c r="BL231">
        <v>270.34045238231431</v>
      </c>
      <c r="BM231">
        <v>13.55394566784347</v>
      </c>
      <c r="BN231">
        <v>2304.1707635333901</v>
      </c>
      <c r="BO231">
        <v>144.1561970955272</v>
      </c>
    </row>
    <row r="232" spans="1:67" x14ac:dyDescent="0.25">
      <c r="A232" s="1">
        <v>230</v>
      </c>
      <c r="B232" t="s">
        <v>185</v>
      </c>
      <c r="C232" t="s">
        <v>179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67</v>
      </c>
      <c r="J232">
        <v>1.333</v>
      </c>
      <c r="K232">
        <v>500</v>
      </c>
      <c r="L232">
        <v>50</v>
      </c>
      <c r="N232" t="s">
        <v>183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99149.967875440198</v>
      </c>
      <c r="Z232">
        <v>495749839.37720102</v>
      </c>
      <c r="AA232">
        <v>660834535.88980889</v>
      </c>
      <c r="AB232">
        <v>660834.5358898089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203.51440781411819</v>
      </c>
      <c r="AI232">
        <v>203.51440781411819</v>
      </c>
      <c r="AJ232">
        <v>21477.122416418792</v>
      </c>
      <c r="AK232">
        <v>2170.1388888888891</v>
      </c>
      <c r="AL232" t="s">
        <v>107</v>
      </c>
      <c r="AM232">
        <v>15772.366605594159</v>
      </c>
      <c r="AN232">
        <v>1079.5040187857931</v>
      </c>
      <c r="AO232">
        <v>34597.449328400093</v>
      </c>
      <c r="AP232">
        <v>40499.131929687639</v>
      </c>
      <c r="AQ232">
        <v>5901.6826012875463</v>
      </c>
      <c r="AR232">
        <v>4.6444287050669449E-3</v>
      </c>
      <c r="AS232">
        <v>154.66117560504921</v>
      </c>
      <c r="AT232">
        <v>113.5800557448126</v>
      </c>
      <c r="AU232">
        <v>7.7737304550702078</v>
      </c>
      <c r="AV232">
        <v>249.1433480853955</v>
      </c>
      <c r="AW232">
        <v>291.6425782646308</v>
      </c>
      <c r="AX232">
        <v>42.499230179235283</v>
      </c>
      <c r="AY232">
        <v>1.5712413913751311</v>
      </c>
      <c r="AZ232" t="str">
        <f>VLOOKUP(BA232,Sheet1!$A$1:$B$58,2,FALSE)</f>
        <v>Butane</v>
      </c>
      <c r="BA232" t="s">
        <v>108</v>
      </c>
      <c r="BB232" t="s">
        <v>109</v>
      </c>
      <c r="BC232">
        <v>58.121200000000002</v>
      </c>
      <c r="BD232">
        <v>6.5</v>
      </c>
      <c r="BE232">
        <v>-1</v>
      </c>
      <c r="BF232" t="s">
        <v>186</v>
      </c>
      <c r="BG232">
        <v>1.893026984989983</v>
      </c>
      <c r="BH232">
        <v>9.9726027397259998E-2</v>
      </c>
      <c r="BI232">
        <v>0.19301353258613499</v>
      </c>
      <c r="BJ232">
        <v>90</v>
      </c>
      <c r="BK232">
        <v>1678.8838836381201</v>
      </c>
      <c r="BL232">
        <v>244.6531402907917</v>
      </c>
      <c r="BM232">
        <v>7.1520578067486058</v>
      </c>
      <c r="BN232">
        <v>1215.8498271472631</v>
      </c>
      <c r="BO232">
        <v>463.03405649085681</v>
      </c>
    </row>
    <row r="233" spans="1:67" x14ac:dyDescent="0.25">
      <c r="A233" s="1">
        <v>231</v>
      </c>
      <c r="B233" t="s">
        <v>185</v>
      </c>
      <c r="C233" t="s">
        <v>179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67</v>
      </c>
      <c r="J233">
        <v>1.333</v>
      </c>
      <c r="K233">
        <v>500</v>
      </c>
      <c r="L233">
        <v>50</v>
      </c>
      <c r="N233" t="s">
        <v>183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46521.138790495483</v>
      </c>
      <c r="Z233">
        <v>232605693.9524774</v>
      </c>
      <c r="AA233">
        <v>310063390.03865242</v>
      </c>
      <c r="AB233">
        <v>310063.3900386524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95.488906498488916</v>
      </c>
      <c r="AI233">
        <v>95.488906498488916</v>
      </c>
      <c r="AJ233">
        <v>10077.0601762562</v>
      </c>
      <c r="AK233">
        <v>854.70085470085473</v>
      </c>
      <c r="AL233" t="s">
        <v>69</v>
      </c>
      <c r="AM233">
        <v>7400.3902536328906</v>
      </c>
      <c r="AN233">
        <v>506.50300104909212</v>
      </c>
      <c r="AO233">
        <v>16233.114104743119</v>
      </c>
      <c r="AP233">
        <v>18838.654285639041</v>
      </c>
      <c r="AQ233">
        <v>2605.540180895925</v>
      </c>
      <c r="AR233">
        <v>4.6444287050669449E-3</v>
      </c>
      <c r="AS233">
        <v>154.66117560504921</v>
      </c>
      <c r="AT233">
        <v>113.5800557448126</v>
      </c>
      <c r="AU233">
        <v>7.7737304550702104</v>
      </c>
      <c r="AV233">
        <v>249.14334808539539</v>
      </c>
      <c r="AW233">
        <v>289.13277956790819</v>
      </c>
      <c r="AX233">
        <v>39.989431482512849</v>
      </c>
      <c r="AY233">
        <v>1.57124139137513</v>
      </c>
      <c r="AZ233" t="str">
        <f>VLOOKUP(BA233,Sheet1!$A$1:$B$58,2,FALSE)</f>
        <v>Butanol (PW1)</v>
      </c>
      <c r="BA233" t="s">
        <v>110</v>
      </c>
      <c r="BB233" t="s">
        <v>111</v>
      </c>
      <c r="BC233">
        <v>74.120199999999997</v>
      </c>
      <c r="BD233">
        <v>6</v>
      </c>
      <c r="BE233">
        <v>117.7</v>
      </c>
      <c r="BF233" t="s">
        <v>186</v>
      </c>
      <c r="BG233">
        <v>1.187530524742247</v>
      </c>
      <c r="BH233">
        <v>0.16666666666666599</v>
      </c>
      <c r="BI233">
        <v>0.41136752136751997</v>
      </c>
      <c r="BJ233">
        <v>90</v>
      </c>
      <c r="BK233">
        <v>780.9528639897818</v>
      </c>
      <c r="BL233">
        <v>108.0121772849925</v>
      </c>
      <c r="BM233">
        <v>3.0564208751905939</v>
      </c>
      <c r="BN233">
        <v>519.59154878240099</v>
      </c>
      <c r="BO233">
        <v>261.36131520738081</v>
      </c>
    </row>
    <row r="234" spans="1:67" x14ac:dyDescent="0.25">
      <c r="A234" s="1">
        <v>232</v>
      </c>
      <c r="B234" t="s">
        <v>185</v>
      </c>
      <c r="C234" t="s">
        <v>179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67</v>
      </c>
      <c r="J234">
        <v>1.333</v>
      </c>
      <c r="K234">
        <v>500</v>
      </c>
      <c r="L234">
        <v>50</v>
      </c>
      <c r="N234" t="s">
        <v>183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46521.138790495359</v>
      </c>
      <c r="Z234">
        <v>232605693.9524768</v>
      </c>
      <c r="AA234">
        <v>310063390.03865159</v>
      </c>
      <c r="AB234">
        <v>310063.39003865159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95.488906498488674</v>
      </c>
      <c r="AI234">
        <v>95.488906498488674</v>
      </c>
      <c r="AJ234">
        <v>10077.06017625618</v>
      </c>
      <c r="AK234">
        <v>854.70085470085473</v>
      </c>
      <c r="AL234" t="s">
        <v>69</v>
      </c>
      <c r="AM234">
        <v>7400.3902536328724</v>
      </c>
      <c r="AN234">
        <v>506.50300104909081</v>
      </c>
      <c r="AO234">
        <v>16233.11410474307</v>
      </c>
      <c r="AP234">
        <v>18838.654285639001</v>
      </c>
      <c r="AQ234">
        <v>2605.5401808959232</v>
      </c>
      <c r="AR234">
        <v>4.644428705066944E-3</v>
      </c>
      <c r="AS234">
        <v>154.6611756050491</v>
      </c>
      <c r="AT234">
        <v>113.5800557448126</v>
      </c>
      <c r="AU234">
        <v>7.7737304550702104</v>
      </c>
      <c r="AV234">
        <v>249.14334808539539</v>
      </c>
      <c r="AW234">
        <v>289.1327795679083</v>
      </c>
      <c r="AX234">
        <v>39.989431482512899</v>
      </c>
      <c r="AY234">
        <v>1.57124139137513</v>
      </c>
      <c r="AZ234" t="str">
        <f>VLOOKUP(BA234,Sheet1!$A$1:$B$58,2,FALSE)</f>
        <v>Butanol (PW2)</v>
      </c>
      <c r="BA234" t="s">
        <v>112</v>
      </c>
      <c r="BB234" t="s">
        <v>111</v>
      </c>
      <c r="BC234">
        <v>74.120199999999997</v>
      </c>
      <c r="BD234">
        <v>6</v>
      </c>
      <c r="BE234">
        <v>117.7</v>
      </c>
      <c r="BF234" t="s">
        <v>186</v>
      </c>
      <c r="BG234">
        <v>1.187530524742239</v>
      </c>
      <c r="BH234">
        <v>0.16666666666666699</v>
      </c>
      <c r="BI234">
        <v>0.41136752136752103</v>
      </c>
      <c r="BJ234">
        <v>90</v>
      </c>
      <c r="BK234">
        <v>780.95286398977987</v>
      </c>
      <c r="BL234">
        <v>108.0121772849923</v>
      </c>
      <c r="BM234">
        <v>3.0564208751905908</v>
      </c>
      <c r="BN234">
        <v>519.59154878240042</v>
      </c>
      <c r="BO234">
        <v>261.36131520737939</v>
      </c>
    </row>
    <row r="235" spans="1:67" x14ac:dyDescent="0.25">
      <c r="A235" s="1">
        <v>233</v>
      </c>
      <c r="B235" t="s">
        <v>185</v>
      </c>
      <c r="C235" t="s">
        <v>179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67</v>
      </c>
      <c r="J235">
        <v>1.333</v>
      </c>
      <c r="K235">
        <v>500</v>
      </c>
      <c r="L235">
        <v>50</v>
      </c>
      <c r="N235" t="s">
        <v>183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32992.031592719548</v>
      </c>
      <c r="Z235">
        <v>164960157.96359771</v>
      </c>
      <c r="AA235">
        <v>219891890.56547579</v>
      </c>
      <c r="AB235">
        <v>219891.8905654758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67.719172442013132</v>
      </c>
      <c r="AI235">
        <v>67.719172442013132</v>
      </c>
      <c r="AJ235">
        <v>7146.486443377964</v>
      </c>
      <c r="AK235">
        <v>854.70085470085473</v>
      </c>
      <c r="AL235" t="s">
        <v>69</v>
      </c>
      <c r="AM235">
        <v>5248.2358642560184</v>
      </c>
      <c r="AN235">
        <v>359.20365336871259</v>
      </c>
      <c r="AO235">
        <v>11512.25931514223</v>
      </c>
      <c r="AP235">
        <v>13608.62681570355</v>
      </c>
      <c r="AQ235">
        <v>2096.3675005613168</v>
      </c>
      <c r="AR235">
        <v>4.6444287050669449E-3</v>
      </c>
      <c r="AS235">
        <v>154.66117560504921</v>
      </c>
      <c r="AT235">
        <v>113.5800557448126</v>
      </c>
      <c r="AU235">
        <v>7.7737304550702078</v>
      </c>
      <c r="AV235">
        <v>249.14334808539539</v>
      </c>
      <c r="AW235">
        <v>294.51202886383089</v>
      </c>
      <c r="AX235">
        <v>45.368680778435483</v>
      </c>
      <c r="AY235">
        <v>1.57124139137513</v>
      </c>
      <c r="AZ235" t="str">
        <f>VLOOKUP(BA235,Sheet1!$A$1:$B$58,2,FALSE)</f>
        <v>Butyrate</v>
      </c>
      <c r="BA235" t="s">
        <v>113</v>
      </c>
      <c r="BB235" t="s">
        <v>114</v>
      </c>
      <c r="BC235">
        <v>87.095680000000002</v>
      </c>
      <c r="BD235">
        <v>4.75</v>
      </c>
      <c r="BE235">
        <v>163.5</v>
      </c>
      <c r="BF235" t="s">
        <v>186</v>
      </c>
      <c r="BG235">
        <v>0.50530634814493669</v>
      </c>
      <c r="BH235">
        <v>0.2</v>
      </c>
      <c r="BI235">
        <v>0.580057808857809</v>
      </c>
      <c r="BJ235">
        <v>90</v>
      </c>
      <c r="BK235">
        <v>564.14306062155765</v>
      </c>
      <c r="BL235">
        <v>86.904519755771091</v>
      </c>
      <c r="BM235">
        <v>2.50443464927787</v>
      </c>
      <c r="BN235">
        <v>425.75389037723778</v>
      </c>
      <c r="BO235">
        <v>138.38917024431981</v>
      </c>
    </row>
    <row r="236" spans="1:67" x14ac:dyDescent="0.25">
      <c r="A236" s="1">
        <v>234</v>
      </c>
      <c r="B236" t="s">
        <v>185</v>
      </c>
      <c r="C236" t="s">
        <v>179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67</v>
      </c>
      <c r="J236">
        <v>1.333</v>
      </c>
      <c r="K236">
        <v>500</v>
      </c>
      <c r="L236">
        <v>50</v>
      </c>
      <c r="N236" t="s">
        <v>183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98220.262890910191</v>
      </c>
      <c r="Z236">
        <v>491101314.45455092</v>
      </c>
      <c r="AA236">
        <v>654638052.16791642</v>
      </c>
      <c r="AB236">
        <v>654638.05216791644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201.6061030166203</v>
      </c>
      <c r="AI236">
        <v>201.6061030166203</v>
      </c>
      <c r="AJ236">
        <v>21275.73669545729</v>
      </c>
      <c r="AK236">
        <v>854.70085470085473</v>
      </c>
      <c r="AL236" t="s">
        <v>69</v>
      </c>
      <c r="AM236">
        <v>15624.47298378807</v>
      </c>
      <c r="AN236">
        <v>1069.3817737806701</v>
      </c>
      <c r="AO236">
        <v>34273.037512825453</v>
      </c>
      <c r="AP236">
        <v>38824.292307726879</v>
      </c>
      <c r="AQ236">
        <v>4551.2547949014261</v>
      </c>
      <c r="AR236">
        <v>4.6444287050669449E-3</v>
      </c>
      <c r="AS236">
        <v>154.66117560504921</v>
      </c>
      <c r="AT236">
        <v>113.5800557448126</v>
      </c>
      <c r="AU236">
        <v>7.7737304550702104</v>
      </c>
      <c r="AV236">
        <v>249.14334808539539</v>
      </c>
      <c r="AW236">
        <v>282.22809749423101</v>
      </c>
      <c r="AX236">
        <v>33.084749408835577</v>
      </c>
      <c r="AY236">
        <v>1.5712413913751311</v>
      </c>
      <c r="AZ236" t="str">
        <f>VLOOKUP(BA236,Sheet1!$A$1:$B$58,2,FALSE)</f>
        <v>Catechol</v>
      </c>
      <c r="BA236" t="s">
        <v>115</v>
      </c>
      <c r="BB236" t="s">
        <v>116</v>
      </c>
      <c r="BC236">
        <v>110.10924</v>
      </c>
      <c r="BD236">
        <v>4.333333333333333</v>
      </c>
      <c r="BE236">
        <v>245</v>
      </c>
      <c r="BF236" t="s">
        <v>186</v>
      </c>
      <c r="BG236">
        <v>0.1998469883181469</v>
      </c>
      <c r="BH236">
        <v>5.3138686131386899E-2</v>
      </c>
      <c r="BI236">
        <v>0.19484050431320499</v>
      </c>
      <c r="BJ236">
        <v>90</v>
      </c>
      <c r="BK236">
        <v>1609.453722668984</v>
      </c>
      <c r="BL236">
        <v>188.6714100133469</v>
      </c>
      <c r="BM236">
        <v>8.7604242568649813</v>
      </c>
      <c r="BN236">
        <v>1489.272123667047</v>
      </c>
      <c r="BO236">
        <v>120.181599001937</v>
      </c>
    </row>
    <row r="237" spans="1:67" x14ac:dyDescent="0.25">
      <c r="A237" s="1">
        <v>235</v>
      </c>
      <c r="B237" t="s">
        <v>185</v>
      </c>
      <c r="C237" t="s">
        <v>179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67</v>
      </c>
      <c r="J237">
        <v>1.333</v>
      </c>
      <c r="K237">
        <v>500</v>
      </c>
      <c r="L237">
        <v>50</v>
      </c>
      <c r="N237" t="s">
        <v>183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30057.546362415342</v>
      </c>
      <c r="Z237">
        <v>150287731.81207669</v>
      </c>
      <c r="AA237">
        <v>200333546.50549829</v>
      </c>
      <c r="AB237">
        <v>200333.54650549829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61.695872216289438</v>
      </c>
      <c r="AI237">
        <v>61.695872216289438</v>
      </c>
      <c r="AJ237">
        <v>6510.8402614286933</v>
      </c>
      <c r="AK237">
        <v>854.70085470085473</v>
      </c>
      <c r="AL237" t="s">
        <v>69</v>
      </c>
      <c r="AM237">
        <v>4781.4300967624313</v>
      </c>
      <c r="AN237">
        <v>327.25418664613568</v>
      </c>
      <c r="AO237">
        <v>10488.298276769199</v>
      </c>
      <c r="AP237">
        <v>12474.22539953812</v>
      </c>
      <c r="AQ237">
        <v>1985.927122768911</v>
      </c>
      <c r="AR237">
        <v>4.644428705066944E-3</v>
      </c>
      <c r="AS237">
        <v>154.6611756050491</v>
      </c>
      <c r="AT237">
        <v>113.5800557448126</v>
      </c>
      <c r="AU237">
        <v>7.7737304550702078</v>
      </c>
      <c r="AV237">
        <v>249.14334808539539</v>
      </c>
      <c r="AW237">
        <v>296.31787720001307</v>
      </c>
      <c r="AX237">
        <v>47.174529114617641</v>
      </c>
      <c r="AY237">
        <v>1.57124139137513</v>
      </c>
      <c r="AZ237" t="str">
        <f>VLOOKUP(BA237,Sheet1!$A$1:$B$58,2,FALSE)</f>
        <v>Citrate</v>
      </c>
      <c r="BA237" t="s">
        <v>119</v>
      </c>
      <c r="BB237" t="s">
        <v>120</v>
      </c>
      <c r="BC237">
        <v>189.09639999999999</v>
      </c>
      <c r="BD237">
        <v>2.5</v>
      </c>
      <c r="BF237" t="s">
        <v>186</v>
      </c>
      <c r="BG237">
        <v>0</v>
      </c>
      <c r="BH237">
        <v>0.101111111111111</v>
      </c>
      <c r="BI237">
        <v>0.63668821548821497</v>
      </c>
      <c r="BJ237">
        <v>90</v>
      </c>
      <c r="BK237">
        <v>517.11666364882876</v>
      </c>
      <c r="BL237">
        <v>82.326234702637564</v>
      </c>
      <c r="BM237">
        <v>2.7420387651684188</v>
      </c>
      <c r="BN237">
        <v>466.14659007863128</v>
      </c>
      <c r="BO237">
        <v>50.970073570197478</v>
      </c>
    </row>
    <row r="238" spans="1:67" x14ac:dyDescent="0.25">
      <c r="A238" s="1">
        <v>236</v>
      </c>
      <c r="B238" t="s">
        <v>185</v>
      </c>
      <c r="C238" t="s">
        <v>179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67</v>
      </c>
      <c r="J238">
        <v>1.333</v>
      </c>
      <c r="K238">
        <v>500</v>
      </c>
      <c r="L238">
        <v>50</v>
      </c>
      <c r="N238" t="s">
        <v>183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104030.4594693079</v>
      </c>
      <c r="Z238">
        <v>520152297.34653968</v>
      </c>
      <c r="AA238">
        <v>693363012.36293745</v>
      </c>
      <c r="AB238">
        <v>693363.01236293744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213.53206468129511</v>
      </c>
      <c r="AI238">
        <v>213.53206468129511</v>
      </c>
      <c r="AJ238">
        <v>22534.297901795471</v>
      </c>
      <c r="AK238">
        <v>854.70085470085473</v>
      </c>
      <c r="AL238" t="s">
        <v>69</v>
      </c>
      <c r="AM238">
        <v>16548.735012800371</v>
      </c>
      <c r="AN238">
        <v>1132.6408014002791</v>
      </c>
      <c r="AO238">
        <v>36300.450995820167</v>
      </c>
      <c r="AP238">
        <v>41070.374570696971</v>
      </c>
      <c r="AQ238">
        <v>4769.9235748768042</v>
      </c>
      <c r="AR238">
        <v>4.644428705066944E-3</v>
      </c>
      <c r="AS238">
        <v>154.6611756050491</v>
      </c>
      <c r="AT238">
        <v>113.5800557448126</v>
      </c>
      <c r="AU238">
        <v>7.7737304550702078</v>
      </c>
      <c r="AV238">
        <v>249.14334808539539</v>
      </c>
      <c r="AW238">
        <v>281.88108816727771</v>
      </c>
      <c r="AX238">
        <v>32.737740081882293</v>
      </c>
      <c r="AY238">
        <v>1.57124139137513</v>
      </c>
      <c r="AZ238" t="str">
        <f>VLOOKUP(BA238,Sheet1!$A$1:$B$58,2,FALSE)</f>
        <v>Coumaric Acid</v>
      </c>
      <c r="BA238" t="s">
        <v>121</v>
      </c>
      <c r="BB238" t="s">
        <v>122</v>
      </c>
      <c r="BC238">
        <v>163.14818</v>
      </c>
      <c r="BD238">
        <v>4.1111111111111107</v>
      </c>
      <c r="BE238">
        <v>346</v>
      </c>
      <c r="BF238" t="s">
        <v>186</v>
      </c>
      <c r="BG238">
        <v>0.13487738569930879</v>
      </c>
      <c r="BH238">
        <v>3.3860465116279097E-2</v>
      </c>
      <c r="BI238">
        <v>0.183958483439041</v>
      </c>
      <c r="BJ238">
        <v>90</v>
      </c>
      <c r="BK238">
        <v>1702.5646396924101</v>
      </c>
      <c r="BL238">
        <v>197.7362830874869</v>
      </c>
      <c r="BM238">
        <v>9.355436600136029</v>
      </c>
      <c r="BN238">
        <v>1590.4242220231249</v>
      </c>
      <c r="BO238">
        <v>112.1404176692847</v>
      </c>
    </row>
    <row r="239" spans="1:67" x14ac:dyDescent="0.25">
      <c r="A239" s="1">
        <v>237</v>
      </c>
      <c r="B239" t="s">
        <v>185</v>
      </c>
      <c r="C239" t="s">
        <v>179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67</v>
      </c>
      <c r="J239">
        <v>1.333</v>
      </c>
      <c r="K239">
        <v>500</v>
      </c>
      <c r="L239">
        <v>50</v>
      </c>
      <c r="N239" t="s">
        <v>183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32614.62681796815</v>
      </c>
      <c r="Z239">
        <v>163073134.08984071</v>
      </c>
      <c r="AA239">
        <v>217376487.74175769</v>
      </c>
      <c r="AB239">
        <v>217376.48774175771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66.944514508323806</v>
      </c>
      <c r="AI239">
        <v>66.944514508323806</v>
      </c>
      <c r="AJ239">
        <v>7064.7358516071235</v>
      </c>
      <c r="AK239">
        <v>854.70085470085473</v>
      </c>
      <c r="AL239" t="s">
        <v>69</v>
      </c>
      <c r="AM239">
        <v>5188.1998743950953</v>
      </c>
      <c r="AN239">
        <v>355.09462560215889</v>
      </c>
      <c r="AO239">
        <v>11380.56746641505</v>
      </c>
      <c r="AP239">
        <v>13462.73120630523</v>
      </c>
      <c r="AQ239">
        <v>2082.163739890188</v>
      </c>
      <c r="AR239">
        <v>4.6444287050669431E-3</v>
      </c>
      <c r="AS239">
        <v>154.6611756050491</v>
      </c>
      <c r="AT239">
        <v>113.5800557448126</v>
      </c>
      <c r="AU239">
        <v>7.7737304550702078</v>
      </c>
      <c r="AV239">
        <v>249.14334808539539</v>
      </c>
      <c r="AW239">
        <v>294.7260702957899</v>
      </c>
      <c r="AX239">
        <v>45.582722210394437</v>
      </c>
      <c r="AY239">
        <v>1.5712413913751311</v>
      </c>
      <c r="AZ239" t="str">
        <f>VLOOKUP(BA239,Sheet1!$A$1:$B$58,2,FALSE)</f>
        <v>Ethyl Acetate</v>
      </c>
      <c r="BA239" t="s">
        <v>123</v>
      </c>
      <c r="BB239" t="s">
        <v>124</v>
      </c>
      <c r="BC239">
        <v>88.103520000000003</v>
      </c>
      <c r="BD239">
        <v>5</v>
      </c>
      <c r="BE239">
        <v>77.099999999999994</v>
      </c>
      <c r="BF239" t="s">
        <v>186</v>
      </c>
      <c r="BG239">
        <v>0.49952601212755171</v>
      </c>
      <c r="BH239">
        <v>0.2</v>
      </c>
      <c r="BI239">
        <v>0.58677002997003003</v>
      </c>
      <c r="BJ239">
        <v>90</v>
      </c>
      <c r="BK239">
        <v>558.09498562237854</v>
      </c>
      <c r="BL239">
        <v>86.315705533303017</v>
      </c>
      <c r="BM239">
        <v>2.47578574379795</v>
      </c>
      <c r="BN239">
        <v>420.88357644565161</v>
      </c>
      <c r="BO239">
        <v>137.21140917672699</v>
      </c>
    </row>
    <row r="240" spans="1:67" x14ac:dyDescent="0.25">
      <c r="A240" s="1">
        <v>238</v>
      </c>
      <c r="B240" t="s">
        <v>185</v>
      </c>
      <c r="C240" t="s">
        <v>179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67</v>
      </c>
      <c r="J240">
        <v>1.333</v>
      </c>
      <c r="K240">
        <v>500</v>
      </c>
      <c r="L240">
        <v>50</v>
      </c>
      <c r="N240" t="s">
        <v>183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112029.0088797049</v>
      </c>
      <c r="Z240">
        <v>560145044.3985244</v>
      </c>
      <c r="AA240">
        <v>746673344.18323302</v>
      </c>
      <c r="AB240">
        <v>746673.34418323298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229.94982135342929</v>
      </c>
      <c r="AI240">
        <v>229.94982135342929</v>
      </c>
      <c r="AJ240">
        <v>24266.883685955068</v>
      </c>
      <c r="AK240">
        <v>1835.336538461539</v>
      </c>
      <c r="AL240" t="s">
        <v>84</v>
      </c>
      <c r="AM240">
        <v>17821.111154890768</v>
      </c>
      <c r="AN240">
        <v>1219.7257134582189</v>
      </c>
      <c r="AO240">
        <v>39091.469630082982</v>
      </c>
      <c r="AP240">
        <v>45143.057092765601</v>
      </c>
      <c r="AQ240">
        <v>6051.5874626826189</v>
      </c>
      <c r="AR240">
        <v>4.6444287050669431E-3</v>
      </c>
      <c r="AS240">
        <v>154.6611756050491</v>
      </c>
      <c r="AT240">
        <v>113.5800557448126</v>
      </c>
      <c r="AU240">
        <v>7.7737304550702104</v>
      </c>
      <c r="AV240">
        <v>249.14334808539539</v>
      </c>
      <c r="AW240">
        <v>287.71219126145468</v>
      </c>
      <c r="AX240">
        <v>38.568843176059247</v>
      </c>
      <c r="AY240">
        <v>1.57124139137513</v>
      </c>
      <c r="AZ240" t="str">
        <f>VLOOKUP(BA240,Sheet1!$A$1:$B$58,2,FALSE)</f>
        <v>Farnesene</v>
      </c>
      <c r="BA240" t="s">
        <v>125</v>
      </c>
      <c r="BB240" t="s">
        <v>126</v>
      </c>
      <c r="BC240">
        <v>204.34866</v>
      </c>
      <c r="BD240">
        <v>5.6</v>
      </c>
      <c r="BE240" t="s">
        <v>127</v>
      </c>
      <c r="BF240" t="s">
        <v>186</v>
      </c>
      <c r="BG240">
        <v>1.2922032373493419</v>
      </c>
      <c r="BH240">
        <v>2.5103448275862E-2</v>
      </c>
      <c r="BI240">
        <v>0.17082437617554799</v>
      </c>
      <c r="BJ240">
        <v>90</v>
      </c>
      <c r="BK240">
        <v>1871.396926304051</v>
      </c>
      <c r="BL240">
        <v>250.8674180761071</v>
      </c>
      <c r="BM240">
        <v>8.9277888228030697</v>
      </c>
      <c r="BN240">
        <v>1517.7240998765219</v>
      </c>
      <c r="BO240">
        <v>353.67282642752889</v>
      </c>
    </row>
    <row r="241" spans="1:67" x14ac:dyDescent="0.25">
      <c r="A241" s="1">
        <v>239</v>
      </c>
      <c r="B241" t="s">
        <v>185</v>
      </c>
      <c r="C241" t="s">
        <v>179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67</v>
      </c>
      <c r="J241">
        <v>1.333</v>
      </c>
      <c r="K241">
        <v>500</v>
      </c>
      <c r="L241">
        <v>50</v>
      </c>
      <c r="N241" t="s">
        <v>183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77943.769385738211</v>
      </c>
      <c r="Z241">
        <v>389718846.92869103</v>
      </c>
      <c r="AA241">
        <v>519495222.95594507</v>
      </c>
      <c r="AB241">
        <v>519495.22295594512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159.98673937309411</v>
      </c>
      <c r="AI241">
        <v>159.98673937309411</v>
      </c>
      <c r="AJ241">
        <v>16883.594746068218</v>
      </c>
      <c r="AK241">
        <v>1835.336538461539</v>
      </c>
      <c r="AL241" t="s">
        <v>84</v>
      </c>
      <c r="AM241">
        <v>12398.972301414789</v>
      </c>
      <c r="AN241">
        <v>848.61966266011677</v>
      </c>
      <c r="AO241">
        <v>27197.745693426001</v>
      </c>
      <c r="AP241">
        <v>31966.52324860467</v>
      </c>
      <c r="AQ241">
        <v>4768.777555178669</v>
      </c>
      <c r="AR241">
        <v>4.644428705066944E-3</v>
      </c>
      <c r="AS241">
        <v>154.6611756050491</v>
      </c>
      <c r="AT241">
        <v>113.5800557448126</v>
      </c>
      <c r="AU241">
        <v>7.7737304550702078</v>
      </c>
      <c r="AV241">
        <v>249.14334808539539</v>
      </c>
      <c r="AW241">
        <v>292.82745410521449</v>
      </c>
      <c r="AX241">
        <v>43.684106019819097</v>
      </c>
      <c r="AY241">
        <v>1.57124139137513</v>
      </c>
      <c r="AZ241" t="str">
        <f>VLOOKUP(BA241,Sheet1!$A$1:$B$58,2,FALSE)</f>
        <v>Gamma Butyrolactone</v>
      </c>
      <c r="BA241" t="s">
        <v>128</v>
      </c>
      <c r="BB241" t="s">
        <v>129</v>
      </c>
      <c r="BC241">
        <v>86.08784</v>
      </c>
      <c r="BD241">
        <v>4.5</v>
      </c>
      <c r="BE241">
        <v>204</v>
      </c>
      <c r="BF241" t="s">
        <v>186</v>
      </c>
      <c r="BG241">
        <v>0.25561101312334028</v>
      </c>
      <c r="BH241">
        <v>8.5647058823529298E-2</v>
      </c>
      <c r="BI241">
        <v>0.245526816399287</v>
      </c>
      <c r="BJ241">
        <v>90</v>
      </c>
      <c r="BK241">
        <v>1325.1661984064549</v>
      </c>
      <c r="BL241">
        <v>197.688775056824</v>
      </c>
      <c r="BM241">
        <v>6.8549107367919522</v>
      </c>
      <c r="BN241">
        <v>1165.3348252546321</v>
      </c>
      <c r="BO241">
        <v>159.8313731518233</v>
      </c>
    </row>
    <row r="242" spans="1:67" x14ac:dyDescent="0.25">
      <c r="A242" s="1">
        <v>240</v>
      </c>
      <c r="B242" t="s">
        <v>185</v>
      </c>
      <c r="C242" t="s">
        <v>179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67</v>
      </c>
      <c r="J242">
        <v>1.333</v>
      </c>
      <c r="K242">
        <v>500</v>
      </c>
      <c r="L242">
        <v>50</v>
      </c>
      <c r="N242" t="s">
        <v>183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33495.736081295378</v>
      </c>
      <c r="Z242">
        <v>167478680.40647691</v>
      </c>
      <c r="AA242">
        <v>223249080.9818337</v>
      </c>
      <c r="AB242">
        <v>223249.08098183369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68.753072128542598</v>
      </c>
      <c r="AI242">
        <v>68.753072128542598</v>
      </c>
      <c r="AJ242">
        <v>7255.5951319095957</v>
      </c>
      <c r="AK242">
        <v>854.70085470085473</v>
      </c>
      <c r="AL242" t="s">
        <v>69</v>
      </c>
      <c r="AM242">
        <v>5328.3630899620512</v>
      </c>
      <c r="AN242">
        <v>364.68778040727261</v>
      </c>
      <c r="AO242">
        <v>11688.02226185224</v>
      </c>
      <c r="AP242">
        <v>13803.34685697977</v>
      </c>
      <c r="AQ242">
        <v>2115.3245951275312</v>
      </c>
      <c r="AR242">
        <v>4.6444287050669431E-3</v>
      </c>
      <c r="AS242">
        <v>154.6611756050491</v>
      </c>
      <c r="AT242">
        <v>113.5800557448126</v>
      </c>
      <c r="AU242">
        <v>7.7737304550702078</v>
      </c>
      <c r="AV242">
        <v>249.14334808539539</v>
      </c>
      <c r="AW242">
        <v>294.23387239399108</v>
      </c>
      <c r="AX242">
        <v>45.090524308595732</v>
      </c>
      <c r="AY242">
        <v>1.57124139137513</v>
      </c>
      <c r="AZ242" t="str">
        <f>VLOOKUP(BA242,Sheet1!$A$1:$B$58,2,FALSE)</f>
        <v>L-Glutamate</v>
      </c>
      <c r="BA242" t="s">
        <v>130</v>
      </c>
      <c r="BB242" t="s">
        <v>131</v>
      </c>
      <c r="BC242">
        <v>146.11892</v>
      </c>
      <c r="BD242">
        <v>3.4</v>
      </c>
      <c r="BE242">
        <v>333.8</v>
      </c>
      <c r="BF242" t="s">
        <v>186</v>
      </c>
      <c r="BG242">
        <v>0</v>
      </c>
      <c r="BH242">
        <v>0.11741935483870999</v>
      </c>
      <c r="BI242">
        <v>0.57133497556207202</v>
      </c>
      <c r="BJ242">
        <v>90</v>
      </c>
      <c r="BK242">
        <v>572.21514324514487</v>
      </c>
      <c r="BL242">
        <v>87.690382539276641</v>
      </c>
      <c r="BM242">
        <v>3.0556920946018931</v>
      </c>
      <c r="BN242">
        <v>519.46765608232181</v>
      </c>
      <c r="BO242">
        <v>52.747487162823063</v>
      </c>
    </row>
    <row r="243" spans="1:67" x14ac:dyDescent="0.25">
      <c r="A243" s="1">
        <v>241</v>
      </c>
      <c r="B243" t="s">
        <v>185</v>
      </c>
      <c r="C243" t="s">
        <v>179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67</v>
      </c>
      <c r="J243">
        <v>1.333</v>
      </c>
      <c r="K243">
        <v>500</v>
      </c>
      <c r="L243">
        <v>50</v>
      </c>
      <c r="N243" t="s">
        <v>183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63117.763710890162</v>
      </c>
      <c r="Z243">
        <v>315588818.55445081</v>
      </c>
      <c r="AA243">
        <v>420679895.13308293</v>
      </c>
      <c r="AB243">
        <v>420679.89513308287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129.55500217923009</v>
      </c>
      <c r="AI243">
        <v>129.55500217923009</v>
      </c>
      <c r="AJ243">
        <v>13672.09659182519</v>
      </c>
      <c r="AK243">
        <v>854.70085470085473</v>
      </c>
      <c r="AL243" t="s">
        <v>69</v>
      </c>
      <c r="AM243">
        <v>10040.512668890329</v>
      </c>
      <c r="AN243">
        <v>687.2002184435961</v>
      </c>
      <c r="AO243">
        <v>22024.350370469121</v>
      </c>
      <c r="AP243">
        <v>25254.51033385998</v>
      </c>
      <c r="AQ243">
        <v>3230.159963390859</v>
      </c>
      <c r="AR243">
        <v>4.644428705066944E-3</v>
      </c>
      <c r="AS243">
        <v>154.6611756050491</v>
      </c>
      <c r="AT243">
        <v>113.5800557448126</v>
      </c>
      <c r="AU243">
        <v>7.7737304550702078</v>
      </c>
      <c r="AV243">
        <v>249.14334808539539</v>
      </c>
      <c r="AW243">
        <v>285.68348909267172</v>
      </c>
      <c r="AX243">
        <v>36.540141007276183</v>
      </c>
      <c r="AY243">
        <v>1.5712413913751311</v>
      </c>
      <c r="AZ243" t="str">
        <f>VLOOKUP(BA243,Sheet1!$A$1:$B$58,2,FALSE)</f>
        <v>Glycolate</v>
      </c>
      <c r="BA243" t="s">
        <v>134</v>
      </c>
      <c r="BB243" t="s">
        <v>135</v>
      </c>
      <c r="BC243">
        <v>75.041920000000005</v>
      </c>
      <c r="BD243">
        <v>2.5</v>
      </c>
      <c r="BE243">
        <v>112</v>
      </c>
      <c r="BF243" t="s">
        <v>186</v>
      </c>
      <c r="BG243">
        <v>0</v>
      </c>
      <c r="BH243">
        <v>0.121333333333333</v>
      </c>
      <c r="BI243">
        <v>0.30319967676767701</v>
      </c>
      <c r="BJ243">
        <v>90</v>
      </c>
      <c r="BK243">
        <v>1046.920967646945</v>
      </c>
      <c r="BL243">
        <v>133.90567268269439</v>
      </c>
      <c r="BM243">
        <v>5.7580000968546727</v>
      </c>
      <c r="BN243">
        <v>978.86001646529439</v>
      </c>
      <c r="BO243">
        <v>68.06095118165058</v>
      </c>
    </row>
    <row r="244" spans="1:67" x14ac:dyDescent="0.25">
      <c r="A244" s="1">
        <v>242</v>
      </c>
      <c r="B244" t="s">
        <v>185</v>
      </c>
      <c r="C244" t="s">
        <v>179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67</v>
      </c>
      <c r="J244">
        <v>1.333</v>
      </c>
      <c r="K244">
        <v>500</v>
      </c>
      <c r="L244">
        <v>50</v>
      </c>
      <c r="N244" t="s">
        <v>183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63089.801267427567</v>
      </c>
      <c r="Z244">
        <v>315449006.33713788</v>
      </c>
      <c r="AA244">
        <v>420493525.4474048</v>
      </c>
      <c r="AB244">
        <v>420493.52544740483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129.4976066979782</v>
      </c>
      <c r="AI244">
        <v>129.4976066979782</v>
      </c>
      <c r="AJ244">
        <v>13666.039577040659</v>
      </c>
      <c r="AK244">
        <v>854.70085470085473</v>
      </c>
      <c r="AL244" t="s">
        <v>69</v>
      </c>
      <c r="AM244">
        <v>10036.06451909331</v>
      </c>
      <c r="AN244">
        <v>686.89577487452846</v>
      </c>
      <c r="AO244">
        <v>22014.593138656292</v>
      </c>
      <c r="AP244">
        <v>25243.70072570935</v>
      </c>
      <c r="AQ244">
        <v>3229.1075870530622</v>
      </c>
      <c r="AR244">
        <v>4.6444287050669449E-3</v>
      </c>
      <c r="AS244">
        <v>154.66117560504921</v>
      </c>
      <c r="AT244">
        <v>113.5800557448126</v>
      </c>
      <c r="AU244">
        <v>7.7737304550702078</v>
      </c>
      <c r="AV244">
        <v>249.14334808539539</v>
      </c>
      <c r="AW244">
        <v>285.68777434388852</v>
      </c>
      <c r="AX244">
        <v>36.544426258493118</v>
      </c>
      <c r="AY244">
        <v>1.5712413913751311</v>
      </c>
      <c r="AZ244" t="str">
        <f>VLOOKUP(BA244,Sheet1!$A$1:$B$58,2,FALSE)</f>
        <v>Heptane</v>
      </c>
      <c r="BA244" t="s">
        <v>136</v>
      </c>
      <c r="BB244" t="s">
        <v>137</v>
      </c>
      <c r="BC244">
        <v>100.20034</v>
      </c>
      <c r="BD244">
        <v>6.2857142857142856</v>
      </c>
      <c r="BE244">
        <v>98</v>
      </c>
      <c r="BF244" t="s">
        <v>186</v>
      </c>
      <c r="BG244">
        <v>1.756880266074951</v>
      </c>
      <c r="BH244">
        <v>9.0909090909090801E-2</v>
      </c>
      <c r="BI244">
        <v>0.30333405987951401</v>
      </c>
      <c r="BJ244">
        <v>90</v>
      </c>
      <c r="BK244">
        <v>1046.4728573777161</v>
      </c>
      <c r="BL244">
        <v>133.86204661989109</v>
      </c>
      <c r="BM244">
        <v>3.9985689205018571</v>
      </c>
      <c r="BN244">
        <v>679.75671648531568</v>
      </c>
      <c r="BO244">
        <v>366.71614089240057</v>
      </c>
    </row>
    <row r="245" spans="1:67" x14ac:dyDescent="0.25">
      <c r="A245" s="1">
        <v>243</v>
      </c>
      <c r="B245" t="s">
        <v>185</v>
      </c>
      <c r="C245" t="s">
        <v>179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67</v>
      </c>
      <c r="J245">
        <v>1.333</v>
      </c>
      <c r="K245">
        <v>500</v>
      </c>
      <c r="L245">
        <v>50</v>
      </c>
      <c r="N245" t="s">
        <v>183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63355.339706842373</v>
      </c>
      <c r="Z245">
        <v>316776698.53421181</v>
      </c>
      <c r="AA245">
        <v>422263339.14610428</v>
      </c>
      <c r="AB245">
        <v>422263.33914610441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130.04264871268941</v>
      </c>
      <c r="AI245">
        <v>130.04264871268941</v>
      </c>
      <c r="AJ245">
        <v>13723.55852224839</v>
      </c>
      <c r="AK245">
        <v>854.70085470085473</v>
      </c>
      <c r="AL245" t="s">
        <v>69</v>
      </c>
      <c r="AM245">
        <v>10078.30527523343</v>
      </c>
      <c r="AN245">
        <v>689.78684805016974</v>
      </c>
      <c r="AO245">
        <v>22107.250281157201</v>
      </c>
      <c r="AP245">
        <v>25346.35150023285</v>
      </c>
      <c r="AQ245">
        <v>3239.1012190756451</v>
      </c>
      <c r="AR245">
        <v>4.644428705066944E-3</v>
      </c>
      <c r="AS245">
        <v>154.6611756050491</v>
      </c>
      <c r="AT245">
        <v>113.5800557448126</v>
      </c>
      <c r="AU245">
        <v>7.7737304550702078</v>
      </c>
      <c r="AV245">
        <v>249.14334808539539</v>
      </c>
      <c r="AW245">
        <v>285.64723311155939</v>
      </c>
      <c r="AX245">
        <v>36.503885026163942</v>
      </c>
      <c r="AY245">
        <v>1.5712413913751311</v>
      </c>
      <c r="AZ245" t="str">
        <f>VLOOKUP(BA245,Sheet1!$A$1:$B$58,2,FALSE)</f>
        <v>Hexane</v>
      </c>
      <c r="BA245" t="s">
        <v>138</v>
      </c>
      <c r="BB245" t="s">
        <v>139</v>
      </c>
      <c r="BC245">
        <v>86.173959999999994</v>
      </c>
      <c r="BD245">
        <v>6.333333333333333</v>
      </c>
      <c r="BE245">
        <v>69</v>
      </c>
      <c r="BF245" t="s">
        <v>186</v>
      </c>
      <c r="BG245">
        <v>1.7874889351725249</v>
      </c>
      <c r="BH245">
        <v>0.105263157894737</v>
      </c>
      <c r="BI245">
        <v>0.30206270922060402</v>
      </c>
      <c r="BJ245">
        <v>90</v>
      </c>
      <c r="BK245">
        <v>1050.728225894989</v>
      </c>
      <c r="BL245">
        <v>134.2763307524709</v>
      </c>
      <c r="BM245">
        <v>3.9921843409470048</v>
      </c>
      <c r="BN245">
        <v>678.67133796099085</v>
      </c>
      <c r="BO245">
        <v>372.05688793399861</v>
      </c>
    </row>
    <row r="246" spans="1:67" x14ac:dyDescent="0.25">
      <c r="A246" s="1">
        <v>244</v>
      </c>
      <c r="B246" t="s">
        <v>185</v>
      </c>
      <c r="C246" t="s">
        <v>179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67</v>
      </c>
      <c r="J246">
        <v>1.333</v>
      </c>
      <c r="K246">
        <v>500</v>
      </c>
      <c r="L246">
        <v>50</v>
      </c>
      <c r="N246" t="s">
        <v>183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40033.903179686633</v>
      </c>
      <c r="Z246">
        <v>200169515.89843321</v>
      </c>
      <c r="AA246">
        <v>266825964.6926114</v>
      </c>
      <c r="AB246">
        <v>266825.96469261142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82.173260089576175</v>
      </c>
      <c r="AI246">
        <v>82.173260089576175</v>
      </c>
      <c r="AJ246">
        <v>8671.8438525098718</v>
      </c>
      <c r="AK246">
        <v>854.70085470085473</v>
      </c>
      <c r="AL246" t="s">
        <v>69</v>
      </c>
      <c r="AM246">
        <v>6368.4276569421536</v>
      </c>
      <c r="AN246">
        <v>435.87265125940621</v>
      </c>
      <c r="AO246">
        <v>13969.45421522795</v>
      </c>
      <c r="AP246">
        <v>16330.845015412289</v>
      </c>
      <c r="AQ246">
        <v>2361.3908001843361</v>
      </c>
      <c r="AR246">
        <v>4.644428705066944E-3</v>
      </c>
      <c r="AS246">
        <v>154.6611756050491</v>
      </c>
      <c r="AT246">
        <v>113.5800557448126</v>
      </c>
      <c r="AU246">
        <v>7.7737304550702078</v>
      </c>
      <c r="AV246">
        <v>249.14334808539539</v>
      </c>
      <c r="AW246">
        <v>291.2584372672369</v>
      </c>
      <c r="AX246">
        <v>42.115089181841448</v>
      </c>
      <c r="AY246">
        <v>1.5712413913751311</v>
      </c>
      <c r="AZ246" t="str">
        <f>VLOOKUP(BA246,Sheet1!$A$1:$B$58,2,FALSE)</f>
        <v>Isobutanol</v>
      </c>
      <c r="BA246" t="s">
        <v>140</v>
      </c>
      <c r="BB246" t="s">
        <v>141</v>
      </c>
      <c r="BC246">
        <v>86.130899999999997</v>
      </c>
      <c r="BD246">
        <v>5.6</v>
      </c>
      <c r="BE246">
        <v>108</v>
      </c>
      <c r="BF246" t="s">
        <v>186</v>
      </c>
      <c r="BG246">
        <v>1.02193289516306</v>
      </c>
      <c r="BH246">
        <v>0.16666666666666699</v>
      </c>
      <c r="BI246">
        <v>0.478026973026973</v>
      </c>
      <c r="BJ246">
        <v>90</v>
      </c>
      <c r="BK246">
        <v>676.99210319294036</v>
      </c>
      <c r="BL246">
        <v>97.891010708173937</v>
      </c>
      <c r="BM246">
        <v>2.6302119977069931</v>
      </c>
      <c r="BN246">
        <v>447.13603961018867</v>
      </c>
      <c r="BO246">
        <v>229.8560635827516</v>
      </c>
    </row>
    <row r="247" spans="1:67" x14ac:dyDescent="0.25">
      <c r="A247" s="1">
        <v>245</v>
      </c>
      <c r="B247" t="s">
        <v>185</v>
      </c>
      <c r="C247" t="s">
        <v>179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67</v>
      </c>
      <c r="J247">
        <v>1.333</v>
      </c>
      <c r="K247">
        <v>500</v>
      </c>
      <c r="L247">
        <v>50</v>
      </c>
      <c r="N247" t="s">
        <v>183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32992.031592719548</v>
      </c>
      <c r="Z247">
        <v>164960157.96359771</v>
      </c>
      <c r="AA247">
        <v>219891890.56547579</v>
      </c>
      <c r="AB247">
        <v>219891.8905654758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67.719172442013132</v>
      </c>
      <c r="AI247">
        <v>67.719172442013132</v>
      </c>
      <c r="AJ247">
        <v>7146.486443377964</v>
      </c>
      <c r="AK247">
        <v>854.70085470085473</v>
      </c>
      <c r="AL247" t="s">
        <v>69</v>
      </c>
      <c r="AM247">
        <v>5248.2358642560184</v>
      </c>
      <c r="AN247">
        <v>359.20365336871259</v>
      </c>
      <c r="AO247">
        <v>11512.25931514223</v>
      </c>
      <c r="AP247">
        <v>13608.62681570355</v>
      </c>
      <c r="AQ247">
        <v>2096.3675005613168</v>
      </c>
      <c r="AR247">
        <v>4.6444287050669449E-3</v>
      </c>
      <c r="AS247">
        <v>154.66117560504921</v>
      </c>
      <c r="AT247">
        <v>113.5800557448126</v>
      </c>
      <c r="AU247">
        <v>7.7737304550702078</v>
      </c>
      <c r="AV247">
        <v>249.14334808539539</v>
      </c>
      <c r="AW247">
        <v>294.51202886383089</v>
      </c>
      <c r="AX247">
        <v>45.368680778435483</v>
      </c>
      <c r="AY247">
        <v>1.57124139137513</v>
      </c>
      <c r="AZ247" t="str">
        <f>VLOOKUP(BA247,Sheet1!$A$1:$B$58,2,FALSE)</f>
        <v>Isobutyrate</v>
      </c>
      <c r="BA247" t="s">
        <v>142</v>
      </c>
      <c r="BB247" t="s">
        <v>114</v>
      </c>
      <c r="BC247">
        <v>87.095680000000002</v>
      </c>
      <c r="BD247">
        <v>4.75</v>
      </c>
      <c r="BE247">
        <v>155</v>
      </c>
      <c r="BF247" t="s">
        <v>186</v>
      </c>
      <c r="BG247">
        <v>0.50530634814493669</v>
      </c>
      <c r="BH247">
        <v>0.2</v>
      </c>
      <c r="BI247">
        <v>0.580057808857809</v>
      </c>
      <c r="BJ247">
        <v>90</v>
      </c>
      <c r="BK247">
        <v>564.14306062155765</v>
      </c>
      <c r="BL247">
        <v>86.904519755771091</v>
      </c>
      <c r="BM247">
        <v>2.50443464927787</v>
      </c>
      <c r="BN247">
        <v>425.75389037723778</v>
      </c>
      <c r="BO247">
        <v>138.38917024431981</v>
      </c>
    </row>
    <row r="248" spans="1:67" x14ac:dyDescent="0.25">
      <c r="A248" s="1">
        <v>246</v>
      </c>
      <c r="B248" t="s">
        <v>185</v>
      </c>
      <c r="C248" t="s">
        <v>179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67</v>
      </c>
      <c r="J248">
        <v>1.333</v>
      </c>
      <c r="K248">
        <v>500</v>
      </c>
      <c r="L248">
        <v>50</v>
      </c>
      <c r="N248" t="s">
        <v>183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113574.23658839019</v>
      </c>
      <c r="Z248">
        <v>567871182.9419508</v>
      </c>
      <c r="AA248">
        <v>756972286.86162043</v>
      </c>
      <c r="AB248">
        <v>756972.28686162038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233.1215430272691</v>
      </c>
      <c r="AI248">
        <v>233.1215430272691</v>
      </c>
      <c r="AJ248">
        <v>24601.599323002662</v>
      </c>
      <c r="AK248">
        <v>2170.1388888888891</v>
      </c>
      <c r="AL248" t="s">
        <v>107</v>
      </c>
      <c r="AM248">
        <v>18066.919584613359</v>
      </c>
      <c r="AN248">
        <v>1236.5495164024669</v>
      </c>
      <c r="AO248">
        <v>39630.662314635752</v>
      </c>
      <c r="AP248">
        <v>46075.207312907383</v>
      </c>
      <c r="AQ248">
        <v>6444.5449982716309</v>
      </c>
      <c r="AR248">
        <v>4.644428705066944E-3</v>
      </c>
      <c r="AS248">
        <v>154.6611756050491</v>
      </c>
      <c r="AT248">
        <v>113.5800557448126</v>
      </c>
      <c r="AU248">
        <v>7.7737304550702104</v>
      </c>
      <c r="AV248">
        <v>249.1433480853955</v>
      </c>
      <c r="AW248">
        <v>289.65782409917188</v>
      </c>
      <c r="AX248">
        <v>40.514476013776388</v>
      </c>
      <c r="AY248">
        <v>1.5712413913751311</v>
      </c>
      <c r="AZ248" t="str">
        <f>VLOOKUP(BA248,Sheet1!$A$1:$B$58,2,FALSE)</f>
        <v>Isoprene</v>
      </c>
      <c r="BA248" t="s">
        <v>143</v>
      </c>
      <c r="BB248" t="s">
        <v>144</v>
      </c>
      <c r="BC248">
        <v>68.116219999999998</v>
      </c>
      <c r="BD248">
        <v>5.6</v>
      </c>
      <c r="BE248">
        <v>34.07</v>
      </c>
      <c r="BF248" t="s">
        <v>186</v>
      </c>
      <c r="BG248">
        <v>1.2922032373493439</v>
      </c>
      <c r="BH248">
        <v>7.4285714285714399E-2</v>
      </c>
      <c r="BI248">
        <v>0.168500235003092</v>
      </c>
      <c r="BJ248">
        <v>90</v>
      </c>
      <c r="BK248">
        <v>1910.0390380520939</v>
      </c>
      <c r="BL248">
        <v>267.15739867618282</v>
      </c>
      <c r="BM248">
        <v>9.0687542305292848</v>
      </c>
      <c r="BN248">
        <v>1541.6882191899781</v>
      </c>
      <c r="BO248">
        <v>368.35081886211577</v>
      </c>
    </row>
    <row r="249" spans="1:67" x14ac:dyDescent="0.25">
      <c r="A249" s="1">
        <v>247</v>
      </c>
      <c r="B249" t="s">
        <v>185</v>
      </c>
      <c r="C249" t="s">
        <v>179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67</v>
      </c>
      <c r="J249">
        <v>1.333</v>
      </c>
      <c r="K249">
        <v>500</v>
      </c>
      <c r="L249">
        <v>50</v>
      </c>
      <c r="N249" t="s">
        <v>183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43034.659529623139</v>
      </c>
      <c r="Z249">
        <v>215173297.64811569</v>
      </c>
      <c r="AA249">
        <v>286826005.76493818</v>
      </c>
      <c r="AB249">
        <v>286826.00576493831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88.33258786988354</v>
      </c>
      <c r="AI249">
        <v>88.33258786988354</v>
      </c>
      <c r="AJ249">
        <v>9321.8451873604936</v>
      </c>
      <c r="AK249">
        <v>854.70085470085473</v>
      </c>
      <c r="AL249" t="s">
        <v>69</v>
      </c>
      <c r="AM249">
        <v>6845.7755599159746</v>
      </c>
      <c r="AN249">
        <v>468.54365064109982</v>
      </c>
      <c r="AO249">
        <v>15016.539937880199</v>
      </c>
      <c r="AP249">
        <v>17490.86525261842</v>
      </c>
      <c r="AQ249">
        <v>2474.325314738222</v>
      </c>
      <c r="AR249">
        <v>4.6444287050669449E-3</v>
      </c>
      <c r="AS249">
        <v>154.66117560504921</v>
      </c>
      <c r="AT249">
        <v>113.5800557448126</v>
      </c>
      <c r="AU249">
        <v>7.7737304550702078</v>
      </c>
      <c r="AV249">
        <v>249.14334808539539</v>
      </c>
      <c r="AW249">
        <v>290.19552759655329</v>
      </c>
      <c r="AX249">
        <v>41.052179511157952</v>
      </c>
      <c r="AY249">
        <v>1.57124139137513</v>
      </c>
      <c r="AZ249" t="str">
        <f>VLOOKUP(BA249,Sheet1!$A$1:$B$58,2,FALSE)</f>
        <v>Isopropanol</v>
      </c>
      <c r="BA249" t="s">
        <v>145</v>
      </c>
      <c r="BB249" t="s">
        <v>79</v>
      </c>
      <c r="BC249">
        <v>60.093820000000001</v>
      </c>
      <c r="BD249">
        <v>6</v>
      </c>
      <c r="BE249">
        <v>82.5</v>
      </c>
      <c r="BF249" t="s">
        <v>186</v>
      </c>
      <c r="BG249">
        <v>1.0985322617200901</v>
      </c>
      <c r="BH249">
        <v>0.22222222222222199</v>
      </c>
      <c r="BI249">
        <v>0.444694712694712</v>
      </c>
      <c r="BJ249">
        <v>90</v>
      </c>
      <c r="BK249">
        <v>725.0805235650281</v>
      </c>
      <c r="BL249">
        <v>102.5726897308305</v>
      </c>
      <c r="BM249">
        <v>2.827360532496956</v>
      </c>
      <c r="BN249">
        <v>480.65129052448259</v>
      </c>
      <c r="BO249">
        <v>244.42923304054551</v>
      </c>
    </row>
    <row r="250" spans="1:67" x14ac:dyDescent="0.25">
      <c r="A250" s="1">
        <v>248</v>
      </c>
      <c r="B250" t="s">
        <v>185</v>
      </c>
      <c r="C250" t="s">
        <v>179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67</v>
      </c>
      <c r="J250">
        <v>1.333</v>
      </c>
      <c r="K250">
        <v>500</v>
      </c>
      <c r="L250">
        <v>50</v>
      </c>
      <c r="N250" t="s">
        <v>183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35747.695394449598</v>
      </c>
      <c r="Z250">
        <v>178738476.97224799</v>
      </c>
      <c r="AA250">
        <v>238258389.80400649</v>
      </c>
      <c r="AB250">
        <v>238258.38980400661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73.375425275583723</v>
      </c>
      <c r="AI250">
        <v>73.375425275583723</v>
      </c>
      <c r="AJ250">
        <v>7743.397668630213</v>
      </c>
      <c r="AK250">
        <v>854.70085470085473</v>
      </c>
      <c r="AL250" t="s">
        <v>69</v>
      </c>
      <c r="AM250">
        <v>5686.5954588577388</v>
      </c>
      <c r="AN250">
        <v>389.20618601831711</v>
      </c>
      <c r="AO250">
        <v>12473.82229684923</v>
      </c>
      <c r="AP250">
        <v>14673.900168207119</v>
      </c>
      <c r="AQ250">
        <v>2200.0778713578911</v>
      </c>
      <c r="AR250">
        <v>4.644428705066944E-3</v>
      </c>
      <c r="AS250">
        <v>154.6611756050491</v>
      </c>
      <c r="AT250">
        <v>113.5800557448126</v>
      </c>
      <c r="AU250">
        <v>7.7737304550702104</v>
      </c>
      <c r="AV250">
        <v>249.14334808539539</v>
      </c>
      <c r="AW250">
        <v>293.08615517966899</v>
      </c>
      <c r="AX250">
        <v>43.942807094273583</v>
      </c>
      <c r="AY250">
        <v>1.57124139137513</v>
      </c>
      <c r="AZ250" t="str">
        <f>VLOOKUP(BA250,Sheet1!$A$1:$B$58,2,FALSE)</f>
        <v>Itaconate</v>
      </c>
      <c r="BA250" t="s">
        <v>146</v>
      </c>
      <c r="BB250" t="s">
        <v>147</v>
      </c>
      <c r="BC250">
        <v>128.08086</v>
      </c>
      <c r="BD250">
        <v>3.2</v>
      </c>
      <c r="BE250">
        <v>381</v>
      </c>
      <c r="BF250" t="s">
        <v>186</v>
      </c>
      <c r="BG250">
        <v>0</v>
      </c>
      <c r="BH250">
        <v>0.12551724137931</v>
      </c>
      <c r="BI250">
        <v>0.53534319749216297</v>
      </c>
      <c r="BJ250">
        <v>90</v>
      </c>
      <c r="BK250">
        <v>608.30376673971432</v>
      </c>
      <c r="BL250">
        <v>91.203813636904002</v>
      </c>
      <c r="BM250">
        <v>3.2611300122481648</v>
      </c>
      <c r="BN250">
        <v>554.3921020821881</v>
      </c>
      <c r="BO250">
        <v>53.911664657526217</v>
      </c>
    </row>
    <row r="251" spans="1:67" x14ac:dyDescent="0.25">
      <c r="A251" s="1">
        <v>249</v>
      </c>
      <c r="B251" t="s">
        <v>185</v>
      </c>
      <c r="C251" t="s">
        <v>179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67</v>
      </c>
      <c r="J251">
        <v>1.333</v>
      </c>
      <c r="K251">
        <v>500</v>
      </c>
      <c r="L251">
        <v>50</v>
      </c>
      <c r="N251" t="s">
        <v>183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111256.3950253621</v>
      </c>
      <c r="Z251">
        <v>556281975.12681031</v>
      </c>
      <c r="AA251">
        <v>741523872.84403813</v>
      </c>
      <c r="AB251">
        <v>741523.87284403818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228.363960516509</v>
      </c>
      <c r="AI251">
        <v>228.363960516509</v>
      </c>
      <c r="AJ251">
        <v>24099.525867431239</v>
      </c>
      <c r="AK251">
        <v>854.70085470085473</v>
      </c>
      <c r="AL251" t="s">
        <v>69</v>
      </c>
      <c r="AM251">
        <v>17698.206940029449</v>
      </c>
      <c r="AN251">
        <v>1211.3138119860921</v>
      </c>
      <c r="AO251">
        <v>38821.873287806528</v>
      </c>
      <c r="AP251">
        <v>43863.74747414764</v>
      </c>
      <c r="AQ251">
        <v>5041.8741863411051</v>
      </c>
      <c r="AR251">
        <v>4.6444287050669449E-3</v>
      </c>
      <c r="AS251">
        <v>154.66117560504921</v>
      </c>
      <c r="AT251">
        <v>113.5800557448126</v>
      </c>
      <c r="AU251">
        <v>7.7737304550702078</v>
      </c>
      <c r="AV251">
        <v>249.14334808539539</v>
      </c>
      <c r="AW251">
        <v>281.50009208118018</v>
      </c>
      <c r="AX251">
        <v>32.356743995784747</v>
      </c>
      <c r="AY251">
        <v>1.57124139137513</v>
      </c>
      <c r="AZ251" t="str">
        <f>VLOOKUP(BA251,Sheet1!$A$1:$B$58,2,FALSE)</f>
        <v>Limonene</v>
      </c>
      <c r="BA251" t="s">
        <v>148</v>
      </c>
      <c r="BB251" t="s">
        <v>149</v>
      </c>
      <c r="BC251">
        <v>136.23244</v>
      </c>
      <c r="BD251">
        <v>5.6</v>
      </c>
      <c r="BE251">
        <v>176</v>
      </c>
      <c r="BF251" t="s">
        <v>186</v>
      </c>
      <c r="BG251">
        <v>1.2922032373493471</v>
      </c>
      <c r="BH251">
        <v>3.7916666666666599E-2</v>
      </c>
      <c r="BI251">
        <v>0.17201065656565601</v>
      </c>
      <c r="BJ251">
        <v>90</v>
      </c>
      <c r="BK251">
        <v>1818.3633871010411</v>
      </c>
      <c r="BL251">
        <v>209.0099444470838</v>
      </c>
      <c r="BM251">
        <v>8.8573061189399418</v>
      </c>
      <c r="BN251">
        <v>1505.7420402197899</v>
      </c>
      <c r="BO251">
        <v>312.62134688125087</v>
      </c>
    </row>
    <row r="252" spans="1:67" x14ac:dyDescent="0.25">
      <c r="A252" s="1">
        <v>250</v>
      </c>
      <c r="B252" t="s">
        <v>185</v>
      </c>
      <c r="C252" t="s">
        <v>179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67</v>
      </c>
      <c r="J252">
        <v>1.333</v>
      </c>
      <c r="K252">
        <v>500</v>
      </c>
      <c r="L252">
        <v>50</v>
      </c>
      <c r="N252" t="s">
        <v>183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41832.242436899163</v>
      </c>
      <c r="Z252">
        <v>209161212.18449581</v>
      </c>
      <c r="AA252">
        <v>278811895.84193289</v>
      </c>
      <c r="AB252">
        <v>278811.89584193291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85.864516444195161</v>
      </c>
      <c r="AI252">
        <v>85.864516444195161</v>
      </c>
      <c r="AJ252">
        <v>9061.3866148628204</v>
      </c>
      <c r="AK252">
        <v>854.70085470085473</v>
      </c>
      <c r="AL252" t="s">
        <v>69</v>
      </c>
      <c r="AM252">
        <v>6654.500024425125</v>
      </c>
      <c r="AN252">
        <v>455.45222850889172</v>
      </c>
      <c r="AO252">
        <v>14596.967795513179</v>
      </c>
      <c r="AP252">
        <v>17026.039722497691</v>
      </c>
      <c r="AQ252">
        <v>2429.071926984514</v>
      </c>
      <c r="AR252">
        <v>4.644428705066944E-3</v>
      </c>
      <c r="AS252">
        <v>154.6611756050491</v>
      </c>
      <c r="AT252">
        <v>113.5800557448126</v>
      </c>
      <c r="AU252">
        <v>7.7737304550702078</v>
      </c>
      <c r="AV252">
        <v>249.14334808539539</v>
      </c>
      <c r="AW252">
        <v>290.60313076815152</v>
      </c>
      <c r="AX252">
        <v>41.459782682756057</v>
      </c>
      <c r="AY252">
        <v>1.57124139137513</v>
      </c>
      <c r="AZ252" t="str">
        <f>VLOOKUP(BA252,Sheet1!$A$1:$B$58,2,FALSE)</f>
        <v>L-Lysine</v>
      </c>
      <c r="BA252" t="s">
        <v>150</v>
      </c>
      <c r="BB252" t="s">
        <v>151</v>
      </c>
      <c r="BC252">
        <v>147.19319999999999</v>
      </c>
      <c r="BD252">
        <v>4.833333333333333</v>
      </c>
      <c r="BF252" t="s">
        <v>186</v>
      </c>
      <c r="BG252">
        <v>0.2989947905202146</v>
      </c>
      <c r="BH252">
        <v>9.3333333333333296E-2</v>
      </c>
      <c r="BI252">
        <v>0.457476923076923</v>
      </c>
      <c r="BJ252">
        <v>90</v>
      </c>
      <c r="BK252">
        <v>705.81126879240446</v>
      </c>
      <c r="BL252">
        <v>100.6967190677646</v>
      </c>
      <c r="BM252">
        <v>3.5172059403329041</v>
      </c>
      <c r="BN252">
        <v>597.92500985659365</v>
      </c>
      <c r="BO252">
        <v>107.8862589358108</v>
      </c>
    </row>
    <row r="253" spans="1:67" x14ac:dyDescent="0.25">
      <c r="A253" s="1">
        <v>251</v>
      </c>
      <c r="B253" t="s">
        <v>185</v>
      </c>
      <c r="C253" t="s">
        <v>179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67</v>
      </c>
      <c r="J253">
        <v>1.333</v>
      </c>
      <c r="K253">
        <v>500</v>
      </c>
      <c r="L253">
        <v>50</v>
      </c>
      <c r="N253" t="s">
        <v>183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28690.89604247667</v>
      </c>
      <c r="Z253">
        <v>143454480.21238339</v>
      </c>
      <c r="AA253">
        <v>191224822.12310699</v>
      </c>
      <c r="AB253">
        <v>191224.82212310701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58.890697020461772</v>
      </c>
      <c r="AI253">
        <v>58.890697020461772</v>
      </c>
      <c r="AJ253">
        <v>6214.8067190009779</v>
      </c>
      <c r="AK253">
        <v>854.70085470085473</v>
      </c>
      <c r="AL253" t="s">
        <v>69</v>
      </c>
      <c r="AM253">
        <v>4564.0290190857877</v>
      </c>
      <c r="AN253">
        <v>312.37466076971708</v>
      </c>
      <c r="AO253">
        <v>10011.418493478501</v>
      </c>
      <c r="AP253">
        <v>11945.91125355734</v>
      </c>
      <c r="AQ253">
        <v>1934.492760078838</v>
      </c>
      <c r="AR253">
        <v>4.644428705066944E-3</v>
      </c>
      <c r="AS253">
        <v>154.6611756050491</v>
      </c>
      <c r="AT253">
        <v>113.5800557448126</v>
      </c>
      <c r="AU253">
        <v>7.7737304550702078</v>
      </c>
      <c r="AV253">
        <v>249.14334808539539</v>
      </c>
      <c r="AW253">
        <v>297.28497790608009</v>
      </c>
      <c r="AX253">
        <v>48.141629820684713</v>
      </c>
      <c r="AY253">
        <v>1.57124139137513</v>
      </c>
      <c r="AZ253" t="str">
        <f>VLOOKUP(BA253,Sheet1!$A$1:$B$58,2,FALSE)</f>
        <v>L-Malate</v>
      </c>
      <c r="BA253" t="s">
        <v>152</v>
      </c>
      <c r="BB253" t="s">
        <v>153</v>
      </c>
      <c r="BC253">
        <v>132.06916000000001</v>
      </c>
      <c r="BD253">
        <v>2.5</v>
      </c>
      <c r="BF253" t="s">
        <v>186</v>
      </c>
      <c r="BG253">
        <v>0</v>
      </c>
      <c r="BH253">
        <v>0.151666666666667</v>
      </c>
      <c r="BI253">
        <v>0.66701595959596005</v>
      </c>
      <c r="BJ253">
        <v>90</v>
      </c>
      <c r="BK253">
        <v>495.21550026772019</v>
      </c>
      <c r="BL253">
        <v>80.194032888152151</v>
      </c>
      <c r="BM253">
        <v>2.617364312020523</v>
      </c>
      <c r="BN253">
        <v>444.95193304348902</v>
      </c>
      <c r="BO253">
        <v>50.263567224231217</v>
      </c>
    </row>
    <row r="254" spans="1:67" x14ac:dyDescent="0.25">
      <c r="A254" s="1">
        <v>252</v>
      </c>
      <c r="B254" t="s">
        <v>185</v>
      </c>
      <c r="C254" t="s">
        <v>179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67</v>
      </c>
      <c r="J254">
        <v>1.333</v>
      </c>
      <c r="K254">
        <v>500</v>
      </c>
      <c r="L254">
        <v>50</v>
      </c>
      <c r="N254" t="s">
        <v>183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32491.296603086139</v>
      </c>
      <c r="Z254">
        <v>162456483.01543069</v>
      </c>
      <c r="AA254">
        <v>216554491.8595691</v>
      </c>
      <c r="AB254">
        <v>216554.4918595691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66.691367924566634</v>
      </c>
      <c r="AI254">
        <v>66.691367924566634</v>
      </c>
      <c r="AJ254">
        <v>7038.0209854359946</v>
      </c>
      <c r="AK254">
        <v>854.70085470085473</v>
      </c>
      <c r="AL254" t="s">
        <v>69</v>
      </c>
      <c r="AM254">
        <v>5168.5810141539141</v>
      </c>
      <c r="AN254">
        <v>353.75185701175349</v>
      </c>
      <c r="AO254">
        <v>11337.53254717633</v>
      </c>
      <c r="AP254">
        <v>13415.05471130252</v>
      </c>
      <c r="AQ254">
        <v>2077.522164126191</v>
      </c>
      <c r="AR254">
        <v>4.6444287050669431E-3</v>
      </c>
      <c r="AS254">
        <v>154.6611756050491</v>
      </c>
      <c r="AT254">
        <v>113.5800557448126</v>
      </c>
      <c r="AU254">
        <v>7.7737304550702078</v>
      </c>
      <c r="AV254">
        <v>249.14334808539539</v>
      </c>
      <c r="AW254">
        <v>294.79709377814112</v>
      </c>
      <c r="AX254">
        <v>45.65374569274568</v>
      </c>
      <c r="AY254">
        <v>1.57124139137513</v>
      </c>
      <c r="AZ254" t="str">
        <f>VLOOKUP(BA254,Sheet1!$A$1:$B$58,2,FALSE)</f>
        <v>Malonate</v>
      </c>
      <c r="BA254" t="s">
        <v>154</v>
      </c>
      <c r="BB254" t="s">
        <v>155</v>
      </c>
      <c r="BC254">
        <v>102.04378</v>
      </c>
      <c r="BD254">
        <v>2</v>
      </c>
      <c r="BE254">
        <v>199</v>
      </c>
      <c r="BF254" t="s">
        <v>186</v>
      </c>
      <c r="BG254">
        <v>0</v>
      </c>
      <c r="BH254">
        <v>0.17333333333333301</v>
      </c>
      <c r="BI254">
        <v>0.58899728715728705</v>
      </c>
      <c r="BJ254">
        <v>90</v>
      </c>
      <c r="BK254">
        <v>556.11856550484674</v>
      </c>
      <c r="BL254">
        <v>86.123289884533335</v>
      </c>
      <c r="BM254">
        <v>2.9640607966474062</v>
      </c>
      <c r="BN254">
        <v>503.89033543005911</v>
      </c>
      <c r="BO254">
        <v>52.228230074787689</v>
      </c>
    </row>
    <row r="255" spans="1:67" x14ac:dyDescent="0.25">
      <c r="A255" s="1">
        <v>253</v>
      </c>
      <c r="B255" t="s">
        <v>185</v>
      </c>
      <c r="C255" t="s">
        <v>179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67</v>
      </c>
      <c r="J255">
        <v>1.333</v>
      </c>
      <c r="K255">
        <v>500</v>
      </c>
      <c r="L255">
        <v>50</v>
      </c>
      <c r="N255" t="s">
        <v>183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62732.967805209519</v>
      </c>
      <c r="Z255">
        <v>313664839.02604759</v>
      </c>
      <c r="AA255">
        <v>418115230.4217214</v>
      </c>
      <c r="AB255">
        <v>418115.23042172141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128.7651732710425</v>
      </c>
      <c r="AI255">
        <v>128.7651732710425</v>
      </c>
      <c r="AJ255">
        <v>13588.74498870595</v>
      </c>
      <c r="AK255">
        <v>854.70085470085473</v>
      </c>
      <c r="AL255" t="s">
        <v>69</v>
      </c>
      <c r="AM255">
        <v>9979.3009285057942</v>
      </c>
      <c r="AN255">
        <v>683.01071908726317</v>
      </c>
      <c r="AO255">
        <v>21890.07945607723</v>
      </c>
      <c r="AP255">
        <v>25105.757490999858</v>
      </c>
      <c r="AQ255">
        <v>3215.6780349226319</v>
      </c>
      <c r="AR255">
        <v>4.644428705066944E-3</v>
      </c>
      <c r="AS255">
        <v>154.6611756050491</v>
      </c>
      <c r="AT255">
        <v>113.5800557448126</v>
      </c>
      <c r="AU255">
        <v>7.7737304550702078</v>
      </c>
      <c r="AV255">
        <v>249.14334808539539</v>
      </c>
      <c r="AW255">
        <v>285.74279458776368</v>
      </c>
      <c r="AX255">
        <v>36.599446502368323</v>
      </c>
      <c r="AY255">
        <v>1.57124139137513</v>
      </c>
      <c r="AZ255" t="str">
        <f>VLOOKUP(BA255,Sheet1!$A$1:$B$58,2,FALSE)</f>
        <v>Nonane</v>
      </c>
      <c r="BA255" t="s">
        <v>156</v>
      </c>
      <c r="BB255" t="s">
        <v>157</v>
      </c>
      <c r="BC255">
        <v>128.25309999999999</v>
      </c>
      <c r="BD255">
        <v>6.2222222222222223</v>
      </c>
      <c r="BE255">
        <v>151</v>
      </c>
      <c r="BF255" t="s">
        <v>186</v>
      </c>
      <c r="BG255">
        <v>1.715748001412839</v>
      </c>
      <c r="BH255">
        <v>7.14285714285713E-2</v>
      </c>
      <c r="BI255">
        <v>0.305059464345178</v>
      </c>
      <c r="BJ255">
        <v>90</v>
      </c>
      <c r="BK255">
        <v>1040.7544465729429</v>
      </c>
      <c r="BL255">
        <v>133.30532706660779</v>
      </c>
      <c r="BM255">
        <v>4.0071485884112734</v>
      </c>
      <c r="BN255">
        <v>681.21526002991629</v>
      </c>
      <c r="BO255">
        <v>359.53918654302657</v>
      </c>
    </row>
    <row r="256" spans="1:67" x14ac:dyDescent="0.25">
      <c r="A256" s="1">
        <v>254</v>
      </c>
      <c r="B256" t="s">
        <v>185</v>
      </c>
      <c r="C256" t="s">
        <v>179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67</v>
      </c>
      <c r="J256">
        <v>1.333</v>
      </c>
      <c r="K256">
        <v>500</v>
      </c>
      <c r="L256">
        <v>50</v>
      </c>
      <c r="N256" t="s">
        <v>183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62889.475994526423</v>
      </c>
      <c r="Z256">
        <v>314447379.97263211</v>
      </c>
      <c r="AA256">
        <v>419158357.50351858</v>
      </c>
      <c r="AB256">
        <v>419158.35750351858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129.08642069198879</v>
      </c>
      <c r="AI256">
        <v>129.08642069198879</v>
      </c>
      <c r="AJ256">
        <v>13622.64661886435</v>
      </c>
      <c r="AK256">
        <v>854.70085470085473</v>
      </c>
      <c r="AL256" t="s">
        <v>69</v>
      </c>
      <c r="AM256">
        <v>10004.197603629131</v>
      </c>
      <c r="AN256">
        <v>684.71471580012906</v>
      </c>
      <c r="AO256">
        <v>21944.69151763809</v>
      </c>
      <c r="AP256">
        <v>25166.259792994471</v>
      </c>
      <c r="AQ256">
        <v>3221.5682753563742</v>
      </c>
      <c r="AR256">
        <v>4.644428705066944E-3</v>
      </c>
      <c r="AS256">
        <v>154.6611756050491</v>
      </c>
      <c r="AT256">
        <v>113.5800557448126</v>
      </c>
      <c r="AU256">
        <v>7.7737304550702104</v>
      </c>
      <c r="AV256">
        <v>249.14334808539539</v>
      </c>
      <c r="AW256">
        <v>285.71858568045849</v>
      </c>
      <c r="AX256">
        <v>36.575237595063129</v>
      </c>
      <c r="AY256">
        <v>1.5712413913751311</v>
      </c>
      <c r="AZ256" t="str">
        <f>VLOOKUP(BA256,Sheet1!$A$1:$B$58,2,FALSE)</f>
        <v>Octane</v>
      </c>
      <c r="BA256" t="s">
        <v>158</v>
      </c>
      <c r="BB256" t="s">
        <v>159</v>
      </c>
      <c r="BC256">
        <v>114.22672</v>
      </c>
      <c r="BD256">
        <v>6.25</v>
      </c>
      <c r="BE256">
        <v>126</v>
      </c>
      <c r="BF256" t="s">
        <v>186</v>
      </c>
      <c r="BG256">
        <v>1.733788731743326</v>
      </c>
      <c r="BH256">
        <v>0.08</v>
      </c>
      <c r="BI256">
        <v>0.304300286380286</v>
      </c>
      <c r="BJ256">
        <v>90</v>
      </c>
      <c r="BK256">
        <v>1043.2625581027919</v>
      </c>
      <c r="BL256">
        <v>133.54950587399861</v>
      </c>
      <c r="BM256">
        <v>4.0033855212339526</v>
      </c>
      <c r="BN256">
        <v>680.57553860977191</v>
      </c>
      <c r="BO256">
        <v>362.68701949302039</v>
      </c>
    </row>
    <row r="257" spans="1:67" x14ac:dyDescent="0.25">
      <c r="A257" s="1">
        <v>255</v>
      </c>
      <c r="B257" t="s">
        <v>185</v>
      </c>
      <c r="C257" t="s">
        <v>179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67</v>
      </c>
      <c r="J257">
        <v>1.333</v>
      </c>
      <c r="K257">
        <v>500</v>
      </c>
      <c r="L257">
        <v>50</v>
      </c>
      <c r="N257" t="s">
        <v>183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63724.126046071542</v>
      </c>
      <c r="Z257">
        <v>318620630.23035771</v>
      </c>
      <c r="AA257">
        <v>424721300.09706682</v>
      </c>
      <c r="AB257">
        <v>424721.30009706679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130.79961651657669</v>
      </c>
      <c r="AI257">
        <v>130.79961651657669</v>
      </c>
      <c r="AJ257">
        <v>13803.44225315467</v>
      </c>
      <c r="AK257">
        <v>2170.1388888888891</v>
      </c>
      <c r="AL257" t="s">
        <v>107</v>
      </c>
      <c r="AM257">
        <v>10136.970280034689</v>
      </c>
      <c r="AN257">
        <v>693.80204183995818</v>
      </c>
      <c r="AO257">
        <v>22235.934807818041</v>
      </c>
      <c r="AP257">
        <v>26804.353463918211</v>
      </c>
      <c r="AQ257">
        <v>4568.4186561001734</v>
      </c>
      <c r="AR257">
        <v>4.644428705066944E-3</v>
      </c>
      <c r="AS257">
        <v>154.6611756050491</v>
      </c>
      <c r="AT257">
        <v>113.5800557448126</v>
      </c>
      <c r="AU257">
        <v>7.7737304550702078</v>
      </c>
      <c r="AV257">
        <v>249.14334808539539</v>
      </c>
      <c r="AW257">
        <v>300.33036267568809</v>
      </c>
      <c r="AX257">
        <v>51.187014590292733</v>
      </c>
      <c r="AY257">
        <v>1.5712413913751311</v>
      </c>
      <c r="AZ257" t="str">
        <f>VLOOKUP(BA257,Sheet1!$A$1:$B$58,2,FALSE)</f>
        <v>Pentane</v>
      </c>
      <c r="BA257" t="s">
        <v>160</v>
      </c>
      <c r="BB257" t="s">
        <v>161</v>
      </c>
      <c r="BC257">
        <v>72.147580000000005</v>
      </c>
      <c r="BD257">
        <v>6.4</v>
      </c>
      <c r="BE257">
        <v>36.1</v>
      </c>
      <c r="BF257" t="s">
        <v>186</v>
      </c>
      <c r="BG257">
        <v>1.829999010361816</v>
      </c>
      <c r="BH257">
        <v>0.125</v>
      </c>
      <c r="BI257">
        <v>0.30031460206460198</v>
      </c>
      <c r="BJ257">
        <v>90</v>
      </c>
      <c r="BK257">
        <v>1111.169422595053</v>
      </c>
      <c r="BL257">
        <v>189.38293464546979</v>
      </c>
      <c r="BM257">
        <v>3.9833172792638138</v>
      </c>
      <c r="BN257">
        <v>677.16393747484847</v>
      </c>
      <c r="BO257">
        <v>434.0054851202043</v>
      </c>
    </row>
    <row r="258" spans="1:67" x14ac:dyDescent="0.25">
      <c r="A258" s="1">
        <v>256</v>
      </c>
      <c r="B258" t="s">
        <v>185</v>
      </c>
      <c r="C258" t="s">
        <v>179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67</v>
      </c>
      <c r="J258">
        <v>1.333</v>
      </c>
      <c r="K258">
        <v>500</v>
      </c>
      <c r="L258">
        <v>50</v>
      </c>
      <c r="N258" t="s">
        <v>183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63585.365501981352</v>
      </c>
      <c r="Z258">
        <v>317926827.50990671</v>
      </c>
      <c r="AA258">
        <v>423796461.07070571</v>
      </c>
      <c r="AB258">
        <v>423796.46107070573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130.51479776611609</v>
      </c>
      <c r="AI258">
        <v>130.51479776611609</v>
      </c>
      <c r="AJ258">
        <v>13773.384984797931</v>
      </c>
      <c r="AK258">
        <v>854.70085470085473</v>
      </c>
      <c r="AL258" t="s">
        <v>69</v>
      </c>
      <c r="AM258">
        <v>10114.896826874001</v>
      </c>
      <c r="AN258">
        <v>692.29127417957466</v>
      </c>
      <c r="AO258">
        <v>22187.515620239741</v>
      </c>
      <c r="AP258">
        <v>25435.273940552361</v>
      </c>
      <c r="AQ258">
        <v>3247.7583203126201</v>
      </c>
      <c r="AR258">
        <v>4.644428705066944E-3</v>
      </c>
      <c r="AS258">
        <v>154.6611756050491</v>
      </c>
      <c r="AT258">
        <v>113.5800557448126</v>
      </c>
      <c r="AU258">
        <v>7.7737304550702078</v>
      </c>
      <c r="AV258">
        <v>249.1433480853953</v>
      </c>
      <c r="AW258">
        <v>285.61238750127131</v>
      </c>
      <c r="AX258">
        <v>36.469039415875947</v>
      </c>
      <c r="AY258">
        <v>1.57124139137513</v>
      </c>
      <c r="AZ258" t="str">
        <f>VLOOKUP(BA258,Sheet1!$A$1:$B$58,2,FALSE)</f>
        <v>Pentanol (PW1)</v>
      </c>
      <c r="BA258" t="s">
        <v>162</v>
      </c>
      <c r="BB258" t="s">
        <v>83</v>
      </c>
      <c r="BC258">
        <v>88.14658</v>
      </c>
      <c r="BD258">
        <v>6</v>
      </c>
      <c r="BE258">
        <v>138</v>
      </c>
      <c r="BF258" t="s">
        <v>186</v>
      </c>
      <c r="BG258">
        <v>1.2482049785709159</v>
      </c>
      <c r="BH258">
        <v>0.10253521126760599</v>
      </c>
      <c r="BI258">
        <v>0.30096997012377302</v>
      </c>
      <c r="BJ258">
        <v>90</v>
      </c>
      <c r="BK258">
        <v>1054.4144889044139</v>
      </c>
      <c r="BL258">
        <v>134.6352092531512</v>
      </c>
      <c r="BM258">
        <v>4.5524526999231343</v>
      </c>
      <c r="BN258">
        <v>773.91695898693285</v>
      </c>
      <c r="BO258">
        <v>280.49752991748079</v>
      </c>
    </row>
    <row r="259" spans="1:67" x14ac:dyDescent="0.25">
      <c r="A259" s="1">
        <v>257</v>
      </c>
      <c r="B259" t="s">
        <v>185</v>
      </c>
      <c r="C259" t="s">
        <v>179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67</v>
      </c>
      <c r="J259">
        <v>1.333</v>
      </c>
      <c r="K259">
        <v>500</v>
      </c>
      <c r="L259">
        <v>50</v>
      </c>
      <c r="N259" t="s">
        <v>183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63585.365501981352</v>
      </c>
      <c r="Z259">
        <v>317926827.50990671</v>
      </c>
      <c r="AA259">
        <v>423796461.07070571</v>
      </c>
      <c r="AB259">
        <v>423796.46107070573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130.51479776611609</v>
      </c>
      <c r="AI259">
        <v>130.51479776611609</v>
      </c>
      <c r="AJ259">
        <v>13773.384984797931</v>
      </c>
      <c r="AK259">
        <v>854.70085470085473</v>
      </c>
      <c r="AL259" t="s">
        <v>69</v>
      </c>
      <c r="AM259">
        <v>10114.896826874001</v>
      </c>
      <c r="AN259">
        <v>692.29127417957466</v>
      </c>
      <c r="AO259">
        <v>22187.515620239741</v>
      </c>
      <c r="AP259">
        <v>25435.273940552361</v>
      </c>
      <c r="AQ259">
        <v>3247.7583203126201</v>
      </c>
      <c r="AR259">
        <v>4.644428705066944E-3</v>
      </c>
      <c r="AS259">
        <v>154.6611756050491</v>
      </c>
      <c r="AT259">
        <v>113.5800557448126</v>
      </c>
      <c r="AU259">
        <v>7.7737304550702078</v>
      </c>
      <c r="AV259">
        <v>249.1433480853953</v>
      </c>
      <c r="AW259">
        <v>285.61238750127131</v>
      </c>
      <c r="AX259">
        <v>36.469039415875947</v>
      </c>
      <c r="AY259">
        <v>1.57124139137513</v>
      </c>
      <c r="AZ259" t="str">
        <f>VLOOKUP(BA259,Sheet1!$A$1:$B$58,2,FALSE)</f>
        <v>Pentanol (PW2)</v>
      </c>
      <c r="BA259" t="s">
        <v>163</v>
      </c>
      <c r="BB259" t="s">
        <v>83</v>
      </c>
      <c r="BC259">
        <v>88.14658</v>
      </c>
      <c r="BD259">
        <v>6</v>
      </c>
      <c r="BE259">
        <v>138</v>
      </c>
      <c r="BF259" t="s">
        <v>186</v>
      </c>
      <c r="BG259">
        <v>1.2482049785709159</v>
      </c>
      <c r="BH259">
        <v>0.10253521126760599</v>
      </c>
      <c r="BI259">
        <v>0.30096997012377302</v>
      </c>
      <c r="BJ259">
        <v>90</v>
      </c>
      <c r="BK259">
        <v>1054.4144889044139</v>
      </c>
      <c r="BL259">
        <v>134.6352092531512</v>
      </c>
      <c r="BM259">
        <v>4.5524526999231343</v>
      </c>
      <c r="BN259">
        <v>773.91695898693285</v>
      </c>
      <c r="BO259">
        <v>280.49752991748079</v>
      </c>
    </row>
    <row r="260" spans="1:67" x14ac:dyDescent="0.25">
      <c r="A260" s="1">
        <v>258</v>
      </c>
      <c r="B260" t="s">
        <v>185</v>
      </c>
      <c r="C260" t="s">
        <v>179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67</v>
      </c>
      <c r="J260">
        <v>1.333</v>
      </c>
      <c r="K260">
        <v>500</v>
      </c>
      <c r="L260">
        <v>50</v>
      </c>
      <c r="N260" t="s">
        <v>183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159375.29809802331</v>
      </c>
      <c r="Z260">
        <v>796876490.4901166</v>
      </c>
      <c r="AA260">
        <v>1062236361.823325</v>
      </c>
      <c r="AB260">
        <v>1062236.361823326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327.1324248270592</v>
      </c>
      <c r="AI260">
        <v>327.1324248270592</v>
      </c>
      <c r="AJ260">
        <v>34522.681759258077</v>
      </c>
      <c r="AK260">
        <v>854.70085470085473</v>
      </c>
      <c r="AL260" t="s">
        <v>69</v>
      </c>
      <c r="AM260">
        <v>25352.762924097089</v>
      </c>
      <c r="AN260">
        <v>1735.2126125561399</v>
      </c>
      <c r="AO260">
        <v>55612.512220600067</v>
      </c>
      <c r="AP260">
        <v>62465.358150612163</v>
      </c>
      <c r="AQ260">
        <v>6852.8459300120894</v>
      </c>
      <c r="AR260">
        <v>4.6444287050669449E-3</v>
      </c>
      <c r="AS260">
        <v>154.66117560504921</v>
      </c>
      <c r="AT260">
        <v>113.5800557448126</v>
      </c>
      <c r="AU260">
        <v>7.7737304550702104</v>
      </c>
      <c r="AV260">
        <v>249.1433480853955</v>
      </c>
      <c r="AW260">
        <v>279.84401077338958</v>
      </c>
      <c r="AX260">
        <v>30.700662687994051</v>
      </c>
      <c r="AY260">
        <v>1.5712413913751311</v>
      </c>
      <c r="AZ260" t="str">
        <f>VLOOKUP(BA260,Sheet1!$A$1:$B$58,2,FALSE)</f>
        <v>Phenol</v>
      </c>
      <c r="BA260" t="s">
        <v>164</v>
      </c>
      <c r="BB260" t="s">
        <v>165</v>
      </c>
      <c r="BC260">
        <v>94.11023999999999</v>
      </c>
      <c r="BD260">
        <v>4.666666666666667</v>
      </c>
      <c r="BE260">
        <v>181.7</v>
      </c>
      <c r="BF260" t="s">
        <v>186</v>
      </c>
      <c r="BG260">
        <v>0.46764305350831492</v>
      </c>
      <c r="BH260">
        <v>3.8315789473684303E-2</v>
      </c>
      <c r="BI260">
        <v>0.12007686124401901</v>
      </c>
      <c r="BJ260">
        <v>90</v>
      </c>
      <c r="BK260">
        <v>2589.489652934265</v>
      </c>
      <c r="BL260">
        <v>284.08343687284378</v>
      </c>
      <c r="BM260">
        <v>14.071575827694319</v>
      </c>
      <c r="BN260">
        <v>2392.1678907080341</v>
      </c>
      <c r="BO260">
        <v>197.3217622262309</v>
      </c>
    </row>
    <row r="261" spans="1:67" x14ac:dyDescent="0.25">
      <c r="A261" s="1">
        <v>259</v>
      </c>
      <c r="B261" t="s">
        <v>185</v>
      </c>
      <c r="C261" t="s">
        <v>179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67</v>
      </c>
      <c r="J261">
        <v>1.333</v>
      </c>
      <c r="K261">
        <v>500</v>
      </c>
      <c r="L261">
        <v>50</v>
      </c>
      <c r="N261" t="s">
        <v>183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65165.555186513782</v>
      </c>
      <c r="Z261">
        <v>325827775.93256891</v>
      </c>
      <c r="AA261">
        <v>434328425.31811428</v>
      </c>
      <c r="AB261">
        <v>434328.42531811428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133.75828210375721</v>
      </c>
      <c r="AI261">
        <v>133.75828210375721</v>
      </c>
      <c r="AJ261">
        <v>14115.67382283872</v>
      </c>
      <c r="AK261">
        <v>2170.1388888888891</v>
      </c>
      <c r="AL261" t="s">
        <v>107</v>
      </c>
      <c r="AM261">
        <v>10366.266863041181</v>
      </c>
      <c r="AN261">
        <v>709.49572871898124</v>
      </c>
      <c r="AO261">
        <v>22738.907957638719</v>
      </c>
      <c r="AP261">
        <v>27361.575303487771</v>
      </c>
      <c r="AQ261">
        <v>4622.667345849055</v>
      </c>
      <c r="AR261">
        <v>4.644428705066944E-3</v>
      </c>
      <c r="AS261">
        <v>154.6611756050491</v>
      </c>
      <c r="AT261">
        <v>113.5800557448126</v>
      </c>
      <c r="AU261">
        <v>7.7737304550702104</v>
      </c>
      <c r="AV261">
        <v>249.14334808539539</v>
      </c>
      <c r="AW261">
        <v>299.79251829952472</v>
      </c>
      <c r="AX261">
        <v>50.649170214129313</v>
      </c>
      <c r="AY261">
        <v>1.57124139137513</v>
      </c>
      <c r="AZ261" t="str">
        <f>VLOOKUP(BA261,Sheet1!$A$1:$B$58,2,FALSE)</f>
        <v>Propane (PW1)</v>
      </c>
      <c r="BA261" t="s">
        <v>166</v>
      </c>
      <c r="BB261" t="s">
        <v>167</v>
      </c>
      <c r="BC261">
        <v>44.094819999999999</v>
      </c>
      <c r="BD261">
        <v>6.666666666666667</v>
      </c>
      <c r="BE261">
        <v>-42</v>
      </c>
      <c r="BF261" t="s">
        <v>186</v>
      </c>
      <c r="BG261">
        <v>1.9961528360927661</v>
      </c>
      <c r="BH261">
        <v>0.2</v>
      </c>
      <c r="BI261">
        <v>0.29367179487179501</v>
      </c>
      <c r="BJ261">
        <v>90</v>
      </c>
      <c r="BK261">
        <v>1134.2689489673389</v>
      </c>
      <c r="BL261">
        <v>191.6318038579264</v>
      </c>
      <c r="BM261">
        <v>3.9486597018519971</v>
      </c>
      <c r="BN261">
        <v>671.27214931483945</v>
      </c>
      <c r="BO261">
        <v>462.99679965249987</v>
      </c>
    </row>
    <row r="262" spans="1:67" x14ac:dyDescent="0.25">
      <c r="A262" s="1">
        <v>260</v>
      </c>
      <c r="B262" t="s">
        <v>185</v>
      </c>
      <c r="C262" t="s">
        <v>179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67</v>
      </c>
      <c r="J262">
        <v>1.333</v>
      </c>
      <c r="K262">
        <v>500</v>
      </c>
      <c r="L262">
        <v>50</v>
      </c>
      <c r="N262" t="s">
        <v>183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68029.975194712388</v>
      </c>
      <c r="Z262">
        <v>340149875.97356188</v>
      </c>
      <c r="AA262">
        <v>453419784.67275798</v>
      </c>
      <c r="AB262">
        <v>453419.78467275802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139.6377670313953</v>
      </c>
      <c r="AI262">
        <v>139.6377670313953</v>
      </c>
      <c r="AJ262">
        <v>14736.143001864641</v>
      </c>
      <c r="AK262">
        <v>2170.1388888888891</v>
      </c>
      <c r="AL262" t="s">
        <v>107</v>
      </c>
      <c r="AM262">
        <v>10821.92694493313</v>
      </c>
      <c r="AN262">
        <v>740.6823541571805</v>
      </c>
      <c r="AO262">
        <v>23738.420395337191</v>
      </c>
      <c r="AP262">
        <v>28468.891189843838</v>
      </c>
      <c r="AQ262">
        <v>4730.4707945066439</v>
      </c>
      <c r="AR262">
        <v>4.644428705066944E-3</v>
      </c>
      <c r="AS262">
        <v>154.6611756050491</v>
      </c>
      <c r="AT262">
        <v>113.5800557448126</v>
      </c>
      <c r="AU262">
        <v>7.7737304550702104</v>
      </c>
      <c r="AV262">
        <v>249.1433480853955</v>
      </c>
      <c r="AW262">
        <v>298.79135802606811</v>
      </c>
      <c r="AX262">
        <v>49.648009940672559</v>
      </c>
      <c r="AY262">
        <v>1.5712413913751311</v>
      </c>
      <c r="AZ262" t="str">
        <f>VLOOKUP(BA262,Sheet1!$A$1:$B$58,2,FALSE)</f>
        <v>Propane (PW2)</v>
      </c>
      <c r="BA262" t="s">
        <v>168</v>
      </c>
      <c r="BB262" t="s">
        <v>167</v>
      </c>
      <c r="BC262">
        <v>44.094819999999999</v>
      </c>
      <c r="BD262">
        <v>6.666666666666667</v>
      </c>
      <c r="BE262">
        <v>-42</v>
      </c>
      <c r="BF262" t="s">
        <v>186</v>
      </c>
      <c r="BG262">
        <v>1.9961528360927661</v>
      </c>
      <c r="BH262">
        <v>0.19157894736842099</v>
      </c>
      <c r="BI262">
        <v>0.28130666666666598</v>
      </c>
      <c r="BJ262">
        <v>90</v>
      </c>
      <c r="BK262">
        <v>1180.172520405049</v>
      </c>
      <c r="BL262">
        <v>196.100775510604</v>
      </c>
      <c r="BM262">
        <v>4.2099701430803567</v>
      </c>
      <c r="BN262">
        <v>715.69492432366064</v>
      </c>
      <c r="BO262">
        <v>464.47759608138858</v>
      </c>
    </row>
    <row r="263" spans="1:67" x14ac:dyDescent="0.25">
      <c r="A263" s="1">
        <v>261</v>
      </c>
      <c r="B263" t="s">
        <v>185</v>
      </c>
      <c r="C263" t="s">
        <v>179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67</v>
      </c>
      <c r="J263">
        <v>1.333</v>
      </c>
      <c r="K263">
        <v>500</v>
      </c>
      <c r="L263">
        <v>50</v>
      </c>
      <c r="N263" t="s">
        <v>183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64743.18604732419</v>
      </c>
      <c r="Z263">
        <v>323715930.23662102</v>
      </c>
      <c r="AA263">
        <v>431513335.00541568</v>
      </c>
      <c r="AB263">
        <v>431513.33500541572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132.8913306857888</v>
      </c>
      <c r="AI263">
        <v>132.8913306857888</v>
      </c>
      <c r="AJ263">
        <v>14024.18338767601</v>
      </c>
      <c r="AK263">
        <v>854.70085470085473</v>
      </c>
      <c r="AL263" t="s">
        <v>69</v>
      </c>
      <c r="AM263">
        <v>10299.078128148631</v>
      </c>
      <c r="AN263">
        <v>704.89714746942343</v>
      </c>
      <c r="AO263">
        <v>22591.526216584101</v>
      </c>
      <c r="AP263">
        <v>25882.85951799493</v>
      </c>
      <c r="AQ263">
        <v>3291.3333014108248</v>
      </c>
      <c r="AR263">
        <v>4.644428705066944E-3</v>
      </c>
      <c r="AS263">
        <v>154.6611756050491</v>
      </c>
      <c r="AT263">
        <v>113.5800557448126</v>
      </c>
      <c r="AU263">
        <v>7.7737304550702078</v>
      </c>
      <c r="AV263">
        <v>249.14334808539539</v>
      </c>
      <c r="AW263">
        <v>285.44075404712692</v>
      </c>
      <c r="AX263">
        <v>36.297405961731442</v>
      </c>
      <c r="AY263">
        <v>1.5712413913751311</v>
      </c>
      <c r="AZ263" t="str">
        <f>VLOOKUP(BA263,Sheet1!$A$1:$B$58,2,FALSE)</f>
        <v>Shikimate</v>
      </c>
      <c r="BA263" t="s">
        <v>169</v>
      </c>
      <c r="BB263" t="s">
        <v>170</v>
      </c>
      <c r="BC263">
        <v>173.14045999999999</v>
      </c>
      <c r="BD263">
        <v>3.8571428571428572</v>
      </c>
      <c r="BE263">
        <v>400.5</v>
      </c>
      <c r="BF263" t="s">
        <v>186</v>
      </c>
      <c r="BG263">
        <v>0</v>
      </c>
      <c r="BH263">
        <v>5.1267605633802803E-2</v>
      </c>
      <c r="BI263">
        <v>0.29558763977806202</v>
      </c>
      <c r="BJ263">
        <v>90</v>
      </c>
      <c r="BK263">
        <v>1072.969064686971</v>
      </c>
      <c r="BL263">
        <v>136.4416018845445</v>
      </c>
      <c r="BM263">
        <v>5.9062813638128366</v>
      </c>
      <c r="BN263">
        <v>1004.067831848182</v>
      </c>
      <c r="BO263">
        <v>68.901232838788815</v>
      </c>
    </row>
    <row r="264" spans="1:67" x14ac:dyDescent="0.25">
      <c r="A264" s="1">
        <v>262</v>
      </c>
      <c r="B264" t="s">
        <v>185</v>
      </c>
      <c r="C264" t="s">
        <v>179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67</v>
      </c>
      <c r="J264">
        <v>1.333</v>
      </c>
      <c r="K264">
        <v>500</v>
      </c>
      <c r="L264">
        <v>50</v>
      </c>
      <c r="N264" t="s">
        <v>183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157657.76160928959</v>
      </c>
      <c r="Z264">
        <v>788288808.04644799</v>
      </c>
      <c r="AA264">
        <v>1050788981.1259151</v>
      </c>
      <c r="AB264">
        <v>1050788.981125915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323.60702356981523</v>
      </c>
      <c r="AI264">
        <v>323.60702356981523</v>
      </c>
      <c r="AJ264">
        <v>34150.641886592253</v>
      </c>
      <c r="AK264">
        <v>854.70085470085473</v>
      </c>
      <c r="AL264" t="s">
        <v>69</v>
      </c>
      <c r="AM264">
        <v>25079.544326660671</v>
      </c>
      <c r="AN264">
        <v>1716.512782574061</v>
      </c>
      <c r="AO264">
        <v>55013.19400686858</v>
      </c>
      <c r="AP264">
        <v>61801.399850527843</v>
      </c>
      <c r="AQ264">
        <v>6788.2058436592561</v>
      </c>
      <c r="AR264">
        <v>4.6444287050669449E-3</v>
      </c>
      <c r="AS264">
        <v>154.66117560504921</v>
      </c>
      <c r="AT264">
        <v>113.5800557448126</v>
      </c>
      <c r="AU264">
        <v>7.7737304550702078</v>
      </c>
      <c r="AV264">
        <v>249.1433480853955</v>
      </c>
      <c r="AW264">
        <v>279.88572474454668</v>
      </c>
      <c r="AX264">
        <v>30.742376659151191</v>
      </c>
      <c r="AY264">
        <v>1.5712413913751311</v>
      </c>
      <c r="AZ264" t="str">
        <f>VLOOKUP(BA264,Sheet1!$A$1:$B$58,2,FALSE)</f>
        <v>Styrene</v>
      </c>
      <c r="BA264" t="s">
        <v>171</v>
      </c>
      <c r="BB264" t="s">
        <v>172</v>
      </c>
      <c r="BC264">
        <v>104.14832</v>
      </c>
      <c r="BD264">
        <v>5</v>
      </c>
      <c r="BE264">
        <v>145</v>
      </c>
      <c r="BF264" t="s">
        <v>186</v>
      </c>
      <c r="BG264">
        <v>0.84514085296815156</v>
      </c>
      <c r="BH264">
        <v>3.5000000000000003E-2</v>
      </c>
      <c r="BI264">
        <v>0.121384988344988</v>
      </c>
      <c r="BJ264">
        <v>90</v>
      </c>
      <c r="BK264">
        <v>2561.9653867017269</v>
      </c>
      <c r="BL264">
        <v>281.40379427202998</v>
      </c>
      <c r="BM264">
        <v>13.537393527912521</v>
      </c>
      <c r="BN264">
        <v>2301.3568997451289</v>
      </c>
      <c r="BO264">
        <v>260.60848695659843</v>
      </c>
    </row>
    <row r="265" spans="1:67" x14ac:dyDescent="0.25">
      <c r="A265" s="1">
        <v>263</v>
      </c>
      <c r="B265" t="s">
        <v>185</v>
      </c>
      <c r="C265" t="s">
        <v>179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67</v>
      </c>
      <c r="J265">
        <v>1.333</v>
      </c>
      <c r="K265">
        <v>500</v>
      </c>
      <c r="L265">
        <v>50</v>
      </c>
      <c r="N265" t="s">
        <v>183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28564.919032420308</v>
      </c>
      <c r="Z265">
        <v>142824595.1621016</v>
      </c>
      <c r="AA265">
        <v>190385185.3510814</v>
      </c>
      <c r="AB265">
        <v>190385.1853510814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58.632117646719337</v>
      </c>
      <c r="AI265">
        <v>58.632117646719337</v>
      </c>
      <c r="AJ265">
        <v>6187.5185239101447</v>
      </c>
      <c r="AK265">
        <v>854.70085470085473</v>
      </c>
      <c r="AL265" t="s">
        <v>69</v>
      </c>
      <c r="AM265">
        <v>4543.9891176207493</v>
      </c>
      <c r="AN265">
        <v>311.00307496344328</v>
      </c>
      <c r="AO265">
        <v>9967.4599999422881</v>
      </c>
      <c r="AP265">
        <v>11897.21157119519</v>
      </c>
      <c r="AQ265">
        <v>1929.7515712529039</v>
      </c>
      <c r="AR265">
        <v>4.644428705066944E-3</v>
      </c>
      <c r="AS265">
        <v>154.6611756050491</v>
      </c>
      <c r="AT265">
        <v>113.5800557448126</v>
      </c>
      <c r="AU265">
        <v>7.7737304550702078</v>
      </c>
      <c r="AV265">
        <v>249.14334808539539</v>
      </c>
      <c r="AW265">
        <v>297.3787829341718</v>
      </c>
      <c r="AX265">
        <v>48.235434848776393</v>
      </c>
      <c r="AY265">
        <v>1.57124139137513</v>
      </c>
      <c r="AZ265" t="str">
        <f>VLOOKUP(BA265,Sheet1!$A$1:$B$58,2,FALSE)</f>
        <v>Succinate</v>
      </c>
      <c r="BA265" t="s">
        <v>173</v>
      </c>
      <c r="BB265" t="s">
        <v>174</v>
      </c>
      <c r="BC265">
        <v>116.07016</v>
      </c>
      <c r="BD265">
        <v>3</v>
      </c>
      <c r="BE265">
        <v>235</v>
      </c>
      <c r="BF265" t="s">
        <v>186</v>
      </c>
      <c r="BG265">
        <v>0</v>
      </c>
      <c r="BH265">
        <v>0.17333333333333301</v>
      </c>
      <c r="BI265">
        <v>0.66995763347763304</v>
      </c>
      <c r="BJ265">
        <v>90</v>
      </c>
      <c r="BK265">
        <v>493.19666411098348</v>
      </c>
      <c r="BL265">
        <v>79.997487798668161</v>
      </c>
      <c r="BM265">
        <v>2.6058718954097482</v>
      </c>
      <c r="BN265">
        <v>442.99822221965718</v>
      </c>
      <c r="BO265">
        <v>50.198441891326297</v>
      </c>
    </row>
    <row r="266" spans="1:67" x14ac:dyDescent="0.25">
      <c r="A266" s="1">
        <v>264</v>
      </c>
      <c r="B266" t="s">
        <v>187</v>
      </c>
      <c r="C266" t="s">
        <v>179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67</v>
      </c>
      <c r="J266">
        <v>1.333</v>
      </c>
      <c r="K266">
        <v>500</v>
      </c>
      <c r="L266">
        <v>33.333333333333329</v>
      </c>
      <c r="N266" t="s">
        <v>183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40192.47881781272</v>
      </c>
      <c r="Z266">
        <v>200962394.08906361</v>
      </c>
      <c r="AA266">
        <v>267882871.32072181</v>
      </c>
      <c r="AB266">
        <v>267882.87132072181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54.999167425951981</v>
      </c>
      <c r="AI266">
        <v>54.999167425951981</v>
      </c>
      <c r="AJ266">
        <v>8706.1933179234584</v>
      </c>
      <c r="AK266">
        <v>854.70085470085473</v>
      </c>
      <c r="AL266" t="s">
        <v>69</v>
      </c>
      <c r="AM266">
        <v>4262.4354755112781</v>
      </c>
      <c r="AN266">
        <v>437.59915750349978</v>
      </c>
      <c r="AO266">
        <v>9349.8584624118375</v>
      </c>
      <c r="AP266">
        <v>14260.928805639091</v>
      </c>
      <c r="AQ266">
        <v>4911.0703432272549</v>
      </c>
      <c r="AR266">
        <v>6.9666430576004173E-3</v>
      </c>
      <c r="AS266">
        <v>217.3699927799766</v>
      </c>
      <c r="AT266">
        <v>106.421432961931</v>
      </c>
      <c r="AU266">
        <v>10.92566202397941</v>
      </c>
      <c r="AV266">
        <v>233.44056262617119</v>
      </c>
      <c r="AW266">
        <v>356.05664592075669</v>
      </c>
      <c r="AX266">
        <v>122.61608329458539</v>
      </c>
      <c r="AY266">
        <v>1.5712413913751311</v>
      </c>
      <c r="AZ266" t="str">
        <f>VLOOKUP(BA266,Sheet1!$A$1:$B$58,2,FALSE)</f>
        <v>1,3-Butanediol (PW1)</v>
      </c>
      <c r="BA266" t="s">
        <v>70</v>
      </c>
      <c r="BB266" t="s">
        <v>71</v>
      </c>
      <c r="BC266">
        <v>90.119200000000006</v>
      </c>
      <c r="BD266">
        <v>5.5</v>
      </c>
      <c r="BE266">
        <v>207</v>
      </c>
      <c r="BF266" t="s">
        <v>188</v>
      </c>
      <c r="BG266">
        <v>0</v>
      </c>
      <c r="BH266">
        <v>0.25</v>
      </c>
      <c r="BI266">
        <v>0.71421144396893299</v>
      </c>
      <c r="BJ266">
        <v>90</v>
      </c>
      <c r="BK266">
        <v>553.92348975678999</v>
      </c>
      <c r="BL266">
        <v>190.75596407758701</v>
      </c>
      <c r="BM266">
        <v>2.4444074411534209</v>
      </c>
      <c r="BN266">
        <v>415.5492649960816</v>
      </c>
      <c r="BO266">
        <v>138.37422476070839</v>
      </c>
    </row>
    <row r="267" spans="1:67" x14ac:dyDescent="0.25">
      <c r="A267" s="1">
        <v>265</v>
      </c>
      <c r="B267" t="s">
        <v>187</v>
      </c>
      <c r="C267" t="s">
        <v>179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67</v>
      </c>
      <c r="J267">
        <v>1.333</v>
      </c>
      <c r="K267">
        <v>500</v>
      </c>
      <c r="L267">
        <v>33.333333333333329</v>
      </c>
      <c r="N267" t="s">
        <v>183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40192.47881781272</v>
      </c>
      <c r="Z267">
        <v>200962394.08906361</v>
      </c>
      <c r="AA267">
        <v>267882871.32072181</v>
      </c>
      <c r="AB267">
        <v>267882.87132072181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54.999167425951981</v>
      </c>
      <c r="AI267">
        <v>54.999167425951981</v>
      </c>
      <c r="AJ267">
        <v>8706.1933179234584</v>
      </c>
      <c r="AK267">
        <v>854.70085470085473</v>
      </c>
      <c r="AL267" t="s">
        <v>69</v>
      </c>
      <c r="AM267">
        <v>4262.4354755112781</v>
      </c>
      <c r="AN267">
        <v>437.59915750349978</v>
      </c>
      <c r="AO267">
        <v>9349.8584624118375</v>
      </c>
      <c r="AP267">
        <v>14260.928805639091</v>
      </c>
      <c r="AQ267">
        <v>4911.0703432272549</v>
      </c>
      <c r="AR267">
        <v>6.9666430576004173E-3</v>
      </c>
      <c r="AS267">
        <v>217.3699927799766</v>
      </c>
      <c r="AT267">
        <v>106.421432961931</v>
      </c>
      <c r="AU267">
        <v>10.92566202397941</v>
      </c>
      <c r="AV267">
        <v>233.44056262617119</v>
      </c>
      <c r="AW267">
        <v>356.05664592075669</v>
      </c>
      <c r="AX267">
        <v>122.61608329458539</v>
      </c>
      <c r="AY267">
        <v>1.5712413913751311</v>
      </c>
      <c r="AZ267" t="str">
        <f>VLOOKUP(BA267,Sheet1!$A$1:$B$58,2,FALSE)</f>
        <v>1,3-Butanediol (PW2)</v>
      </c>
      <c r="BA267" t="s">
        <v>72</v>
      </c>
      <c r="BB267" t="s">
        <v>71</v>
      </c>
      <c r="BC267">
        <v>90.119200000000006</v>
      </c>
      <c r="BD267">
        <v>5.5</v>
      </c>
      <c r="BE267">
        <v>207</v>
      </c>
      <c r="BF267" t="s">
        <v>188</v>
      </c>
      <c r="BG267">
        <v>0</v>
      </c>
      <c r="BH267">
        <v>0.25</v>
      </c>
      <c r="BI267">
        <v>0.71421144396893299</v>
      </c>
      <c r="BJ267">
        <v>90</v>
      </c>
      <c r="BK267">
        <v>553.92348975678999</v>
      </c>
      <c r="BL267">
        <v>190.75596407758701</v>
      </c>
      <c r="BM267">
        <v>2.4444074411534209</v>
      </c>
      <c r="BN267">
        <v>415.5492649960816</v>
      </c>
      <c r="BO267">
        <v>138.37422476070839</v>
      </c>
    </row>
    <row r="268" spans="1:67" x14ac:dyDescent="0.25">
      <c r="A268" s="1">
        <v>266</v>
      </c>
      <c r="B268" t="s">
        <v>187</v>
      </c>
      <c r="C268" t="s">
        <v>179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67</v>
      </c>
      <c r="J268">
        <v>1.333</v>
      </c>
      <c r="K268">
        <v>500</v>
      </c>
      <c r="L268">
        <v>33.333333333333329</v>
      </c>
      <c r="N268" t="s">
        <v>183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66947.132385197547</v>
      </c>
      <c r="Z268">
        <v>334735661.92598772</v>
      </c>
      <c r="AA268">
        <v>446202637.3473416</v>
      </c>
      <c r="AB268">
        <v>446202.63734734157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91.610088530021855</v>
      </c>
      <c r="AI268">
        <v>91.610088530021855</v>
      </c>
      <c r="AJ268">
        <v>14501.5857137886</v>
      </c>
      <c r="AK268">
        <v>854.70085470085473</v>
      </c>
      <c r="AL268" t="s">
        <v>69</v>
      </c>
      <c r="AM268">
        <v>7099.7818610766944</v>
      </c>
      <c r="AN268">
        <v>728.89280757807228</v>
      </c>
      <c r="AO268">
        <v>15573.715050103719</v>
      </c>
      <c r="AP268">
        <v>23184.96123714422</v>
      </c>
      <c r="AQ268">
        <v>7611.2461870405077</v>
      </c>
      <c r="AR268">
        <v>6.9666430576004164E-3</v>
      </c>
      <c r="AS268">
        <v>217.3699927799766</v>
      </c>
      <c r="AT268">
        <v>106.421432961931</v>
      </c>
      <c r="AU268">
        <v>10.92566202397941</v>
      </c>
      <c r="AV268">
        <v>233.44056262617119</v>
      </c>
      <c r="AW268">
        <v>347.5285362710469</v>
      </c>
      <c r="AX268">
        <v>114.0879736448757</v>
      </c>
      <c r="AY268">
        <v>1.5712413913751311</v>
      </c>
      <c r="AZ268" t="str">
        <f>VLOOKUP(BA268,Sheet1!$A$1:$B$58,2,FALSE)</f>
        <v>1,3-Diaminopropane</v>
      </c>
      <c r="BA268" t="s">
        <v>73</v>
      </c>
      <c r="BB268" t="s">
        <v>74</v>
      </c>
      <c r="BC268">
        <v>76.139580000000009</v>
      </c>
      <c r="BD268">
        <v>6</v>
      </c>
      <c r="BE268">
        <v>139.30000000000001</v>
      </c>
      <c r="BF268" t="s">
        <v>188</v>
      </c>
      <c r="BG268">
        <v>0</v>
      </c>
      <c r="BH268">
        <v>0.17846153846153801</v>
      </c>
      <c r="BI268">
        <v>0.42878503246403199</v>
      </c>
      <c r="BJ268">
        <v>90</v>
      </c>
      <c r="BK268">
        <v>900.5510660200855</v>
      </c>
      <c r="BL268">
        <v>295.63628756469342</v>
      </c>
      <c r="BM268">
        <v>4.0715594902231933</v>
      </c>
      <c r="BN268">
        <v>692.1651133379429</v>
      </c>
      <c r="BO268">
        <v>208.3859526821426</v>
      </c>
    </row>
    <row r="269" spans="1:67" x14ac:dyDescent="0.25">
      <c r="A269" s="1">
        <v>267</v>
      </c>
      <c r="B269" t="s">
        <v>187</v>
      </c>
      <c r="C269" t="s">
        <v>179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67</v>
      </c>
      <c r="J269">
        <v>1.333</v>
      </c>
      <c r="K269">
        <v>500</v>
      </c>
      <c r="L269">
        <v>33.333333333333329</v>
      </c>
      <c r="N269" t="s">
        <v>183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35510.433625674887</v>
      </c>
      <c r="Z269">
        <v>177552168.1283744</v>
      </c>
      <c r="AA269">
        <v>236677040.11512309</v>
      </c>
      <c r="AB269">
        <v>236677.04011512309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48.592282481494699</v>
      </c>
      <c r="AI269">
        <v>48.592282481494699</v>
      </c>
      <c r="AJ269">
        <v>7692.0038037415006</v>
      </c>
      <c r="AK269">
        <v>854.70085470085473</v>
      </c>
      <c r="AL269" t="s">
        <v>69</v>
      </c>
      <c r="AM269">
        <v>3765.9018923158392</v>
      </c>
      <c r="AN269">
        <v>386.62297758784848</v>
      </c>
      <c r="AO269">
        <v>8260.6880218540991</v>
      </c>
      <c r="AP269">
        <v>12699.229528346041</v>
      </c>
      <c r="AQ269">
        <v>4438.5415064919453</v>
      </c>
      <c r="AR269">
        <v>6.9666430576004173E-3</v>
      </c>
      <c r="AS269">
        <v>217.3699927799766</v>
      </c>
      <c r="AT269">
        <v>106.421432961931</v>
      </c>
      <c r="AU269">
        <v>10.92566202397941</v>
      </c>
      <c r="AV269">
        <v>233.44056262617119</v>
      </c>
      <c r="AW269">
        <v>358.87026336949191</v>
      </c>
      <c r="AX269">
        <v>125.42970074332069</v>
      </c>
      <c r="AY269">
        <v>1.57124139137513</v>
      </c>
      <c r="AZ269" t="str">
        <f>VLOOKUP(BA269,Sheet1!$A$1:$B$58,2,FALSE)</f>
        <v>1,3-Propanediol</v>
      </c>
      <c r="BA269" t="s">
        <v>75</v>
      </c>
      <c r="BB269" t="s">
        <v>76</v>
      </c>
      <c r="BC269">
        <v>76.092820000000003</v>
      </c>
      <c r="BD269">
        <v>5.333333333333333</v>
      </c>
      <c r="BE269">
        <v>213</v>
      </c>
      <c r="BF269" t="s">
        <v>188</v>
      </c>
      <c r="BG269">
        <v>0</v>
      </c>
      <c r="BH269">
        <v>0.33333333333333298</v>
      </c>
      <c r="BI269">
        <v>0.80838011261021903</v>
      </c>
      <c r="BJ269">
        <v>90</v>
      </c>
      <c r="BK269">
        <v>493.26391243060931</v>
      </c>
      <c r="BL269">
        <v>172.40198266288161</v>
      </c>
      <c r="BM269">
        <v>2.1596569991775421</v>
      </c>
      <c r="BN269">
        <v>367.14168986018223</v>
      </c>
      <c r="BO269">
        <v>126.1222225704271</v>
      </c>
    </row>
    <row r="270" spans="1:67" x14ac:dyDescent="0.25">
      <c r="A270" s="1">
        <v>268</v>
      </c>
      <c r="B270" t="s">
        <v>187</v>
      </c>
      <c r="C270" t="s">
        <v>179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67</v>
      </c>
      <c r="J270">
        <v>1.333</v>
      </c>
      <c r="K270">
        <v>500</v>
      </c>
      <c r="L270">
        <v>33.333333333333329</v>
      </c>
      <c r="N270" t="s">
        <v>183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85164.790639913423</v>
      </c>
      <c r="Z270">
        <v>425823953.19956708</v>
      </c>
      <c r="AA270">
        <v>567623329.61502302</v>
      </c>
      <c r="AB270">
        <v>567623.32961502299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116.53903210181871</v>
      </c>
      <c r="AI270">
        <v>116.53903210181871</v>
      </c>
      <c r="AJ270">
        <v>18447.75821248825</v>
      </c>
      <c r="AK270">
        <v>854.70085470085473</v>
      </c>
      <c r="AL270" t="s">
        <v>69</v>
      </c>
      <c r="AM270">
        <v>9031.7749878909508</v>
      </c>
      <c r="AN270">
        <v>927.23916835085583</v>
      </c>
      <c r="AO270">
        <v>19811.635457309181</v>
      </c>
      <c r="AP270">
        <v>29261.473223430909</v>
      </c>
      <c r="AQ270">
        <v>9449.8377661217273</v>
      </c>
      <c r="AR270">
        <v>6.9666430576004173E-3</v>
      </c>
      <c r="AS270">
        <v>217.3699927799766</v>
      </c>
      <c r="AT270">
        <v>106.421432961931</v>
      </c>
      <c r="AU270">
        <v>10.92566202397941</v>
      </c>
      <c r="AV270">
        <v>233.4405626261711</v>
      </c>
      <c r="AW270">
        <v>344.78803061300192</v>
      </c>
      <c r="AX270">
        <v>111.34746798683079</v>
      </c>
      <c r="AY270">
        <v>1.57124139137513</v>
      </c>
      <c r="AZ270" t="str">
        <f>VLOOKUP(BA270,Sheet1!$A$1:$B$58,2,FALSE)</f>
        <v>1,4-Butanediol</v>
      </c>
      <c r="BA270" t="s">
        <v>77</v>
      </c>
      <c r="BB270" t="s">
        <v>71</v>
      </c>
      <c r="BC270">
        <v>90.119200000000006</v>
      </c>
      <c r="BD270">
        <v>5.5</v>
      </c>
      <c r="BE270">
        <v>230</v>
      </c>
      <c r="BF270" t="s">
        <v>188</v>
      </c>
      <c r="BG270">
        <v>0</v>
      </c>
      <c r="BH270">
        <v>0.118974358974359</v>
      </c>
      <c r="BI270">
        <v>0.33706333471226102</v>
      </c>
      <c r="BJ270">
        <v>90</v>
      </c>
      <c r="BK270">
        <v>1136.5751546938841</v>
      </c>
      <c r="BL270">
        <v>367.050925250803</v>
      </c>
      <c r="BM270">
        <v>5.17951253785861</v>
      </c>
      <c r="BN270">
        <v>880.51713143596373</v>
      </c>
      <c r="BO270">
        <v>256.0580232579199</v>
      </c>
    </row>
    <row r="271" spans="1:67" x14ac:dyDescent="0.25">
      <c r="A271" s="1">
        <v>269</v>
      </c>
      <c r="B271" t="s">
        <v>187</v>
      </c>
      <c r="C271" t="s">
        <v>179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67</v>
      </c>
      <c r="J271">
        <v>1.333</v>
      </c>
      <c r="K271">
        <v>500</v>
      </c>
      <c r="L271">
        <v>33.333333333333329</v>
      </c>
      <c r="N271" t="s">
        <v>183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82488.203721830039</v>
      </c>
      <c r="Z271">
        <v>412441018.60915017</v>
      </c>
      <c r="AA271">
        <v>549783877.80599725</v>
      </c>
      <c r="AB271">
        <v>549783.87780599727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112.8764052530229</v>
      </c>
      <c r="AI271">
        <v>112.8764052530229</v>
      </c>
      <c r="AJ271">
        <v>17867.976028694909</v>
      </c>
      <c r="AK271">
        <v>854.70085470085473</v>
      </c>
      <c r="AL271" t="s">
        <v>69</v>
      </c>
      <c r="AM271">
        <v>8747.921407109272</v>
      </c>
      <c r="AN271">
        <v>898.09759224535117</v>
      </c>
      <c r="AO271">
        <v>19188.988893013891</v>
      </c>
      <c r="AP271">
        <v>28368.695882750391</v>
      </c>
      <c r="AQ271">
        <v>9179.7069897365036</v>
      </c>
      <c r="AR271">
        <v>6.9666430576004173E-3</v>
      </c>
      <c r="AS271">
        <v>217.3699927799766</v>
      </c>
      <c r="AT271">
        <v>106.421432961931</v>
      </c>
      <c r="AU271">
        <v>10.92566202397941</v>
      </c>
      <c r="AV271">
        <v>233.44056262617119</v>
      </c>
      <c r="AW271">
        <v>345.11481374878531</v>
      </c>
      <c r="AX271">
        <v>111.67425112261409</v>
      </c>
      <c r="AY271">
        <v>1.57124139137513</v>
      </c>
      <c r="AZ271" t="str">
        <f>VLOOKUP(BA271,Sheet1!$A$1:$B$58,2,FALSE)</f>
        <v>1-Propanol (PW1)</v>
      </c>
      <c r="BA271" t="s">
        <v>78</v>
      </c>
      <c r="BB271" t="s">
        <v>79</v>
      </c>
      <c r="BC271">
        <v>60.093820000000001</v>
      </c>
      <c r="BD271">
        <v>6</v>
      </c>
      <c r="BE271">
        <v>97</v>
      </c>
      <c r="BF271" t="s">
        <v>188</v>
      </c>
      <c r="BG271">
        <v>0</v>
      </c>
      <c r="BH271">
        <v>0.18559999999999999</v>
      </c>
      <c r="BI271">
        <v>0.34800040536661497</v>
      </c>
      <c r="BJ271">
        <v>90</v>
      </c>
      <c r="BK271">
        <v>1101.8978663583589</v>
      </c>
      <c r="BL271">
        <v>356.5584962943629</v>
      </c>
      <c r="BM271">
        <v>5.0167291223565709</v>
      </c>
      <c r="BN271">
        <v>852.84395080061699</v>
      </c>
      <c r="BO271">
        <v>249.0539155577419</v>
      </c>
    </row>
    <row r="272" spans="1:67" x14ac:dyDescent="0.25">
      <c r="A272" s="1">
        <v>270</v>
      </c>
      <c r="B272" t="s">
        <v>187</v>
      </c>
      <c r="C272" t="s">
        <v>179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67</v>
      </c>
      <c r="J272">
        <v>1.333</v>
      </c>
      <c r="K272">
        <v>500</v>
      </c>
      <c r="L272">
        <v>33.333333333333329</v>
      </c>
      <c r="N272" t="s">
        <v>183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49492.922233098107</v>
      </c>
      <c r="Z272">
        <v>247464611.16549051</v>
      </c>
      <c r="AA272">
        <v>329870326.68359888</v>
      </c>
      <c r="AB272">
        <v>329870.32668359892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67.725843151813834</v>
      </c>
      <c r="AI272">
        <v>67.725843151813834</v>
      </c>
      <c r="AJ272">
        <v>10720.78561721696</v>
      </c>
      <c r="AK272">
        <v>854.70085470085473</v>
      </c>
      <c r="AL272" t="s">
        <v>69</v>
      </c>
      <c r="AM272">
        <v>5248.7528442655721</v>
      </c>
      <c r="AN272">
        <v>538.85855534721156</v>
      </c>
      <c r="AO272">
        <v>11513.39333580835</v>
      </c>
      <c r="AP272">
        <v>17363.097871530601</v>
      </c>
      <c r="AQ272">
        <v>5849.7045357222487</v>
      </c>
      <c r="AR272">
        <v>6.9666430576004164E-3</v>
      </c>
      <c r="AS272">
        <v>217.3699927799766</v>
      </c>
      <c r="AT272">
        <v>106.421432961931</v>
      </c>
      <c r="AU272">
        <v>10.92566202397941</v>
      </c>
      <c r="AV272">
        <v>233.44056262617119</v>
      </c>
      <c r="AW272">
        <v>352.04663107071741</v>
      </c>
      <c r="AX272">
        <v>118.6060684445462</v>
      </c>
      <c r="AY272">
        <v>1.5712413913751311</v>
      </c>
      <c r="AZ272" t="str">
        <f>VLOOKUP(BA272,Sheet1!$A$1:$B$58,2,FALSE)</f>
        <v>1-Propanol (PW2)</v>
      </c>
      <c r="BA272" t="s">
        <v>80</v>
      </c>
      <c r="BB272" t="s">
        <v>79</v>
      </c>
      <c r="BC272">
        <v>60.093820000000001</v>
      </c>
      <c r="BD272">
        <v>6</v>
      </c>
      <c r="BE272">
        <v>97</v>
      </c>
      <c r="BF272" t="s">
        <v>188</v>
      </c>
      <c r="BG272">
        <v>0</v>
      </c>
      <c r="BH272">
        <v>0.30933333333333302</v>
      </c>
      <c r="BI272">
        <v>0.58000067561102397</v>
      </c>
      <c r="BJ272">
        <v>90</v>
      </c>
      <c r="BK272">
        <v>674.418047875242</v>
      </c>
      <c r="BL272">
        <v>227.2144258368437</v>
      </c>
      <c r="BM272">
        <v>3.010037473413949</v>
      </c>
      <c r="BN272">
        <v>511.70637048037128</v>
      </c>
      <c r="BO272">
        <v>162.71167739487069</v>
      </c>
    </row>
    <row r="273" spans="1:67" x14ac:dyDescent="0.25">
      <c r="A273" s="1">
        <v>271</v>
      </c>
      <c r="B273" t="s">
        <v>187</v>
      </c>
      <c r="C273" t="s">
        <v>179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67</v>
      </c>
      <c r="J273">
        <v>1.333</v>
      </c>
      <c r="K273">
        <v>500</v>
      </c>
      <c r="L273">
        <v>33.333333333333329</v>
      </c>
      <c r="N273" t="s">
        <v>183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40192.47881781272</v>
      </c>
      <c r="Z273">
        <v>200962394.08906361</v>
      </c>
      <c r="AA273">
        <v>267882871.32072181</v>
      </c>
      <c r="AB273">
        <v>267882.87132072181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54.999167425951981</v>
      </c>
      <c r="AI273">
        <v>54.999167425951981</v>
      </c>
      <c r="AJ273">
        <v>8706.1933179234584</v>
      </c>
      <c r="AK273">
        <v>854.70085470085473</v>
      </c>
      <c r="AL273" t="s">
        <v>69</v>
      </c>
      <c r="AM273">
        <v>4262.4354755112781</v>
      </c>
      <c r="AN273">
        <v>437.59915750349978</v>
      </c>
      <c r="AO273">
        <v>9349.8584624118375</v>
      </c>
      <c r="AP273">
        <v>14260.928805639091</v>
      </c>
      <c r="AQ273">
        <v>4911.0703432272549</v>
      </c>
      <c r="AR273">
        <v>6.9666430576004173E-3</v>
      </c>
      <c r="AS273">
        <v>217.3699927799766</v>
      </c>
      <c r="AT273">
        <v>106.421432961931</v>
      </c>
      <c r="AU273">
        <v>10.92566202397941</v>
      </c>
      <c r="AV273">
        <v>233.44056262617119</v>
      </c>
      <c r="AW273">
        <v>356.05664592075669</v>
      </c>
      <c r="AX273">
        <v>122.61608329458539</v>
      </c>
      <c r="AY273">
        <v>1.5712413913751311</v>
      </c>
      <c r="AZ273" t="str">
        <f>VLOOKUP(BA273,Sheet1!$A$1:$B$58,2,FALSE)</f>
        <v>2,3-Butanediol</v>
      </c>
      <c r="BA273" t="s">
        <v>81</v>
      </c>
      <c r="BB273" t="s">
        <v>71</v>
      </c>
      <c r="BC273">
        <v>90.119200000000006</v>
      </c>
      <c r="BD273">
        <v>5.5</v>
      </c>
      <c r="BE273">
        <v>177</v>
      </c>
      <c r="BF273" t="s">
        <v>188</v>
      </c>
      <c r="BG273">
        <v>0</v>
      </c>
      <c r="BH273">
        <v>0.25</v>
      </c>
      <c r="BI273">
        <v>0.71421144396893299</v>
      </c>
      <c r="BJ273">
        <v>90</v>
      </c>
      <c r="BK273">
        <v>553.92348975678999</v>
      </c>
      <c r="BL273">
        <v>190.75596407758701</v>
      </c>
      <c r="BM273">
        <v>2.4444074411534209</v>
      </c>
      <c r="BN273">
        <v>415.5492649960816</v>
      </c>
      <c r="BO273">
        <v>138.37422476070839</v>
      </c>
    </row>
    <row r="274" spans="1:67" x14ac:dyDescent="0.25">
      <c r="A274" s="1">
        <v>272</v>
      </c>
      <c r="B274" t="s">
        <v>187</v>
      </c>
      <c r="C274" t="s">
        <v>179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67</v>
      </c>
      <c r="J274">
        <v>1.333</v>
      </c>
      <c r="K274">
        <v>500</v>
      </c>
      <c r="L274">
        <v>33.333333333333329</v>
      </c>
      <c r="N274" t="s">
        <v>183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56236.229092302681</v>
      </c>
      <c r="Z274">
        <v>281181145.4615134</v>
      </c>
      <c r="AA274">
        <v>374814466.90019733</v>
      </c>
      <c r="AB274">
        <v>374814.46690019732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76.953347248664784</v>
      </c>
      <c r="AI274">
        <v>76.953347248664784</v>
      </c>
      <c r="AJ274">
        <v>12181.47017425641</v>
      </c>
      <c r="AK274">
        <v>854.70085470085473</v>
      </c>
      <c r="AL274" t="s">
        <v>69</v>
      </c>
      <c r="AM274">
        <v>5963.8844117715207</v>
      </c>
      <c r="AN274">
        <v>612.27690343545419</v>
      </c>
      <c r="AO274">
        <v>13082.06903227301</v>
      </c>
      <c r="AP274">
        <v>19612.332344164239</v>
      </c>
      <c r="AQ274">
        <v>6530.263311891229</v>
      </c>
      <c r="AR274">
        <v>6.9666430576004182E-3</v>
      </c>
      <c r="AS274">
        <v>217.3699927799766</v>
      </c>
      <c r="AT274">
        <v>106.421432961931</v>
      </c>
      <c r="AU274">
        <v>10.92566202397941</v>
      </c>
      <c r="AV274">
        <v>233.44056262617119</v>
      </c>
      <c r="AW274">
        <v>349.96863917615889</v>
      </c>
      <c r="AX274">
        <v>116.5280765499877</v>
      </c>
      <c r="AY274">
        <v>1.5712413913751311</v>
      </c>
      <c r="AZ274" t="str">
        <f>VLOOKUP(BA274,Sheet1!$A$1:$B$58,2,FALSE)</f>
        <v>2-Methyl-1-Butanol</v>
      </c>
      <c r="BA274" t="s">
        <v>82</v>
      </c>
      <c r="BB274" t="s">
        <v>83</v>
      </c>
      <c r="BC274">
        <v>88.14658</v>
      </c>
      <c r="BD274">
        <v>6</v>
      </c>
      <c r="BE274">
        <v>129</v>
      </c>
      <c r="BF274" t="s">
        <v>188</v>
      </c>
      <c r="BG274">
        <v>0</v>
      </c>
      <c r="BH274">
        <v>0.18559999999999999</v>
      </c>
      <c r="BI274">
        <v>0.51045258184087405</v>
      </c>
      <c r="BJ274">
        <v>90</v>
      </c>
      <c r="BK274">
        <v>761.78289103116902</v>
      </c>
      <c r="BL274">
        <v>253.64871335190841</v>
      </c>
      <c r="BM274">
        <v>3.420148766607324</v>
      </c>
      <c r="BN274">
        <v>581.42529032324512</v>
      </c>
      <c r="BO274">
        <v>180.35760070792389</v>
      </c>
    </row>
    <row r="275" spans="1:67" x14ac:dyDescent="0.25">
      <c r="A275" s="1">
        <v>273</v>
      </c>
      <c r="B275" t="s">
        <v>187</v>
      </c>
      <c r="C275" t="s">
        <v>179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67</v>
      </c>
      <c r="J275">
        <v>1.333</v>
      </c>
      <c r="K275">
        <v>500</v>
      </c>
      <c r="L275">
        <v>33.333333333333329</v>
      </c>
      <c r="N275" t="s">
        <v>183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69863.151893411909</v>
      </c>
      <c r="Z275">
        <v>349315759.46705961</v>
      </c>
      <c r="AA275">
        <v>465637907.36959028</v>
      </c>
      <c r="AB275">
        <v>465637.90736959042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95.600353621075314</v>
      </c>
      <c r="AI275">
        <v>95.600353621075314</v>
      </c>
      <c r="AJ275">
        <v>15133.231989511691</v>
      </c>
      <c r="AK275">
        <v>854.70085470085473</v>
      </c>
      <c r="AL275" t="s">
        <v>69</v>
      </c>
      <c r="AM275">
        <v>7409.0274056333355</v>
      </c>
      <c r="AN275">
        <v>760.64122712299582</v>
      </c>
      <c r="AO275">
        <v>16252.060115582801</v>
      </c>
      <c r="AP275">
        <v>24157.601476968881</v>
      </c>
      <c r="AQ275">
        <v>7905.5413613860746</v>
      </c>
      <c r="AR275">
        <v>6.9666430576004182E-3</v>
      </c>
      <c r="AS275">
        <v>217.3699927799766</v>
      </c>
      <c r="AT275">
        <v>106.421432961931</v>
      </c>
      <c r="AU275">
        <v>10.92566202397941</v>
      </c>
      <c r="AV275">
        <v>233.44056262617119</v>
      </c>
      <c r="AW275">
        <v>346.99379896308062</v>
      </c>
      <c r="AX275">
        <v>113.55323633690941</v>
      </c>
      <c r="AY275">
        <v>1.5712413913751311</v>
      </c>
      <c r="AZ275" t="str">
        <f>VLOOKUP(BA275,Sheet1!$A$1:$B$58,2,FALSE)</f>
        <v>3-Methyl-1-Pentanol</v>
      </c>
      <c r="BA275" t="s">
        <v>87</v>
      </c>
      <c r="BB275" t="s">
        <v>88</v>
      </c>
      <c r="BC275">
        <v>102.17296</v>
      </c>
      <c r="BD275">
        <v>6</v>
      </c>
      <c r="BE275">
        <v>153</v>
      </c>
      <c r="BF275" t="s">
        <v>188</v>
      </c>
      <c r="BG275">
        <v>0</v>
      </c>
      <c r="BH275">
        <v>0.128888888888889</v>
      </c>
      <c r="BI275">
        <v>0.41088796533194699</v>
      </c>
      <c r="BJ275">
        <v>90</v>
      </c>
      <c r="BK275">
        <v>938.33039184551922</v>
      </c>
      <c r="BL275">
        <v>307.06731090222098</v>
      </c>
      <c r="BM275">
        <v>4.2489046053811252</v>
      </c>
      <c r="BN275">
        <v>722.31378291479132</v>
      </c>
      <c r="BO275">
        <v>216.0166089307279</v>
      </c>
    </row>
    <row r="276" spans="1:67" x14ac:dyDescent="0.25">
      <c r="A276" s="1">
        <v>274</v>
      </c>
      <c r="B276" t="s">
        <v>187</v>
      </c>
      <c r="C276" t="s">
        <v>179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67</v>
      </c>
      <c r="J276">
        <v>1.333</v>
      </c>
      <c r="K276">
        <v>500</v>
      </c>
      <c r="L276">
        <v>33.333333333333329</v>
      </c>
      <c r="N276" t="s">
        <v>183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177471.51119256541</v>
      </c>
      <c r="Z276">
        <v>887357555.96282721</v>
      </c>
      <c r="AA276">
        <v>1182847622.098449</v>
      </c>
      <c r="AB276">
        <v>1182847.622098448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242.85104189918181</v>
      </c>
      <c r="AI276">
        <v>242.85104189918181</v>
      </c>
      <c r="AJ276">
        <v>38442.547718199567</v>
      </c>
      <c r="AK276">
        <v>854.70085470085473</v>
      </c>
      <c r="AL276" t="s">
        <v>69</v>
      </c>
      <c r="AM276">
        <v>18820.955747186588</v>
      </c>
      <c r="AN276">
        <v>1932.2367284378879</v>
      </c>
      <c r="AO276">
        <v>41284.677122860907</v>
      </c>
      <c r="AP276">
        <v>60050.441048524903</v>
      </c>
      <c r="AQ276">
        <v>18765.763925663989</v>
      </c>
      <c r="AR276">
        <v>6.9666430576004173E-3</v>
      </c>
      <c r="AS276">
        <v>217.3699927799766</v>
      </c>
      <c r="AT276">
        <v>106.421432961931</v>
      </c>
      <c r="AU276">
        <v>10.92566202397941</v>
      </c>
      <c r="AV276">
        <v>233.44056262617119</v>
      </c>
      <c r="AW276">
        <v>339.54991830504008</v>
      </c>
      <c r="AX276">
        <v>106.10935567886879</v>
      </c>
      <c r="AY276">
        <v>1.5712413913751311</v>
      </c>
      <c r="AZ276" t="str">
        <f>VLOOKUP(BA276,Sheet1!$A$1:$B$58,2,FALSE)</f>
        <v>4-Hydroxystyrene</v>
      </c>
      <c r="BA276" t="s">
        <v>89</v>
      </c>
      <c r="BB276" t="s">
        <v>90</v>
      </c>
      <c r="BC276">
        <v>120.14731999999999</v>
      </c>
      <c r="BD276">
        <v>4.75</v>
      </c>
      <c r="BE276">
        <v>229</v>
      </c>
      <c r="BF276" t="s">
        <v>188</v>
      </c>
      <c r="BG276">
        <v>0</v>
      </c>
      <c r="BH276">
        <v>4.2568807339450003E-2</v>
      </c>
      <c r="BI276">
        <v>0.16174950075233999</v>
      </c>
      <c r="BJ276">
        <v>90</v>
      </c>
      <c r="BK276">
        <v>2332.4813075204629</v>
      </c>
      <c r="BL276">
        <v>728.90045124869675</v>
      </c>
      <c r="BM276">
        <v>10.793379639963639</v>
      </c>
      <c r="BN276">
        <v>1834.8745387938191</v>
      </c>
      <c r="BO276">
        <v>497.6067687266443</v>
      </c>
    </row>
    <row r="277" spans="1:67" x14ac:dyDescent="0.25">
      <c r="A277" s="1">
        <v>275</v>
      </c>
      <c r="B277" t="s">
        <v>187</v>
      </c>
      <c r="C277" t="s">
        <v>179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67</v>
      </c>
      <c r="J277">
        <v>1.333</v>
      </c>
      <c r="K277">
        <v>500</v>
      </c>
      <c r="L277">
        <v>33.333333333333329</v>
      </c>
      <c r="N277" t="s">
        <v>183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46525.061477527102</v>
      </c>
      <c r="Z277">
        <v>232625307.3876355</v>
      </c>
      <c r="AA277">
        <v>310089534.74771821</v>
      </c>
      <c r="AB277">
        <v>310089.53474771808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63.664638782397802</v>
      </c>
      <c r="AI277">
        <v>63.664638782397802</v>
      </c>
      <c r="AJ277">
        <v>10077.90987930084</v>
      </c>
      <c r="AK277">
        <v>854.70085470085473</v>
      </c>
      <c r="AL277" t="s">
        <v>69</v>
      </c>
      <c r="AM277">
        <v>4934.0095056358296</v>
      </c>
      <c r="AN277">
        <v>506.54570965007099</v>
      </c>
      <c r="AO277">
        <v>10822.988593007631</v>
      </c>
      <c r="AP277">
        <v>16373.165949287601</v>
      </c>
      <c r="AQ277">
        <v>5550.1773562799681</v>
      </c>
      <c r="AR277">
        <v>6.9666430576004182E-3</v>
      </c>
      <c r="AS277">
        <v>217.3699927799766</v>
      </c>
      <c r="AT277">
        <v>106.421432961931</v>
      </c>
      <c r="AU277">
        <v>10.92566202397941</v>
      </c>
      <c r="AV277">
        <v>233.44056262617119</v>
      </c>
      <c r="AW277">
        <v>353.15209272628601</v>
      </c>
      <c r="AX277">
        <v>119.7115301001147</v>
      </c>
      <c r="AY277">
        <v>1.5712413913751311</v>
      </c>
      <c r="AZ277" t="str">
        <f>VLOOKUP(BA277,Sheet1!$A$1:$B$58,2,FALSE)</f>
        <v>Acetone</v>
      </c>
      <c r="BA277" t="s">
        <v>93</v>
      </c>
      <c r="BB277" t="s">
        <v>94</v>
      </c>
      <c r="BC277">
        <v>58.078139999999998</v>
      </c>
      <c r="BD277">
        <v>5.333333333333333</v>
      </c>
      <c r="BE277">
        <v>56</v>
      </c>
      <c r="BF277" t="s">
        <v>188</v>
      </c>
      <c r="BG277">
        <v>0</v>
      </c>
      <c r="BH277">
        <v>0.33333333333333298</v>
      </c>
      <c r="BI277">
        <v>0.616999256347604</v>
      </c>
      <c r="BJ277">
        <v>90</v>
      </c>
      <c r="BK277">
        <v>635.96707792343443</v>
      </c>
      <c r="BL277">
        <v>215.5801807764467</v>
      </c>
      <c r="BM277">
        <v>2.8295395014399021</v>
      </c>
      <c r="BN277">
        <v>481.02171524478342</v>
      </c>
      <c r="BO277">
        <v>154.94536267865109</v>
      </c>
    </row>
    <row r="278" spans="1:67" x14ac:dyDescent="0.25">
      <c r="A278" s="1">
        <v>276</v>
      </c>
      <c r="B278" t="s">
        <v>187</v>
      </c>
      <c r="C278" t="s">
        <v>179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67</v>
      </c>
      <c r="J278">
        <v>1.333</v>
      </c>
      <c r="K278">
        <v>500</v>
      </c>
      <c r="L278">
        <v>33.333333333333329</v>
      </c>
      <c r="N278" t="s">
        <v>183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125918.7020283242</v>
      </c>
      <c r="Z278">
        <v>629593510.14162076</v>
      </c>
      <c r="AA278">
        <v>839248149.01878047</v>
      </c>
      <c r="AB278">
        <v>839248.14901878044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172.30646077606721</v>
      </c>
      <c r="AI278">
        <v>172.30646077606721</v>
      </c>
      <c r="AJ278">
        <v>27275.564843110369</v>
      </c>
      <c r="AK278">
        <v>854.70085470085473</v>
      </c>
      <c r="AL278" t="s">
        <v>69</v>
      </c>
      <c r="AM278">
        <v>13353.75071014521</v>
      </c>
      <c r="AN278">
        <v>1370.950972476684</v>
      </c>
      <c r="AO278">
        <v>29292.098331931429</v>
      </c>
      <c r="AP278">
        <v>42854.967380433111</v>
      </c>
      <c r="AQ278">
        <v>13562.86904850168</v>
      </c>
      <c r="AR278">
        <v>6.9666430576004182E-3</v>
      </c>
      <c r="AS278">
        <v>217.3699927799766</v>
      </c>
      <c r="AT278">
        <v>106.421432961931</v>
      </c>
      <c r="AU278">
        <v>10.92566202397941</v>
      </c>
      <c r="AV278">
        <v>233.44056262617119</v>
      </c>
      <c r="AW278">
        <v>341.52854408893711</v>
      </c>
      <c r="AX278">
        <v>108.0879814627658</v>
      </c>
      <c r="AY278">
        <v>1.5712413913751311</v>
      </c>
      <c r="AZ278" t="str">
        <f>VLOOKUP(BA278,Sheet1!$A$1:$B$58,2,FALSE)</f>
        <v>Acrylate (PW1)</v>
      </c>
      <c r="BA278" t="s">
        <v>95</v>
      </c>
      <c r="BB278" t="s">
        <v>96</v>
      </c>
      <c r="BC278">
        <v>71.053619999999995</v>
      </c>
      <c r="BD278">
        <v>3.666666666666667</v>
      </c>
      <c r="BE278">
        <v>80</v>
      </c>
      <c r="BF278" t="s">
        <v>188</v>
      </c>
      <c r="BG278">
        <v>0</v>
      </c>
      <c r="BH278">
        <v>0.100869565217391</v>
      </c>
      <c r="BI278">
        <v>0.22797192053888601</v>
      </c>
      <c r="BJ278">
        <v>90</v>
      </c>
      <c r="BK278">
        <v>1664.574124750992</v>
      </c>
      <c r="BL278">
        <v>526.80942853383294</v>
      </c>
      <c r="BM278">
        <v>7.6580649233807661</v>
      </c>
      <c r="BN278">
        <v>1301.87103697473</v>
      </c>
      <c r="BO278">
        <v>362.70308777626178</v>
      </c>
    </row>
    <row r="279" spans="1:67" x14ac:dyDescent="0.25">
      <c r="A279" s="1">
        <v>277</v>
      </c>
      <c r="B279" t="s">
        <v>187</v>
      </c>
      <c r="C279" t="s">
        <v>179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67</v>
      </c>
      <c r="J279">
        <v>1.333</v>
      </c>
      <c r="K279">
        <v>500</v>
      </c>
      <c r="L279">
        <v>33.333333333333329</v>
      </c>
      <c r="N279" t="s">
        <v>183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53363.461109616102</v>
      </c>
      <c r="Z279">
        <v>266817305.5480805</v>
      </c>
      <c r="AA279">
        <v>355667468.29559118</v>
      </c>
      <c r="AB279">
        <v>355667.46829559118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73.022267307766228</v>
      </c>
      <c r="AI279">
        <v>73.022267307766228</v>
      </c>
      <c r="AJ279">
        <v>11559.192719606721</v>
      </c>
      <c r="AK279">
        <v>854.70085470085473</v>
      </c>
      <c r="AL279" t="s">
        <v>69</v>
      </c>
      <c r="AM279">
        <v>5659.2257163518834</v>
      </c>
      <c r="AN279">
        <v>580.9993886888509</v>
      </c>
      <c r="AO279">
        <v>12413.785442320261</v>
      </c>
      <c r="AP279">
        <v>18654.11867934831</v>
      </c>
      <c r="AQ279">
        <v>6240.3332370280477</v>
      </c>
      <c r="AR279">
        <v>6.9666430576004173E-3</v>
      </c>
      <c r="AS279">
        <v>217.3699927799766</v>
      </c>
      <c r="AT279">
        <v>106.421432961931</v>
      </c>
      <c r="AU279">
        <v>10.92566202397941</v>
      </c>
      <c r="AV279">
        <v>233.44056262617119</v>
      </c>
      <c r="AW279">
        <v>350.78969102824408</v>
      </c>
      <c r="AX279">
        <v>117.34912840207291</v>
      </c>
      <c r="AY279">
        <v>1.5712413913751311</v>
      </c>
      <c r="AZ279" t="str">
        <f>VLOOKUP(BA279,Sheet1!$A$1:$B$58,2,FALSE)</f>
        <v>Acrylate (PW2)</v>
      </c>
      <c r="BA279" t="s">
        <v>97</v>
      </c>
      <c r="BB279" t="s">
        <v>96</v>
      </c>
      <c r="BC279">
        <v>71.053619999999995</v>
      </c>
      <c r="BD279">
        <v>3.666666666666667</v>
      </c>
      <c r="BE279">
        <v>80</v>
      </c>
      <c r="BF279" t="s">
        <v>188</v>
      </c>
      <c r="BG279">
        <v>0</v>
      </c>
      <c r="BH279">
        <v>0.23200000000000001</v>
      </c>
      <c r="BI279">
        <v>0.53793228055794096</v>
      </c>
      <c r="BJ279">
        <v>90</v>
      </c>
      <c r="BK279">
        <v>724.56392273103927</v>
      </c>
      <c r="BL279">
        <v>242.38723935940399</v>
      </c>
      <c r="BM279">
        <v>3.2454341025673878</v>
      </c>
      <c r="BN279">
        <v>551.72379743645604</v>
      </c>
      <c r="BO279">
        <v>172.8401252945832</v>
      </c>
    </row>
    <row r="280" spans="1:67" x14ac:dyDescent="0.25">
      <c r="A280" s="1">
        <v>278</v>
      </c>
      <c r="B280" t="s">
        <v>187</v>
      </c>
      <c r="C280" t="s">
        <v>179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67</v>
      </c>
      <c r="J280">
        <v>1.333</v>
      </c>
      <c r="K280">
        <v>500</v>
      </c>
      <c r="L280">
        <v>33.333333333333329</v>
      </c>
      <c r="N280" t="s">
        <v>183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182127.67736301449</v>
      </c>
      <c r="Z280">
        <v>910638386.81507242</v>
      </c>
      <c r="AA280">
        <v>1213880969.624491</v>
      </c>
      <c r="AB280">
        <v>1213880.9696244909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249.22251413239201</v>
      </c>
      <c r="AI280">
        <v>249.22251413239201</v>
      </c>
      <c r="AJ280">
        <v>39451.131512795982</v>
      </c>
      <c r="AK280">
        <v>854.70085470085473</v>
      </c>
      <c r="AL280" t="s">
        <v>69</v>
      </c>
      <c r="AM280">
        <v>19314.744845260378</v>
      </c>
      <c r="AN280">
        <v>1982.9311482227611</v>
      </c>
      <c r="AO280">
        <v>42367.827402506642</v>
      </c>
      <c r="AP280">
        <v>61603.508360979969</v>
      </c>
      <c r="AQ280">
        <v>19235.680958473331</v>
      </c>
      <c r="AR280">
        <v>6.966643057600419E-3</v>
      </c>
      <c r="AS280">
        <v>217.36999277997671</v>
      </c>
      <c r="AT280">
        <v>106.421432961931</v>
      </c>
      <c r="AU280">
        <v>10.92566202397941</v>
      </c>
      <c r="AV280">
        <v>233.44056262617119</v>
      </c>
      <c r="AW280">
        <v>339.42636507913988</v>
      </c>
      <c r="AX280">
        <v>105.9858024529686</v>
      </c>
      <c r="AY280">
        <v>1.5712413913751311</v>
      </c>
      <c r="AZ280" t="str">
        <f>VLOOKUP(BA280,Sheet1!$A$1:$B$58,2,FALSE)</f>
        <v>Benzoate (PW1)</v>
      </c>
      <c r="BA280" t="s">
        <v>100</v>
      </c>
      <c r="BB280" t="s">
        <v>101</v>
      </c>
      <c r="BC280">
        <v>121.1121</v>
      </c>
      <c r="BD280">
        <v>4.1428571428571432</v>
      </c>
      <c r="BE280">
        <v>249.2</v>
      </c>
      <c r="BF280" t="s">
        <v>188</v>
      </c>
      <c r="BG280">
        <v>0</v>
      </c>
      <c r="BH280">
        <v>4.1061946902655001E-2</v>
      </c>
      <c r="BI280">
        <v>0.15761431073402701</v>
      </c>
      <c r="BJ280">
        <v>90</v>
      </c>
      <c r="BK280">
        <v>2392.805601769946</v>
      </c>
      <c r="BL280">
        <v>747.15298488500332</v>
      </c>
      <c r="BM280">
        <v>11.076556183661859</v>
      </c>
      <c r="BN280">
        <v>1883.014551222517</v>
      </c>
      <c r="BO280">
        <v>509.79105054742899</v>
      </c>
    </row>
    <row r="281" spans="1:67" x14ac:dyDescent="0.25">
      <c r="A281" s="1">
        <v>279</v>
      </c>
      <c r="B281" t="s">
        <v>187</v>
      </c>
      <c r="C281" t="s">
        <v>179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67</v>
      </c>
      <c r="J281">
        <v>1.333</v>
      </c>
      <c r="K281">
        <v>500</v>
      </c>
      <c r="L281">
        <v>33.333333333333329</v>
      </c>
      <c r="N281" t="s">
        <v>183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195225.04752921881</v>
      </c>
      <c r="Z281">
        <v>976125237.64609396</v>
      </c>
      <c r="AA281">
        <v>1301174941.782243</v>
      </c>
      <c r="AB281">
        <v>1301174.9417822431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267.14488358554189</v>
      </c>
      <c r="AI281">
        <v>267.14488358554189</v>
      </c>
      <c r="AJ281">
        <v>42288.185607922911</v>
      </c>
      <c r="AK281">
        <v>854.70085470085473</v>
      </c>
      <c r="AL281" t="s">
        <v>69</v>
      </c>
      <c r="AM281">
        <v>20703.7284778795</v>
      </c>
      <c r="AN281">
        <v>2125.529920899166</v>
      </c>
      <c r="AO281">
        <v>45414.63020954212</v>
      </c>
      <c r="AP281">
        <v>65972.144861402427</v>
      </c>
      <c r="AQ281">
        <v>20557.514651860311</v>
      </c>
      <c r="AR281">
        <v>6.9666430576004182E-3</v>
      </c>
      <c r="AS281">
        <v>217.3699927799766</v>
      </c>
      <c r="AT281">
        <v>106.421432961931</v>
      </c>
      <c r="AU281">
        <v>10.92566202397941</v>
      </c>
      <c r="AV281">
        <v>233.44056262617119</v>
      </c>
      <c r="AW281">
        <v>339.11042637676752</v>
      </c>
      <c r="AX281">
        <v>105.66986375059621</v>
      </c>
      <c r="AY281">
        <v>1.5712413913751311</v>
      </c>
      <c r="AZ281" t="str">
        <f>VLOOKUP(BA281,Sheet1!$A$1:$B$58,2,FALSE)</f>
        <v>Benzoate (PW2)</v>
      </c>
      <c r="BA281" t="s">
        <v>102</v>
      </c>
      <c r="BB281" t="s">
        <v>101</v>
      </c>
      <c r="BC281">
        <v>121.1121</v>
      </c>
      <c r="BD281">
        <v>4.1428571428571432</v>
      </c>
      <c r="BE281">
        <v>249.2</v>
      </c>
      <c r="BF281" t="s">
        <v>188</v>
      </c>
      <c r="BG281">
        <v>0</v>
      </c>
      <c r="BH281">
        <v>3.8347107438017003E-2</v>
      </c>
      <c r="BI281">
        <v>0.14704019128930901</v>
      </c>
      <c r="BJ281">
        <v>90</v>
      </c>
      <c r="BK281">
        <v>2562.49233177003</v>
      </c>
      <c r="BL281">
        <v>798.4956949074741</v>
      </c>
      <c r="BM281">
        <v>11.8731059371352</v>
      </c>
      <c r="BN281">
        <v>2018.428009312983</v>
      </c>
      <c r="BO281">
        <v>544.06432245704718</v>
      </c>
    </row>
    <row r="282" spans="1:67" x14ac:dyDescent="0.25">
      <c r="A282" s="1">
        <v>280</v>
      </c>
      <c r="B282" t="s">
        <v>187</v>
      </c>
      <c r="C282" t="s">
        <v>179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67</v>
      </c>
      <c r="J282">
        <v>1.333</v>
      </c>
      <c r="K282">
        <v>500</v>
      </c>
      <c r="L282">
        <v>33.333333333333329</v>
      </c>
      <c r="N282" t="s">
        <v>183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115991.45445298569</v>
      </c>
      <c r="Z282">
        <v>579957272.26492834</v>
      </c>
      <c r="AA282">
        <v>773083043.92914951</v>
      </c>
      <c r="AB282">
        <v>773083.04392914951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158.7220696776773</v>
      </c>
      <c r="AI282">
        <v>158.7220696776773</v>
      </c>
      <c r="AJ282">
        <v>25125.198927697362</v>
      </c>
      <c r="AK282">
        <v>2170.1388888888891</v>
      </c>
      <c r="AL282" t="s">
        <v>107</v>
      </c>
      <c r="AM282">
        <v>12300.960400019991</v>
      </c>
      <c r="AN282">
        <v>1262.8671890656569</v>
      </c>
      <c r="AO282">
        <v>26982.751845205141</v>
      </c>
      <c r="AP282">
        <v>40859.165405671898</v>
      </c>
      <c r="AQ282">
        <v>13876.41356046675</v>
      </c>
      <c r="AR282">
        <v>6.966643057600419E-3</v>
      </c>
      <c r="AS282">
        <v>217.36999277997671</v>
      </c>
      <c r="AT282">
        <v>106.421432961931</v>
      </c>
      <c r="AU282">
        <v>10.92566202397941</v>
      </c>
      <c r="AV282">
        <v>233.44056262617119</v>
      </c>
      <c r="AW282">
        <v>353.49198686088721</v>
      </c>
      <c r="AX282">
        <v>120.05142423471599</v>
      </c>
      <c r="AY282">
        <v>1.57124139137513</v>
      </c>
      <c r="AZ282" t="str">
        <f>VLOOKUP(BA282,Sheet1!$A$1:$B$58,2,FALSE)</f>
        <v>Butane</v>
      </c>
      <c r="BA282" t="s">
        <v>108</v>
      </c>
      <c r="BB282" t="s">
        <v>109</v>
      </c>
      <c r="BC282">
        <v>58.121200000000002</v>
      </c>
      <c r="BD282">
        <v>6.5</v>
      </c>
      <c r="BE282">
        <v>-1</v>
      </c>
      <c r="BF282" t="s">
        <v>188</v>
      </c>
      <c r="BG282">
        <v>0</v>
      </c>
      <c r="BH282">
        <v>0.13647058823529401</v>
      </c>
      <c r="BI282">
        <v>0.24748313113701001</v>
      </c>
      <c r="BJ282">
        <v>90</v>
      </c>
      <c r="BK282">
        <v>1587.053115440149</v>
      </c>
      <c r="BL282">
        <v>538.9881353087452</v>
      </c>
      <c r="BM282">
        <v>7.0543142078967689</v>
      </c>
      <c r="BN282">
        <v>1199.2334153424511</v>
      </c>
      <c r="BO282">
        <v>387.81970009769822</v>
      </c>
    </row>
    <row r="283" spans="1:67" x14ac:dyDescent="0.25">
      <c r="A283" s="1">
        <v>281</v>
      </c>
      <c r="B283" t="s">
        <v>187</v>
      </c>
      <c r="C283" t="s">
        <v>179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67</v>
      </c>
      <c r="J283">
        <v>1.333</v>
      </c>
      <c r="K283">
        <v>500</v>
      </c>
      <c r="L283">
        <v>33.333333333333329</v>
      </c>
      <c r="N283" t="s">
        <v>183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49650.432841670852</v>
      </c>
      <c r="Z283">
        <v>248252164.20835429</v>
      </c>
      <c r="AA283">
        <v>330920134.88973618</v>
      </c>
      <c r="AB283">
        <v>330920.13488973619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67.941379804119435</v>
      </c>
      <c r="AI283">
        <v>67.941379804119435</v>
      </c>
      <c r="AJ283">
        <v>10754.90438391643</v>
      </c>
      <c r="AK283">
        <v>854.70085470085473</v>
      </c>
      <c r="AL283" t="s">
        <v>69</v>
      </c>
      <c r="AM283">
        <v>5265.4569348192563</v>
      </c>
      <c r="AN283">
        <v>540.57346598812353</v>
      </c>
      <c r="AO283">
        <v>11550.0345667003</v>
      </c>
      <c r="AP283">
        <v>17415.635639424661</v>
      </c>
      <c r="AQ283">
        <v>5865.6010727243574</v>
      </c>
      <c r="AR283">
        <v>6.9666430576004182E-3</v>
      </c>
      <c r="AS283">
        <v>217.3699927799766</v>
      </c>
      <c r="AT283">
        <v>106.421432961931</v>
      </c>
      <c r="AU283">
        <v>10.92566202397941</v>
      </c>
      <c r="AV283">
        <v>233.44056262617119</v>
      </c>
      <c r="AW283">
        <v>351.99165497572682</v>
      </c>
      <c r="AX283">
        <v>118.5510923495556</v>
      </c>
      <c r="AY283">
        <v>1.57124139137513</v>
      </c>
      <c r="AZ283" t="str">
        <f>VLOOKUP(BA283,Sheet1!$A$1:$B$58,2,FALSE)</f>
        <v>Butanol (PW1)</v>
      </c>
      <c r="BA283" t="s">
        <v>110</v>
      </c>
      <c r="BB283" t="s">
        <v>111</v>
      </c>
      <c r="BC283">
        <v>74.120199999999997</v>
      </c>
      <c r="BD283">
        <v>6</v>
      </c>
      <c r="BE283">
        <v>117.7</v>
      </c>
      <c r="BF283" t="s">
        <v>188</v>
      </c>
      <c r="BG283">
        <v>-1.408396753353213E-15</v>
      </c>
      <c r="BH283">
        <v>0.25</v>
      </c>
      <c r="BI283">
        <v>0.57816068642745699</v>
      </c>
      <c r="BJ283">
        <v>90</v>
      </c>
      <c r="BK283">
        <v>676.45872167233745</v>
      </c>
      <c r="BL283">
        <v>227.83187967672069</v>
      </c>
      <c r="BM283">
        <v>3.0196168801830869</v>
      </c>
      <c r="BN283">
        <v>513.33486963112489</v>
      </c>
      <c r="BO283">
        <v>163.12385204121259</v>
      </c>
    </row>
    <row r="284" spans="1:67" x14ac:dyDescent="0.25">
      <c r="A284" s="1">
        <v>282</v>
      </c>
      <c r="B284" t="s">
        <v>187</v>
      </c>
      <c r="C284" t="s">
        <v>179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67</v>
      </c>
      <c r="J284">
        <v>1.333</v>
      </c>
      <c r="K284">
        <v>500</v>
      </c>
      <c r="L284">
        <v>33.333333333333329</v>
      </c>
      <c r="N284" t="s">
        <v>183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49650.432841670852</v>
      </c>
      <c r="Z284">
        <v>248252164.20835429</v>
      </c>
      <c r="AA284">
        <v>330920134.88973618</v>
      </c>
      <c r="AB284">
        <v>330920.13488973619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67.941379804119435</v>
      </c>
      <c r="AI284">
        <v>67.941379804119435</v>
      </c>
      <c r="AJ284">
        <v>10754.90438391643</v>
      </c>
      <c r="AK284">
        <v>854.70085470085473</v>
      </c>
      <c r="AL284" t="s">
        <v>69</v>
      </c>
      <c r="AM284">
        <v>5265.4569348192563</v>
      </c>
      <c r="AN284">
        <v>540.57346598812353</v>
      </c>
      <c r="AO284">
        <v>11550.0345667003</v>
      </c>
      <c r="AP284">
        <v>17415.635639424661</v>
      </c>
      <c r="AQ284">
        <v>5865.6010727243574</v>
      </c>
      <c r="AR284">
        <v>6.9666430576004182E-3</v>
      </c>
      <c r="AS284">
        <v>217.3699927799766</v>
      </c>
      <c r="AT284">
        <v>106.421432961931</v>
      </c>
      <c r="AU284">
        <v>10.92566202397941</v>
      </c>
      <c r="AV284">
        <v>233.44056262617119</v>
      </c>
      <c r="AW284">
        <v>351.99165497572682</v>
      </c>
      <c r="AX284">
        <v>118.5510923495556</v>
      </c>
      <c r="AY284">
        <v>1.57124139137513</v>
      </c>
      <c r="AZ284" t="str">
        <f>VLOOKUP(BA284,Sheet1!$A$1:$B$58,2,FALSE)</f>
        <v>Butanol (PW2)</v>
      </c>
      <c r="BA284" t="s">
        <v>112</v>
      </c>
      <c r="BB284" t="s">
        <v>111</v>
      </c>
      <c r="BC284">
        <v>74.120199999999997</v>
      </c>
      <c r="BD284">
        <v>6</v>
      </c>
      <c r="BE284">
        <v>117.7</v>
      </c>
      <c r="BF284" t="s">
        <v>188</v>
      </c>
      <c r="BG284">
        <v>0</v>
      </c>
      <c r="BH284">
        <v>0.25</v>
      </c>
      <c r="BI284">
        <v>0.57816068642745699</v>
      </c>
      <c r="BJ284">
        <v>90</v>
      </c>
      <c r="BK284">
        <v>676.45872167233745</v>
      </c>
      <c r="BL284">
        <v>227.83187967672069</v>
      </c>
      <c r="BM284">
        <v>3.019616880183086</v>
      </c>
      <c r="BN284">
        <v>513.33486963112466</v>
      </c>
      <c r="BO284">
        <v>163.12385204121281</v>
      </c>
    </row>
    <row r="285" spans="1:67" x14ac:dyDescent="0.25">
      <c r="A285" s="1">
        <v>283</v>
      </c>
      <c r="B285" t="s">
        <v>187</v>
      </c>
      <c r="C285" t="s">
        <v>179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67</v>
      </c>
      <c r="J285">
        <v>1.333</v>
      </c>
      <c r="K285">
        <v>500</v>
      </c>
      <c r="L285">
        <v>33.333333333333329</v>
      </c>
      <c r="N285" t="s">
        <v>183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40921.984441079527</v>
      </c>
      <c r="Z285">
        <v>204609922.20539761</v>
      </c>
      <c r="AA285">
        <v>272745026.29979497</v>
      </c>
      <c r="AB285">
        <v>272745.02629979502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55.997418917085263</v>
      </c>
      <c r="AI285">
        <v>55.997418917085263</v>
      </c>
      <c r="AJ285">
        <v>8864.2133547433386</v>
      </c>
      <c r="AK285">
        <v>854.70085470085473</v>
      </c>
      <c r="AL285" t="s">
        <v>69</v>
      </c>
      <c r="AM285">
        <v>4339.7999660741079</v>
      </c>
      <c r="AN285">
        <v>445.54171430828552</v>
      </c>
      <c r="AO285">
        <v>9519.561215904494</v>
      </c>
      <c r="AP285">
        <v>14504.255889826591</v>
      </c>
      <c r="AQ285">
        <v>4984.694673922093</v>
      </c>
      <c r="AR285">
        <v>6.9666430576004173E-3</v>
      </c>
      <c r="AS285">
        <v>217.3699927799766</v>
      </c>
      <c r="AT285">
        <v>106.421432961931</v>
      </c>
      <c r="AU285">
        <v>10.92566202397941</v>
      </c>
      <c r="AV285">
        <v>233.44056262617119</v>
      </c>
      <c r="AW285">
        <v>355.67623114164388</v>
      </c>
      <c r="AX285">
        <v>122.2356685154728</v>
      </c>
      <c r="AY285">
        <v>1.5712413913751311</v>
      </c>
      <c r="AZ285" t="str">
        <f>VLOOKUP(BA285,Sheet1!$A$1:$B$58,2,FALSE)</f>
        <v>Butyrate</v>
      </c>
      <c r="BA285" t="s">
        <v>113</v>
      </c>
      <c r="BB285" t="s">
        <v>114</v>
      </c>
      <c r="BC285">
        <v>87.095680000000002</v>
      </c>
      <c r="BD285">
        <v>4.75</v>
      </c>
      <c r="BE285">
        <v>163.5</v>
      </c>
      <c r="BF285" t="s">
        <v>188</v>
      </c>
      <c r="BG285">
        <v>0</v>
      </c>
      <c r="BH285">
        <v>0.25</v>
      </c>
      <c r="BI285">
        <v>0.70147938144329902</v>
      </c>
      <c r="BJ285">
        <v>90</v>
      </c>
      <c r="BK285">
        <v>563.37480877411679</v>
      </c>
      <c r="BL285">
        <v>193.6156828760827</v>
      </c>
      <c r="BM285">
        <v>2.4887741740926779</v>
      </c>
      <c r="BN285">
        <v>423.0916095957553</v>
      </c>
      <c r="BO285">
        <v>140.28319917836151</v>
      </c>
    </row>
    <row r="286" spans="1:67" x14ac:dyDescent="0.25">
      <c r="A286" s="1">
        <v>284</v>
      </c>
      <c r="B286" t="s">
        <v>187</v>
      </c>
      <c r="C286" t="s">
        <v>179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67</v>
      </c>
      <c r="J286">
        <v>1.333</v>
      </c>
      <c r="K286">
        <v>500</v>
      </c>
      <c r="L286">
        <v>33.333333333333329</v>
      </c>
      <c r="N286" t="s">
        <v>183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128822.9890811834</v>
      </c>
      <c r="Z286">
        <v>644114945.40591705</v>
      </c>
      <c r="AA286">
        <v>858605222.22608745</v>
      </c>
      <c r="AB286">
        <v>858605.22222608747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176.28067123960389</v>
      </c>
      <c r="AI286">
        <v>176.28067123960389</v>
      </c>
      <c r="AJ286">
        <v>27904.66972234784</v>
      </c>
      <c r="AK286">
        <v>854.70085470085473</v>
      </c>
      <c r="AL286" t="s">
        <v>69</v>
      </c>
      <c r="AM286">
        <v>13661.752021069309</v>
      </c>
      <c r="AN286">
        <v>1402.5716538793019</v>
      </c>
      <c r="AO286">
        <v>29967.714110732672</v>
      </c>
      <c r="AP286">
        <v>43823.694251997302</v>
      </c>
      <c r="AQ286">
        <v>13855.98014126463</v>
      </c>
      <c r="AR286">
        <v>6.9666430576004182E-3</v>
      </c>
      <c r="AS286">
        <v>217.3699927799766</v>
      </c>
      <c r="AT286">
        <v>106.421432961931</v>
      </c>
      <c r="AU286">
        <v>10.92566202397941</v>
      </c>
      <c r="AV286">
        <v>233.44056262617119</v>
      </c>
      <c r="AW286">
        <v>341.37498124622363</v>
      </c>
      <c r="AX286">
        <v>107.9344186200524</v>
      </c>
      <c r="AY286">
        <v>1.57124139137513</v>
      </c>
      <c r="AZ286" t="str">
        <f>VLOOKUP(BA286,Sheet1!$A$1:$B$58,2,FALSE)</f>
        <v>Catechol</v>
      </c>
      <c r="BA286" t="s">
        <v>115</v>
      </c>
      <c r="BB286" t="s">
        <v>116</v>
      </c>
      <c r="BC286">
        <v>110.10924</v>
      </c>
      <c r="BD286">
        <v>4.333333333333333</v>
      </c>
      <c r="BE286">
        <v>245</v>
      </c>
      <c r="BF286" t="s">
        <v>188</v>
      </c>
      <c r="BG286">
        <v>0</v>
      </c>
      <c r="BH286">
        <v>6.3561643835616397E-2</v>
      </c>
      <c r="BI286">
        <v>0.22283234178854899</v>
      </c>
      <c r="BJ286">
        <v>90</v>
      </c>
      <c r="BK286">
        <v>1702.201447391144</v>
      </c>
      <c r="BL286">
        <v>538.19445973358734</v>
      </c>
      <c r="BM286">
        <v>7.8346964995379524</v>
      </c>
      <c r="BN286">
        <v>1331.8984049214521</v>
      </c>
      <c r="BO286">
        <v>370.3030424696924</v>
      </c>
    </row>
    <row r="287" spans="1:67" x14ac:dyDescent="0.25">
      <c r="A287" s="1">
        <v>285</v>
      </c>
      <c r="B287" t="s">
        <v>187</v>
      </c>
      <c r="C287" t="s">
        <v>179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67</v>
      </c>
      <c r="J287">
        <v>1.333</v>
      </c>
      <c r="K287">
        <v>500</v>
      </c>
      <c r="L287">
        <v>33.333333333333329</v>
      </c>
      <c r="N287" t="s">
        <v>183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44425.92509827012</v>
      </c>
      <c r="Z287">
        <v>222129625.49135059</v>
      </c>
      <c r="AA287">
        <v>296098790.77997029</v>
      </c>
      <c r="AB287">
        <v>296098.79077997041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60.792192081710724</v>
      </c>
      <c r="AI287">
        <v>60.792192081710724</v>
      </c>
      <c r="AJ287">
        <v>9623.2107003490364</v>
      </c>
      <c r="AK287">
        <v>854.70085470085473</v>
      </c>
      <c r="AL287" t="s">
        <v>69</v>
      </c>
      <c r="AM287">
        <v>4711.3948863325813</v>
      </c>
      <c r="AN287">
        <v>483.69117720852631</v>
      </c>
      <c r="AO287">
        <v>10334.672653890821</v>
      </c>
      <c r="AP287">
        <v>15672.997618591</v>
      </c>
      <c r="AQ287">
        <v>5338.3249647001758</v>
      </c>
      <c r="AR287">
        <v>6.9666430576004182E-3</v>
      </c>
      <c r="AS287">
        <v>217.3699927799766</v>
      </c>
      <c r="AT287">
        <v>106.421432961931</v>
      </c>
      <c r="AU287">
        <v>10.92566202397941</v>
      </c>
      <c r="AV287">
        <v>233.44056262617119</v>
      </c>
      <c r="AW287">
        <v>354.02315144883499</v>
      </c>
      <c r="AX287">
        <v>120.58258882266369</v>
      </c>
      <c r="AY287">
        <v>1.5712413913751311</v>
      </c>
      <c r="AZ287" t="str">
        <f>VLOOKUP(BA287,Sheet1!$A$1:$B$58,2,FALSE)</f>
        <v>Citrate</v>
      </c>
      <c r="BA287" t="s">
        <v>119</v>
      </c>
      <c r="BB287" t="s">
        <v>120</v>
      </c>
      <c r="BC287">
        <v>189.09639999999999</v>
      </c>
      <c r="BD287">
        <v>2.5</v>
      </c>
      <c r="BF287" t="s">
        <v>188</v>
      </c>
      <c r="BG287">
        <v>0</v>
      </c>
      <c r="BH287">
        <v>0.103111111111111</v>
      </c>
      <c r="BI287">
        <v>0.64615262979135002</v>
      </c>
      <c r="BJ287">
        <v>90</v>
      </c>
      <c r="BK287">
        <v>608.77111541338513</v>
      </c>
      <c r="BL287">
        <v>207.35140285766229</v>
      </c>
      <c r="BM287">
        <v>2.701875203631587</v>
      </c>
      <c r="BN287">
        <v>459.31878461736977</v>
      </c>
      <c r="BO287">
        <v>149.4523307960153</v>
      </c>
    </row>
    <row r="288" spans="1:67" x14ac:dyDescent="0.25">
      <c r="A288" s="1">
        <v>286</v>
      </c>
      <c r="B288" t="s">
        <v>187</v>
      </c>
      <c r="C288" t="s">
        <v>179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67</v>
      </c>
      <c r="J288">
        <v>1.333</v>
      </c>
      <c r="K288">
        <v>500</v>
      </c>
      <c r="L288">
        <v>33.333333333333329</v>
      </c>
      <c r="N288" t="s">
        <v>183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136921.27012644539</v>
      </c>
      <c r="Z288">
        <v>684606350.63222718</v>
      </c>
      <c r="AA288">
        <v>912580265.39275885</v>
      </c>
      <c r="AB288">
        <v>912580.26539275888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187.36231457615239</v>
      </c>
      <c r="AI288">
        <v>187.36231457615239</v>
      </c>
      <c r="AJ288">
        <v>29658.85862526466</v>
      </c>
      <c r="AK288">
        <v>854.70085470085473</v>
      </c>
      <c r="AL288" t="s">
        <v>69</v>
      </c>
      <c r="AM288">
        <v>14520.57937965181</v>
      </c>
      <c r="AN288">
        <v>1490.7424029066719</v>
      </c>
      <c r="AO288">
        <v>31851.593477945909</v>
      </c>
      <c r="AP288">
        <v>46524.881262524003</v>
      </c>
      <c r="AQ288">
        <v>14673.287784578089</v>
      </c>
      <c r="AR288">
        <v>6.9666430576004182E-3</v>
      </c>
      <c r="AS288">
        <v>217.3699927799766</v>
      </c>
      <c r="AT288">
        <v>106.421432961931</v>
      </c>
      <c r="AU288">
        <v>10.92566202397941</v>
      </c>
      <c r="AV288">
        <v>233.44056262617119</v>
      </c>
      <c r="AW288">
        <v>340.98119660981621</v>
      </c>
      <c r="AX288">
        <v>107.54063398364499</v>
      </c>
      <c r="AY288">
        <v>1.57124139137513</v>
      </c>
      <c r="AZ288" t="str">
        <f>VLOOKUP(BA288,Sheet1!$A$1:$B$58,2,FALSE)</f>
        <v>Coumaric Acid</v>
      </c>
      <c r="BA288" t="s">
        <v>121</v>
      </c>
      <c r="BB288" t="s">
        <v>122</v>
      </c>
      <c r="BC288">
        <v>163.14818</v>
      </c>
      <c r="BD288">
        <v>4.1111111111111107</v>
      </c>
      <c r="BE288">
        <v>346</v>
      </c>
      <c r="BF288" t="s">
        <v>188</v>
      </c>
      <c r="BG288">
        <v>0</v>
      </c>
      <c r="BH288">
        <v>4.0347826086956501E-2</v>
      </c>
      <c r="BI288">
        <v>0.20965280490497301</v>
      </c>
      <c r="BJ288">
        <v>90</v>
      </c>
      <c r="BK288">
        <v>1807.1210466506959</v>
      </c>
      <c r="BL288">
        <v>569.94035147452882</v>
      </c>
      <c r="BM288">
        <v>8.3272139811623287</v>
      </c>
      <c r="BN288">
        <v>1415.6263767975961</v>
      </c>
      <c r="BO288">
        <v>391.4946698531005</v>
      </c>
    </row>
    <row r="289" spans="1:67" x14ac:dyDescent="0.25">
      <c r="A289" s="1">
        <v>287</v>
      </c>
      <c r="B289" t="s">
        <v>187</v>
      </c>
      <c r="C289" t="s">
        <v>179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67</v>
      </c>
      <c r="J289">
        <v>1.333</v>
      </c>
      <c r="K289">
        <v>500</v>
      </c>
      <c r="L289">
        <v>33.333333333333329</v>
      </c>
      <c r="N289" t="s">
        <v>183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40453.866790398861</v>
      </c>
      <c r="Z289">
        <v>202269333.9519943</v>
      </c>
      <c r="AA289">
        <v>269625022.1580084</v>
      </c>
      <c r="AB289">
        <v>269625.02215800842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55.356849293063483</v>
      </c>
      <c r="AI289">
        <v>55.356849293063483</v>
      </c>
      <c r="AJ289">
        <v>8762.8132201352746</v>
      </c>
      <c r="AK289">
        <v>854.70085470085473</v>
      </c>
      <c r="AL289" t="s">
        <v>69</v>
      </c>
      <c r="AM289">
        <v>4290.1558202124197</v>
      </c>
      <c r="AN289">
        <v>440.44504210553521</v>
      </c>
      <c r="AO289">
        <v>9410.6643798207915</v>
      </c>
      <c r="AP289">
        <v>14348.114937154091</v>
      </c>
      <c r="AQ289">
        <v>4937.4505573332935</v>
      </c>
      <c r="AR289">
        <v>6.966643057600419E-3</v>
      </c>
      <c r="AS289">
        <v>217.36999277997671</v>
      </c>
      <c r="AT289">
        <v>106.421432961931</v>
      </c>
      <c r="AU289">
        <v>10.92566202397941</v>
      </c>
      <c r="AV289">
        <v>233.44056262617119</v>
      </c>
      <c r="AW289">
        <v>355.91876283850678</v>
      </c>
      <c r="AX289">
        <v>122.47820021233559</v>
      </c>
      <c r="AY289">
        <v>1.57124139137513</v>
      </c>
      <c r="AZ289" t="str">
        <f>VLOOKUP(BA289,Sheet1!$A$1:$B$58,2,FALSE)</f>
        <v>Ethyl Acetate</v>
      </c>
      <c r="BA289" t="s">
        <v>123</v>
      </c>
      <c r="BB289" t="s">
        <v>124</v>
      </c>
      <c r="BC289">
        <v>88.103520000000003</v>
      </c>
      <c r="BD289">
        <v>5</v>
      </c>
      <c r="BE289">
        <v>77.099999999999994</v>
      </c>
      <c r="BF289" t="s">
        <v>188</v>
      </c>
      <c r="BG289">
        <v>0</v>
      </c>
      <c r="BH289">
        <v>0.25</v>
      </c>
      <c r="BI289">
        <v>0.70959664948453605</v>
      </c>
      <c r="BJ289">
        <v>90</v>
      </c>
      <c r="BK289">
        <v>557.30997649165693</v>
      </c>
      <c r="BL289">
        <v>191.78062526602031</v>
      </c>
      <c r="BM289">
        <v>2.4603044130250442</v>
      </c>
      <c r="BN289">
        <v>418.25175021425741</v>
      </c>
      <c r="BO289">
        <v>139.05822627739951</v>
      </c>
    </row>
    <row r="290" spans="1:67" x14ac:dyDescent="0.25">
      <c r="A290" s="1">
        <v>288</v>
      </c>
      <c r="B290" t="s">
        <v>187</v>
      </c>
      <c r="C290" t="s">
        <v>179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67</v>
      </c>
      <c r="J290">
        <v>1.333</v>
      </c>
      <c r="K290">
        <v>500</v>
      </c>
      <c r="L290">
        <v>33.333333333333329</v>
      </c>
      <c r="N290" t="s">
        <v>183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136932.5331934765</v>
      </c>
      <c r="Z290">
        <v>684662665.96738243</v>
      </c>
      <c r="AA290">
        <v>912655333.73452079</v>
      </c>
      <c r="AB290">
        <v>912655.33373452083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187.37772689526261</v>
      </c>
      <c r="AI290">
        <v>187.37772689526261</v>
      </c>
      <c r="AJ290">
        <v>29661.298346371928</v>
      </c>
      <c r="AK290">
        <v>1835.336538461539</v>
      </c>
      <c r="AL290" t="s">
        <v>84</v>
      </c>
      <c r="AM290">
        <v>14521.773834382861</v>
      </c>
      <c r="AN290">
        <v>1490.8650305422059</v>
      </c>
      <c r="AO290">
        <v>31854.213572194651</v>
      </c>
      <c r="AP290">
        <v>47509.273749758533</v>
      </c>
      <c r="AQ290">
        <v>15655.060177563881</v>
      </c>
      <c r="AR290">
        <v>6.9666430576004182E-3</v>
      </c>
      <c r="AS290">
        <v>217.3699927799766</v>
      </c>
      <c r="AT290">
        <v>106.421432961931</v>
      </c>
      <c r="AU290">
        <v>10.92566202397941</v>
      </c>
      <c r="AV290">
        <v>233.44056262617119</v>
      </c>
      <c r="AW290">
        <v>348.16717634446098</v>
      </c>
      <c r="AX290">
        <v>114.7266137182898</v>
      </c>
      <c r="AY290">
        <v>1.5712413913751311</v>
      </c>
      <c r="AZ290" t="str">
        <f>VLOOKUP(BA290,Sheet1!$A$1:$B$58,2,FALSE)</f>
        <v>Farnesene</v>
      </c>
      <c r="BA290" t="s">
        <v>125</v>
      </c>
      <c r="BB290" t="s">
        <v>126</v>
      </c>
      <c r="BC290">
        <v>204.34866</v>
      </c>
      <c r="BD290">
        <v>5.6</v>
      </c>
      <c r="BE290" t="s">
        <v>127</v>
      </c>
      <c r="BF290" t="s">
        <v>188</v>
      </c>
      <c r="BG290">
        <v>0</v>
      </c>
      <c r="BH290">
        <v>3.2676056338028101E-2</v>
      </c>
      <c r="BI290">
        <v>0.20963556040112999</v>
      </c>
      <c r="BJ290">
        <v>90</v>
      </c>
      <c r="BK290">
        <v>1845.3568536763721</v>
      </c>
      <c r="BL290">
        <v>608.07438870880185</v>
      </c>
      <c r="BM290">
        <v>8.3278989731227835</v>
      </c>
      <c r="BN290">
        <v>1415.7428254308729</v>
      </c>
      <c r="BO290">
        <v>429.6140282454985</v>
      </c>
    </row>
    <row r="291" spans="1:67" x14ac:dyDescent="0.25">
      <c r="A291" s="1">
        <v>289</v>
      </c>
      <c r="B291" t="s">
        <v>187</v>
      </c>
      <c r="C291" t="s">
        <v>179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67</v>
      </c>
      <c r="J291">
        <v>1.333</v>
      </c>
      <c r="K291">
        <v>500</v>
      </c>
      <c r="L291">
        <v>33.333333333333329</v>
      </c>
      <c r="N291" t="s">
        <v>183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101625.2510708879</v>
      </c>
      <c r="Z291">
        <v>508126255.35443932</v>
      </c>
      <c r="AA291">
        <v>677332298.38746762</v>
      </c>
      <c r="AB291">
        <v>677332.29838746763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139.06343581563499</v>
      </c>
      <c r="AI291">
        <v>139.06343581563499</v>
      </c>
      <c r="AJ291">
        <v>22013.299697592702</v>
      </c>
      <c r="AK291">
        <v>1835.336538461539</v>
      </c>
      <c r="AL291" t="s">
        <v>84</v>
      </c>
      <c r="AM291">
        <v>10777.41627571171</v>
      </c>
      <c r="AN291">
        <v>1106.453882859129</v>
      </c>
      <c r="AO291">
        <v>23640.78408865794</v>
      </c>
      <c r="AP291">
        <v>35732.506394625081</v>
      </c>
      <c r="AQ291">
        <v>12091.72230596714</v>
      </c>
      <c r="AR291">
        <v>6.9666430576004173E-3</v>
      </c>
      <c r="AS291">
        <v>217.3699927799766</v>
      </c>
      <c r="AT291">
        <v>106.421432961931</v>
      </c>
      <c r="AU291">
        <v>10.92566202397941</v>
      </c>
      <c r="AV291">
        <v>233.44056262617119</v>
      </c>
      <c r="AW291">
        <v>352.84009047764499</v>
      </c>
      <c r="AX291">
        <v>119.39952785147381</v>
      </c>
      <c r="AY291">
        <v>1.5712413913751311</v>
      </c>
      <c r="AZ291" t="str">
        <f>VLOOKUP(BA291,Sheet1!$A$1:$B$58,2,FALSE)</f>
        <v>Gamma Butyrolactone</v>
      </c>
      <c r="BA291" t="s">
        <v>128</v>
      </c>
      <c r="BB291" t="s">
        <v>129</v>
      </c>
      <c r="BC291">
        <v>86.08784</v>
      </c>
      <c r="BD291">
        <v>4.5</v>
      </c>
      <c r="BE291">
        <v>204</v>
      </c>
      <c r="BF291" t="s">
        <v>188</v>
      </c>
      <c r="BG291">
        <v>0</v>
      </c>
      <c r="BH291">
        <v>0.103111111111111</v>
      </c>
      <c r="BI291">
        <v>0.28246846163398098</v>
      </c>
      <c r="BJ291">
        <v>90</v>
      </c>
      <c r="BK291">
        <v>1387.923248872886</v>
      </c>
      <c r="BL291">
        <v>469.667095893701</v>
      </c>
      <c r="BM291">
        <v>6.1805971473615564</v>
      </c>
      <c r="BN291">
        <v>1050.701515051464</v>
      </c>
      <c r="BO291">
        <v>337.22173382142159</v>
      </c>
    </row>
    <row r="292" spans="1:67" x14ac:dyDescent="0.25">
      <c r="A292" s="1">
        <v>290</v>
      </c>
      <c r="B292" t="s">
        <v>187</v>
      </c>
      <c r="C292" t="s">
        <v>179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67</v>
      </c>
      <c r="J292">
        <v>1.333</v>
      </c>
      <c r="K292">
        <v>500</v>
      </c>
      <c r="L292">
        <v>33.333333333333329</v>
      </c>
      <c r="N292" t="s">
        <v>183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47827.416347896236</v>
      </c>
      <c r="Z292">
        <v>239137081.73948121</v>
      </c>
      <c r="AA292">
        <v>318769729.95872837</v>
      </c>
      <c r="AB292">
        <v>318769.72995872842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65.446774039297921</v>
      </c>
      <c r="AI292">
        <v>65.446774039297921</v>
      </c>
      <c r="AJ292">
        <v>10360.016223658669</v>
      </c>
      <c r="AK292">
        <v>854.70085470085473</v>
      </c>
      <c r="AL292" t="s">
        <v>69</v>
      </c>
      <c r="AM292">
        <v>5072.1249880455889</v>
      </c>
      <c r="AN292">
        <v>520.72521314940582</v>
      </c>
      <c r="AO292">
        <v>11125.951586680651</v>
      </c>
      <c r="AP292">
        <v>16807.567279554529</v>
      </c>
      <c r="AQ292">
        <v>5681.6156928738783</v>
      </c>
      <c r="AR292">
        <v>6.9666430576004173E-3</v>
      </c>
      <c r="AS292">
        <v>217.3699927799766</v>
      </c>
      <c r="AT292">
        <v>106.4214329619309</v>
      </c>
      <c r="AU292">
        <v>10.92566202397941</v>
      </c>
      <c r="AV292">
        <v>233.4405626261711</v>
      </c>
      <c r="AW292">
        <v>352.65010202035251</v>
      </c>
      <c r="AX292">
        <v>119.20953939418141</v>
      </c>
      <c r="AY292">
        <v>1.57124139137513</v>
      </c>
      <c r="AZ292" t="str">
        <f>VLOOKUP(BA292,Sheet1!$A$1:$B$58,2,FALSE)</f>
        <v>L-Glutamate</v>
      </c>
      <c r="BA292" t="s">
        <v>130</v>
      </c>
      <c r="BB292" t="s">
        <v>131</v>
      </c>
      <c r="BC292">
        <v>146.11892</v>
      </c>
      <c r="BD292">
        <v>3.4</v>
      </c>
      <c r="BE292">
        <v>333.8</v>
      </c>
      <c r="BF292" t="s">
        <v>188</v>
      </c>
      <c r="BG292">
        <v>0</v>
      </c>
      <c r="BH292">
        <v>0.12540540540540501</v>
      </c>
      <c r="BI292">
        <v>0.60019818182011098</v>
      </c>
      <c r="BJ292">
        <v>90</v>
      </c>
      <c r="BK292">
        <v>652.84010941359259</v>
      </c>
      <c r="BL292">
        <v>220.68551319106061</v>
      </c>
      <c r="BM292">
        <v>2.9087455128576849</v>
      </c>
      <c r="BN292">
        <v>494.48673718580642</v>
      </c>
      <c r="BO292">
        <v>158.3533722277862</v>
      </c>
    </row>
    <row r="293" spans="1:67" x14ac:dyDescent="0.25">
      <c r="A293" s="1">
        <v>291</v>
      </c>
      <c r="B293" t="s">
        <v>187</v>
      </c>
      <c r="C293" t="s">
        <v>179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67</v>
      </c>
      <c r="J293">
        <v>1.333</v>
      </c>
      <c r="K293">
        <v>500</v>
      </c>
      <c r="L293">
        <v>33.333333333333329</v>
      </c>
      <c r="N293" t="s">
        <v>183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94224.664338842107</v>
      </c>
      <c r="Z293">
        <v>471123321.69421053</v>
      </c>
      <c r="AA293">
        <v>628007387.81838262</v>
      </c>
      <c r="AB293">
        <v>628007.38781838259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128.93651354813659</v>
      </c>
      <c r="AI293">
        <v>128.93651354813659</v>
      </c>
      <c r="AJ293">
        <v>20410.24010409744</v>
      </c>
      <c r="AK293">
        <v>854.70085470085473</v>
      </c>
      <c r="AL293" t="s">
        <v>69</v>
      </c>
      <c r="AM293">
        <v>9992.5797999805873</v>
      </c>
      <c r="AN293">
        <v>1025.8793421930891</v>
      </c>
      <c r="AO293">
        <v>21919.20730318323</v>
      </c>
      <c r="AP293">
        <v>32283.400100971969</v>
      </c>
      <c r="AQ293">
        <v>10364.192797788741</v>
      </c>
      <c r="AR293">
        <v>6.9666430576004182E-3</v>
      </c>
      <c r="AS293">
        <v>217.3699927799766</v>
      </c>
      <c r="AT293">
        <v>106.421432961931</v>
      </c>
      <c r="AU293">
        <v>10.92566202397941</v>
      </c>
      <c r="AV293">
        <v>233.44056262617119</v>
      </c>
      <c r="AW293">
        <v>343.81969105069942</v>
      </c>
      <c r="AX293">
        <v>110.3791284245281</v>
      </c>
      <c r="AY293">
        <v>1.5712413913751311</v>
      </c>
      <c r="AZ293" t="str">
        <f>VLOOKUP(BA293,Sheet1!$A$1:$B$58,2,FALSE)</f>
        <v>Glycolate</v>
      </c>
      <c r="BA293" t="s">
        <v>134</v>
      </c>
      <c r="BB293" t="s">
        <v>135</v>
      </c>
      <c r="BC293">
        <v>75.041920000000005</v>
      </c>
      <c r="BD293">
        <v>2.5</v>
      </c>
      <c r="BE293">
        <v>112</v>
      </c>
      <c r="BF293" t="s">
        <v>188</v>
      </c>
      <c r="BG293">
        <v>0</v>
      </c>
      <c r="BH293">
        <v>0.12210526315789499</v>
      </c>
      <c r="BI293">
        <v>0.30465407899922198</v>
      </c>
      <c r="BJ293">
        <v>90</v>
      </c>
      <c r="BK293">
        <v>1253.9529429579611</v>
      </c>
      <c r="BL293">
        <v>402.56633500569882</v>
      </c>
      <c r="BM293">
        <v>5.7305117132505163</v>
      </c>
      <c r="BN293">
        <v>974.18699125258775</v>
      </c>
      <c r="BO293">
        <v>279.76595170537342</v>
      </c>
    </row>
    <row r="294" spans="1:67" x14ac:dyDescent="0.25">
      <c r="A294" s="1">
        <v>292</v>
      </c>
      <c r="B294" t="s">
        <v>187</v>
      </c>
      <c r="C294" t="s">
        <v>179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67</v>
      </c>
      <c r="J294">
        <v>1.333</v>
      </c>
      <c r="K294">
        <v>500</v>
      </c>
      <c r="L294">
        <v>33.333333333333329</v>
      </c>
      <c r="N294" t="s">
        <v>183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67333.604083285274</v>
      </c>
      <c r="Z294">
        <v>336668020.41642642</v>
      </c>
      <c r="AA294">
        <v>448778471.21509641</v>
      </c>
      <c r="AB294">
        <v>448778.47121509642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92.138934280612858</v>
      </c>
      <c r="AI294">
        <v>92.138934280612858</v>
      </c>
      <c r="AJ294">
        <v>14585.300314490631</v>
      </c>
      <c r="AK294">
        <v>854.70085470085473</v>
      </c>
      <c r="AL294" t="s">
        <v>69</v>
      </c>
      <c r="AM294">
        <v>7140.7674067474964</v>
      </c>
      <c r="AN294">
        <v>733.10055227201701</v>
      </c>
      <c r="AO294">
        <v>15663.618827704189</v>
      </c>
      <c r="AP294">
        <v>23313.869128211001</v>
      </c>
      <c r="AQ294">
        <v>7650.250300506812</v>
      </c>
      <c r="AR294">
        <v>6.9666430576004199E-3</v>
      </c>
      <c r="AS294">
        <v>217.36999277997671</v>
      </c>
      <c r="AT294">
        <v>106.421432961931</v>
      </c>
      <c r="AU294">
        <v>10.92566202397941</v>
      </c>
      <c r="AV294">
        <v>233.44056262617119</v>
      </c>
      <c r="AW294">
        <v>347.45500296882489</v>
      </c>
      <c r="AX294">
        <v>114.0144403426537</v>
      </c>
      <c r="AY294">
        <v>1.5712413913751311</v>
      </c>
      <c r="AZ294" t="str">
        <f>VLOOKUP(BA294,Sheet1!$A$1:$B$58,2,FALSE)</f>
        <v>Heptane</v>
      </c>
      <c r="BA294" t="s">
        <v>136</v>
      </c>
      <c r="BB294" t="s">
        <v>137</v>
      </c>
      <c r="BC294">
        <v>100.20034</v>
      </c>
      <c r="BD294">
        <v>6.2857142857142856</v>
      </c>
      <c r="BE294">
        <v>98</v>
      </c>
      <c r="BF294" t="s">
        <v>188</v>
      </c>
      <c r="BG294">
        <v>0.14640668883958061</v>
      </c>
      <c r="BH294">
        <v>0.13636363636363599</v>
      </c>
      <c r="BI294">
        <v>0.42632395404906998</v>
      </c>
      <c r="BJ294">
        <v>90</v>
      </c>
      <c r="BK294">
        <v>905.5581107820409</v>
      </c>
      <c r="BL294">
        <v>297.1512866885642</v>
      </c>
      <c r="BM294">
        <v>3.9486570569654349</v>
      </c>
      <c r="BN294">
        <v>671.27169968412397</v>
      </c>
      <c r="BO294">
        <v>234.2864110979169</v>
      </c>
    </row>
    <row r="295" spans="1:67" x14ac:dyDescent="0.25">
      <c r="A295" s="1">
        <v>293</v>
      </c>
      <c r="B295" t="s">
        <v>187</v>
      </c>
      <c r="C295" t="s">
        <v>179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67</v>
      </c>
      <c r="J295">
        <v>1.333</v>
      </c>
      <c r="K295">
        <v>500</v>
      </c>
      <c r="L295">
        <v>33.333333333333329</v>
      </c>
      <c r="N295" t="s">
        <v>183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67617.004249227495</v>
      </c>
      <c r="Z295">
        <v>338085021.2461375</v>
      </c>
      <c r="AA295">
        <v>450667333.32110119</v>
      </c>
      <c r="AB295">
        <v>450667.33332110132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92.526737512303328</v>
      </c>
      <c r="AI295">
        <v>92.526737512303328</v>
      </c>
      <c r="AJ295">
        <v>14646.68833293579</v>
      </c>
      <c r="AK295">
        <v>854.70085470085473</v>
      </c>
      <c r="AL295" t="s">
        <v>69</v>
      </c>
      <c r="AM295">
        <v>7170.8221572035081</v>
      </c>
      <c r="AN295">
        <v>736.18609657036234</v>
      </c>
      <c r="AO295">
        <v>15729.54537709157</v>
      </c>
      <c r="AP295">
        <v>23408.397441410521</v>
      </c>
      <c r="AQ295">
        <v>7678.8520643189513</v>
      </c>
      <c r="AR295">
        <v>6.9666430576004182E-3</v>
      </c>
      <c r="AS295">
        <v>217.3699927799766</v>
      </c>
      <c r="AT295">
        <v>106.421432961931</v>
      </c>
      <c r="AU295">
        <v>10.92566202397941</v>
      </c>
      <c r="AV295">
        <v>233.44056262617119</v>
      </c>
      <c r="AW295">
        <v>347.40161510696458</v>
      </c>
      <c r="AX295">
        <v>113.9610524807933</v>
      </c>
      <c r="AY295">
        <v>1.5712413913751311</v>
      </c>
      <c r="AZ295" t="str">
        <f>VLOOKUP(BA295,Sheet1!$A$1:$B$58,2,FALSE)</f>
        <v>Hexane</v>
      </c>
      <c r="BA295" t="s">
        <v>138</v>
      </c>
      <c r="BB295" t="s">
        <v>139</v>
      </c>
      <c r="BC295">
        <v>86.173959999999994</v>
      </c>
      <c r="BD295">
        <v>6.333333333333333</v>
      </c>
      <c r="BE295">
        <v>69</v>
      </c>
      <c r="BF295" t="s">
        <v>188</v>
      </c>
      <c r="BG295">
        <v>0.1702370414450006</v>
      </c>
      <c r="BH295">
        <v>0.157894736842105</v>
      </c>
      <c r="BI295">
        <v>0.42453712127432403</v>
      </c>
      <c r="BJ295">
        <v>90</v>
      </c>
      <c r="BK295">
        <v>909.229782791763</v>
      </c>
      <c r="BL295">
        <v>298.26223738749439</v>
      </c>
      <c r="BM295">
        <v>3.942062403546259</v>
      </c>
      <c r="BN295">
        <v>670.15060860286394</v>
      </c>
      <c r="BO295">
        <v>239.07917418889909</v>
      </c>
    </row>
    <row r="296" spans="1:67" x14ac:dyDescent="0.25">
      <c r="A296" s="1">
        <v>294</v>
      </c>
      <c r="B296" t="s">
        <v>187</v>
      </c>
      <c r="C296" t="s">
        <v>179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67</v>
      </c>
      <c r="J296">
        <v>1.333</v>
      </c>
      <c r="K296">
        <v>500</v>
      </c>
      <c r="L296">
        <v>33.333333333333329</v>
      </c>
      <c r="N296" t="s">
        <v>183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42726.826403894644</v>
      </c>
      <c r="Z296">
        <v>213634132.0194732</v>
      </c>
      <c r="AA296">
        <v>284774297.98195779</v>
      </c>
      <c r="AB296">
        <v>284774.29798195779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58.467154753489048</v>
      </c>
      <c r="AI296">
        <v>58.467154753489048</v>
      </c>
      <c r="AJ296">
        <v>9255.1646844136285</v>
      </c>
      <c r="AK296">
        <v>854.70085470085473</v>
      </c>
      <c r="AL296" t="s">
        <v>69</v>
      </c>
      <c r="AM296">
        <v>4531.2044933954012</v>
      </c>
      <c r="AN296">
        <v>465.19209033846028</v>
      </c>
      <c r="AO296">
        <v>9939.4163080931376</v>
      </c>
      <c r="AP296">
        <v>15106.26212284834</v>
      </c>
      <c r="AQ296">
        <v>5166.8458147552064</v>
      </c>
      <c r="AR296">
        <v>6.9666430576004164E-3</v>
      </c>
      <c r="AS296">
        <v>217.3699927799766</v>
      </c>
      <c r="AT296">
        <v>106.421432961931</v>
      </c>
      <c r="AU296">
        <v>10.92566202397941</v>
      </c>
      <c r="AV296">
        <v>233.4405626261711</v>
      </c>
      <c r="AW296">
        <v>354.79088709311469</v>
      </c>
      <c r="AX296">
        <v>121.3503244669436</v>
      </c>
      <c r="AY296">
        <v>1.57124139137513</v>
      </c>
      <c r="AZ296" t="str">
        <f>VLOOKUP(BA296,Sheet1!$A$1:$B$58,2,FALSE)</f>
        <v>Isobutanol</v>
      </c>
      <c r="BA296" t="s">
        <v>140</v>
      </c>
      <c r="BB296" t="s">
        <v>141</v>
      </c>
      <c r="BC296">
        <v>86.130899999999997</v>
      </c>
      <c r="BD296">
        <v>5.6</v>
      </c>
      <c r="BE296">
        <v>108</v>
      </c>
      <c r="BF296" t="s">
        <v>188</v>
      </c>
      <c r="BG296">
        <v>0</v>
      </c>
      <c r="BH296">
        <v>0.25</v>
      </c>
      <c r="BI296">
        <v>0.67184789391575706</v>
      </c>
      <c r="BJ296">
        <v>90</v>
      </c>
      <c r="BK296">
        <v>586.75795569221157</v>
      </c>
      <c r="BL296">
        <v>200.69080378640939</v>
      </c>
      <c r="BM296">
        <v>2.59854021126618</v>
      </c>
      <c r="BN296">
        <v>441.75183591525052</v>
      </c>
      <c r="BO296">
        <v>145.00611977696099</v>
      </c>
    </row>
    <row r="297" spans="1:67" x14ac:dyDescent="0.25">
      <c r="A297" s="1">
        <v>295</v>
      </c>
      <c r="B297" t="s">
        <v>187</v>
      </c>
      <c r="C297" t="s">
        <v>179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67</v>
      </c>
      <c r="J297">
        <v>1.333</v>
      </c>
      <c r="K297">
        <v>500</v>
      </c>
      <c r="L297">
        <v>33.333333333333329</v>
      </c>
      <c r="N297" t="s">
        <v>183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40921.984441079527</v>
      </c>
      <c r="Z297">
        <v>204609922.20539761</v>
      </c>
      <c r="AA297">
        <v>272745026.29979497</v>
      </c>
      <c r="AB297">
        <v>272745.02629979502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55.997418917085263</v>
      </c>
      <c r="AI297">
        <v>55.997418917085263</v>
      </c>
      <c r="AJ297">
        <v>8864.2133547433386</v>
      </c>
      <c r="AK297">
        <v>854.70085470085473</v>
      </c>
      <c r="AL297" t="s">
        <v>69</v>
      </c>
      <c r="AM297">
        <v>4339.7999660741079</v>
      </c>
      <c r="AN297">
        <v>445.54171430828552</v>
      </c>
      <c r="AO297">
        <v>9519.561215904494</v>
      </c>
      <c r="AP297">
        <v>14504.255889826591</v>
      </c>
      <c r="AQ297">
        <v>4984.694673922093</v>
      </c>
      <c r="AR297">
        <v>6.9666430576004173E-3</v>
      </c>
      <c r="AS297">
        <v>217.3699927799766</v>
      </c>
      <c r="AT297">
        <v>106.421432961931</v>
      </c>
      <c r="AU297">
        <v>10.92566202397941</v>
      </c>
      <c r="AV297">
        <v>233.44056262617119</v>
      </c>
      <c r="AW297">
        <v>355.67623114164388</v>
      </c>
      <c r="AX297">
        <v>122.2356685154728</v>
      </c>
      <c r="AY297">
        <v>1.5712413913751311</v>
      </c>
      <c r="AZ297" t="str">
        <f>VLOOKUP(BA297,Sheet1!$A$1:$B$58,2,FALSE)</f>
        <v>Isobutyrate</v>
      </c>
      <c r="BA297" t="s">
        <v>142</v>
      </c>
      <c r="BB297" t="s">
        <v>114</v>
      </c>
      <c r="BC297">
        <v>87.095680000000002</v>
      </c>
      <c r="BD297">
        <v>4.75</v>
      </c>
      <c r="BE297">
        <v>155</v>
      </c>
      <c r="BF297" t="s">
        <v>188</v>
      </c>
      <c r="BG297">
        <v>0</v>
      </c>
      <c r="BH297">
        <v>0.25</v>
      </c>
      <c r="BI297">
        <v>0.70147938144329902</v>
      </c>
      <c r="BJ297">
        <v>90</v>
      </c>
      <c r="BK297">
        <v>563.37480877411679</v>
      </c>
      <c r="BL297">
        <v>193.6156828760827</v>
      </c>
      <c r="BM297">
        <v>2.4887741740926779</v>
      </c>
      <c r="BN297">
        <v>423.0916095957553</v>
      </c>
      <c r="BO297">
        <v>140.28319917836151</v>
      </c>
    </row>
    <row r="298" spans="1:67" x14ac:dyDescent="0.25">
      <c r="A298" s="1">
        <v>296</v>
      </c>
      <c r="B298" t="s">
        <v>187</v>
      </c>
      <c r="C298" t="s">
        <v>179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67</v>
      </c>
      <c r="J298">
        <v>1.333</v>
      </c>
      <c r="K298">
        <v>500</v>
      </c>
      <c r="L298">
        <v>33.333333333333329</v>
      </c>
      <c r="N298" t="s">
        <v>183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138873.15028059931</v>
      </c>
      <c r="Z298">
        <v>694365751.40299654</v>
      </c>
      <c r="AA298">
        <v>925589546.62019432</v>
      </c>
      <c r="AB298">
        <v>925589.54662019433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190.03325666659461</v>
      </c>
      <c r="AI298">
        <v>190.03325666659461</v>
      </c>
      <c r="AJ298">
        <v>30081.660265156319</v>
      </c>
      <c r="AK298">
        <v>2170.1388888888891</v>
      </c>
      <c r="AL298" t="s">
        <v>107</v>
      </c>
      <c r="AM298">
        <v>14727.57739166108</v>
      </c>
      <c r="AN298">
        <v>1511.9936702116131</v>
      </c>
      <c r="AO298">
        <v>32305.653633321079</v>
      </c>
      <c r="AP298">
        <v>48491.370215917887</v>
      </c>
      <c r="AQ298">
        <v>16185.71658259681</v>
      </c>
      <c r="AR298">
        <v>6.9666430576004173E-3</v>
      </c>
      <c r="AS298">
        <v>217.3699927799766</v>
      </c>
      <c r="AT298">
        <v>106.421432961931</v>
      </c>
      <c r="AU298">
        <v>10.92566202397941</v>
      </c>
      <c r="AV298">
        <v>233.44056262617119</v>
      </c>
      <c r="AW298">
        <v>350.39850529574733</v>
      </c>
      <c r="AX298">
        <v>116.9579426695761</v>
      </c>
      <c r="AY298">
        <v>1.5712413913751311</v>
      </c>
      <c r="AZ298" t="str">
        <f>VLOOKUP(BA298,Sheet1!$A$1:$B$58,2,FALSE)</f>
        <v>Isoprene</v>
      </c>
      <c r="BA298" t="s">
        <v>143</v>
      </c>
      <c r="BB298" t="s">
        <v>144</v>
      </c>
      <c r="BC298">
        <v>68.116219999999998</v>
      </c>
      <c r="BD298">
        <v>5.6</v>
      </c>
      <c r="BE298">
        <v>34.07</v>
      </c>
      <c r="BF298" t="s">
        <v>188</v>
      </c>
      <c r="BG298">
        <v>0</v>
      </c>
      <c r="BH298">
        <v>9.6666666666666706E-2</v>
      </c>
      <c r="BI298">
        <v>0.20670610751724999</v>
      </c>
      <c r="BJ298">
        <v>90</v>
      </c>
      <c r="BK298">
        <v>1883.5034785720591</v>
      </c>
      <c r="BL298">
        <v>628.68616314115172</v>
      </c>
      <c r="BM298">
        <v>8.4459225185153155</v>
      </c>
      <c r="BN298">
        <v>1435.8068281476039</v>
      </c>
      <c r="BO298">
        <v>447.6966504244549</v>
      </c>
    </row>
    <row r="299" spans="1:67" x14ac:dyDescent="0.25">
      <c r="A299" s="1">
        <v>297</v>
      </c>
      <c r="B299" t="s">
        <v>187</v>
      </c>
      <c r="C299" t="s">
        <v>179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67</v>
      </c>
      <c r="J299">
        <v>1.333</v>
      </c>
      <c r="K299">
        <v>500</v>
      </c>
      <c r="L299">
        <v>33.333333333333329</v>
      </c>
      <c r="N299" t="s">
        <v>183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45929.431832315029</v>
      </c>
      <c r="Z299">
        <v>229647159.16157511</v>
      </c>
      <c r="AA299">
        <v>306119663.16237962</v>
      </c>
      <c r="AB299">
        <v>306119.66316237958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62.849582444883197</v>
      </c>
      <c r="AI299">
        <v>62.849582444883197</v>
      </c>
      <c r="AJ299">
        <v>9948.8890527773383</v>
      </c>
      <c r="AK299">
        <v>854.70085470085473</v>
      </c>
      <c r="AL299" t="s">
        <v>69</v>
      </c>
      <c r="AM299">
        <v>4870.8426394784483</v>
      </c>
      <c r="AN299">
        <v>500.0607393622123</v>
      </c>
      <c r="AO299">
        <v>10684.429015630139</v>
      </c>
      <c r="AP299">
        <v>16174.493286318861</v>
      </c>
      <c r="AQ299">
        <v>5490.0642706887102</v>
      </c>
      <c r="AR299">
        <v>6.9666430576004173E-3</v>
      </c>
      <c r="AS299">
        <v>217.3699927799766</v>
      </c>
      <c r="AT299">
        <v>106.421432961931</v>
      </c>
      <c r="AU299">
        <v>10.92566202397941</v>
      </c>
      <c r="AV299">
        <v>233.44056262617119</v>
      </c>
      <c r="AW299">
        <v>353.39116460298891</v>
      </c>
      <c r="AX299">
        <v>119.95060197681759</v>
      </c>
      <c r="AY299">
        <v>1.5712413913751311</v>
      </c>
      <c r="AZ299" t="str">
        <f>VLOOKUP(BA299,Sheet1!$A$1:$B$58,2,FALSE)</f>
        <v>Isopropanol</v>
      </c>
      <c r="BA299" t="s">
        <v>145</v>
      </c>
      <c r="BB299" t="s">
        <v>79</v>
      </c>
      <c r="BC299">
        <v>60.093820000000001</v>
      </c>
      <c r="BD299">
        <v>6</v>
      </c>
      <c r="BE299">
        <v>82.5</v>
      </c>
      <c r="BF299" t="s">
        <v>188</v>
      </c>
      <c r="BG299">
        <v>0</v>
      </c>
      <c r="BH299">
        <v>0.33333333333333298</v>
      </c>
      <c r="BI299">
        <v>0.62500072802912099</v>
      </c>
      <c r="BJ299">
        <v>90</v>
      </c>
      <c r="BK299">
        <v>628.25022747906496</v>
      </c>
      <c r="BL299">
        <v>213.24526622743161</v>
      </c>
      <c r="BM299">
        <v>2.7933147753281431</v>
      </c>
      <c r="BN299">
        <v>474.86351180578419</v>
      </c>
      <c r="BO299">
        <v>153.38671567328069</v>
      </c>
    </row>
    <row r="300" spans="1:67" x14ac:dyDescent="0.25">
      <c r="A300" s="1">
        <v>298</v>
      </c>
      <c r="B300" t="s">
        <v>187</v>
      </c>
      <c r="C300" t="s">
        <v>179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67</v>
      </c>
      <c r="J300">
        <v>1.333</v>
      </c>
      <c r="K300">
        <v>500</v>
      </c>
      <c r="L300">
        <v>33.333333333333329</v>
      </c>
      <c r="N300" t="s">
        <v>183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51466.924268140086</v>
      </c>
      <c r="Z300">
        <v>257334621.34070051</v>
      </c>
      <c r="AA300">
        <v>343027050.2471537</v>
      </c>
      <c r="AB300">
        <v>343027.05024715367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70.427056702651797</v>
      </c>
      <c r="AI300">
        <v>70.427056702651797</v>
      </c>
      <c r="AJ300">
        <v>11148.379133032489</v>
      </c>
      <c r="AK300">
        <v>854.70085470085473</v>
      </c>
      <c r="AL300" t="s">
        <v>69</v>
      </c>
      <c r="AM300">
        <v>5458.0968944555143</v>
      </c>
      <c r="AN300">
        <v>560.35067658114087</v>
      </c>
      <c r="AO300">
        <v>11972.599639450809</v>
      </c>
      <c r="AP300">
        <v>18021.527558770009</v>
      </c>
      <c r="AQ300">
        <v>6048.9279193191996</v>
      </c>
      <c r="AR300">
        <v>6.9666430576004164E-3</v>
      </c>
      <c r="AS300">
        <v>217.3699927799766</v>
      </c>
      <c r="AT300">
        <v>106.421432961931</v>
      </c>
      <c r="AU300">
        <v>10.92566202397941</v>
      </c>
      <c r="AV300">
        <v>233.44056262617119</v>
      </c>
      <c r="AW300">
        <v>351.38196042570547</v>
      </c>
      <c r="AX300">
        <v>117.9413977995344</v>
      </c>
      <c r="AY300">
        <v>1.57124139137513</v>
      </c>
      <c r="AZ300" t="str">
        <f>VLOOKUP(BA300,Sheet1!$A$1:$B$58,2,FALSE)</f>
        <v>Itaconate</v>
      </c>
      <c r="BA300" t="s">
        <v>146</v>
      </c>
      <c r="BB300" t="s">
        <v>147</v>
      </c>
      <c r="BC300">
        <v>128.08086</v>
      </c>
      <c r="BD300">
        <v>3.2</v>
      </c>
      <c r="BE300">
        <v>381</v>
      </c>
      <c r="BF300" t="s">
        <v>188</v>
      </c>
      <c r="BG300">
        <v>0</v>
      </c>
      <c r="BH300">
        <v>0.13257142857142901</v>
      </c>
      <c r="BI300">
        <v>0.55775488318680799</v>
      </c>
      <c r="BJ300">
        <v>90</v>
      </c>
      <c r="BK300">
        <v>699.99279655296516</v>
      </c>
      <c r="BL300">
        <v>234.95266739089601</v>
      </c>
      <c r="BM300">
        <v>3.130091409006746</v>
      </c>
      <c r="BN300">
        <v>532.11553953114685</v>
      </c>
      <c r="BO300">
        <v>167.87725702181831</v>
      </c>
    </row>
    <row r="301" spans="1:67" x14ac:dyDescent="0.25">
      <c r="A301" s="1">
        <v>299</v>
      </c>
      <c r="B301" t="s">
        <v>187</v>
      </c>
      <c r="C301" t="s">
        <v>179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67</v>
      </c>
      <c r="J301">
        <v>1.333</v>
      </c>
      <c r="K301">
        <v>500</v>
      </c>
      <c r="L301">
        <v>33.333333333333329</v>
      </c>
      <c r="N301" t="s">
        <v>183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135962.22464991579</v>
      </c>
      <c r="Z301">
        <v>679811123.24957895</v>
      </c>
      <c r="AA301">
        <v>906188227.29168868</v>
      </c>
      <c r="AB301">
        <v>906188.22729168867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186.04996200959761</v>
      </c>
      <c r="AI301">
        <v>186.04996200959761</v>
      </c>
      <c r="AJ301">
        <v>29451.11738697988</v>
      </c>
      <c r="AK301">
        <v>854.70085470085473</v>
      </c>
      <c r="AL301" t="s">
        <v>69</v>
      </c>
      <c r="AM301">
        <v>14418.872055743819</v>
      </c>
      <c r="AN301">
        <v>1480.30071070751</v>
      </c>
      <c r="AO301">
        <v>31628.4935416316</v>
      </c>
      <c r="AP301">
        <v>46204.991008132063</v>
      </c>
      <c r="AQ301">
        <v>14576.49746650047</v>
      </c>
      <c r="AR301">
        <v>6.966643057600419E-3</v>
      </c>
      <c r="AS301">
        <v>217.36999277997671</v>
      </c>
      <c r="AT301">
        <v>106.421432961931</v>
      </c>
      <c r="AU301">
        <v>10.92566202397941</v>
      </c>
      <c r="AV301">
        <v>233.44056262617119</v>
      </c>
      <c r="AW301">
        <v>341.02538215669682</v>
      </c>
      <c r="AX301">
        <v>107.58481953052561</v>
      </c>
      <c r="AY301">
        <v>1.5712413913751311</v>
      </c>
      <c r="AZ301" t="str">
        <f>VLOOKUP(BA301,Sheet1!$A$1:$B$58,2,FALSE)</f>
        <v>Limonene</v>
      </c>
      <c r="BA301" t="s">
        <v>148</v>
      </c>
      <c r="BB301" t="s">
        <v>149</v>
      </c>
      <c r="BC301">
        <v>136.23244</v>
      </c>
      <c r="BD301">
        <v>5.6</v>
      </c>
      <c r="BE301">
        <v>176</v>
      </c>
      <c r="BF301" t="s">
        <v>188</v>
      </c>
      <c r="BG301">
        <v>0</v>
      </c>
      <c r="BH301">
        <v>4.9361702127659397E-2</v>
      </c>
      <c r="BI301">
        <v>0.21113164636041101</v>
      </c>
      <c r="BJ301">
        <v>90</v>
      </c>
      <c r="BK301">
        <v>1794.6958583290279</v>
      </c>
      <c r="BL301">
        <v>566.18081859311985</v>
      </c>
      <c r="BM301">
        <v>8.2688872004265637</v>
      </c>
      <c r="BN301">
        <v>1405.7108240725161</v>
      </c>
      <c r="BO301">
        <v>388.98503425651228</v>
      </c>
    </row>
    <row r="302" spans="1:67" x14ac:dyDescent="0.25">
      <c r="A302" s="1">
        <v>300</v>
      </c>
      <c r="B302" t="s">
        <v>187</v>
      </c>
      <c r="C302" t="s">
        <v>179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67</v>
      </c>
      <c r="J302">
        <v>1.333</v>
      </c>
      <c r="K302">
        <v>500</v>
      </c>
      <c r="L302">
        <v>33.333333333333329</v>
      </c>
      <c r="N302" t="s">
        <v>183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55001.648356904523</v>
      </c>
      <c r="Z302">
        <v>275008241.78452259</v>
      </c>
      <c r="AA302">
        <v>366585986.29876858</v>
      </c>
      <c r="AB302">
        <v>366585.98629876861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75.263953746094217</v>
      </c>
      <c r="AI302">
        <v>75.263953746094217</v>
      </c>
      <c r="AJ302">
        <v>11914.044554709981</v>
      </c>
      <c r="AK302">
        <v>854.70085470085473</v>
      </c>
      <c r="AL302" t="s">
        <v>69</v>
      </c>
      <c r="AM302">
        <v>5832.9564153223018</v>
      </c>
      <c r="AN302">
        <v>598.83529680727941</v>
      </c>
      <c r="AO302">
        <v>12794.87213683602</v>
      </c>
      <c r="AP302">
        <v>19200.537121540419</v>
      </c>
      <c r="AQ302">
        <v>6405.6649847044027</v>
      </c>
      <c r="AR302">
        <v>6.9666430576004182E-3</v>
      </c>
      <c r="AS302">
        <v>217.3699927799766</v>
      </c>
      <c r="AT302">
        <v>106.421432961931</v>
      </c>
      <c r="AU302">
        <v>10.92566202397941</v>
      </c>
      <c r="AV302">
        <v>233.44056262617119</v>
      </c>
      <c r="AW302">
        <v>350.31097930811052</v>
      </c>
      <c r="AX302">
        <v>116.8704166819393</v>
      </c>
      <c r="AY302">
        <v>1.5712413913751311</v>
      </c>
      <c r="AZ302" t="str">
        <f>VLOOKUP(BA302,Sheet1!$A$1:$B$58,2,FALSE)</f>
        <v>L-Lysine</v>
      </c>
      <c r="BA302" t="s">
        <v>150</v>
      </c>
      <c r="BB302" t="s">
        <v>151</v>
      </c>
      <c r="BC302">
        <v>147.19319999999999</v>
      </c>
      <c r="BD302">
        <v>4.833333333333333</v>
      </c>
      <c r="BF302" t="s">
        <v>188</v>
      </c>
      <c r="BG302">
        <v>0</v>
      </c>
      <c r="BH302">
        <v>0.11047619047619001</v>
      </c>
      <c r="BI302">
        <v>0.52191032797578396</v>
      </c>
      <c r="BJ302">
        <v>90</v>
      </c>
      <c r="BK302">
        <v>745.78792675571674</v>
      </c>
      <c r="BL302">
        <v>248.8090608191859</v>
      </c>
      <c r="BM302">
        <v>3.3450646109375208</v>
      </c>
      <c r="BN302">
        <v>568.66098385937858</v>
      </c>
      <c r="BO302">
        <v>177.12694289633819</v>
      </c>
    </row>
    <row r="303" spans="1:67" x14ac:dyDescent="0.25">
      <c r="A303" s="1">
        <v>301</v>
      </c>
      <c r="B303" t="s">
        <v>187</v>
      </c>
      <c r="C303" t="s">
        <v>179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67</v>
      </c>
      <c r="J303">
        <v>1.333</v>
      </c>
      <c r="K303">
        <v>500</v>
      </c>
      <c r="L303">
        <v>33.333333333333329</v>
      </c>
      <c r="N303" t="s">
        <v>183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42405.976296825611</v>
      </c>
      <c r="Z303">
        <v>212029881.48412809</v>
      </c>
      <c r="AA303">
        <v>282635832.01834267</v>
      </c>
      <c r="AB303">
        <v>282635.83201834268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58.028105227897107</v>
      </c>
      <c r="AI303">
        <v>58.028105227897107</v>
      </c>
      <c r="AJ303">
        <v>9185.6645405961372</v>
      </c>
      <c r="AK303">
        <v>854.70085470085473</v>
      </c>
      <c r="AL303" t="s">
        <v>69</v>
      </c>
      <c r="AM303">
        <v>4497.1781551620261</v>
      </c>
      <c r="AN303">
        <v>461.69880650357288</v>
      </c>
      <c r="AO303">
        <v>9864.7778887425102</v>
      </c>
      <c r="AP303">
        <v>14999.24235696259</v>
      </c>
      <c r="AQ303">
        <v>5134.4644682200806</v>
      </c>
      <c r="AR303">
        <v>6.9666430576004164E-3</v>
      </c>
      <c r="AS303">
        <v>217.3699927799766</v>
      </c>
      <c r="AT303">
        <v>106.4214329619309</v>
      </c>
      <c r="AU303">
        <v>10.925662023979401</v>
      </c>
      <c r="AV303">
        <v>233.4405626261711</v>
      </c>
      <c r="AW303">
        <v>354.94276853120118</v>
      </c>
      <c r="AX303">
        <v>121.5022059050301</v>
      </c>
      <c r="AY303">
        <v>1.57124139137513</v>
      </c>
      <c r="AZ303" t="str">
        <f>VLOOKUP(BA303,Sheet1!$A$1:$B$58,2,FALSE)</f>
        <v>L-Malate</v>
      </c>
      <c r="BA303" t="s">
        <v>152</v>
      </c>
      <c r="BB303" t="s">
        <v>153</v>
      </c>
      <c r="BC303">
        <v>132.06916000000001</v>
      </c>
      <c r="BD303">
        <v>2.5</v>
      </c>
      <c r="BF303" t="s">
        <v>188</v>
      </c>
      <c r="BG303">
        <v>0</v>
      </c>
      <c r="BH303">
        <v>0.15466666666666701</v>
      </c>
      <c r="BI303">
        <v>0.67693119791017797</v>
      </c>
      <c r="BJ303">
        <v>90</v>
      </c>
      <c r="BK303">
        <v>582.60109024534472</v>
      </c>
      <c r="BL303">
        <v>199.43304640466951</v>
      </c>
      <c r="BM303">
        <v>2.579026899017649</v>
      </c>
      <c r="BN303">
        <v>438.43457283300029</v>
      </c>
      <c r="BO303">
        <v>144.1665174123444</v>
      </c>
    </row>
    <row r="304" spans="1:67" x14ac:dyDescent="0.25">
      <c r="A304" s="1">
        <v>302</v>
      </c>
      <c r="B304" t="s">
        <v>187</v>
      </c>
      <c r="C304" t="s">
        <v>179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67</v>
      </c>
      <c r="J304">
        <v>1.333</v>
      </c>
      <c r="K304">
        <v>500</v>
      </c>
      <c r="L304">
        <v>33.333333333333329</v>
      </c>
      <c r="N304" t="s">
        <v>183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47679.365083118231</v>
      </c>
      <c r="Z304">
        <v>238396825.41559121</v>
      </c>
      <c r="AA304">
        <v>317782968.278983</v>
      </c>
      <c r="AB304">
        <v>317782.96827898303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65.244181501125325</v>
      </c>
      <c r="AI304">
        <v>65.244181501125325</v>
      </c>
      <c r="AJ304">
        <v>10327.94646906695</v>
      </c>
      <c r="AK304">
        <v>854.70085470085473</v>
      </c>
      <c r="AL304" t="s">
        <v>69</v>
      </c>
      <c r="AM304">
        <v>5056.4240663372129</v>
      </c>
      <c r="AN304">
        <v>519.11329194823145</v>
      </c>
      <c r="AO304">
        <v>11091.510855191311</v>
      </c>
      <c r="AP304">
        <v>16758.184682053248</v>
      </c>
      <c r="AQ304">
        <v>5666.6738268619429</v>
      </c>
      <c r="AR304">
        <v>6.9666430576004199E-3</v>
      </c>
      <c r="AS304">
        <v>217.36999277997671</v>
      </c>
      <c r="AT304">
        <v>106.421432961931</v>
      </c>
      <c r="AU304">
        <v>10.92566202397941</v>
      </c>
      <c r="AV304">
        <v>233.44056262617119</v>
      </c>
      <c r="AW304">
        <v>352.70578660082111</v>
      </c>
      <c r="AX304">
        <v>119.2652239746498</v>
      </c>
      <c r="AY304">
        <v>1.5712413913751311</v>
      </c>
      <c r="AZ304" t="str">
        <f>VLOOKUP(BA304,Sheet1!$A$1:$B$58,2,FALSE)</f>
        <v>Malonate</v>
      </c>
      <c r="BA304" t="s">
        <v>154</v>
      </c>
      <c r="BB304" t="s">
        <v>155</v>
      </c>
      <c r="BC304">
        <v>102.04378</v>
      </c>
      <c r="BD304">
        <v>2</v>
      </c>
      <c r="BE304">
        <v>199</v>
      </c>
      <c r="BF304" t="s">
        <v>188</v>
      </c>
      <c r="BG304">
        <v>0</v>
      </c>
      <c r="BH304">
        <v>0.17846153846153801</v>
      </c>
      <c r="BI304">
        <v>0.60206188323016596</v>
      </c>
      <c r="BJ304">
        <v>90</v>
      </c>
      <c r="BK304">
        <v>650.92198885398739</v>
      </c>
      <c r="BL304">
        <v>220.10514071479261</v>
      </c>
      <c r="BM304">
        <v>2.899741400050015</v>
      </c>
      <c r="BN304">
        <v>492.9560380085025</v>
      </c>
      <c r="BO304">
        <v>157.96595084548491</v>
      </c>
    </row>
    <row r="305" spans="1:67" x14ac:dyDescent="0.25">
      <c r="A305" s="1">
        <v>303</v>
      </c>
      <c r="B305" t="s">
        <v>187</v>
      </c>
      <c r="C305" t="s">
        <v>179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67</v>
      </c>
      <c r="J305">
        <v>1.333</v>
      </c>
      <c r="K305">
        <v>500</v>
      </c>
      <c r="L305">
        <v>33.333333333333329</v>
      </c>
      <c r="N305" t="s">
        <v>183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66952.767837394786</v>
      </c>
      <c r="Z305">
        <v>334763839.18697393</v>
      </c>
      <c r="AA305">
        <v>446240197.63623631</v>
      </c>
      <c r="AB305">
        <v>446240.19763623632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91.617800051879513</v>
      </c>
      <c r="AI305">
        <v>91.617800051879513</v>
      </c>
      <c r="AJ305">
        <v>14502.806423177681</v>
      </c>
      <c r="AK305">
        <v>854.70085470085473</v>
      </c>
      <c r="AL305" t="s">
        <v>69</v>
      </c>
      <c r="AM305">
        <v>7100.3795040206624</v>
      </c>
      <c r="AN305">
        <v>728.95416406083223</v>
      </c>
      <c r="AO305">
        <v>15575.026008819519</v>
      </c>
      <c r="AP305">
        <v>23186.84094596003</v>
      </c>
      <c r="AQ305">
        <v>7611.8149371405116</v>
      </c>
      <c r="AR305">
        <v>6.9666430576004173E-3</v>
      </c>
      <c r="AS305">
        <v>217.3699927799766</v>
      </c>
      <c r="AT305">
        <v>106.421432961931</v>
      </c>
      <c r="AU305">
        <v>10.92566202397941</v>
      </c>
      <c r="AV305">
        <v>233.44056262617119</v>
      </c>
      <c r="AW305">
        <v>347.52745792420689</v>
      </c>
      <c r="AX305">
        <v>114.0868952980357</v>
      </c>
      <c r="AY305">
        <v>1.57124139137513</v>
      </c>
      <c r="AZ305" t="str">
        <f>VLOOKUP(BA305,Sheet1!$A$1:$B$58,2,FALSE)</f>
        <v>Nonane</v>
      </c>
      <c r="BA305" t="s">
        <v>156</v>
      </c>
      <c r="BB305" t="s">
        <v>157</v>
      </c>
      <c r="BC305">
        <v>128.25309999999999</v>
      </c>
      <c r="BD305">
        <v>6.2222222222222223</v>
      </c>
      <c r="BE305">
        <v>151</v>
      </c>
      <c r="BF305" t="s">
        <v>188</v>
      </c>
      <c r="BG305">
        <v>0.11438320009418849</v>
      </c>
      <c r="BH305">
        <v>0.107142857142857</v>
      </c>
      <c r="BI305">
        <v>0.42874894138622599</v>
      </c>
      <c r="BJ305">
        <v>90</v>
      </c>
      <c r="BK305">
        <v>900.62407773490236</v>
      </c>
      <c r="BL305">
        <v>295.65837897574312</v>
      </c>
      <c r="BM305">
        <v>3.9575190244337901</v>
      </c>
      <c r="BN305">
        <v>672.77823415374428</v>
      </c>
      <c r="BO305">
        <v>227.84584358115811</v>
      </c>
    </row>
    <row r="306" spans="1:67" x14ac:dyDescent="0.25">
      <c r="A306" s="1">
        <v>304</v>
      </c>
      <c r="B306" t="s">
        <v>187</v>
      </c>
      <c r="C306" t="s">
        <v>179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67</v>
      </c>
      <c r="J306">
        <v>1.333</v>
      </c>
      <c r="K306">
        <v>500</v>
      </c>
      <c r="L306">
        <v>33.333333333333329</v>
      </c>
      <c r="N306" t="s">
        <v>183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67119.803717101939</v>
      </c>
      <c r="Z306">
        <v>335599018.58550972</v>
      </c>
      <c r="AA306">
        <v>447353491.77448452</v>
      </c>
      <c r="AB306">
        <v>447353.49177448452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91.846371032927934</v>
      </c>
      <c r="AI306">
        <v>91.846371032927934</v>
      </c>
      <c r="AJ306">
        <v>14538.988482670749</v>
      </c>
      <c r="AK306">
        <v>854.70085470085473</v>
      </c>
      <c r="AL306" t="s">
        <v>69</v>
      </c>
      <c r="AM306">
        <v>7118.0937550519147</v>
      </c>
      <c r="AN306">
        <v>730.77278193120628</v>
      </c>
      <c r="AO306">
        <v>15613.883075597751</v>
      </c>
      <c r="AP306">
        <v>23242.555874354719</v>
      </c>
      <c r="AQ306">
        <v>7628.6727987569739</v>
      </c>
      <c r="AR306">
        <v>6.9666430576004173E-3</v>
      </c>
      <c r="AS306">
        <v>217.3699927799766</v>
      </c>
      <c r="AT306">
        <v>106.421432961931</v>
      </c>
      <c r="AU306">
        <v>10.92566202397941</v>
      </c>
      <c r="AV306">
        <v>233.44056262617119</v>
      </c>
      <c r="AW306">
        <v>347.49557774383879</v>
      </c>
      <c r="AX306">
        <v>114.05501511766759</v>
      </c>
      <c r="AY306">
        <v>1.57124139137513</v>
      </c>
      <c r="AZ306" t="str">
        <f>VLOOKUP(BA306,Sheet1!$A$1:$B$58,2,FALSE)</f>
        <v>Octane</v>
      </c>
      <c r="BA306" t="s">
        <v>158</v>
      </c>
      <c r="BB306" t="s">
        <v>159</v>
      </c>
      <c r="BC306">
        <v>114.22672</v>
      </c>
      <c r="BD306">
        <v>6.25</v>
      </c>
      <c r="BE306">
        <v>126</v>
      </c>
      <c r="BF306" t="s">
        <v>188</v>
      </c>
      <c r="BG306">
        <v>0.12842879494394199</v>
      </c>
      <c r="BH306">
        <v>0.12</v>
      </c>
      <c r="BI306">
        <v>0.42768194695787798</v>
      </c>
      <c r="BJ306">
        <v>90</v>
      </c>
      <c r="BK306">
        <v>902.78815891001705</v>
      </c>
      <c r="BL306">
        <v>296.31317261952961</v>
      </c>
      <c r="BM306">
        <v>3.953632139852854</v>
      </c>
      <c r="BN306">
        <v>672.11746377498525</v>
      </c>
      <c r="BO306">
        <v>230.67069513503179</v>
      </c>
    </row>
    <row r="307" spans="1:67" x14ac:dyDescent="0.25">
      <c r="A307" s="1">
        <v>305</v>
      </c>
      <c r="B307" t="s">
        <v>187</v>
      </c>
      <c r="C307" t="s">
        <v>179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67</v>
      </c>
      <c r="J307">
        <v>1.333</v>
      </c>
      <c r="K307">
        <v>500</v>
      </c>
      <c r="L307">
        <v>33.333333333333329</v>
      </c>
      <c r="N307" t="s">
        <v>183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68010.597395157994</v>
      </c>
      <c r="Z307">
        <v>340052986.97579002</v>
      </c>
      <c r="AA307">
        <v>453290631.63872802</v>
      </c>
      <c r="AB307">
        <v>453290.63163872802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93.065328213037716</v>
      </c>
      <c r="AI307">
        <v>93.065328213037716</v>
      </c>
      <c r="AJ307">
        <v>14731.94552825866</v>
      </c>
      <c r="AK307">
        <v>2170.1388888888891</v>
      </c>
      <c r="AL307" t="s">
        <v>107</v>
      </c>
      <c r="AM307">
        <v>7212.5629365104232</v>
      </c>
      <c r="AN307">
        <v>740.47137665570017</v>
      </c>
      <c r="AO307">
        <v>15821.10579621641</v>
      </c>
      <c r="AP307">
        <v>24855.118730313668</v>
      </c>
      <c r="AQ307">
        <v>9034.0129340972562</v>
      </c>
      <c r="AR307">
        <v>6.9666430576004173E-3</v>
      </c>
      <c r="AS307">
        <v>217.3699927799766</v>
      </c>
      <c r="AT307">
        <v>106.421432961931</v>
      </c>
      <c r="AU307">
        <v>10.92566202397941</v>
      </c>
      <c r="AV307">
        <v>233.44056262617119</v>
      </c>
      <c r="AW307">
        <v>366.73750718058483</v>
      </c>
      <c r="AX307">
        <v>133.29694455441361</v>
      </c>
      <c r="AY307">
        <v>1.57124139137513</v>
      </c>
      <c r="AZ307" t="str">
        <f>VLOOKUP(BA307,Sheet1!$A$1:$B$58,2,FALSE)</f>
        <v>Pentane</v>
      </c>
      <c r="BA307" t="s">
        <v>160</v>
      </c>
      <c r="BB307" t="s">
        <v>161</v>
      </c>
      <c r="BC307">
        <v>72.147580000000005</v>
      </c>
      <c r="BD307">
        <v>6.4</v>
      </c>
      <c r="BE307">
        <v>36.1</v>
      </c>
      <c r="BF307" t="s">
        <v>188</v>
      </c>
      <c r="BG307">
        <v>0.20333322337353391</v>
      </c>
      <c r="BH307">
        <v>0.1875</v>
      </c>
      <c r="BI307">
        <v>0.422080226209048</v>
      </c>
      <c r="BJ307">
        <v>90</v>
      </c>
      <c r="BK307">
        <v>965.42338111740594</v>
      </c>
      <c r="BL307">
        <v>350.89944274768237</v>
      </c>
      <c r="BM307">
        <v>3.9329035860948092</v>
      </c>
      <c r="BN307">
        <v>668.59360963611744</v>
      </c>
      <c r="BO307">
        <v>296.8297714812885</v>
      </c>
    </row>
    <row r="308" spans="1:67" x14ac:dyDescent="0.25">
      <c r="A308" s="1">
        <v>306</v>
      </c>
      <c r="B308" t="s">
        <v>187</v>
      </c>
      <c r="C308" t="s">
        <v>179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67</v>
      </c>
      <c r="J308">
        <v>1.333</v>
      </c>
      <c r="K308">
        <v>500</v>
      </c>
      <c r="L308">
        <v>33.333333333333329</v>
      </c>
      <c r="N308" t="s">
        <v>183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74231.822401839832</v>
      </c>
      <c r="Z308">
        <v>371159112.00919908</v>
      </c>
      <c r="AA308">
        <v>494755096.30826253</v>
      </c>
      <c r="AB308">
        <v>494755.09630826249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101.57841836823791</v>
      </c>
      <c r="AI308">
        <v>101.57841836823791</v>
      </c>
      <c r="AJ308">
        <v>16079.54063001853</v>
      </c>
      <c r="AK308">
        <v>854.70085470085473</v>
      </c>
      <c r="AL308" t="s">
        <v>69</v>
      </c>
      <c r="AM308">
        <v>7872.3274235384397</v>
      </c>
      <c r="AN308">
        <v>808.20551253480278</v>
      </c>
      <c r="AO308">
        <v>17268.331122600452</v>
      </c>
      <c r="AP308">
        <v>25614.77442079263</v>
      </c>
      <c r="AQ308">
        <v>8346.4432981921818</v>
      </c>
      <c r="AR308">
        <v>6.9666430576004182E-3</v>
      </c>
      <c r="AS308">
        <v>217.3699927799766</v>
      </c>
      <c r="AT308">
        <v>106.421432961931</v>
      </c>
      <c r="AU308">
        <v>10.92566202397941</v>
      </c>
      <c r="AV308">
        <v>233.44056262617119</v>
      </c>
      <c r="AW308">
        <v>346.27129337972929</v>
      </c>
      <c r="AX308">
        <v>112.8307307535581</v>
      </c>
      <c r="AY308">
        <v>1.5712413913751311</v>
      </c>
      <c r="AZ308" t="str">
        <f>VLOOKUP(BA308,Sheet1!$A$1:$B$58,2,FALSE)</f>
        <v>Pentanol (PW1)</v>
      </c>
      <c r="BA308" t="s">
        <v>162</v>
      </c>
      <c r="BB308" t="s">
        <v>83</v>
      </c>
      <c r="BC308">
        <v>88.14658</v>
      </c>
      <c r="BD308">
        <v>6</v>
      </c>
      <c r="BE308">
        <v>138</v>
      </c>
      <c r="BF308" t="s">
        <v>188</v>
      </c>
      <c r="BG308">
        <v>0</v>
      </c>
      <c r="BH308">
        <v>0.14060606060606001</v>
      </c>
      <c r="BI308">
        <v>0.3867065013946</v>
      </c>
      <c r="BJ308">
        <v>90</v>
      </c>
      <c r="BK308">
        <v>994.92995371296649</v>
      </c>
      <c r="BL308">
        <v>324.19283917633982</v>
      </c>
      <c r="BM308">
        <v>4.5145963719216873</v>
      </c>
      <c r="BN308">
        <v>767.48138322668683</v>
      </c>
      <c r="BO308">
        <v>227.44857048627969</v>
      </c>
    </row>
    <row r="309" spans="1:67" x14ac:dyDescent="0.25">
      <c r="A309" s="1">
        <v>307</v>
      </c>
      <c r="B309" t="s">
        <v>187</v>
      </c>
      <c r="C309" t="s">
        <v>179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67</v>
      </c>
      <c r="J309">
        <v>1.333</v>
      </c>
      <c r="K309">
        <v>500</v>
      </c>
      <c r="L309">
        <v>33.333333333333329</v>
      </c>
      <c r="N309" t="s">
        <v>183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74231.822401839454</v>
      </c>
      <c r="Z309">
        <v>371159112.00919718</v>
      </c>
      <c r="AA309">
        <v>494755096.3082599</v>
      </c>
      <c r="AB309">
        <v>494755.09630825988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101.57841836823739</v>
      </c>
      <c r="AI309">
        <v>101.57841836823739</v>
      </c>
      <c r="AJ309">
        <v>16079.54063001845</v>
      </c>
      <c r="AK309">
        <v>854.70085470085473</v>
      </c>
      <c r="AL309" t="s">
        <v>69</v>
      </c>
      <c r="AM309">
        <v>7872.3274235383979</v>
      </c>
      <c r="AN309">
        <v>808.20551253479857</v>
      </c>
      <c r="AO309">
        <v>17268.331122600361</v>
      </c>
      <c r="AP309">
        <v>25614.774420792499</v>
      </c>
      <c r="AQ309">
        <v>8346.4432981921382</v>
      </c>
      <c r="AR309">
        <v>6.9666430576004173E-3</v>
      </c>
      <c r="AS309">
        <v>217.3699927799766</v>
      </c>
      <c r="AT309">
        <v>106.421432961931</v>
      </c>
      <c r="AU309">
        <v>10.92566202397941</v>
      </c>
      <c r="AV309">
        <v>233.44056262617119</v>
      </c>
      <c r="AW309">
        <v>346.27129337972929</v>
      </c>
      <c r="AX309">
        <v>112.8307307535581</v>
      </c>
      <c r="AY309">
        <v>1.5712413913751311</v>
      </c>
      <c r="AZ309" t="str">
        <f>VLOOKUP(BA309,Sheet1!$A$1:$B$58,2,FALSE)</f>
        <v>Pentanol (PW2)</v>
      </c>
      <c r="BA309" t="s">
        <v>163</v>
      </c>
      <c r="BB309" t="s">
        <v>83</v>
      </c>
      <c r="BC309">
        <v>88.14658</v>
      </c>
      <c r="BD309">
        <v>6</v>
      </c>
      <c r="BE309">
        <v>138</v>
      </c>
      <c r="BF309" t="s">
        <v>188</v>
      </c>
      <c r="BG309">
        <v>0</v>
      </c>
      <c r="BH309">
        <v>0.14060606060606101</v>
      </c>
      <c r="BI309">
        <v>0.386706501394602</v>
      </c>
      <c r="BJ309">
        <v>90</v>
      </c>
      <c r="BK309">
        <v>994.92995371296138</v>
      </c>
      <c r="BL309">
        <v>324.19283917633823</v>
      </c>
      <c r="BM309">
        <v>4.5145963719216624</v>
      </c>
      <c r="BN309">
        <v>767.48138322668262</v>
      </c>
      <c r="BO309">
        <v>227.44857048627881</v>
      </c>
    </row>
    <row r="310" spans="1:67" x14ac:dyDescent="0.25">
      <c r="A310" s="1">
        <v>308</v>
      </c>
      <c r="B310" t="s">
        <v>187</v>
      </c>
      <c r="C310" t="s">
        <v>179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67</v>
      </c>
      <c r="J310">
        <v>1.333</v>
      </c>
      <c r="K310">
        <v>500</v>
      </c>
      <c r="L310">
        <v>33.333333333333329</v>
      </c>
      <c r="N310" t="s">
        <v>183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204012.00405049781</v>
      </c>
      <c r="Z310">
        <v>1020060020.252489</v>
      </c>
      <c r="AA310">
        <v>1359740006.996568</v>
      </c>
      <c r="AB310">
        <v>1359740.0069965681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279.16890666381499</v>
      </c>
      <c r="AI310">
        <v>279.16890666381499</v>
      </c>
      <c r="AJ310">
        <v>44191.550227388463</v>
      </c>
      <c r="AK310">
        <v>854.70085470085473</v>
      </c>
      <c r="AL310" t="s">
        <v>69</v>
      </c>
      <c r="AM310">
        <v>21635.590266445659</v>
      </c>
      <c r="AN310">
        <v>2221.1986849025311</v>
      </c>
      <c r="AO310">
        <v>47458.714132848552</v>
      </c>
      <c r="AP310">
        <v>68903.040033437515</v>
      </c>
      <c r="AQ310">
        <v>21444.325900588959</v>
      </c>
      <c r="AR310">
        <v>6.9666430576004182E-3</v>
      </c>
      <c r="AS310">
        <v>217.3699927799766</v>
      </c>
      <c r="AT310">
        <v>106.421432961931</v>
      </c>
      <c r="AU310">
        <v>10.92566202397941</v>
      </c>
      <c r="AV310">
        <v>233.44056262617119</v>
      </c>
      <c r="AW310">
        <v>338.92120184786421</v>
      </c>
      <c r="AX310">
        <v>105.480639221693</v>
      </c>
      <c r="AY310">
        <v>1.57124139137513</v>
      </c>
      <c r="AZ310" t="str">
        <f>VLOOKUP(BA310,Sheet1!$A$1:$B$58,2,FALSE)</f>
        <v>Phenol</v>
      </c>
      <c r="BA310" t="s">
        <v>164</v>
      </c>
      <c r="BB310" t="s">
        <v>165</v>
      </c>
      <c r="BC310">
        <v>94.11023999999999</v>
      </c>
      <c r="BD310">
        <v>4.666666666666667</v>
      </c>
      <c r="BE310">
        <v>181.7</v>
      </c>
      <c r="BF310" t="s">
        <v>188</v>
      </c>
      <c r="BG310">
        <v>0</v>
      </c>
      <c r="BH310">
        <v>4.73469387755103E-2</v>
      </c>
      <c r="BI310">
        <v>0.140707055287077</v>
      </c>
      <c r="BJ310">
        <v>90</v>
      </c>
      <c r="BK310">
        <v>2676.3342633813181</v>
      </c>
      <c r="BL310">
        <v>832.94124809312007</v>
      </c>
      <c r="BM310">
        <v>12.407506962836219</v>
      </c>
      <c r="BN310">
        <v>2109.2761836821578</v>
      </c>
      <c r="BO310">
        <v>567.05807969915941</v>
      </c>
    </row>
    <row r="311" spans="1:67" x14ac:dyDescent="0.25">
      <c r="A311" s="1">
        <v>309</v>
      </c>
      <c r="B311" t="s">
        <v>187</v>
      </c>
      <c r="C311" t="s">
        <v>179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67</v>
      </c>
      <c r="J311">
        <v>1.333</v>
      </c>
      <c r="K311">
        <v>500</v>
      </c>
      <c r="L311">
        <v>33.333333333333329</v>
      </c>
      <c r="N311" t="s">
        <v>183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69548.985805120392</v>
      </c>
      <c r="Z311">
        <v>347744929.02560198</v>
      </c>
      <c r="AA311">
        <v>463543990.39112741</v>
      </c>
      <c r="AB311">
        <v>463543.99039112742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95.17045047009465</v>
      </c>
      <c r="AI311">
        <v>95.17045047009465</v>
      </c>
      <c r="AJ311">
        <v>15065.179687711639</v>
      </c>
      <c r="AK311">
        <v>2170.1388888888891</v>
      </c>
      <c r="AL311" t="s">
        <v>107</v>
      </c>
      <c r="AM311">
        <v>7375.7099114323364</v>
      </c>
      <c r="AN311">
        <v>757.2207161319792</v>
      </c>
      <c r="AO311">
        <v>16178.97657991609</v>
      </c>
      <c r="AP311">
        <v>25368.24920416484</v>
      </c>
      <c r="AQ311">
        <v>9189.2726242487533</v>
      </c>
      <c r="AR311">
        <v>6.9666430576004173E-3</v>
      </c>
      <c r="AS311">
        <v>217.3699927799766</v>
      </c>
      <c r="AT311">
        <v>106.421432961931</v>
      </c>
      <c r="AU311">
        <v>10.92566202397941</v>
      </c>
      <c r="AV311">
        <v>233.44056262617119</v>
      </c>
      <c r="AW311">
        <v>366.02923168900918</v>
      </c>
      <c r="AX311">
        <v>132.58866906283811</v>
      </c>
      <c r="AY311">
        <v>1.57124139137513</v>
      </c>
      <c r="AZ311" t="str">
        <f>VLOOKUP(BA311,Sheet1!$A$1:$B$58,2,FALSE)</f>
        <v>Propane (PW1)</v>
      </c>
      <c r="BA311" t="s">
        <v>166</v>
      </c>
      <c r="BB311" t="s">
        <v>167</v>
      </c>
      <c r="BC311">
        <v>44.094819999999999</v>
      </c>
      <c r="BD311">
        <v>6.666666666666667</v>
      </c>
      <c r="BE311">
        <v>-42</v>
      </c>
      <c r="BF311" t="s">
        <v>188</v>
      </c>
      <c r="BG311">
        <v>0.33269213934879249</v>
      </c>
      <c r="BH311">
        <v>0.3</v>
      </c>
      <c r="BI311">
        <v>0.41274402496099899</v>
      </c>
      <c r="BJ311">
        <v>90</v>
      </c>
      <c r="BK311">
        <v>985.35441272481455</v>
      </c>
      <c r="BL311">
        <v>356.93004500083077</v>
      </c>
      <c r="BM311">
        <v>3.8971056593220799</v>
      </c>
      <c r="BN311">
        <v>662.50796208475367</v>
      </c>
      <c r="BO311">
        <v>322.84645064006088</v>
      </c>
    </row>
    <row r="312" spans="1:67" x14ac:dyDescent="0.25">
      <c r="A312" s="1">
        <v>310</v>
      </c>
      <c r="B312" t="s">
        <v>187</v>
      </c>
      <c r="C312" t="s">
        <v>179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67</v>
      </c>
      <c r="J312">
        <v>1.333</v>
      </c>
      <c r="K312">
        <v>500</v>
      </c>
      <c r="L312">
        <v>33.333333333333329</v>
      </c>
      <c r="N312" t="s">
        <v>183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77126.307215795008</v>
      </c>
      <c r="Z312">
        <v>385631536.07897502</v>
      </c>
      <c r="AA312">
        <v>514046837.5932737</v>
      </c>
      <c r="AB312">
        <v>514046.83759327373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105.53921550185591</v>
      </c>
      <c r="AI312">
        <v>105.53921550185591</v>
      </c>
      <c r="AJ312">
        <v>16706.522221781401</v>
      </c>
      <c r="AK312">
        <v>2170.1388888888891</v>
      </c>
      <c r="AL312" t="s">
        <v>107</v>
      </c>
      <c r="AM312">
        <v>8179.2892013938363</v>
      </c>
      <c r="AN312">
        <v>839.7194711969421</v>
      </c>
      <c r="AO312">
        <v>17941.666635315509</v>
      </c>
      <c r="AP312">
        <v>27895.66978326107</v>
      </c>
      <c r="AQ312">
        <v>9954.0031479455538</v>
      </c>
      <c r="AR312">
        <v>6.9666430576004182E-3</v>
      </c>
      <c r="AS312">
        <v>217.3699927799766</v>
      </c>
      <c r="AT312">
        <v>106.421432961931</v>
      </c>
      <c r="AU312">
        <v>10.92566202397941</v>
      </c>
      <c r="AV312">
        <v>233.44056262617119</v>
      </c>
      <c r="AW312">
        <v>362.95295088252709</v>
      </c>
      <c r="AX312">
        <v>129.51238825635591</v>
      </c>
      <c r="AY312">
        <v>1.57124139137513</v>
      </c>
      <c r="AZ312" t="str">
        <f>VLOOKUP(BA312,Sheet1!$A$1:$B$58,2,FALSE)</f>
        <v>Propane (PW2)</v>
      </c>
      <c r="BA312" t="s">
        <v>168</v>
      </c>
      <c r="BB312" t="s">
        <v>167</v>
      </c>
      <c r="BC312">
        <v>44.094819999999999</v>
      </c>
      <c r="BD312">
        <v>6.666666666666667</v>
      </c>
      <c r="BE312">
        <v>-42</v>
      </c>
      <c r="BF312" t="s">
        <v>188</v>
      </c>
      <c r="BG312">
        <v>0.15145906732999731</v>
      </c>
      <c r="BH312">
        <v>0.270526315789474</v>
      </c>
      <c r="BI312">
        <v>0.37219373478939199</v>
      </c>
      <c r="BJ312">
        <v>90</v>
      </c>
      <c r="BK312">
        <v>1083.5245702465691</v>
      </c>
      <c r="BL312">
        <v>386.63373444370683</v>
      </c>
      <c r="BM312">
        <v>4.5391727327524896</v>
      </c>
      <c r="BN312">
        <v>771.65936456792326</v>
      </c>
      <c r="BO312">
        <v>311.86520567864528</v>
      </c>
    </row>
    <row r="313" spans="1:67" x14ac:dyDescent="0.25">
      <c r="A313" s="1">
        <v>311</v>
      </c>
      <c r="B313" t="s">
        <v>187</v>
      </c>
      <c r="C313" t="s">
        <v>179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67</v>
      </c>
      <c r="J313">
        <v>1.333</v>
      </c>
      <c r="K313">
        <v>500</v>
      </c>
      <c r="L313">
        <v>33.333333333333329</v>
      </c>
      <c r="N313" t="s">
        <v>183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86981.60860325789</v>
      </c>
      <c r="Z313">
        <v>434908043.01628947</v>
      </c>
      <c r="AA313">
        <v>579732421.34071386</v>
      </c>
      <c r="AB313">
        <v>579732.42134071386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119.025155831619</v>
      </c>
      <c r="AI313">
        <v>119.025155831619</v>
      </c>
      <c r="AJ313">
        <v>18841.303693573202</v>
      </c>
      <c r="AK313">
        <v>854.70085470085473</v>
      </c>
      <c r="AL313" t="s">
        <v>69</v>
      </c>
      <c r="AM313">
        <v>9224.4495769504756</v>
      </c>
      <c r="AN313">
        <v>947.01993414289802</v>
      </c>
      <c r="AO313">
        <v>20234.27649137524</v>
      </c>
      <c r="AP313">
        <v>29867.474059367429</v>
      </c>
      <c r="AQ313">
        <v>9633.1975679921961</v>
      </c>
      <c r="AR313">
        <v>6.9666430576004182E-3</v>
      </c>
      <c r="AS313">
        <v>217.3699927799766</v>
      </c>
      <c r="AT313">
        <v>106.421432961931</v>
      </c>
      <c r="AU313">
        <v>10.92566202397941</v>
      </c>
      <c r="AV313">
        <v>233.44056262617119</v>
      </c>
      <c r="AW313">
        <v>344.57767499684059</v>
      </c>
      <c r="AX313">
        <v>111.1371123706693</v>
      </c>
      <c r="AY313">
        <v>1.5712413913751311</v>
      </c>
      <c r="AZ313" t="str">
        <f>VLOOKUP(BA313,Sheet1!$A$1:$B$58,2,FALSE)</f>
        <v>Shikimate</v>
      </c>
      <c r="BA313" t="s">
        <v>169</v>
      </c>
      <c r="BB313" t="s">
        <v>170</v>
      </c>
      <c r="BC313">
        <v>173.14045999999999</v>
      </c>
      <c r="BD313">
        <v>3.8571428571428572</v>
      </c>
      <c r="BE313">
        <v>400.5</v>
      </c>
      <c r="BF313" t="s">
        <v>188</v>
      </c>
      <c r="BG313">
        <v>0</v>
      </c>
      <c r="BH313">
        <v>5.9487179487179499E-2</v>
      </c>
      <c r="BI313">
        <v>0.33002296455673502</v>
      </c>
      <c r="BJ313">
        <v>90</v>
      </c>
      <c r="BK313">
        <v>1160.113460116512</v>
      </c>
      <c r="BL313">
        <v>374.1729930149333</v>
      </c>
      <c r="BM313">
        <v>5.2900069258497338</v>
      </c>
      <c r="BN313">
        <v>899.30117739445473</v>
      </c>
      <c r="BO313">
        <v>260.81228272205732</v>
      </c>
    </row>
    <row r="314" spans="1:67" x14ac:dyDescent="0.25">
      <c r="A314" s="1">
        <v>312</v>
      </c>
      <c r="B314" t="s">
        <v>187</v>
      </c>
      <c r="C314" t="s">
        <v>179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67</v>
      </c>
      <c r="J314">
        <v>1.333</v>
      </c>
      <c r="K314">
        <v>500</v>
      </c>
      <c r="L314">
        <v>33.333333333333329</v>
      </c>
      <c r="N314" t="s">
        <v>183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199579.49076259669</v>
      </c>
      <c r="Z314">
        <v>997897453.81298327</v>
      </c>
      <c r="AA314">
        <v>1330197305.9327071</v>
      </c>
      <c r="AB314">
        <v>1330197.3059327069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273.10347980760957</v>
      </c>
      <c r="AI314">
        <v>273.10347980760957</v>
      </c>
      <c r="AJ314">
        <v>43231.412442812973</v>
      </c>
      <c r="AK314">
        <v>854.70085470085473</v>
      </c>
      <c r="AL314" t="s">
        <v>69</v>
      </c>
      <c r="AM314">
        <v>21165.519685089741</v>
      </c>
      <c r="AN314">
        <v>2172.9393055992332</v>
      </c>
      <c r="AO314">
        <v>46427.591567293617</v>
      </c>
      <c r="AP314">
        <v>67424.572288202791</v>
      </c>
      <c r="AQ314">
        <v>20996.98072090917</v>
      </c>
      <c r="AR314">
        <v>6.9666430576004164E-3</v>
      </c>
      <c r="AS314">
        <v>217.3699927799766</v>
      </c>
      <c r="AT314">
        <v>106.421432961931</v>
      </c>
      <c r="AU314">
        <v>10.92566202397941</v>
      </c>
      <c r="AV314">
        <v>233.44056262617119</v>
      </c>
      <c r="AW314">
        <v>339.01457212083659</v>
      </c>
      <c r="AX314">
        <v>105.5740094946654</v>
      </c>
      <c r="AY314">
        <v>1.5712413913751311</v>
      </c>
      <c r="AZ314" t="str">
        <f>VLOOKUP(BA314,Sheet1!$A$1:$B$58,2,FALSE)</f>
        <v>Styrene</v>
      </c>
      <c r="BA314" t="s">
        <v>171</v>
      </c>
      <c r="BB314" t="s">
        <v>172</v>
      </c>
      <c r="BC314">
        <v>104.14832</v>
      </c>
      <c r="BD314">
        <v>5</v>
      </c>
      <c r="BE314">
        <v>145</v>
      </c>
      <c r="BF314" t="s">
        <v>188</v>
      </c>
      <c r="BG314">
        <v>0</v>
      </c>
      <c r="BH314">
        <v>4.3773584905660398E-2</v>
      </c>
      <c r="BI314">
        <v>0.14383205520504599</v>
      </c>
      <c r="BJ314">
        <v>90</v>
      </c>
      <c r="BK314">
        <v>2618.9075681011732</v>
      </c>
      <c r="BL314">
        <v>815.56545115651875</v>
      </c>
      <c r="BM314">
        <v>12.137932435893759</v>
      </c>
      <c r="BN314">
        <v>2063.4485141019391</v>
      </c>
      <c r="BO314">
        <v>555.45905399923413</v>
      </c>
    </row>
    <row r="315" spans="1:67" x14ac:dyDescent="0.25">
      <c r="A315" s="1">
        <v>313</v>
      </c>
      <c r="B315" t="s">
        <v>187</v>
      </c>
      <c r="C315" t="s">
        <v>179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67</v>
      </c>
      <c r="J315">
        <v>1.333</v>
      </c>
      <c r="K315">
        <v>500</v>
      </c>
      <c r="L315">
        <v>33.333333333333329</v>
      </c>
      <c r="N315" t="s">
        <v>183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41917.600881065337</v>
      </c>
      <c r="Z315">
        <v>209588004.40532669</v>
      </c>
      <c r="AA315">
        <v>279380809.87230051</v>
      </c>
      <c r="AB315">
        <v>279380.80987230048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57.359814989321087</v>
      </c>
      <c r="AI315">
        <v>57.359814989321087</v>
      </c>
      <c r="AJ315">
        <v>9079.8763208497658</v>
      </c>
      <c r="AK315">
        <v>854.70085470085473</v>
      </c>
      <c r="AL315" t="s">
        <v>69</v>
      </c>
      <c r="AM315">
        <v>4445.3856616723851</v>
      </c>
      <c r="AN315">
        <v>456.38157609708702</v>
      </c>
      <c r="AO315">
        <v>9751.1685481845852</v>
      </c>
      <c r="AP315">
        <v>14836.34441332009</v>
      </c>
      <c r="AQ315">
        <v>5085.1758651355094</v>
      </c>
      <c r="AR315">
        <v>6.9666430576004173E-3</v>
      </c>
      <c r="AS315">
        <v>217.3699927799766</v>
      </c>
      <c r="AT315">
        <v>106.421432961931</v>
      </c>
      <c r="AU315">
        <v>10.92566202397941</v>
      </c>
      <c r="AV315">
        <v>233.44056262617119</v>
      </c>
      <c r="AW315">
        <v>355.1784147763388</v>
      </c>
      <c r="AX315">
        <v>121.7378521501676</v>
      </c>
      <c r="AY315">
        <v>1.5712413913751311</v>
      </c>
      <c r="AZ315" t="str">
        <f>VLOOKUP(BA315,Sheet1!$A$1:$B$58,2,FALSE)</f>
        <v>Succinate</v>
      </c>
      <c r="BA315" t="s">
        <v>173</v>
      </c>
      <c r="BB315" t="s">
        <v>174</v>
      </c>
      <c r="BC315">
        <v>116.07016</v>
      </c>
      <c r="BD315">
        <v>3</v>
      </c>
      <c r="BE315">
        <v>235</v>
      </c>
      <c r="BF315" t="s">
        <v>188</v>
      </c>
      <c r="BG315">
        <v>0</v>
      </c>
      <c r="BH315">
        <v>0.17846153846153801</v>
      </c>
      <c r="BI315">
        <v>0.68481801748648197</v>
      </c>
      <c r="BJ315">
        <v>90</v>
      </c>
      <c r="BK315">
        <v>576.27380268599745</v>
      </c>
      <c r="BL315">
        <v>197.5185767794477</v>
      </c>
      <c r="BM315">
        <v>2.5493251106364929</v>
      </c>
      <c r="BN315">
        <v>433.38526880820382</v>
      </c>
      <c r="BO315">
        <v>142.88853387779361</v>
      </c>
    </row>
    <row r="316" spans="1:67" x14ac:dyDescent="0.25">
      <c r="A316" s="1">
        <v>314</v>
      </c>
      <c r="B316" t="s">
        <v>189</v>
      </c>
      <c r="C316" t="s">
        <v>190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67</v>
      </c>
      <c r="J316">
        <v>1.44</v>
      </c>
      <c r="K316">
        <v>500</v>
      </c>
      <c r="L316">
        <v>100</v>
      </c>
      <c r="N316" t="s">
        <v>68</v>
      </c>
      <c r="O316">
        <v>0</v>
      </c>
      <c r="P316">
        <v>0.2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43837.645748408147</v>
      </c>
      <c r="Z316">
        <v>219188228.74204081</v>
      </c>
      <c r="AA316">
        <v>315631049.38853872</v>
      </c>
      <c r="AB316">
        <v>315631.0493885387</v>
      </c>
      <c r="AC316">
        <v>0</v>
      </c>
      <c r="AD316">
        <v>2271.725889873991</v>
      </c>
      <c r="AE316">
        <v>817821.32035463699</v>
      </c>
      <c r="AF316">
        <v>817821.32035463699</v>
      </c>
      <c r="AG316">
        <v>50.759257910511863</v>
      </c>
      <c r="AH316">
        <v>71.984632617615134</v>
      </c>
      <c r="AI316">
        <v>71.984632617615134</v>
      </c>
      <c r="AJ316">
        <v>10258.00910512751</v>
      </c>
      <c r="AK316">
        <v>854.70085470085473</v>
      </c>
      <c r="AL316" t="s">
        <v>69</v>
      </c>
      <c r="AM316">
        <v>5578.8090278651734</v>
      </c>
      <c r="AN316">
        <v>477.28623390947769</v>
      </c>
      <c r="AO316">
        <v>12237.38754499457</v>
      </c>
      <c r="AP316">
        <v>17168.805221603008</v>
      </c>
      <c r="AQ316">
        <v>4931.4176766084383</v>
      </c>
      <c r="AR316">
        <v>1.2543093276999999E-2</v>
      </c>
      <c r="AS316">
        <v>202.09139233698599</v>
      </c>
      <c r="AT316">
        <v>109.90722200274411</v>
      </c>
      <c r="AU316">
        <v>9.402939553429432</v>
      </c>
      <c r="AV316">
        <v>241.0868095544065</v>
      </c>
      <c r="AW316">
        <v>338.23987836606028</v>
      </c>
      <c r="AX316">
        <v>97.153068811653782</v>
      </c>
      <c r="AY316">
        <v>1.4181577032612149</v>
      </c>
      <c r="AZ316" t="str">
        <f>VLOOKUP(BA316,Sheet1!$A$1:$B$58,2,FALSE)</f>
        <v>1,3-Butanediol (PW1)</v>
      </c>
      <c r="BA316" t="s">
        <v>70</v>
      </c>
      <c r="BB316" t="s">
        <v>71</v>
      </c>
      <c r="BC316">
        <v>90.119200000000006</v>
      </c>
      <c r="BD316">
        <v>5.5</v>
      </c>
      <c r="BE316">
        <v>207</v>
      </c>
      <c r="BF316" t="s">
        <v>191</v>
      </c>
      <c r="BG316">
        <v>0.92597434713339066</v>
      </c>
      <c r="BH316">
        <v>0.33920634920634901</v>
      </c>
      <c r="BI316">
        <v>0.49252099083234802</v>
      </c>
      <c r="BJ316">
        <v>90</v>
      </c>
      <c r="BK316">
        <v>763.05800984902282</v>
      </c>
      <c r="BL316">
        <v>219.1741189603751</v>
      </c>
      <c r="BM316">
        <v>2.2733426580939491</v>
      </c>
      <c r="BN316">
        <v>386.46825187597142</v>
      </c>
      <c r="BO316">
        <v>376.58975797305152</v>
      </c>
    </row>
    <row r="317" spans="1:67" x14ac:dyDescent="0.25">
      <c r="A317" s="1">
        <v>315</v>
      </c>
      <c r="B317" t="s">
        <v>189</v>
      </c>
      <c r="C317" t="s">
        <v>190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67</v>
      </c>
      <c r="J317">
        <v>1.44</v>
      </c>
      <c r="K317">
        <v>500</v>
      </c>
      <c r="L317">
        <v>100</v>
      </c>
      <c r="N317" t="s">
        <v>68</v>
      </c>
      <c r="O317">
        <v>0</v>
      </c>
      <c r="P317">
        <v>0.2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43141.810101608113</v>
      </c>
      <c r="Z317">
        <v>215709050.50804049</v>
      </c>
      <c r="AA317">
        <v>310621032.73157841</v>
      </c>
      <c r="AB317">
        <v>310621.03273157828</v>
      </c>
      <c r="AC317">
        <v>0</v>
      </c>
      <c r="AD317">
        <v>2235.6667487648851</v>
      </c>
      <c r="AE317">
        <v>804840.02955535846</v>
      </c>
      <c r="AF317">
        <v>804840.02955535846</v>
      </c>
      <c r="AG317">
        <v>49.953555403995878</v>
      </c>
      <c r="AH317">
        <v>70.84201940146265</v>
      </c>
      <c r="AI317">
        <v>70.84201940146265</v>
      </c>
      <c r="AJ317">
        <v>10095.1835637763</v>
      </c>
      <c r="AK317">
        <v>854.70085470085473</v>
      </c>
      <c r="AL317" t="s">
        <v>69</v>
      </c>
      <c r="AM317">
        <v>5490.2565036133556</v>
      </c>
      <c r="AN317">
        <v>469.71026194266148</v>
      </c>
      <c r="AO317">
        <v>12043.143298248649</v>
      </c>
      <c r="AP317">
        <v>16909.85118403317</v>
      </c>
      <c r="AQ317">
        <v>4866.707885784519</v>
      </c>
      <c r="AR317">
        <v>1.2543093276999999E-2</v>
      </c>
      <c r="AS317">
        <v>202.09139233698599</v>
      </c>
      <c r="AT317">
        <v>109.90722200274411</v>
      </c>
      <c r="AU317">
        <v>9.4029395534294338</v>
      </c>
      <c r="AV317">
        <v>241.0868095544065</v>
      </c>
      <c r="AW317">
        <v>338.51146424465549</v>
      </c>
      <c r="AX317">
        <v>97.424654690249014</v>
      </c>
      <c r="AY317">
        <v>1.4181577032612149</v>
      </c>
      <c r="AZ317" t="str">
        <f>VLOOKUP(BA317,Sheet1!$A$1:$B$58,2,FALSE)</f>
        <v>1,3-Butanediol (PW2)</v>
      </c>
      <c r="BA317" t="s">
        <v>72</v>
      </c>
      <c r="BB317" t="s">
        <v>71</v>
      </c>
      <c r="BC317">
        <v>90.119200000000006</v>
      </c>
      <c r="BD317">
        <v>5.5</v>
      </c>
      <c r="BE317">
        <v>207</v>
      </c>
      <c r="BF317" t="s">
        <v>191</v>
      </c>
      <c r="BG317">
        <v>0.88026978903203734</v>
      </c>
      <c r="BH317">
        <v>0.34467741935483898</v>
      </c>
      <c r="BI317">
        <v>0.50046487778125603</v>
      </c>
      <c r="BJ317">
        <v>90</v>
      </c>
      <c r="BK317">
        <v>751.54894151258532</v>
      </c>
      <c r="BL317">
        <v>216.29812825708979</v>
      </c>
      <c r="BM317">
        <v>2.2682644065885249</v>
      </c>
      <c r="BN317">
        <v>385.6049491200493</v>
      </c>
      <c r="BO317">
        <v>365.94399239253602</v>
      </c>
    </row>
    <row r="318" spans="1:67" x14ac:dyDescent="0.25">
      <c r="A318" s="1">
        <v>316</v>
      </c>
      <c r="B318" t="s">
        <v>189</v>
      </c>
      <c r="C318" t="s">
        <v>190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67</v>
      </c>
      <c r="J318">
        <v>1.44</v>
      </c>
      <c r="K318">
        <v>500</v>
      </c>
      <c r="L318">
        <v>100</v>
      </c>
      <c r="N318" t="s">
        <v>68</v>
      </c>
      <c r="O318">
        <v>0</v>
      </c>
      <c r="P318">
        <v>0.2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39010.270119918183</v>
      </c>
      <c r="Z318">
        <v>195051350.5995909</v>
      </c>
      <c r="AA318">
        <v>280873944.86341077</v>
      </c>
      <c r="AB318">
        <v>280873.94486341078</v>
      </c>
      <c r="AC318">
        <v>0</v>
      </c>
      <c r="AD318">
        <v>2021.564778159053</v>
      </c>
      <c r="AE318">
        <v>727763.32013725908</v>
      </c>
      <c r="AF318">
        <v>727763.32013725908</v>
      </c>
      <c r="AG318">
        <v>45.169678443499983</v>
      </c>
      <c r="AH318">
        <v>64.057727438481535</v>
      </c>
      <c r="AI318">
        <v>64.057727438481535</v>
      </c>
      <c r="AJ318">
        <v>9128.4032080608522</v>
      </c>
      <c r="AK318">
        <v>854.70085470085473</v>
      </c>
      <c r="AL318" t="s">
        <v>69</v>
      </c>
      <c r="AM318">
        <v>4964.4738764823187</v>
      </c>
      <c r="AN318">
        <v>424.72775605207482</v>
      </c>
      <c r="AO318">
        <v>10889.81366454186</v>
      </c>
      <c r="AP318">
        <v>15372.3056952961</v>
      </c>
      <c r="AQ318">
        <v>4482.4920307542397</v>
      </c>
      <c r="AR318">
        <v>1.2543093276999999E-2</v>
      </c>
      <c r="AS318">
        <v>202.09139233698599</v>
      </c>
      <c r="AT318">
        <v>109.90722200274411</v>
      </c>
      <c r="AU318">
        <v>9.4029395534294338</v>
      </c>
      <c r="AV318">
        <v>241.0868095544065</v>
      </c>
      <c r="AW318">
        <v>340.32355830304152</v>
      </c>
      <c r="AX318">
        <v>99.236748748634966</v>
      </c>
      <c r="AY318">
        <v>1.4181577032612149</v>
      </c>
      <c r="AZ318" t="str">
        <f>VLOOKUP(BA318,Sheet1!$A$1:$B$58,2,FALSE)</f>
        <v>1,3-Diaminopropane</v>
      </c>
      <c r="BA318" t="s">
        <v>73</v>
      </c>
      <c r="BB318" t="s">
        <v>74</v>
      </c>
      <c r="BC318">
        <v>76.139580000000009</v>
      </c>
      <c r="BD318">
        <v>6</v>
      </c>
      <c r="BE318">
        <v>139.30000000000001</v>
      </c>
      <c r="BF318" t="s">
        <v>191</v>
      </c>
      <c r="BG318">
        <v>0.82825863038257663</v>
      </c>
      <c r="BH318">
        <v>0.451168831168831</v>
      </c>
      <c r="BI318">
        <v>0.55346862898904603</v>
      </c>
      <c r="BJ318">
        <v>90</v>
      </c>
      <c r="BK318">
        <v>683.21358645760449</v>
      </c>
      <c r="BL318">
        <v>199.22186803352179</v>
      </c>
      <c r="BM318">
        <v>2.01875147799438</v>
      </c>
      <c r="BN318">
        <v>343.1877512590446</v>
      </c>
      <c r="BO318">
        <v>340.02583519855989</v>
      </c>
    </row>
    <row r="319" spans="1:67" x14ac:dyDescent="0.25">
      <c r="A319" s="1">
        <v>317</v>
      </c>
      <c r="B319" t="s">
        <v>189</v>
      </c>
      <c r="C319" t="s">
        <v>190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67</v>
      </c>
      <c r="J319">
        <v>1.44</v>
      </c>
      <c r="K319">
        <v>500</v>
      </c>
      <c r="L319">
        <v>100</v>
      </c>
      <c r="N319" t="s">
        <v>68</v>
      </c>
      <c r="O319">
        <v>0</v>
      </c>
      <c r="P319">
        <v>0.2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36078.941930989</v>
      </c>
      <c r="Z319">
        <v>180394709.65494499</v>
      </c>
      <c r="AA319">
        <v>259768381.90312079</v>
      </c>
      <c r="AB319">
        <v>259768.38190312081</v>
      </c>
      <c r="AC319">
        <v>0</v>
      </c>
      <c r="AD319">
        <v>1869.659400376542</v>
      </c>
      <c r="AE319">
        <v>673077.38413555513</v>
      </c>
      <c r="AF319">
        <v>673077.38413555513</v>
      </c>
      <c r="AG319">
        <v>41.775517077806377</v>
      </c>
      <c r="AH319">
        <v>59.244271351611538</v>
      </c>
      <c r="AI319">
        <v>59.244271351611538</v>
      </c>
      <c r="AJ319">
        <v>8442.4724118514259</v>
      </c>
      <c r="AK319">
        <v>854.70085470085473</v>
      </c>
      <c r="AL319" t="s">
        <v>69</v>
      </c>
      <c r="AM319">
        <v>4591.4310297498951</v>
      </c>
      <c r="AN319">
        <v>392.81266189587228</v>
      </c>
      <c r="AO319">
        <v>10071.52612977396</v>
      </c>
      <c r="AP319">
        <v>14281.41695819805</v>
      </c>
      <c r="AQ319">
        <v>4209.8908284240842</v>
      </c>
      <c r="AR319">
        <v>1.2543093276999999E-2</v>
      </c>
      <c r="AS319">
        <v>202.09139233698599</v>
      </c>
      <c r="AT319">
        <v>109.90722200274411</v>
      </c>
      <c r="AU319">
        <v>9.402939553429432</v>
      </c>
      <c r="AV319">
        <v>241.0868095544065</v>
      </c>
      <c r="AW319">
        <v>341.86092614004241</v>
      </c>
      <c r="AX319">
        <v>100.77411658563589</v>
      </c>
      <c r="AY319">
        <v>1.418157703261214</v>
      </c>
      <c r="AZ319" t="str">
        <f>VLOOKUP(BA319,Sheet1!$A$1:$B$58,2,FALSE)</f>
        <v>1,3-Propanediol</v>
      </c>
      <c r="BA319" t="s">
        <v>75</v>
      </c>
      <c r="BB319" t="s">
        <v>76</v>
      </c>
      <c r="BC319">
        <v>76.092820000000003</v>
      </c>
      <c r="BD319">
        <v>5.333333333333333</v>
      </c>
      <c r="BE319">
        <v>213</v>
      </c>
      <c r="BF319" t="s">
        <v>191</v>
      </c>
      <c r="BG319">
        <v>0.63465466587045538</v>
      </c>
      <c r="BH319">
        <v>0.48812500000000097</v>
      </c>
      <c r="BI319">
        <v>0.59843663822132498</v>
      </c>
      <c r="BJ319">
        <v>90</v>
      </c>
      <c r="BK319">
        <v>634.72964258657987</v>
      </c>
      <c r="BL319">
        <v>187.10625904107039</v>
      </c>
      <c r="BM319">
        <v>1.9984240608678361</v>
      </c>
      <c r="BN319">
        <v>339.73209034753211</v>
      </c>
      <c r="BO319">
        <v>294.99755223904782</v>
      </c>
    </row>
    <row r="320" spans="1:67" x14ac:dyDescent="0.25">
      <c r="A320" s="1">
        <v>318</v>
      </c>
      <c r="B320" t="s">
        <v>189</v>
      </c>
      <c r="C320" t="s">
        <v>190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67</v>
      </c>
      <c r="J320">
        <v>1.44</v>
      </c>
      <c r="K320">
        <v>500</v>
      </c>
      <c r="L320">
        <v>100</v>
      </c>
      <c r="N320" t="s">
        <v>68</v>
      </c>
      <c r="O320">
        <v>0</v>
      </c>
      <c r="P320">
        <v>0.2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39807.447403772239</v>
      </c>
      <c r="Z320">
        <v>199037237.0188612</v>
      </c>
      <c r="AA320">
        <v>286613621.30716008</v>
      </c>
      <c r="AB320">
        <v>286613.62130716012</v>
      </c>
      <c r="AC320">
        <v>0</v>
      </c>
      <c r="AD320">
        <v>2062.8755794950589</v>
      </c>
      <c r="AE320">
        <v>742635.20861822146</v>
      </c>
      <c r="AF320">
        <v>742635.20861822146</v>
      </c>
      <c r="AG320">
        <v>46.092723617590323</v>
      </c>
      <c r="AH320">
        <v>65.366751062575844</v>
      </c>
      <c r="AI320">
        <v>65.366751062575844</v>
      </c>
      <c r="AJ320">
        <v>9314.9426924827039</v>
      </c>
      <c r="AK320">
        <v>854.70085470085473</v>
      </c>
      <c r="AL320" t="s">
        <v>69</v>
      </c>
      <c r="AM320">
        <v>5065.9232073496278</v>
      </c>
      <c r="AN320">
        <v>433.40709402913097</v>
      </c>
      <c r="AO320">
        <v>11112.347680637889</v>
      </c>
      <c r="AP320">
        <v>15668.97384856232</v>
      </c>
      <c r="AQ320">
        <v>4556.6261679244253</v>
      </c>
      <c r="AR320">
        <v>1.2543093276999999E-2</v>
      </c>
      <c r="AS320">
        <v>202.09139233698599</v>
      </c>
      <c r="AT320">
        <v>109.90722200274411</v>
      </c>
      <c r="AU320">
        <v>9.402939553429432</v>
      </c>
      <c r="AV320">
        <v>241.0868095544065</v>
      </c>
      <c r="AW320">
        <v>339.94462940746212</v>
      </c>
      <c r="AX320">
        <v>98.85781985305556</v>
      </c>
      <c r="AY320">
        <v>1.4181577032612149</v>
      </c>
      <c r="AZ320" t="str">
        <f>VLOOKUP(BA320,Sheet1!$A$1:$B$58,2,FALSE)</f>
        <v>1,4-Butanediol</v>
      </c>
      <c r="BA320" t="s">
        <v>77</v>
      </c>
      <c r="BB320" t="s">
        <v>71</v>
      </c>
      <c r="BC320">
        <v>90.119200000000006</v>
      </c>
      <c r="BD320">
        <v>5.5</v>
      </c>
      <c r="BE320">
        <v>230</v>
      </c>
      <c r="BF320" t="s">
        <v>191</v>
      </c>
      <c r="BG320">
        <v>0.66125891433048234</v>
      </c>
      <c r="BH320">
        <v>0.37354838709677401</v>
      </c>
      <c r="BI320">
        <v>0.54238495879335002</v>
      </c>
      <c r="BJ320">
        <v>90</v>
      </c>
      <c r="BK320">
        <v>696.39883771388077</v>
      </c>
      <c r="BL320">
        <v>202.5167185744188</v>
      </c>
      <c r="BM320">
        <v>2.2439300217839988</v>
      </c>
      <c r="BN320">
        <v>381.46810370327989</v>
      </c>
      <c r="BO320">
        <v>314.93073401060087</v>
      </c>
    </row>
    <row r="321" spans="1:67" x14ac:dyDescent="0.25">
      <c r="A321" s="1">
        <v>319</v>
      </c>
      <c r="B321" t="s">
        <v>189</v>
      </c>
      <c r="C321" t="s">
        <v>190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67</v>
      </c>
      <c r="J321">
        <v>1.44</v>
      </c>
      <c r="K321">
        <v>500</v>
      </c>
      <c r="L321">
        <v>100</v>
      </c>
      <c r="N321" t="s">
        <v>68</v>
      </c>
      <c r="O321">
        <v>0</v>
      </c>
      <c r="P321">
        <v>0.2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50654.935565541928</v>
      </c>
      <c r="Z321">
        <v>253274677.8277097</v>
      </c>
      <c r="AA321">
        <v>364715536.07190192</v>
      </c>
      <c r="AB321">
        <v>364715.53607190191</v>
      </c>
      <c r="AC321">
        <v>0</v>
      </c>
      <c r="AD321">
        <v>2625.0070369784639</v>
      </c>
      <c r="AE321">
        <v>945002.53331224702</v>
      </c>
      <c r="AF321">
        <v>945002.53331224702</v>
      </c>
      <c r="AG321">
        <v>58.652943033672578</v>
      </c>
      <c r="AH321">
        <v>83.17912298214398</v>
      </c>
      <c r="AI321">
        <v>83.17912298214398</v>
      </c>
      <c r="AJ321">
        <v>11853.25492233681</v>
      </c>
      <c r="AK321">
        <v>854.70085470085473</v>
      </c>
      <c r="AL321" t="s">
        <v>69</v>
      </c>
      <c r="AM321">
        <v>6446.382031116158</v>
      </c>
      <c r="AN321">
        <v>551.51007797636316</v>
      </c>
      <c r="AO321">
        <v>14140.450906964479</v>
      </c>
      <c r="AP321">
        <v>19705.847886130188</v>
      </c>
      <c r="AQ321">
        <v>5565.3969791657146</v>
      </c>
      <c r="AR321">
        <v>1.2543093276999999E-2</v>
      </c>
      <c r="AS321">
        <v>202.09139233698599</v>
      </c>
      <c r="AT321">
        <v>109.90722200274411</v>
      </c>
      <c r="AU321">
        <v>9.402939553429432</v>
      </c>
      <c r="AV321">
        <v>241.0868095544065</v>
      </c>
      <c r="AW321">
        <v>335.97372726577572</v>
      </c>
      <c r="AX321">
        <v>94.886917711369193</v>
      </c>
      <c r="AY321">
        <v>1.4181577032612149</v>
      </c>
      <c r="AZ321" t="str">
        <f>VLOOKUP(BA321,Sheet1!$A$1:$B$58,2,FALSE)</f>
        <v>1-Propanol (PW1)</v>
      </c>
      <c r="BA321" t="s">
        <v>78</v>
      </c>
      <c r="BB321" t="s">
        <v>79</v>
      </c>
      <c r="BC321">
        <v>60.093820000000001</v>
      </c>
      <c r="BD321">
        <v>6</v>
      </c>
      <c r="BE321">
        <v>97</v>
      </c>
      <c r="BF321" t="s">
        <v>191</v>
      </c>
      <c r="BG321">
        <v>1.130102540107158</v>
      </c>
      <c r="BH321">
        <v>0.44022727272727302</v>
      </c>
      <c r="BI321">
        <v>0.42623607114902201</v>
      </c>
      <c r="BJ321">
        <v>90</v>
      </c>
      <c r="BK321">
        <v>875.81546160578625</v>
      </c>
      <c r="BL321">
        <v>247.35097685180949</v>
      </c>
      <c r="BM321">
        <v>2.566747370210352</v>
      </c>
      <c r="BN321">
        <v>436.34705293575979</v>
      </c>
      <c r="BO321">
        <v>439.46840867002652</v>
      </c>
    </row>
    <row r="322" spans="1:67" x14ac:dyDescent="0.25">
      <c r="A322" s="1">
        <v>320</v>
      </c>
      <c r="B322" t="s">
        <v>189</v>
      </c>
      <c r="C322" t="s">
        <v>190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67</v>
      </c>
      <c r="J322">
        <v>1.44</v>
      </c>
      <c r="K322">
        <v>500</v>
      </c>
      <c r="L322">
        <v>100</v>
      </c>
      <c r="N322" t="s">
        <v>68</v>
      </c>
      <c r="O322">
        <v>0</v>
      </c>
      <c r="P322">
        <v>0.2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56487.397921965792</v>
      </c>
      <c r="Z322">
        <v>282436989.60982889</v>
      </c>
      <c r="AA322">
        <v>406709265.03815359</v>
      </c>
      <c r="AB322">
        <v>406709.26503815362</v>
      </c>
      <c r="AC322">
        <v>0</v>
      </c>
      <c r="AD322">
        <v>2927.2530976553121</v>
      </c>
      <c r="AE322">
        <v>1053811.115155912</v>
      </c>
      <c r="AF322">
        <v>1053811.115155912</v>
      </c>
      <c r="AG322">
        <v>65.406304350157512</v>
      </c>
      <c r="AH322">
        <v>92.756454356023411</v>
      </c>
      <c r="AI322">
        <v>92.756454356023411</v>
      </c>
      <c r="AJ322">
        <v>13218.05111373999</v>
      </c>
      <c r="AK322">
        <v>854.70085470085473</v>
      </c>
      <c r="AL322" t="s">
        <v>69</v>
      </c>
      <c r="AM322">
        <v>7188.6252125918136</v>
      </c>
      <c r="AN322">
        <v>615.01152621773974</v>
      </c>
      <c r="AO322">
        <v>15768.597240523981</v>
      </c>
      <c r="AP322">
        <v>21876.3887072504</v>
      </c>
      <c r="AQ322">
        <v>6107.7914667264213</v>
      </c>
      <c r="AR322">
        <v>1.2543093276999999E-2</v>
      </c>
      <c r="AS322">
        <v>202.09139233698599</v>
      </c>
      <c r="AT322">
        <v>109.90722200274421</v>
      </c>
      <c r="AU322">
        <v>9.4029395534294338</v>
      </c>
      <c r="AV322">
        <v>241.08680955440661</v>
      </c>
      <c r="AW322">
        <v>334.46911463050287</v>
      </c>
      <c r="AX322">
        <v>93.382305076096372</v>
      </c>
      <c r="AY322">
        <v>1.4181577032612149</v>
      </c>
      <c r="AZ322" t="str">
        <f>VLOOKUP(BA322,Sheet1!$A$1:$B$58,2,FALSE)</f>
        <v>1-Propanol (PW2)</v>
      </c>
      <c r="BA322" t="s">
        <v>80</v>
      </c>
      <c r="BB322" t="s">
        <v>79</v>
      </c>
      <c r="BC322">
        <v>60.093820000000001</v>
      </c>
      <c r="BD322">
        <v>6</v>
      </c>
      <c r="BE322">
        <v>97</v>
      </c>
      <c r="BF322" t="s">
        <v>191</v>
      </c>
      <c r="BG322">
        <v>1.5131960419548649</v>
      </c>
      <c r="BH322">
        <v>0.394772727272728</v>
      </c>
      <c r="BI322">
        <v>0.382226151567296</v>
      </c>
      <c r="BJ322">
        <v>90</v>
      </c>
      <c r="BK322">
        <v>972.28394254446221</v>
      </c>
      <c r="BL322">
        <v>271.45739852117418</v>
      </c>
      <c r="BM322">
        <v>2.6093130405350649</v>
      </c>
      <c r="BN322">
        <v>443.58321689096113</v>
      </c>
      <c r="BO322">
        <v>528.70072565350108</v>
      </c>
    </row>
    <row r="323" spans="1:67" x14ac:dyDescent="0.25">
      <c r="A323" s="1">
        <v>321</v>
      </c>
      <c r="B323" t="s">
        <v>189</v>
      </c>
      <c r="C323" t="s">
        <v>190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67</v>
      </c>
      <c r="J323">
        <v>1.44</v>
      </c>
      <c r="K323">
        <v>500</v>
      </c>
      <c r="L323">
        <v>100</v>
      </c>
      <c r="N323" t="s">
        <v>68</v>
      </c>
      <c r="O323">
        <v>0</v>
      </c>
      <c r="P323">
        <v>0.2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43872.173131865653</v>
      </c>
      <c r="Z323">
        <v>219360865.65932831</v>
      </c>
      <c r="AA323">
        <v>315879646.54943269</v>
      </c>
      <c r="AB323">
        <v>315879.64654943271</v>
      </c>
      <c r="AC323">
        <v>0</v>
      </c>
      <c r="AD323">
        <v>2273.5151454229808</v>
      </c>
      <c r="AE323">
        <v>818465.45235227316</v>
      </c>
      <c r="AF323">
        <v>818465.45235227316</v>
      </c>
      <c r="AG323">
        <v>50.799236890495223</v>
      </c>
      <c r="AH323">
        <v>72.041329116047081</v>
      </c>
      <c r="AI323">
        <v>72.041329116047081</v>
      </c>
      <c r="AJ323">
        <v>10266.088512856561</v>
      </c>
      <c r="AK323">
        <v>854.70085470085473</v>
      </c>
      <c r="AL323" t="s">
        <v>69</v>
      </c>
      <c r="AM323">
        <v>5583.2030064936489</v>
      </c>
      <c r="AN323">
        <v>477.66215384166918</v>
      </c>
      <c r="AO323">
        <v>12247.025949728</v>
      </c>
      <c r="AP323">
        <v>17181.654527892741</v>
      </c>
      <c r="AQ323">
        <v>4934.628578164733</v>
      </c>
      <c r="AR323">
        <v>1.2543093276999999E-2</v>
      </c>
      <c r="AS323">
        <v>202.09139233698599</v>
      </c>
      <c r="AT323">
        <v>109.90722200274411</v>
      </c>
      <c r="AU323">
        <v>9.4029395534294355</v>
      </c>
      <c r="AV323">
        <v>241.0868095544065</v>
      </c>
      <c r="AW323">
        <v>338.22662661114708</v>
      </c>
      <c r="AX323">
        <v>97.139817056740554</v>
      </c>
      <c r="AY323">
        <v>1.4181577032612149</v>
      </c>
      <c r="AZ323" t="str">
        <f>VLOOKUP(BA323,Sheet1!$A$1:$B$58,2,FALSE)</f>
        <v>2,3-Butanediol</v>
      </c>
      <c r="BA323" t="s">
        <v>81</v>
      </c>
      <c r="BB323" t="s">
        <v>71</v>
      </c>
      <c r="BC323">
        <v>90.119200000000006</v>
      </c>
      <c r="BD323">
        <v>5.5</v>
      </c>
      <c r="BE323">
        <v>177</v>
      </c>
      <c r="BF323" t="s">
        <v>191</v>
      </c>
      <c r="BG323">
        <v>0.92824220853225292</v>
      </c>
      <c r="BH323">
        <v>0.33893939393939498</v>
      </c>
      <c r="BI323">
        <v>0.49213337700113402</v>
      </c>
      <c r="BJ323">
        <v>90</v>
      </c>
      <c r="BK323">
        <v>763.62909012856596</v>
      </c>
      <c r="BL323">
        <v>219.31682569621029</v>
      </c>
      <c r="BM323">
        <v>2.27359464106984</v>
      </c>
      <c r="BN323">
        <v>386.51108898187272</v>
      </c>
      <c r="BO323">
        <v>377.11800114669319</v>
      </c>
    </row>
    <row r="324" spans="1:67" x14ac:dyDescent="0.25">
      <c r="A324" s="1">
        <v>322</v>
      </c>
      <c r="B324" t="s">
        <v>189</v>
      </c>
      <c r="C324" t="s">
        <v>190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67</v>
      </c>
      <c r="J324">
        <v>1.44</v>
      </c>
      <c r="K324">
        <v>500</v>
      </c>
      <c r="L324">
        <v>100</v>
      </c>
      <c r="N324" t="s">
        <v>68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61266.247087668708</v>
      </c>
      <c r="Z324">
        <v>306331235.43834358</v>
      </c>
      <c r="AA324">
        <v>441116979.03121477</v>
      </c>
      <c r="AB324">
        <v>441116.97903121478</v>
      </c>
      <c r="AC324">
        <v>0</v>
      </c>
      <c r="AD324">
        <v>3174.8995026615448</v>
      </c>
      <c r="AE324">
        <v>1142963.8209581559</v>
      </c>
      <c r="AF324">
        <v>1142963.8209581559</v>
      </c>
      <c r="AG324">
        <v>70.939695415670144</v>
      </c>
      <c r="AH324">
        <v>100.6036755207369</v>
      </c>
      <c r="AI324">
        <v>100.6036755207369</v>
      </c>
      <c r="AJ324">
        <v>14336.301818514479</v>
      </c>
      <c r="AK324">
        <v>854.70085470085473</v>
      </c>
      <c r="AL324" t="s">
        <v>69</v>
      </c>
      <c r="AM324">
        <v>7796.7848528571094</v>
      </c>
      <c r="AN324">
        <v>667.04166793224135</v>
      </c>
      <c r="AO324">
        <v>17102.624838525269</v>
      </c>
      <c r="AP324">
        <v>23654.829194004691</v>
      </c>
      <c r="AQ324">
        <v>6552.2043554794154</v>
      </c>
      <c r="AR324">
        <v>1.2543093276999999E-2</v>
      </c>
      <c r="AS324">
        <v>202.09139233698599</v>
      </c>
      <c r="AT324">
        <v>109.90722200274411</v>
      </c>
      <c r="AU324">
        <v>9.4029395534294338</v>
      </c>
      <c r="AV324">
        <v>241.0868095544065</v>
      </c>
      <c r="AW324">
        <v>333.44982742595028</v>
      </c>
      <c r="AX324">
        <v>92.363017871543747</v>
      </c>
      <c r="AY324">
        <v>1.4181577032612149</v>
      </c>
      <c r="AZ324" t="str">
        <f>VLOOKUP(BA324,Sheet1!$A$1:$B$58,2,FALSE)</f>
        <v>2-Methyl-1-Butanol</v>
      </c>
      <c r="BA324" t="s">
        <v>82</v>
      </c>
      <c r="BB324" t="s">
        <v>83</v>
      </c>
      <c r="BC324">
        <v>88.14658</v>
      </c>
      <c r="BD324">
        <v>6</v>
      </c>
      <c r="BE324">
        <v>129</v>
      </c>
      <c r="BF324" t="s">
        <v>191</v>
      </c>
      <c r="BG324">
        <v>1.5277396571340121</v>
      </c>
      <c r="BH324">
        <v>0.248142857142857</v>
      </c>
      <c r="BI324">
        <v>0.35241200083412899</v>
      </c>
      <c r="BJ324">
        <v>90</v>
      </c>
      <c r="BK324">
        <v>1051.325741955764</v>
      </c>
      <c r="BL324">
        <v>291.20908246575158</v>
      </c>
      <c r="BM324">
        <v>2.9435348104542931</v>
      </c>
      <c r="BN324">
        <v>500.40091777722978</v>
      </c>
      <c r="BO324">
        <v>550.92482417853375</v>
      </c>
    </row>
    <row r="325" spans="1:67" x14ac:dyDescent="0.25">
      <c r="A325" s="1">
        <v>323</v>
      </c>
      <c r="B325" t="s">
        <v>189</v>
      </c>
      <c r="C325" t="s">
        <v>190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67</v>
      </c>
      <c r="J325">
        <v>1.44</v>
      </c>
      <c r="K325">
        <v>500</v>
      </c>
      <c r="L325">
        <v>100</v>
      </c>
      <c r="N325" t="s">
        <v>68</v>
      </c>
      <c r="O325">
        <v>0</v>
      </c>
      <c r="P325">
        <v>0.2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27431.217097834899</v>
      </c>
      <c r="Z325">
        <v>137156085.48917449</v>
      </c>
      <c r="AA325">
        <v>197504763.1044113</v>
      </c>
      <c r="AB325">
        <v>197504.76310441131</v>
      </c>
      <c r="AC325">
        <v>0</v>
      </c>
      <c r="AD325">
        <v>1421.5226435641439</v>
      </c>
      <c r="AE325">
        <v>511748.15168309188</v>
      </c>
      <c r="AF325">
        <v>511748.15168309188</v>
      </c>
      <c r="AG325">
        <v>31.762385951549529</v>
      </c>
      <c r="AH325">
        <v>45.044072311145761</v>
      </c>
      <c r="AI325">
        <v>45.044072311145761</v>
      </c>
      <c r="AJ325">
        <v>6418.9048008933678</v>
      </c>
      <c r="AK325">
        <v>1835.336538461539</v>
      </c>
      <c r="AL325" t="s">
        <v>84</v>
      </c>
      <c r="AM325">
        <v>3490.9156041137971</v>
      </c>
      <c r="AN325">
        <v>298.65979517511641</v>
      </c>
      <c r="AO325">
        <v>7657.4922928947799</v>
      </c>
      <c r="AP325">
        <v>12043.81673864382</v>
      </c>
      <c r="AQ325">
        <v>4386.32444574904</v>
      </c>
      <c r="AR325">
        <v>1.2543093276999999E-2</v>
      </c>
      <c r="AS325">
        <v>202.09139233698599</v>
      </c>
      <c r="AT325">
        <v>109.90722200274421</v>
      </c>
      <c r="AU325">
        <v>9.402939553429432</v>
      </c>
      <c r="AV325">
        <v>241.08680955440661</v>
      </c>
      <c r="AW325">
        <v>379.18488733861199</v>
      </c>
      <c r="AX325">
        <v>138.0980777842054</v>
      </c>
      <c r="AY325">
        <v>1.4181577032612149</v>
      </c>
      <c r="AZ325" t="str">
        <f>VLOOKUP(BA325,Sheet1!$A$1:$B$58,2,FALSE)</f>
        <v>2-Pyrone-4,6-Dicarboxylate</v>
      </c>
      <c r="BA325" t="s">
        <v>85</v>
      </c>
      <c r="BB325" t="s">
        <v>86</v>
      </c>
      <c r="BC325">
        <v>182.08457999999999</v>
      </c>
      <c r="BD325">
        <v>2.5714285714285721</v>
      </c>
      <c r="BE325">
        <v>355.5</v>
      </c>
      <c r="BF325" t="s">
        <v>191</v>
      </c>
      <c r="BG325">
        <v>0.10985801743508571</v>
      </c>
      <c r="BH325">
        <v>0.26829357798165199</v>
      </c>
      <c r="BI325">
        <v>0.78709452237420396</v>
      </c>
      <c r="BJ325">
        <v>90</v>
      </c>
      <c r="BK325">
        <v>535.28074393972531</v>
      </c>
      <c r="BL325">
        <v>194.94775314440179</v>
      </c>
      <c r="BM325">
        <v>1.8921007519491699</v>
      </c>
      <c r="BN325">
        <v>321.65712783135888</v>
      </c>
      <c r="BO325">
        <v>213.62361610836641</v>
      </c>
    </row>
    <row r="326" spans="1:67" x14ac:dyDescent="0.25">
      <c r="A326" s="1">
        <v>324</v>
      </c>
      <c r="B326" t="s">
        <v>189</v>
      </c>
      <c r="C326" t="s">
        <v>190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67</v>
      </c>
      <c r="J326">
        <v>1.44</v>
      </c>
      <c r="K326">
        <v>500</v>
      </c>
      <c r="L326">
        <v>100</v>
      </c>
      <c r="N326" t="s">
        <v>68</v>
      </c>
      <c r="O326">
        <v>0</v>
      </c>
      <c r="P326">
        <v>0.2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67205.086594452907</v>
      </c>
      <c r="Z326">
        <v>336025432.97226453</v>
      </c>
      <c r="AA326">
        <v>483876623.48006088</v>
      </c>
      <c r="AB326">
        <v>483876.62348006089</v>
      </c>
      <c r="AC326">
        <v>0</v>
      </c>
      <c r="AD326">
        <v>3482.6581706520142</v>
      </c>
      <c r="AE326">
        <v>1253756.941434725</v>
      </c>
      <c r="AF326">
        <v>1253756.941434725</v>
      </c>
      <c r="AG326">
        <v>77.81622998014187</v>
      </c>
      <c r="AH326">
        <v>110.35568598508451</v>
      </c>
      <c r="AI326">
        <v>110.35568598508451</v>
      </c>
      <c r="AJ326">
        <v>15725.99026310198</v>
      </c>
      <c r="AK326">
        <v>854.70085470085473</v>
      </c>
      <c r="AL326" t="s">
        <v>69</v>
      </c>
      <c r="AM326">
        <v>8552.5656638440487</v>
      </c>
      <c r="AN326">
        <v>731.70130677903705</v>
      </c>
      <c r="AO326">
        <v>18760.466617464361</v>
      </c>
      <c r="AP326">
        <v>25864.958088425919</v>
      </c>
      <c r="AQ326">
        <v>7104.491470961555</v>
      </c>
      <c r="AR326">
        <v>1.2543093276999999E-2</v>
      </c>
      <c r="AS326">
        <v>202.09139233698599</v>
      </c>
      <c r="AT326">
        <v>109.90722200274421</v>
      </c>
      <c r="AU326">
        <v>9.4029395534294302</v>
      </c>
      <c r="AV326">
        <v>241.0868095544065</v>
      </c>
      <c r="AW326">
        <v>332.38513475950282</v>
      </c>
      <c r="AX326">
        <v>91.29832520509629</v>
      </c>
      <c r="AY326">
        <v>1.4181577032612149</v>
      </c>
      <c r="AZ326" t="str">
        <f>VLOOKUP(BA326,Sheet1!$A$1:$B$58,2,FALSE)</f>
        <v>3-Methyl-1-Pentanol</v>
      </c>
      <c r="BA326" t="s">
        <v>87</v>
      </c>
      <c r="BB326" t="s">
        <v>88</v>
      </c>
      <c r="BC326">
        <v>102.17296</v>
      </c>
      <c r="BD326">
        <v>6</v>
      </c>
      <c r="BE326">
        <v>153</v>
      </c>
      <c r="BF326" t="s">
        <v>191</v>
      </c>
      <c r="BG326">
        <v>1.829789156181691</v>
      </c>
      <c r="BH326">
        <v>0.19515981735159799</v>
      </c>
      <c r="BI326">
        <v>0.32126974034054101</v>
      </c>
      <c r="BJ326">
        <v>90</v>
      </c>
      <c r="BK326">
        <v>1149.5536928189299</v>
      </c>
      <c r="BL326">
        <v>315.75517648718022</v>
      </c>
      <c r="BM326">
        <v>3.074907998710954</v>
      </c>
      <c r="BN326">
        <v>522.73435978086206</v>
      </c>
      <c r="BO326">
        <v>626.81933303806761</v>
      </c>
    </row>
    <row r="327" spans="1:67" x14ac:dyDescent="0.25">
      <c r="A327" s="1">
        <v>325</v>
      </c>
      <c r="B327" t="s">
        <v>189</v>
      </c>
      <c r="C327" t="s">
        <v>190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67</v>
      </c>
      <c r="J327">
        <v>1.44</v>
      </c>
      <c r="K327">
        <v>500</v>
      </c>
      <c r="L327">
        <v>100</v>
      </c>
      <c r="N327" t="s">
        <v>68</v>
      </c>
      <c r="O327">
        <v>0</v>
      </c>
      <c r="P327">
        <v>0.2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63769.63530200578</v>
      </c>
      <c r="Z327">
        <v>318848176.5100289</v>
      </c>
      <c r="AA327">
        <v>459141374.17444158</v>
      </c>
      <c r="AB327">
        <v>459141.37417444162</v>
      </c>
      <c r="AC327">
        <v>0</v>
      </c>
      <c r="AD327">
        <v>3304.6284541557388</v>
      </c>
      <c r="AE327">
        <v>1189666.243496066</v>
      </c>
      <c r="AF327">
        <v>1189666.243496066</v>
      </c>
      <c r="AG327">
        <v>73.838348521973984</v>
      </c>
      <c r="AH327">
        <v>104.7144227525237</v>
      </c>
      <c r="AI327">
        <v>104.7144227525237</v>
      </c>
      <c r="AJ327">
        <v>14922.094660669351</v>
      </c>
      <c r="AK327">
        <v>854.70085470085473</v>
      </c>
      <c r="AL327" t="s">
        <v>69</v>
      </c>
      <c r="AM327">
        <v>8115.3677633205889</v>
      </c>
      <c r="AN327">
        <v>694.29752787717689</v>
      </c>
      <c r="AO327">
        <v>17801.45186792903</v>
      </c>
      <c r="AP327">
        <v>24586.460806567971</v>
      </c>
      <c r="AQ327">
        <v>6785.0089386389373</v>
      </c>
      <c r="AR327">
        <v>1.2543093276999999E-2</v>
      </c>
      <c r="AS327">
        <v>202.09139233698599</v>
      </c>
      <c r="AT327">
        <v>109.90722200274411</v>
      </c>
      <c r="AU327">
        <v>9.4029395534294338</v>
      </c>
      <c r="AV327">
        <v>241.0868095544065</v>
      </c>
      <c r="AW327">
        <v>332.97685144259623</v>
      </c>
      <c r="AX327">
        <v>91.890041888189671</v>
      </c>
      <c r="AY327">
        <v>1.4181577032612149</v>
      </c>
      <c r="AZ327" t="str">
        <f>VLOOKUP(BA327,Sheet1!$A$1:$B$58,2,FALSE)</f>
        <v>4-Hydroxystyrene</v>
      </c>
      <c r="BA327" t="s">
        <v>89</v>
      </c>
      <c r="BB327" t="s">
        <v>90</v>
      </c>
      <c r="BC327">
        <v>120.14731999999999</v>
      </c>
      <c r="BD327">
        <v>4.75</v>
      </c>
      <c r="BE327">
        <v>229</v>
      </c>
      <c r="BF327" t="s">
        <v>191</v>
      </c>
      <c r="BG327">
        <v>1.2581771669163551</v>
      </c>
      <c r="BH327">
        <v>0.17490430622009601</v>
      </c>
      <c r="BI327">
        <v>0.33857745332102201</v>
      </c>
      <c r="BJ327">
        <v>90</v>
      </c>
      <c r="BK327">
        <v>1092.731591403021</v>
      </c>
      <c r="BL327">
        <v>301.55595282839721</v>
      </c>
      <c r="BM327">
        <v>3.3957971776402558</v>
      </c>
      <c r="BN327">
        <v>577.28552019884353</v>
      </c>
      <c r="BO327">
        <v>515.44607120417743</v>
      </c>
    </row>
    <row r="328" spans="1:67" x14ac:dyDescent="0.25">
      <c r="A328" s="1">
        <v>326</v>
      </c>
      <c r="B328" t="s">
        <v>189</v>
      </c>
      <c r="C328" t="s">
        <v>190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67</v>
      </c>
      <c r="J328">
        <v>1.44</v>
      </c>
      <c r="K328">
        <v>500</v>
      </c>
      <c r="L328">
        <v>100</v>
      </c>
      <c r="N328" t="s">
        <v>68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44489.764944050039</v>
      </c>
      <c r="Z328">
        <v>222448824.72025019</v>
      </c>
      <c r="AA328">
        <v>320326307.59716028</v>
      </c>
      <c r="AB328">
        <v>320326.30759716028</v>
      </c>
      <c r="AC328">
        <v>0</v>
      </c>
      <c r="AD328">
        <v>2305.5195855602442</v>
      </c>
      <c r="AE328">
        <v>829987.05080168799</v>
      </c>
      <c r="AF328">
        <v>829987.05080168799</v>
      </c>
      <c r="AG328">
        <v>51.514341489359921</v>
      </c>
      <c r="AH328">
        <v>73.055460211564565</v>
      </c>
      <c r="AI328">
        <v>73.055460211564565</v>
      </c>
      <c r="AJ328">
        <v>10410.60499690771</v>
      </c>
      <c r="AK328">
        <v>854.70085470085473</v>
      </c>
      <c r="AL328" t="s">
        <v>69</v>
      </c>
      <c r="AM328">
        <v>5661.7981663962537</v>
      </c>
      <c r="AN328">
        <v>484.38623915917327</v>
      </c>
      <c r="AO328">
        <v>12419.428235965979</v>
      </c>
      <c r="AP328">
        <v>17411.49025716399</v>
      </c>
      <c r="AQ328">
        <v>4992.0620211980149</v>
      </c>
      <c r="AR328">
        <v>1.2543093276999999E-2</v>
      </c>
      <c r="AS328">
        <v>202.09139233698599</v>
      </c>
      <c r="AT328">
        <v>109.90722200274411</v>
      </c>
      <c r="AU328">
        <v>9.4029395534294338</v>
      </c>
      <c r="AV328">
        <v>241.0868095544065</v>
      </c>
      <c r="AW328">
        <v>337.99306666397479</v>
      </c>
      <c r="AX328">
        <v>96.906257109568372</v>
      </c>
      <c r="AY328">
        <v>1.4181577032612149</v>
      </c>
      <c r="AZ328" t="str">
        <f>VLOOKUP(BA328,Sheet1!$A$1:$B$58,2,FALSE)</f>
        <v>5-Aminopentanoate</v>
      </c>
      <c r="BA328" t="s">
        <v>91</v>
      </c>
      <c r="BB328" t="s">
        <v>92</v>
      </c>
      <c r="BC328">
        <v>117.14444</v>
      </c>
      <c r="BD328">
        <v>4.8</v>
      </c>
      <c r="BE328">
        <v>247.5</v>
      </c>
      <c r="BF328" t="s">
        <v>191</v>
      </c>
      <c r="BG328">
        <v>1.0437700639777501</v>
      </c>
      <c r="BH328">
        <v>0.25712643678160901</v>
      </c>
      <c r="BI328">
        <v>0.485301748546347</v>
      </c>
      <c r="BJ328">
        <v>90</v>
      </c>
      <c r="BK328">
        <v>773.84401142951083</v>
      </c>
      <c r="BL328">
        <v>221.86942316435631</v>
      </c>
      <c r="BM328">
        <v>2.2031392787584529</v>
      </c>
      <c r="BN328">
        <v>374.53367738893701</v>
      </c>
      <c r="BO328">
        <v>399.31033404057382</v>
      </c>
    </row>
    <row r="329" spans="1:67" x14ac:dyDescent="0.25">
      <c r="A329" s="1">
        <v>327</v>
      </c>
      <c r="B329" t="s">
        <v>189</v>
      </c>
      <c r="C329" t="s">
        <v>190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67</v>
      </c>
      <c r="J329">
        <v>1.44</v>
      </c>
      <c r="K329">
        <v>500</v>
      </c>
      <c r="L329">
        <v>100</v>
      </c>
      <c r="N329" t="s">
        <v>68</v>
      </c>
      <c r="O329">
        <v>0</v>
      </c>
      <c r="P329">
        <v>0.2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53446.159177014917</v>
      </c>
      <c r="Z329">
        <v>267230795.88507459</v>
      </c>
      <c r="AA329">
        <v>384812346.07450742</v>
      </c>
      <c r="AB329">
        <v>384812.3460745074</v>
      </c>
      <c r="AC329">
        <v>0</v>
      </c>
      <c r="AD329">
        <v>2769.6520067152569</v>
      </c>
      <c r="AE329">
        <v>997074.72241749242</v>
      </c>
      <c r="AF329">
        <v>997074.72241749242</v>
      </c>
      <c r="AG329">
        <v>61.884878434441937</v>
      </c>
      <c r="AH329">
        <v>87.762517067187702</v>
      </c>
      <c r="AI329">
        <v>87.762517067187702</v>
      </c>
      <c r="AJ329">
        <v>12506.401247421491</v>
      </c>
      <c r="AK329">
        <v>854.70085470085473</v>
      </c>
      <c r="AL329" t="s">
        <v>69</v>
      </c>
      <c r="AM329">
        <v>6801.5950727070467</v>
      </c>
      <c r="AN329">
        <v>581.89977119038633</v>
      </c>
      <c r="AO329">
        <v>14919.627901421911</v>
      </c>
      <c r="AP329">
        <v>20744.596946019781</v>
      </c>
      <c r="AQ329">
        <v>5824.9690445978686</v>
      </c>
      <c r="AR329">
        <v>1.2543093276999999E-2</v>
      </c>
      <c r="AS329">
        <v>202.09139233698599</v>
      </c>
      <c r="AT329">
        <v>109.90722200274421</v>
      </c>
      <c r="AU329">
        <v>9.4029395534294338</v>
      </c>
      <c r="AV329">
        <v>241.08680955440661</v>
      </c>
      <c r="AW329">
        <v>335.212696070748</v>
      </c>
      <c r="AX329">
        <v>94.12588651634141</v>
      </c>
      <c r="AY329">
        <v>1.4181577032612149</v>
      </c>
      <c r="AZ329" t="str">
        <f>VLOOKUP(BA329,Sheet1!$A$1:$B$58,2,FALSE)</f>
        <v>Acetone</v>
      </c>
      <c r="BA329" t="s">
        <v>93</v>
      </c>
      <c r="BB329" t="s">
        <v>94</v>
      </c>
      <c r="BC329">
        <v>58.078139999999998</v>
      </c>
      <c r="BD329">
        <v>5.333333333333333</v>
      </c>
      <c r="BE329">
        <v>56</v>
      </c>
      <c r="BF329" t="s">
        <v>191</v>
      </c>
      <c r="BG329">
        <v>1.237186340956236</v>
      </c>
      <c r="BH329">
        <v>0.431717171717172</v>
      </c>
      <c r="BI329">
        <v>0.40397590869446198</v>
      </c>
      <c r="BJ329">
        <v>90</v>
      </c>
      <c r="BK329">
        <v>921.98208648976788</v>
      </c>
      <c r="BL329">
        <v>258.88751309323851</v>
      </c>
      <c r="BM329">
        <v>2.6633699731409961</v>
      </c>
      <c r="BN329">
        <v>452.77289543396932</v>
      </c>
      <c r="BO329">
        <v>469.20919105579861</v>
      </c>
    </row>
    <row r="330" spans="1:67" x14ac:dyDescent="0.25">
      <c r="A330" s="1">
        <v>328</v>
      </c>
      <c r="B330" t="s">
        <v>189</v>
      </c>
      <c r="C330" t="s">
        <v>190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67</v>
      </c>
      <c r="J330">
        <v>1.44</v>
      </c>
      <c r="K330">
        <v>500</v>
      </c>
      <c r="L330">
        <v>100</v>
      </c>
      <c r="N330" t="s">
        <v>68</v>
      </c>
      <c r="O330">
        <v>0</v>
      </c>
      <c r="P330">
        <v>0.2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35599.558894824811</v>
      </c>
      <c r="Z330">
        <v>177997794.47412401</v>
      </c>
      <c r="AA330">
        <v>256316824.04273859</v>
      </c>
      <c r="AB330">
        <v>256316.82404273859</v>
      </c>
      <c r="AC330">
        <v>0</v>
      </c>
      <c r="AD330">
        <v>1844.8171252993011</v>
      </c>
      <c r="AE330">
        <v>664134.16510774824</v>
      </c>
      <c r="AF330">
        <v>664134.16510774824</v>
      </c>
      <c r="AG330">
        <v>41.22044331061015</v>
      </c>
      <c r="AH330">
        <v>58.457089212784012</v>
      </c>
      <c r="AI330">
        <v>58.457089212784012</v>
      </c>
      <c r="AJ330">
        <v>8330.2967813890045</v>
      </c>
      <c r="AK330">
        <v>854.70085470085473</v>
      </c>
      <c r="AL330" t="s">
        <v>69</v>
      </c>
      <c r="AM330">
        <v>4530.4244139907614</v>
      </c>
      <c r="AN330">
        <v>387.59333681523202</v>
      </c>
      <c r="AO330">
        <v>9937.7051661732803</v>
      </c>
      <c r="AP330">
        <v>14103.01538689585</v>
      </c>
      <c r="AQ330">
        <v>4165.3102207225729</v>
      </c>
      <c r="AR330">
        <v>1.2543093276999999E-2</v>
      </c>
      <c r="AS330">
        <v>202.09139233698599</v>
      </c>
      <c r="AT330">
        <v>109.90722200274421</v>
      </c>
      <c r="AU330">
        <v>9.4029395534294355</v>
      </c>
      <c r="AV330">
        <v>241.0868095544065</v>
      </c>
      <c r="AW330">
        <v>342.13643168815059</v>
      </c>
      <c r="AX330">
        <v>101.04962213374409</v>
      </c>
      <c r="AY330">
        <v>1.4181577032612149</v>
      </c>
      <c r="AZ330" t="str">
        <f>VLOOKUP(BA330,Sheet1!$A$1:$B$58,2,FALSE)</f>
        <v>Acrylate (PW1)</v>
      </c>
      <c r="BA330" t="s">
        <v>95</v>
      </c>
      <c r="BB330" t="s">
        <v>96</v>
      </c>
      <c r="BC330">
        <v>71.053619999999995</v>
      </c>
      <c r="BD330">
        <v>3.666666666666667</v>
      </c>
      <c r="BE330">
        <v>80</v>
      </c>
      <c r="BF330" t="s">
        <v>191</v>
      </c>
      <c r="BG330">
        <v>0.48011092473457823</v>
      </c>
      <c r="BH330">
        <v>0.52978260869565197</v>
      </c>
      <c r="BI330">
        <v>0.60649517550348597</v>
      </c>
      <c r="BJ330">
        <v>90</v>
      </c>
      <c r="BK330">
        <v>626.800683862038</v>
      </c>
      <c r="BL330">
        <v>185.1248986987811</v>
      </c>
      <c r="BM330">
        <v>2.117981929166934</v>
      </c>
      <c r="BN330">
        <v>360.05692795837871</v>
      </c>
      <c r="BO330">
        <v>266.74375590365929</v>
      </c>
    </row>
    <row r="331" spans="1:67" x14ac:dyDescent="0.25">
      <c r="A331" s="1">
        <v>329</v>
      </c>
      <c r="B331" t="s">
        <v>189</v>
      </c>
      <c r="C331" t="s">
        <v>190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67</v>
      </c>
      <c r="J331">
        <v>1.44</v>
      </c>
      <c r="K331">
        <v>500</v>
      </c>
      <c r="L331">
        <v>100</v>
      </c>
      <c r="N331" t="s">
        <v>68</v>
      </c>
      <c r="O331">
        <v>0</v>
      </c>
      <c r="P331">
        <v>0.2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31194.501817141139</v>
      </c>
      <c r="Z331">
        <v>155972509.0857057</v>
      </c>
      <c r="AA331">
        <v>224600413.08341619</v>
      </c>
      <c r="AB331">
        <v>224600.41308341621</v>
      </c>
      <c r="AC331">
        <v>0</v>
      </c>
      <c r="AD331">
        <v>1616.541130115183</v>
      </c>
      <c r="AE331">
        <v>581954.80684146599</v>
      </c>
      <c r="AF331">
        <v>581954.80684146599</v>
      </c>
      <c r="AG331">
        <v>36.119863101537433</v>
      </c>
      <c r="AH331">
        <v>51.223662098185848</v>
      </c>
      <c r="AI331">
        <v>51.223662098185848</v>
      </c>
      <c r="AJ331">
        <v>7299.5134252110274</v>
      </c>
      <c r="AK331">
        <v>854.70085470085473</v>
      </c>
      <c r="AL331" t="s">
        <v>69</v>
      </c>
      <c r="AM331">
        <v>3969.8338126094031</v>
      </c>
      <c r="AN331">
        <v>339.63288942190269</v>
      </c>
      <c r="AO331">
        <v>8708.0225566915942</v>
      </c>
      <c r="AP331">
        <v>12463.680981943189</v>
      </c>
      <c r="AQ331">
        <v>3755.6584252515931</v>
      </c>
      <c r="AR331">
        <v>1.2543093276999999E-2</v>
      </c>
      <c r="AS331">
        <v>202.09139233698599</v>
      </c>
      <c r="AT331">
        <v>109.90722200274421</v>
      </c>
      <c r="AU331">
        <v>9.4029395534294355</v>
      </c>
      <c r="AV331">
        <v>241.08680955440661</v>
      </c>
      <c r="AW331">
        <v>345.0644579384541</v>
      </c>
      <c r="AX331">
        <v>103.9776483840475</v>
      </c>
      <c r="AY331">
        <v>1.4181577032612149</v>
      </c>
      <c r="AZ331" t="str">
        <f>VLOOKUP(BA331,Sheet1!$A$1:$B$58,2,FALSE)</f>
        <v>Acrylate (PW2)</v>
      </c>
      <c r="BA331" t="s">
        <v>97</v>
      </c>
      <c r="BB331" t="s">
        <v>96</v>
      </c>
      <c r="BC331">
        <v>71.053619999999995</v>
      </c>
      <c r="BD331">
        <v>3.666666666666667</v>
      </c>
      <c r="BE331">
        <v>80</v>
      </c>
      <c r="BF331" t="s">
        <v>191</v>
      </c>
      <c r="BG331">
        <v>0.19077365368126811</v>
      </c>
      <c r="BH331">
        <v>0.60459459459459497</v>
      </c>
      <c r="BI331">
        <v>0.69213994332486495</v>
      </c>
      <c r="BJ331">
        <v>90</v>
      </c>
      <c r="BK331">
        <v>553.94137697525264</v>
      </c>
      <c r="BL331">
        <v>166.91815223340399</v>
      </c>
      <c r="BM331">
        <v>2.0858335506825472</v>
      </c>
      <c r="BN331">
        <v>354.59170361603287</v>
      </c>
      <c r="BO331">
        <v>199.34967335921971</v>
      </c>
    </row>
    <row r="332" spans="1:67" x14ac:dyDescent="0.25">
      <c r="A332" s="1">
        <v>330</v>
      </c>
      <c r="B332" t="s">
        <v>189</v>
      </c>
      <c r="C332" t="s">
        <v>190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67</v>
      </c>
      <c r="J332">
        <v>1.44</v>
      </c>
      <c r="K332">
        <v>500</v>
      </c>
      <c r="L332">
        <v>100</v>
      </c>
      <c r="N332" t="s">
        <v>68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39044.247969845601</v>
      </c>
      <c r="Z332">
        <v>195221239.84922799</v>
      </c>
      <c r="AA332">
        <v>281118585.38288832</v>
      </c>
      <c r="AB332">
        <v>281118.58538288833</v>
      </c>
      <c r="AC332">
        <v>0</v>
      </c>
      <c r="AD332">
        <v>2023.325556139818</v>
      </c>
      <c r="AE332">
        <v>728397.2002103345</v>
      </c>
      <c r="AF332">
        <v>728397.2002103345</v>
      </c>
      <c r="AG332">
        <v>45.209021123022723</v>
      </c>
      <c r="AH332">
        <v>64.113521562513654</v>
      </c>
      <c r="AI332">
        <v>64.113521562513654</v>
      </c>
      <c r="AJ332">
        <v>9136.3540249438702</v>
      </c>
      <c r="AK332">
        <v>854.70085470085473</v>
      </c>
      <c r="AL332" t="s">
        <v>69</v>
      </c>
      <c r="AM332">
        <v>4968.7979210948079</v>
      </c>
      <c r="AN332">
        <v>425.09769288949713</v>
      </c>
      <c r="AO332">
        <v>10899.298665627321</v>
      </c>
      <c r="AP332">
        <v>15384.95049362903</v>
      </c>
      <c r="AQ332">
        <v>4485.6518280017099</v>
      </c>
      <c r="AR332">
        <v>1.2543093276999999E-2</v>
      </c>
      <c r="AS332">
        <v>202.09139233698599</v>
      </c>
      <c r="AT332">
        <v>109.90722200274421</v>
      </c>
      <c r="AU332">
        <v>9.4029395534294355</v>
      </c>
      <c r="AV332">
        <v>241.08680955440661</v>
      </c>
      <c r="AW332">
        <v>340.30709162588431</v>
      </c>
      <c r="AX332">
        <v>99.220282071477754</v>
      </c>
      <c r="AY332">
        <v>1.4181577032612149</v>
      </c>
      <c r="AZ332" t="str">
        <f>VLOOKUP(BA332,Sheet1!$A$1:$B$58,2,FALSE)</f>
        <v>Adipate</v>
      </c>
      <c r="BA332" t="s">
        <v>98</v>
      </c>
      <c r="BB332" t="s">
        <v>99</v>
      </c>
      <c r="BC332">
        <v>144.12291999999999</v>
      </c>
      <c r="BD332">
        <v>4</v>
      </c>
      <c r="BE332">
        <v>337.5</v>
      </c>
      <c r="BF332" t="s">
        <v>191</v>
      </c>
      <c r="BG332">
        <v>0.73235648962208943</v>
      </c>
      <c r="BH332">
        <v>0.23814332247556999</v>
      </c>
      <c r="BI332">
        <v>0.55298697868219804</v>
      </c>
      <c r="BJ332">
        <v>90</v>
      </c>
      <c r="BK332">
        <v>683.77557749462346</v>
      </c>
      <c r="BL332">
        <v>199.36230346674259</v>
      </c>
      <c r="BM332">
        <v>2.1171333576007401</v>
      </c>
      <c r="BN332">
        <v>359.91267079212571</v>
      </c>
      <c r="BO332">
        <v>323.86290670249781</v>
      </c>
    </row>
    <row r="333" spans="1:67" x14ac:dyDescent="0.25">
      <c r="A333" s="1">
        <v>331</v>
      </c>
      <c r="B333" t="s">
        <v>189</v>
      </c>
      <c r="C333" t="s">
        <v>190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67</v>
      </c>
      <c r="J333">
        <v>1.44</v>
      </c>
      <c r="K333">
        <v>500</v>
      </c>
      <c r="L333">
        <v>100</v>
      </c>
      <c r="N333" t="s">
        <v>68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51229.825650239909</v>
      </c>
      <c r="Z333">
        <v>256149128.25119951</v>
      </c>
      <c r="AA333">
        <v>368854744.68172729</v>
      </c>
      <c r="AB333">
        <v>368854.74468172737</v>
      </c>
      <c r="AC333">
        <v>0</v>
      </c>
      <c r="AD333">
        <v>2654.7986160412529</v>
      </c>
      <c r="AE333">
        <v>955727.50177485112</v>
      </c>
      <c r="AF333">
        <v>955727.50177485112</v>
      </c>
      <c r="AG333">
        <v>59.31860364525869</v>
      </c>
      <c r="AH333">
        <v>84.123134706222388</v>
      </c>
      <c r="AI333">
        <v>84.123134706222388</v>
      </c>
      <c r="AJ333">
        <v>11987.77920215614</v>
      </c>
      <c r="AK333">
        <v>854.70085470085473</v>
      </c>
      <c r="AL333" t="s">
        <v>69</v>
      </c>
      <c r="AM333">
        <v>6519.542939732235</v>
      </c>
      <c r="AN333">
        <v>557.76924447020622</v>
      </c>
      <c r="AO333">
        <v>14300.932900057809</v>
      </c>
      <c r="AP333">
        <v>19919.79224105944</v>
      </c>
      <c r="AQ333">
        <v>5618.8593410016347</v>
      </c>
      <c r="AR333">
        <v>1.2543093276999999E-2</v>
      </c>
      <c r="AS333">
        <v>202.09139233698599</v>
      </c>
      <c r="AT333">
        <v>109.90722200274411</v>
      </c>
      <c r="AU333">
        <v>9.402939553429432</v>
      </c>
      <c r="AV333">
        <v>241.0868095544065</v>
      </c>
      <c r="AW333">
        <v>335.81020147043898</v>
      </c>
      <c r="AX333">
        <v>94.72339191603254</v>
      </c>
      <c r="AY333">
        <v>1.4181577032612149</v>
      </c>
      <c r="AZ333" t="str">
        <f>VLOOKUP(BA333,Sheet1!$A$1:$B$58,2,FALSE)</f>
        <v>Benzoate (PW1)</v>
      </c>
      <c r="BA333" t="s">
        <v>100</v>
      </c>
      <c r="BB333" t="s">
        <v>101</v>
      </c>
      <c r="BC333">
        <v>121.1121</v>
      </c>
      <c r="BD333">
        <v>4.1428571428571432</v>
      </c>
      <c r="BE333">
        <v>249.2</v>
      </c>
      <c r="BF333" t="s">
        <v>191</v>
      </c>
      <c r="BG333">
        <v>0.82125107860807034</v>
      </c>
      <c r="BH333">
        <v>0.215982274741507</v>
      </c>
      <c r="BI333">
        <v>0.42145294163542302</v>
      </c>
      <c r="BJ333">
        <v>90</v>
      </c>
      <c r="BK333">
        <v>885.32409960264181</v>
      </c>
      <c r="BL333">
        <v>249.72708182229491</v>
      </c>
      <c r="BM333">
        <v>2.9175549083351462</v>
      </c>
      <c r="BN333">
        <v>495.98433441697478</v>
      </c>
      <c r="BO333">
        <v>389.33976518566698</v>
      </c>
    </row>
    <row r="334" spans="1:67" x14ac:dyDescent="0.25">
      <c r="A334" s="1">
        <v>332</v>
      </c>
      <c r="B334" t="s">
        <v>189</v>
      </c>
      <c r="C334" t="s">
        <v>190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67</v>
      </c>
      <c r="J334">
        <v>1.44</v>
      </c>
      <c r="K334">
        <v>500</v>
      </c>
      <c r="L334">
        <v>100</v>
      </c>
      <c r="N334" t="s">
        <v>68</v>
      </c>
      <c r="O334">
        <v>0</v>
      </c>
      <c r="P334">
        <v>0.2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51229.825650240033</v>
      </c>
      <c r="Z334">
        <v>256149128.2512002</v>
      </c>
      <c r="AA334">
        <v>368854744.68172818</v>
      </c>
      <c r="AB334">
        <v>368854.74468172819</v>
      </c>
      <c r="AC334">
        <v>0</v>
      </c>
      <c r="AD334">
        <v>2654.7986160412588</v>
      </c>
      <c r="AE334">
        <v>955727.50177485333</v>
      </c>
      <c r="AF334">
        <v>955727.50177485333</v>
      </c>
      <c r="AG334">
        <v>59.318603645258833</v>
      </c>
      <c r="AH334">
        <v>84.123134706222572</v>
      </c>
      <c r="AI334">
        <v>84.123134706222572</v>
      </c>
      <c r="AJ334">
        <v>11987.779202156171</v>
      </c>
      <c r="AK334">
        <v>854.70085470085473</v>
      </c>
      <c r="AL334" t="s">
        <v>69</v>
      </c>
      <c r="AM334">
        <v>6519.5429397322496</v>
      </c>
      <c r="AN334">
        <v>557.76924447020747</v>
      </c>
      <c r="AO334">
        <v>14300.93290005784</v>
      </c>
      <c r="AP334">
        <v>19919.79224105948</v>
      </c>
      <c r="AQ334">
        <v>5618.8593410016474</v>
      </c>
      <c r="AR334">
        <v>1.2543093276999999E-2</v>
      </c>
      <c r="AS334">
        <v>202.09139233698599</v>
      </c>
      <c r="AT334">
        <v>109.90722200274411</v>
      </c>
      <c r="AU334">
        <v>9.402939553429432</v>
      </c>
      <c r="AV334">
        <v>241.0868095544065</v>
      </c>
      <c r="AW334">
        <v>335.81020147043898</v>
      </c>
      <c r="AX334">
        <v>94.723391916032512</v>
      </c>
      <c r="AY334">
        <v>1.4181577032612149</v>
      </c>
      <c r="AZ334" t="str">
        <f>VLOOKUP(BA334,Sheet1!$A$1:$B$58,2,FALSE)</f>
        <v>Benzoate (PW2)</v>
      </c>
      <c r="BA334" t="s">
        <v>102</v>
      </c>
      <c r="BB334" t="s">
        <v>101</v>
      </c>
      <c r="BC334">
        <v>121.1121</v>
      </c>
      <c r="BD334">
        <v>4.1428571428571432</v>
      </c>
      <c r="BE334">
        <v>249.2</v>
      </c>
      <c r="BF334" t="s">
        <v>191</v>
      </c>
      <c r="BG334">
        <v>0.82125107860807212</v>
      </c>
      <c r="BH334">
        <v>0.215982274741506</v>
      </c>
      <c r="BI334">
        <v>0.42145294163542202</v>
      </c>
      <c r="BJ334">
        <v>90</v>
      </c>
      <c r="BK334">
        <v>885.32409960264363</v>
      </c>
      <c r="BL334">
        <v>249.72708182229539</v>
      </c>
      <c r="BM334">
        <v>2.9175549083351542</v>
      </c>
      <c r="BN334">
        <v>495.98433441697608</v>
      </c>
      <c r="BO334">
        <v>389.33976518566749</v>
      </c>
    </row>
    <row r="335" spans="1:67" x14ac:dyDescent="0.25">
      <c r="A335" s="1">
        <v>333</v>
      </c>
      <c r="B335" t="s">
        <v>189</v>
      </c>
      <c r="C335" t="s">
        <v>190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67</v>
      </c>
      <c r="J335">
        <v>1.44</v>
      </c>
      <c r="K335">
        <v>500</v>
      </c>
      <c r="L335">
        <v>100</v>
      </c>
      <c r="N335" t="s">
        <v>68</v>
      </c>
      <c r="O335">
        <v>0</v>
      </c>
      <c r="P335">
        <v>0.2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70343.997592670246</v>
      </c>
      <c r="Z335">
        <v>351719987.96335119</v>
      </c>
      <c r="AA335">
        <v>506476782.66722578</v>
      </c>
      <c r="AB335">
        <v>506476.78266722581</v>
      </c>
      <c r="AC335">
        <v>0</v>
      </c>
      <c r="AD335">
        <v>3645.3207694052662</v>
      </c>
      <c r="AE335">
        <v>1312315.476985896</v>
      </c>
      <c r="AF335">
        <v>1312315.476985896</v>
      </c>
      <c r="AG335">
        <v>81.450749813416479</v>
      </c>
      <c r="AH335">
        <v>115.51000828429861</v>
      </c>
      <c r="AI335">
        <v>115.51000828429861</v>
      </c>
      <c r="AJ335">
        <v>16460.49543668484</v>
      </c>
      <c r="AK335">
        <v>854.70085470085473</v>
      </c>
      <c r="AL335" t="s">
        <v>69</v>
      </c>
      <c r="AM335">
        <v>8952.025642033137</v>
      </c>
      <c r="AN335">
        <v>765.87647707705889</v>
      </c>
      <c r="AO335">
        <v>19636.701408330751</v>
      </c>
      <c r="AP335">
        <v>27033.098410495892</v>
      </c>
      <c r="AQ335">
        <v>7396.397002165133</v>
      </c>
      <c r="AR335">
        <v>1.2543093276999999E-2</v>
      </c>
      <c r="AS335">
        <v>202.09139233698599</v>
      </c>
      <c r="AT335">
        <v>109.90722200274411</v>
      </c>
      <c r="AU335">
        <v>9.4029395534294338</v>
      </c>
      <c r="AV335">
        <v>241.08680955440661</v>
      </c>
      <c r="AW335">
        <v>331.89502211363339</v>
      </c>
      <c r="AX335">
        <v>90.808212559226888</v>
      </c>
      <c r="AY335">
        <v>1.4181577032612149</v>
      </c>
      <c r="AZ335" t="str">
        <f>VLOOKUP(BA335,Sheet1!$A$1:$B$58,2,FALSE)</f>
        <v>Benzyl Alcohol</v>
      </c>
      <c r="BA335" t="s">
        <v>103</v>
      </c>
      <c r="BB335" t="s">
        <v>104</v>
      </c>
      <c r="BC335">
        <v>108.13661999999999</v>
      </c>
      <c r="BD335">
        <v>4.8571428571428568</v>
      </c>
      <c r="BE335">
        <v>205</v>
      </c>
      <c r="BF335" t="s">
        <v>191</v>
      </c>
      <c r="BG335">
        <v>1.7715071627114991</v>
      </c>
      <c r="BH335">
        <v>0.17616867469879499</v>
      </c>
      <c r="BI335">
        <v>0.30693394544886099</v>
      </c>
      <c r="BJ335">
        <v>90</v>
      </c>
      <c r="BK335">
        <v>1201.4710404664841</v>
      </c>
      <c r="BL335">
        <v>328.72875565178367</v>
      </c>
      <c r="BM335">
        <v>3.362270983257325</v>
      </c>
      <c r="BN335">
        <v>571.58606715374526</v>
      </c>
      <c r="BO335">
        <v>629.88497331273857</v>
      </c>
    </row>
    <row r="336" spans="1:67" x14ac:dyDescent="0.25">
      <c r="A336" s="1">
        <v>334</v>
      </c>
      <c r="B336" t="s">
        <v>189</v>
      </c>
      <c r="C336" t="s">
        <v>190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67</v>
      </c>
      <c r="J336">
        <v>1.44</v>
      </c>
      <c r="K336">
        <v>500</v>
      </c>
      <c r="L336">
        <v>100</v>
      </c>
      <c r="N336" t="s">
        <v>68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76721.639455906814</v>
      </c>
      <c r="Z336">
        <v>383608197.2795341</v>
      </c>
      <c r="AA336">
        <v>552395804.08252907</v>
      </c>
      <c r="AB336">
        <v>552395.80408252904</v>
      </c>
      <c r="AC336">
        <v>0</v>
      </c>
      <c r="AD336">
        <v>3975.8187669530662</v>
      </c>
      <c r="AE336">
        <v>1431294.756103104</v>
      </c>
      <c r="AF336">
        <v>1431294.756103104</v>
      </c>
      <c r="AG336">
        <v>88.835370101987934</v>
      </c>
      <c r="AH336">
        <v>125.9825644321952</v>
      </c>
      <c r="AI336">
        <v>125.9825644321952</v>
      </c>
      <c r="AJ336">
        <v>17952.863632682191</v>
      </c>
      <c r="AK336">
        <v>854.70085470085473</v>
      </c>
      <c r="AL336" t="s">
        <v>69</v>
      </c>
      <c r="AM336">
        <v>9763.6487434951287</v>
      </c>
      <c r="AN336">
        <v>835.31361527552474</v>
      </c>
      <c r="AO336">
        <v>21417.03595347318</v>
      </c>
      <c r="AP336">
        <v>29406.526846153702</v>
      </c>
      <c r="AQ336">
        <v>7989.4908926805183</v>
      </c>
      <c r="AR336">
        <v>1.2543093276999999E-2</v>
      </c>
      <c r="AS336">
        <v>202.09139233698599</v>
      </c>
      <c r="AT336">
        <v>109.90722200274421</v>
      </c>
      <c r="AU336">
        <v>9.4029395534294338</v>
      </c>
      <c r="AV336">
        <v>241.0868095544065</v>
      </c>
      <c r="AW336">
        <v>331.02273128815</v>
      </c>
      <c r="AX336">
        <v>89.93592173374347</v>
      </c>
      <c r="AY336">
        <v>1.4181577032612149</v>
      </c>
      <c r="AZ336" t="str">
        <f>VLOOKUP(BA336,Sheet1!$A$1:$B$58,2,FALSE)</f>
        <v>Beta Carotene</v>
      </c>
      <c r="BA336" t="s">
        <v>105</v>
      </c>
      <c r="BB336" t="s">
        <v>106</v>
      </c>
      <c r="BC336">
        <v>536.86703999999997</v>
      </c>
      <c r="BD336">
        <v>5.4</v>
      </c>
      <c r="BE336">
        <v>633</v>
      </c>
      <c r="BF336" t="s">
        <v>191</v>
      </c>
      <c r="BG336">
        <v>1.760281655412836</v>
      </c>
      <c r="BH336">
        <v>3.2534482758620697E-2</v>
      </c>
      <c r="BI336">
        <v>0.28141943880346998</v>
      </c>
      <c r="BJ336">
        <v>90</v>
      </c>
      <c r="BK336">
        <v>1306.956748717942</v>
      </c>
      <c r="BL336">
        <v>355.08848411913431</v>
      </c>
      <c r="BM336">
        <v>3.838943430462507</v>
      </c>
      <c r="BN336">
        <v>652.62038317862607</v>
      </c>
      <c r="BO336">
        <v>654.33636553931638</v>
      </c>
    </row>
    <row r="337" spans="1:67" x14ac:dyDescent="0.25">
      <c r="A337" s="1">
        <v>335</v>
      </c>
      <c r="B337" t="s">
        <v>189</v>
      </c>
      <c r="C337" t="s">
        <v>190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67</v>
      </c>
      <c r="J337">
        <v>1.44</v>
      </c>
      <c r="K337">
        <v>500</v>
      </c>
      <c r="L337">
        <v>100</v>
      </c>
      <c r="N337" t="s">
        <v>68</v>
      </c>
      <c r="O337">
        <v>0</v>
      </c>
      <c r="P337">
        <v>0.2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81752.910231317277</v>
      </c>
      <c r="Z337">
        <v>408764551.15658629</v>
      </c>
      <c r="AA337">
        <v>588620953.66548431</v>
      </c>
      <c r="AB337">
        <v>588620.95366548433</v>
      </c>
      <c r="AC337">
        <v>66773.504273504266</v>
      </c>
      <c r="AD337">
        <v>4236.546000004384</v>
      </c>
      <c r="AE337">
        <v>1525156.5600015779</v>
      </c>
      <c r="AF337">
        <v>1525156.5600015779</v>
      </c>
      <c r="AG337">
        <v>94.661038121944372</v>
      </c>
      <c r="AH337">
        <v>134.24428041133891</v>
      </c>
      <c r="AI337">
        <v>134.24428041133891</v>
      </c>
      <c r="AJ337">
        <v>19130.180994128241</v>
      </c>
      <c r="AK337">
        <v>2170.1388888888891</v>
      </c>
      <c r="AL337" t="s">
        <v>107</v>
      </c>
      <c r="AM337">
        <v>10403.931731878771</v>
      </c>
      <c r="AN337">
        <v>890.09201952552201</v>
      </c>
      <c r="AO337">
        <v>22821.527669927611</v>
      </c>
      <c r="AP337">
        <v>32594.34363442141</v>
      </c>
      <c r="AQ337">
        <v>9772.8159644937987</v>
      </c>
      <c r="AR337">
        <v>1.2543093276999999E-2</v>
      </c>
      <c r="AS337">
        <v>202.09139233698599</v>
      </c>
      <c r="AT337">
        <v>109.90722200274411</v>
      </c>
      <c r="AU337">
        <v>9.402939553429432</v>
      </c>
      <c r="AV337">
        <v>241.0868095544065</v>
      </c>
      <c r="AW337">
        <v>344.32691930161047</v>
      </c>
      <c r="AX337">
        <v>103.240109747204</v>
      </c>
      <c r="AY337">
        <v>1.418157703261214</v>
      </c>
      <c r="AZ337" t="str">
        <f>VLOOKUP(BA337,Sheet1!$A$1:$B$58,2,FALSE)</f>
        <v>Butane</v>
      </c>
      <c r="BA337" t="s">
        <v>108</v>
      </c>
      <c r="BB337" t="s">
        <v>109</v>
      </c>
      <c r="BC337">
        <v>58.121200000000002</v>
      </c>
      <c r="BD337">
        <v>6.5</v>
      </c>
      <c r="BE337">
        <v>-1</v>
      </c>
      <c r="BF337" t="s">
        <v>191</v>
      </c>
      <c r="BG337">
        <v>2.340931501131843</v>
      </c>
      <c r="BH337">
        <v>0.28202702702702698</v>
      </c>
      <c r="BI337">
        <v>0.26410020950535601</v>
      </c>
      <c r="BJ337">
        <v>90</v>
      </c>
      <c r="BK337">
        <v>1448.637494863174</v>
      </c>
      <c r="BL337">
        <v>434.34737619972418</v>
      </c>
      <c r="BM337">
        <v>3.62548096159433</v>
      </c>
      <c r="BN337">
        <v>616.33176347103597</v>
      </c>
      <c r="BO337">
        <v>832.30573139213777</v>
      </c>
    </row>
    <row r="338" spans="1:67" x14ac:dyDescent="0.25">
      <c r="A338" s="1">
        <v>336</v>
      </c>
      <c r="B338" t="s">
        <v>189</v>
      </c>
      <c r="C338" t="s">
        <v>190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67</v>
      </c>
      <c r="J338">
        <v>1.44</v>
      </c>
      <c r="K338">
        <v>500</v>
      </c>
      <c r="L338">
        <v>100</v>
      </c>
      <c r="N338" t="s">
        <v>68</v>
      </c>
      <c r="O338">
        <v>0</v>
      </c>
      <c r="P338">
        <v>0.2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55415.176217586108</v>
      </c>
      <c r="Z338">
        <v>277075881.08793062</v>
      </c>
      <c r="AA338">
        <v>398989268.76661998</v>
      </c>
      <c r="AB338">
        <v>398989.26876662002</v>
      </c>
      <c r="AC338">
        <v>0</v>
      </c>
      <c r="AD338">
        <v>2871.6891237251521</v>
      </c>
      <c r="AE338">
        <v>1033808.084541055</v>
      </c>
      <c r="AF338">
        <v>1033808.084541055</v>
      </c>
      <c r="AG338">
        <v>64.164787450682311</v>
      </c>
      <c r="AH338">
        <v>90.995787601303647</v>
      </c>
      <c r="AI338">
        <v>90.995787601303647</v>
      </c>
      <c r="AJ338">
        <v>12967.151234915151</v>
      </c>
      <c r="AK338">
        <v>854.70085470085473</v>
      </c>
      <c r="AL338" t="s">
        <v>69</v>
      </c>
      <c r="AM338">
        <v>7052.1735391010316</v>
      </c>
      <c r="AN338">
        <v>603.33761785741319</v>
      </c>
      <c r="AO338">
        <v>15469.28389222162</v>
      </c>
      <c r="AP338">
        <v>21477.363246574449</v>
      </c>
      <c r="AQ338">
        <v>6008.0793543528334</v>
      </c>
      <c r="AR338">
        <v>1.2543093276999999E-2</v>
      </c>
      <c r="AS338">
        <v>202.0913923369859</v>
      </c>
      <c r="AT338">
        <v>109.90722200274411</v>
      </c>
      <c r="AU338">
        <v>9.4029395534294338</v>
      </c>
      <c r="AV338">
        <v>241.0868095544065</v>
      </c>
      <c r="AW338">
        <v>334.72195732093968</v>
      </c>
      <c r="AX338">
        <v>93.63514776653318</v>
      </c>
      <c r="AY338">
        <v>1.4181577032612149</v>
      </c>
      <c r="AZ338" t="str">
        <f>VLOOKUP(BA338,Sheet1!$A$1:$B$58,2,FALSE)</f>
        <v>Butanol (PW1)</v>
      </c>
      <c r="BA338" t="s">
        <v>110</v>
      </c>
      <c r="BB338" t="s">
        <v>111</v>
      </c>
      <c r="BC338">
        <v>74.120199999999997</v>
      </c>
      <c r="BD338">
        <v>6</v>
      </c>
      <c r="BE338">
        <v>117.7</v>
      </c>
      <c r="BF338" t="s">
        <v>191</v>
      </c>
      <c r="BG338">
        <v>1.264772800333811</v>
      </c>
      <c r="BH338">
        <v>0.326259541984732</v>
      </c>
      <c r="BI338">
        <v>0.38962180026256998</v>
      </c>
      <c r="BJ338">
        <v>90</v>
      </c>
      <c r="BK338">
        <v>954.54947762553104</v>
      </c>
      <c r="BL338">
        <v>267.02574908234811</v>
      </c>
      <c r="BM338">
        <v>2.7794844263907961</v>
      </c>
      <c r="BN338">
        <v>472.51235248643519</v>
      </c>
      <c r="BO338">
        <v>482.03712513909579</v>
      </c>
    </row>
    <row r="339" spans="1:67" x14ac:dyDescent="0.25">
      <c r="A339" s="1">
        <v>337</v>
      </c>
      <c r="B339" t="s">
        <v>189</v>
      </c>
      <c r="C339" t="s">
        <v>190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67</v>
      </c>
      <c r="J339">
        <v>1.44</v>
      </c>
      <c r="K339">
        <v>500</v>
      </c>
      <c r="L339">
        <v>100</v>
      </c>
      <c r="N339" t="s">
        <v>68</v>
      </c>
      <c r="O339">
        <v>0</v>
      </c>
      <c r="P339">
        <v>0.2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63029.475239849788</v>
      </c>
      <c r="Z339">
        <v>315147376.19924903</v>
      </c>
      <c r="AA339">
        <v>453812221.72691852</v>
      </c>
      <c r="AB339">
        <v>453812.22172691848</v>
      </c>
      <c r="AC339">
        <v>0</v>
      </c>
      <c r="AD339">
        <v>3266.2723620995971</v>
      </c>
      <c r="AE339">
        <v>1175858.0503558549</v>
      </c>
      <c r="AF339">
        <v>1175858.0503558549</v>
      </c>
      <c r="AG339">
        <v>72.981323130928644</v>
      </c>
      <c r="AH339">
        <v>103.4990255923224</v>
      </c>
      <c r="AI339">
        <v>103.4990255923224</v>
      </c>
      <c r="AJ339">
        <v>14748.89720612485</v>
      </c>
      <c r="AK339">
        <v>854.70085470085473</v>
      </c>
      <c r="AL339" t="s">
        <v>69</v>
      </c>
      <c r="AM339">
        <v>8021.1744834049832</v>
      </c>
      <c r="AN339">
        <v>686.23896992942343</v>
      </c>
      <c r="AO339">
        <v>17594.8343506948</v>
      </c>
      <c r="AP339">
        <v>24311.011514160109</v>
      </c>
      <c r="AQ339">
        <v>6716.1771634653087</v>
      </c>
      <c r="AR339">
        <v>1.2543093276999999E-2</v>
      </c>
      <c r="AS339">
        <v>202.09139233698599</v>
      </c>
      <c r="AT339">
        <v>109.90722200274421</v>
      </c>
      <c r="AU339">
        <v>9.4029395534294338</v>
      </c>
      <c r="AV339">
        <v>241.08680955440661</v>
      </c>
      <c r="AW339">
        <v>333.1127810679194</v>
      </c>
      <c r="AX339">
        <v>92.025971513512815</v>
      </c>
      <c r="AY339">
        <v>1.4181577032612149</v>
      </c>
      <c r="AZ339" t="str">
        <f>VLOOKUP(BA339,Sheet1!$A$1:$B$58,2,FALSE)</f>
        <v>Butanol (PW2)</v>
      </c>
      <c r="BA339" t="s">
        <v>112</v>
      </c>
      <c r="BB339" t="s">
        <v>111</v>
      </c>
      <c r="BC339">
        <v>74.120199999999997</v>
      </c>
      <c r="BD339">
        <v>6</v>
      </c>
      <c r="BE339">
        <v>117.7</v>
      </c>
      <c r="BF339" t="s">
        <v>191</v>
      </c>
      <c r="BG339">
        <v>1.764902642293571</v>
      </c>
      <c r="BH339">
        <v>0.28684563758389298</v>
      </c>
      <c r="BI339">
        <v>0.34255339486172298</v>
      </c>
      <c r="BJ339">
        <v>90</v>
      </c>
      <c r="BK339">
        <v>1080.4894006293389</v>
      </c>
      <c r="BL339">
        <v>298.4967628206806</v>
      </c>
      <c r="BM339">
        <v>2.835054050698536</v>
      </c>
      <c r="BN339">
        <v>481.95918861875111</v>
      </c>
      <c r="BO339">
        <v>598.53021201058755</v>
      </c>
    </row>
    <row r="340" spans="1:67" x14ac:dyDescent="0.25">
      <c r="A340" s="1">
        <v>338</v>
      </c>
      <c r="B340" t="s">
        <v>189</v>
      </c>
      <c r="C340" t="s">
        <v>190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67</v>
      </c>
      <c r="J340">
        <v>1.44</v>
      </c>
      <c r="K340">
        <v>500</v>
      </c>
      <c r="L340">
        <v>100</v>
      </c>
      <c r="N340" t="s">
        <v>68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41039.517158638417</v>
      </c>
      <c r="Z340">
        <v>205197585.79319209</v>
      </c>
      <c r="AA340">
        <v>295484523.54219657</v>
      </c>
      <c r="AB340">
        <v>295484.52354219649</v>
      </c>
      <c r="AC340">
        <v>0</v>
      </c>
      <c r="AD340">
        <v>2126.7230948548881</v>
      </c>
      <c r="AE340">
        <v>765620.31414775958</v>
      </c>
      <c r="AF340">
        <v>765620.31414775958</v>
      </c>
      <c r="AG340">
        <v>47.519327290833068</v>
      </c>
      <c r="AH340">
        <v>67.389900051285807</v>
      </c>
      <c r="AI340">
        <v>67.389900051285807</v>
      </c>
      <c r="AJ340">
        <v>9603.2470151213874</v>
      </c>
      <c r="AK340">
        <v>854.70085470085473</v>
      </c>
      <c r="AL340" t="s">
        <v>69</v>
      </c>
      <c r="AM340">
        <v>5222.7172539746498</v>
      </c>
      <c r="AN340">
        <v>446.82136213533289</v>
      </c>
      <c r="AO340">
        <v>11456.28300871859</v>
      </c>
      <c r="AP340">
        <v>16127.48648593223</v>
      </c>
      <c r="AQ340">
        <v>4671.2034772136394</v>
      </c>
      <c r="AR340">
        <v>1.2543093276999999E-2</v>
      </c>
      <c r="AS340">
        <v>202.0913923369859</v>
      </c>
      <c r="AT340">
        <v>109.90722200274421</v>
      </c>
      <c r="AU340">
        <v>9.402939553429432</v>
      </c>
      <c r="AV340">
        <v>241.08680955440661</v>
      </c>
      <c r="AW340">
        <v>339.38793761172138</v>
      </c>
      <c r="AX340">
        <v>98.301128057314884</v>
      </c>
      <c r="AY340">
        <v>1.4181577032612149</v>
      </c>
      <c r="AZ340" t="str">
        <f>VLOOKUP(BA340,Sheet1!$A$1:$B$58,2,FALSE)</f>
        <v>Butyrate</v>
      </c>
      <c r="BA340" t="s">
        <v>113</v>
      </c>
      <c r="BB340" t="s">
        <v>114</v>
      </c>
      <c r="BC340">
        <v>87.095680000000002</v>
      </c>
      <c r="BD340">
        <v>4.75</v>
      </c>
      <c r="BE340">
        <v>163.5</v>
      </c>
      <c r="BF340" t="s">
        <v>191</v>
      </c>
      <c r="BG340">
        <v>0.67437234670536328</v>
      </c>
      <c r="BH340">
        <v>0.37491228070175497</v>
      </c>
      <c r="BI340">
        <v>0.52610172376793596</v>
      </c>
      <c r="BJ340">
        <v>90</v>
      </c>
      <c r="BK340">
        <v>716.77717715254335</v>
      </c>
      <c r="BL340">
        <v>207.60904343171731</v>
      </c>
      <c r="BM340">
        <v>2.3207343222406722</v>
      </c>
      <c r="BN340">
        <v>394.52483478091432</v>
      </c>
      <c r="BO340">
        <v>322.25234237162908</v>
      </c>
    </row>
    <row r="341" spans="1:67" x14ac:dyDescent="0.25">
      <c r="A341" s="1">
        <v>339</v>
      </c>
      <c r="B341" t="s">
        <v>189</v>
      </c>
      <c r="C341" t="s">
        <v>190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67</v>
      </c>
      <c r="J341">
        <v>1.44</v>
      </c>
      <c r="K341">
        <v>500</v>
      </c>
      <c r="L341">
        <v>100</v>
      </c>
      <c r="N341" t="s">
        <v>68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47110.14162832134</v>
      </c>
      <c r="Z341">
        <v>235550708.14160669</v>
      </c>
      <c r="AA341">
        <v>339193019.72391373</v>
      </c>
      <c r="AB341">
        <v>339193.01972391369</v>
      </c>
      <c r="AC341">
        <v>0</v>
      </c>
      <c r="AD341">
        <v>2441.3110372509968</v>
      </c>
      <c r="AE341">
        <v>878871.97341035877</v>
      </c>
      <c r="AF341">
        <v>878871.97341035877</v>
      </c>
      <c r="AG341">
        <v>54.54845460535563</v>
      </c>
      <c r="AH341">
        <v>77.35831109957978</v>
      </c>
      <c r="AI341">
        <v>77.35831109957978</v>
      </c>
      <c r="AJ341">
        <v>11023.773141027201</v>
      </c>
      <c r="AK341">
        <v>854.70085470085473</v>
      </c>
      <c r="AL341" t="s">
        <v>69</v>
      </c>
      <c r="AM341">
        <v>5995.2691102174331</v>
      </c>
      <c r="AN341">
        <v>512.9158213871483</v>
      </c>
      <c r="AO341">
        <v>13150.91288692856</v>
      </c>
      <c r="AP341">
        <v>18386.658927332632</v>
      </c>
      <c r="AQ341">
        <v>5235.7460404040676</v>
      </c>
      <c r="AR341">
        <v>1.2543093276999999E-2</v>
      </c>
      <c r="AS341">
        <v>202.09139233698599</v>
      </c>
      <c r="AT341">
        <v>109.90722200274411</v>
      </c>
      <c r="AU341">
        <v>9.402939553429432</v>
      </c>
      <c r="AV341">
        <v>241.08680955440661</v>
      </c>
      <c r="AW341">
        <v>337.07020776950498</v>
      </c>
      <c r="AX341">
        <v>95.983398215098418</v>
      </c>
      <c r="AY341">
        <v>1.4181577032612149</v>
      </c>
      <c r="AZ341" t="str">
        <f>VLOOKUP(BA341,Sheet1!$A$1:$B$58,2,FALSE)</f>
        <v>Catechol</v>
      </c>
      <c r="BA341" t="s">
        <v>115</v>
      </c>
      <c r="BB341" t="s">
        <v>116</v>
      </c>
      <c r="BC341">
        <v>110.10924</v>
      </c>
      <c r="BD341">
        <v>4.333333333333333</v>
      </c>
      <c r="BE341">
        <v>245</v>
      </c>
      <c r="BF341" t="s">
        <v>191</v>
      </c>
      <c r="BG341">
        <v>0.69617057837321394</v>
      </c>
      <c r="BH341">
        <v>0.25833922261484099</v>
      </c>
      <c r="BI341">
        <v>0.45830812588310199</v>
      </c>
      <c r="BJ341">
        <v>90</v>
      </c>
      <c r="BK341">
        <v>817.18484121478355</v>
      </c>
      <c r="BL341">
        <v>232.6998240179586</v>
      </c>
      <c r="BM341">
        <v>2.741976581608109</v>
      </c>
      <c r="BN341">
        <v>466.13601887337859</v>
      </c>
      <c r="BO341">
        <v>351.04882234140501</v>
      </c>
    </row>
    <row r="342" spans="1:67" x14ac:dyDescent="0.25">
      <c r="A342" s="1">
        <v>340</v>
      </c>
      <c r="B342" t="s">
        <v>189</v>
      </c>
      <c r="C342" t="s">
        <v>190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67</v>
      </c>
      <c r="J342">
        <v>1.44</v>
      </c>
      <c r="K342">
        <v>500</v>
      </c>
      <c r="L342">
        <v>100</v>
      </c>
      <c r="N342" t="s">
        <v>68</v>
      </c>
      <c r="O342">
        <v>0</v>
      </c>
      <c r="P342">
        <v>0.2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37420.173870151397</v>
      </c>
      <c r="Z342">
        <v>187100869.350757</v>
      </c>
      <c r="AA342">
        <v>269425251.86509007</v>
      </c>
      <c r="AB342">
        <v>269425.25186508999</v>
      </c>
      <c r="AC342">
        <v>0</v>
      </c>
      <c r="AD342">
        <v>1939.1638472623961</v>
      </c>
      <c r="AE342">
        <v>698098.98501446249</v>
      </c>
      <c r="AF342">
        <v>698098.98501446249</v>
      </c>
      <c r="AG342">
        <v>43.328518767461041</v>
      </c>
      <c r="AH342">
        <v>61.446672660972993</v>
      </c>
      <c r="AI342">
        <v>61.446672660972993</v>
      </c>
      <c r="AJ342">
        <v>8756.3206856154266</v>
      </c>
      <c r="AK342">
        <v>854.70085470085473</v>
      </c>
      <c r="AL342" t="s">
        <v>69</v>
      </c>
      <c r="AM342">
        <v>4762.1171312254064</v>
      </c>
      <c r="AN342">
        <v>407.41544291006892</v>
      </c>
      <c r="AO342">
        <v>10445.93435236541</v>
      </c>
      <c r="AP342">
        <v>14780.554114451759</v>
      </c>
      <c r="AQ342">
        <v>4334.6197620863504</v>
      </c>
      <c r="AR342">
        <v>1.2543093276999999E-2</v>
      </c>
      <c r="AS342">
        <v>202.09139233698599</v>
      </c>
      <c r="AT342">
        <v>109.90722200274411</v>
      </c>
      <c r="AU342">
        <v>9.4029395534294338</v>
      </c>
      <c r="AV342">
        <v>241.0868095544065</v>
      </c>
      <c r="AW342">
        <v>341.12761144172089</v>
      </c>
      <c r="AX342">
        <v>100.0408018873144</v>
      </c>
      <c r="AY342">
        <v>1.4181577032612149</v>
      </c>
      <c r="AZ342" t="str">
        <f>VLOOKUP(BA342,Sheet1!$A$1:$B$58,2,FALSE)</f>
        <v>cis,cis-Muconate</v>
      </c>
      <c r="BA342" t="s">
        <v>117</v>
      </c>
      <c r="BB342" t="s">
        <v>118</v>
      </c>
      <c r="BC342">
        <v>140.09155999999999</v>
      </c>
      <c r="BD342">
        <v>3.333333333333333</v>
      </c>
      <c r="BE342">
        <v>345.4</v>
      </c>
      <c r="BF342" t="s">
        <v>191</v>
      </c>
      <c r="BG342">
        <v>0.57295836454256066</v>
      </c>
      <c r="BH342">
        <v>0.25562937062937102</v>
      </c>
      <c r="BI342">
        <v>0.57698718329541798</v>
      </c>
      <c r="BJ342">
        <v>90</v>
      </c>
      <c r="BK342">
        <v>656.91351619785598</v>
      </c>
      <c r="BL342">
        <v>192.64976720383791</v>
      </c>
      <c r="BM342">
        <v>2.158004864834016</v>
      </c>
      <c r="BN342">
        <v>366.86082702178271</v>
      </c>
      <c r="BO342">
        <v>290.05268917607327</v>
      </c>
    </row>
    <row r="343" spans="1:67" x14ac:dyDescent="0.25">
      <c r="A343" s="1">
        <v>341</v>
      </c>
      <c r="B343" t="s">
        <v>189</v>
      </c>
      <c r="C343" t="s">
        <v>190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67</v>
      </c>
      <c r="J343">
        <v>1.44</v>
      </c>
      <c r="K343">
        <v>500</v>
      </c>
      <c r="L343">
        <v>100</v>
      </c>
      <c r="N343" t="s">
        <v>68</v>
      </c>
      <c r="O343">
        <v>0</v>
      </c>
      <c r="P343">
        <v>0.2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19919.585850623229</v>
      </c>
      <c r="Z343">
        <v>99597929.253116131</v>
      </c>
      <c r="AA343">
        <v>143421018.12448719</v>
      </c>
      <c r="AB343">
        <v>143421.01812448719</v>
      </c>
      <c r="AC343">
        <v>0</v>
      </c>
      <c r="AD343">
        <v>1032.2597876751081</v>
      </c>
      <c r="AE343">
        <v>371613.52356303902</v>
      </c>
      <c r="AF343">
        <v>371613.52356303902</v>
      </c>
      <c r="AG343">
        <v>23.064728463413939</v>
      </c>
      <c r="AH343">
        <v>32.709422344018691</v>
      </c>
      <c r="AI343">
        <v>32.709422344018691</v>
      </c>
      <c r="AJ343">
        <v>4661.183089045835</v>
      </c>
      <c r="AK343">
        <v>854.70085470085473</v>
      </c>
      <c r="AL343" t="s">
        <v>69</v>
      </c>
      <c r="AM343">
        <v>2534.9802316614491</v>
      </c>
      <c r="AN343">
        <v>216.8762475577447</v>
      </c>
      <c r="AO343">
        <v>5560.6017984831778</v>
      </c>
      <c r="AP343">
        <v>8267.7404229658841</v>
      </c>
      <c r="AQ343">
        <v>2707.1386244827058</v>
      </c>
      <c r="AR343">
        <v>1.2543093276999999E-2</v>
      </c>
      <c r="AS343">
        <v>202.09139233698599</v>
      </c>
      <c r="AT343">
        <v>109.90722200274421</v>
      </c>
      <c r="AU343">
        <v>9.4029395534294355</v>
      </c>
      <c r="AV343">
        <v>241.08680955440661</v>
      </c>
      <c r="AW343">
        <v>358.45817287987819</v>
      </c>
      <c r="AX343">
        <v>117.37136332547171</v>
      </c>
      <c r="AY343">
        <v>1.4181577032612149</v>
      </c>
      <c r="AZ343" t="str">
        <f>VLOOKUP(BA343,Sheet1!$A$1:$B$58,2,FALSE)</f>
        <v>Citrate</v>
      </c>
      <c r="BA343" t="s">
        <v>119</v>
      </c>
      <c r="BB343" t="s">
        <v>120</v>
      </c>
      <c r="BC343">
        <v>189.09639999999999</v>
      </c>
      <c r="BD343">
        <v>2.5</v>
      </c>
      <c r="BF343" t="s">
        <v>191</v>
      </c>
      <c r="BG343">
        <v>-8.805286667795803E-2</v>
      </c>
      <c r="BH343">
        <v>0.35576642335766401</v>
      </c>
      <c r="BI343">
        <v>1.08390610536152</v>
      </c>
      <c r="BJ343">
        <v>90</v>
      </c>
      <c r="BK343">
        <v>367.4551299095948</v>
      </c>
      <c r="BL343">
        <v>120.3172721992314</v>
      </c>
      <c r="BM343">
        <v>1.541804970856566</v>
      </c>
      <c r="BN343">
        <v>262.1068450456163</v>
      </c>
      <c r="BO343">
        <v>105.34828486397851</v>
      </c>
    </row>
    <row r="344" spans="1:67" x14ac:dyDescent="0.25">
      <c r="A344" s="1">
        <v>342</v>
      </c>
      <c r="B344" t="s">
        <v>189</v>
      </c>
      <c r="C344" t="s">
        <v>190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67</v>
      </c>
      <c r="J344">
        <v>1.44</v>
      </c>
      <c r="K344">
        <v>500</v>
      </c>
      <c r="L344">
        <v>100</v>
      </c>
      <c r="N344" t="s">
        <v>68</v>
      </c>
      <c r="O344">
        <v>0</v>
      </c>
      <c r="P344">
        <v>0.2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47130.437494861253</v>
      </c>
      <c r="Z344">
        <v>235652187.47430629</v>
      </c>
      <c r="AA344">
        <v>339339149.96300101</v>
      </c>
      <c r="AB344">
        <v>339339.14996300102</v>
      </c>
      <c r="AC344">
        <v>0</v>
      </c>
      <c r="AD344">
        <v>2442.3627964111661</v>
      </c>
      <c r="AE344">
        <v>879250.60670801986</v>
      </c>
      <c r="AF344">
        <v>879250.60670801986</v>
      </c>
      <c r="AG344">
        <v>54.571955026206908</v>
      </c>
      <c r="AH344">
        <v>77.391638402439909</v>
      </c>
      <c r="AI344">
        <v>77.391638402439909</v>
      </c>
      <c r="AJ344">
        <v>11028.52237379753</v>
      </c>
      <c r="AK344">
        <v>854.70085470085473</v>
      </c>
      <c r="AL344" t="s">
        <v>69</v>
      </c>
      <c r="AM344">
        <v>5997.851976189093</v>
      </c>
      <c r="AN344">
        <v>513.13679442389309</v>
      </c>
      <c r="AO344">
        <v>13156.578528414781</v>
      </c>
      <c r="AP344">
        <v>18394.211999111369</v>
      </c>
      <c r="AQ344">
        <v>5237.6334706965881</v>
      </c>
      <c r="AR344">
        <v>1.2543093276999999E-2</v>
      </c>
      <c r="AS344">
        <v>202.09139233698599</v>
      </c>
      <c r="AT344">
        <v>109.90722200274411</v>
      </c>
      <c r="AU344">
        <v>9.4029395534294338</v>
      </c>
      <c r="AV344">
        <v>241.0868095544065</v>
      </c>
      <c r="AW344">
        <v>337.06346034841482</v>
      </c>
      <c r="AX344">
        <v>95.976650794008293</v>
      </c>
      <c r="AY344">
        <v>1.4181577032612149</v>
      </c>
      <c r="AZ344" t="str">
        <f>VLOOKUP(BA344,Sheet1!$A$1:$B$58,2,FALSE)</f>
        <v>Coumaric Acid</v>
      </c>
      <c r="BA344" t="s">
        <v>121</v>
      </c>
      <c r="BB344" t="s">
        <v>122</v>
      </c>
      <c r="BC344">
        <v>163.14818</v>
      </c>
      <c r="BD344">
        <v>4.1111111111111107</v>
      </c>
      <c r="BE344">
        <v>346</v>
      </c>
      <c r="BF344" t="s">
        <v>191</v>
      </c>
      <c r="BG344">
        <v>0.66787458857698123</v>
      </c>
      <c r="BH344">
        <v>0.17427890345649599</v>
      </c>
      <c r="BI344">
        <v>0.45811076381621901</v>
      </c>
      <c r="BJ344">
        <v>90</v>
      </c>
      <c r="BK344">
        <v>817.52053329383853</v>
      </c>
      <c r="BL344">
        <v>232.7837098087372</v>
      </c>
      <c r="BM344">
        <v>2.7717537848647931</v>
      </c>
      <c r="BN344">
        <v>471.19814342701483</v>
      </c>
      <c r="BO344">
        <v>346.32238986682381</v>
      </c>
    </row>
    <row r="345" spans="1:67" x14ac:dyDescent="0.25">
      <c r="A345" s="1">
        <v>343</v>
      </c>
      <c r="B345" t="s">
        <v>189</v>
      </c>
      <c r="C345" t="s">
        <v>190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67</v>
      </c>
      <c r="J345">
        <v>1.44</v>
      </c>
      <c r="K345">
        <v>500</v>
      </c>
      <c r="L345">
        <v>100</v>
      </c>
      <c r="N345" t="s">
        <v>68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41637.68804623188</v>
      </c>
      <c r="Z345">
        <v>208188440.23115939</v>
      </c>
      <c r="AA345">
        <v>299791353.93286961</v>
      </c>
      <c r="AB345">
        <v>299791.35393286962</v>
      </c>
      <c r="AC345">
        <v>0</v>
      </c>
      <c r="AD345">
        <v>2157.7211165030808</v>
      </c>
      <c r="AE345">
        <v>776779.60194110905</v>
      </c>
      <c r="AF345">
        <v>776779.60194110905</v>
      </c>
      <c r="AG345">
        <v>48.211944557101717</v>
      </c>
      <c r="AH345">
        <v>68.372140562856416</v>
      </c>
      <c r="AI345">
        <v>68.372140562856416</v>
      </c>
      <c r="AJ345">
        <v>9743.2190028182613</v>
      </c>
      <c r="AK345">
        <v>854.70085470085473</v>
      </c>
      <c r="AL345" t="s">
        <v>69</v>
      </c>
      <c r="AM345">
        <v>5298.8408936213718</v>
      </c>
      <c r="AN345">
        <v>453.33400042371858</v>
      </c>
      <c r="AO345">
        <v>11623.26389568559</v>
      </c>
      <c r="AP345">
        <v>16350.094751564209</v>
      </c>
      <c r="AQ345">
        <v>4726.8308558786184</v>
      </c>
      <c r="AR345">
        <v>1.2543093276999999E-2</v>
      </c>
      <c r="AS345">
        <v>202.09139233698599</v>
      </c>
      <c r="AT345">
        <v>109.90722200274411</v>
      </c>
      <c r="AU345">
        <v>9.402939553429432</v>
      </c>
      <c r="AV345">
        <v>241.0868095544065</v>
      </c>
      <c r="AW345">
        <v>339.12954355531798</v>
      </c>
      <c r="AX345">
        <v>98.042734000911537</v>
      </c>
      <c r="AY345">
        <v>1.4181577032612149</v>
      </c>
      <c r="AZ345" t="str">
        <f>VLOOKUP(BA345,Sheet1!$A$1:$B$58,2,FALSE)</f>
        <v>Ethyl Acetate</v>
      </c>
      <c r="BA345" t="s">
        <v>123</v>
      </c>
      <c r="BB345" t="s">
        <v>124</v>
      </c>
      <c r="BC345">
        <v>88.103520000000003</v>
      </c>
      <c r="BD345">
        <v>5</v>
      </c>
      <c r="BE345">
        <v>77.099999999999994</v>
      </c>
      <c r="BF345" t="s">
        <v>191</v>
      </c>
      <c r="BG345">
        <v>0.73678333655874839</v>
      </c>
      <c r="BH345">
        <v>0.36529914529914498</v>
      </c>
      <c r="BI345">
        <v>0.51854369761813401</v>
      </c>
      <c r="BJ345">
        <v>90</v>
      </c>
      <c r="BK345">
        <v>726.67087784729813</v>
      </c>
      <c r="BL345">
        <v>210.0813713723831</v>
      </c>
      <c r="BM345">
        <v>2.3019784662348699</v>
      </c>
      <c r="BN345">
        <v>391.33633925992802</v>
      </c>
      <c r="BO345">
        <v>335.33453858737022</v>
      </c>
    </row>
    <row r="346" spans="1:67" x14ac:dyDescent="0.25">
      <c r="A346" s="1">
        <v>344</v>
      </c>
      <c r="B346" t="s">
        <v>189</v>
      </c>
      <c r="C346" t="s">
        <v>190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67</v>
      </c>
      <c r="J346">
        <v>1.44</v>
      </c>
      <c r="K346">
        <v>500</v>
      </c>
      <c r="L346">
        <v>100</v>
      </c>
      <c r="N346" t="s">
        <v>68</v>
      </c>
      <c r="O346">
        <v>0</v>
      </c>
      <c r="P346">
        <v>0.2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74606.820413994486</v>
      </c>
      <c r="Z346">
        <v>373034102.06997252</v>
      </c>
      <c r="AA346">
        <v>537169106.98076034</v>
      </c>
      <c r="AB346">
        <v>537169.10698076035</v>
      </c>
      <c r="AC346">
        <v>0</v>
      </c>
      <c r="AD346">
        <v>3866.2259937123822</v>
      </c>
      <c r="AE346">
        <v>1391841.3577364581</v>
      </c>
      <c r="AF346">
        <v>1391841.3577364581</v>
      </c>
      <c r="AG346">
        <v>86.386638119468373</v>
      </c>
      <c r="AH346">
        <v>122.509876307963</v>
      </c>
      <c r="AI346">
        <v>122.509876307963</v>
      </c>
      <c r="AJ346">
        <v>17457.99597687471</v>
      </c>
      <c r="AK346">
        <v>1835.336538461539</v>
      </c>
      <c r="AL346" t="s">
        <v>84</v>
      </c>
      <c r="AM346">
        <v>9494.5154138671314</v>
      </c>
      <c r="AN346">
        <v>812.28833646134387</v>
      </c>
      <c r="AO346">
        <v>20826.678972353711</v>
      </c>
      <c r="AP346">
        <v>29600.136265664729</v>
      </c>
      <c r="AQ346">
        <v>8773.4572933110139</v>
      </c>
      <c r="AR346">
        <v>1.2543093276999999E-2</v>
      </c>
      <c r="AS346">
        <v>202.09139233698599</v>
      </c>
      <c r="AT346">
        <v>109.90722200274411</v>
      </c>
      <c r="AU346">
        <v>9.402939553429432</v>
      </c>
      <c r="AV346">
        <v>241.08680955440661</v>
      </c>
      <c r="AW346">
        <v>342.64716060288418</v>
      </c>
      <c r="AX346">
        <v>101.5603510484777</v>
      </c>
      <c r="AY346">
        <v>1.4181577032612149</v>
      </c>
      <c r="AZ346" t="str">
        <f>VLOOKUP(BA346,Sheet1!$A$1:$B$58,2,FALSE)</f>
        <v>Farnesene</v>
      </c>
      <c r="BA346" t="s">
        <v>125</v>
      </c>
      <c r="BB346" t="s">
        <v>126</v>
      </c>
      <c r="BC346">
        <v>204.34866</v>
      </c>
      <c r="BD346">
        <v>5.6</v>
      </c>
      <c r="BE346" t="s">
        <v>127</v>
      </c>
      <c r="BF346" t="s">
        <v>191</v>
      </c>
      <c r="BG346">
        <v>1.669890117108052</v>
      </c>
      <c r="BH346">
        <v>8.7897838899803502E-2</v>
      </c>
      <c r="BI346">
        <v>0.289396607440913</v>
      </c>
      <c r="BJ346">
        <v>90</v>
      </c>
      <c r="BK346">
        <v>1315.561611807321</v>
      </c>
      <c r="BL346">
        <v>389.93143525826719</v>
      </c>
      <c r="BM346">
        <v>3.7749932743569699</v>
      </c>
      <c r="BN346">
        <v>641.74885664068495</v>
      </c>
      <c r="BO346">
        <v>673.81275516663607</v>
      </c>
    </row>
    <row r="347" spans="1:67" x14ac:dyDescent="0.25">
      <c r="A347" s="1">
        <v>345</v>
      </c>
      <c r="B347" t="s">
        <v>189</v>
      </c>
      <c r="C347" t="s">
        <v>190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67</v>
      </c>
      <c r="J347">
        <v>1.44</v>
      </c>
      <c r="K347">
        <v>500</v>
      </c>
      <c r="L347">
        <v>100</v>
      </c>
      <c r="N347" t="s">
        <v>68</v>
      </c>
      <c r="O347">
        <v>0</v>
      </c>
      <c r="P347">
        <v>0.2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42796.27658113974</v>
      </c>
      <c r="Z347">
        <v>213981382.90569869</v>
      </c>
      <c r="AA347">
        <v>308133191.38420612</v>
      </c>
      <c r="AB347">
        <v>308133.19138420612</v>
      </c>
      <c r="AC347">
        <v>0</v>
      </c>
      <c r="AD347">
        <v>2217.7607360019661</v>
      </c>
      <c r="AE347">
        <v>798393.86496070772</v>
      </c>
      <c r="AF347">
        <v>798393.86496070772</v>
      </c>
      <c r="AG347">
        <v>49.553464915951871</v>
      </c>
      <c r="AH347">
        <v>70.274627993841477</v>
      </c>
      <c r="AI347">
        <v>70.274627993841477</v>
      </c>
      <c r="AJ347">
        <v>10014.328719986701</v>
      </c>
      <c r="AK347">
        <v>1835.336538461539</v>
      </c>
      <c r="AL347" t="s">
        <v>84</v>
      </c>
      <c r="AM347">
        <v>5446.2836695227143</v>
      </c>
      <c r="AN347">
        <v>465.94823526768158</v>
      </c>
      <c r="AO347">
        <v>11946.68675895305</v>
      </c>
      <c r="AP347">
        <v>17761.897163238631</v>
      </c>
      <c r="AQ347">
        <v>5815.2104042855826</v>
      </c>
      <c r="AR347">
        <v>1.2543093276999999E-2</v>
      </c>
      <c r="AS347">
        <v>202.09139233698599</v>
      </c>
      <c r="AT347">
        <v>109.90722200274411</v>
      </c>
      <c r="AU347">
        <v>9.4029395534294355</v>
      </c>
      <c r="AV347">
        <v>241.0868095544065</v>
      </c>
      <c r="AW347">
        <v>358.43905554061189</v>
      </c>
      <c r="AX347">
        <v>117.3522459862054</v>
      </c>
      <c r="AY347">
        <v>1.418157703261214</v>
      </c>
      <c r="AZ347" t="str">
        <f>VLOOKUP(BA347,Sheet1!$A$1:$B$58,2,FALSE)</f>
        <v>Gamma Butyrolactone</v>
      </c>
      <c r="BA347" t="s">
        <v>128</v>
      </c>
      <c r="BB347" t="s">
        <v>129</v>
      </c>
      <c r="BC347">
        <v>86.08784</v>
      </c>
      <c r="BD347">
        <v>4.5</v>
      </c>
      <c r="BE347">
        <v>204</v>
      </c>
      <c r="BF347" t="s">
        <v>191</v>
      </c>
      <c r="BG347">
        <v>0.76609882636555482</v>
      </c>
      <c r="BH347">
        <v>0.36373134328358198</v>
      </c>
      <c r="BI347">
        <v>0.50450558891094199</v>
      </c>
      <c r="BJ347">
        <v>90</v>
      </c>
      <c r="BK347">
        <v>789.41765169949485</v>
      </c>
      <c r="BL347">
        <v>258.45379574602589</v>
      </c>
      <c r="BM347">
        <v>2.3572179733607328</v>
      </c>
      <c r="BN347">
        <v>400.72705547132449</v>
      </c>
      <c r="BO347">
        <v>388.69059622817031</v>
      </c>
    </row>
    <row r="348" spans="1:67" x14ac:dyDescent="0.25">
      <c r="A348" s="1">
        <v>346</v>
      </c>
      <c r="B348" t="s">
        <v>189</v>
      </c>
      <c r="C348" t="s">
        <v>190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67</v>
      </c>
      <c r="J348">
        <v>1.44</v>
      </c>
      <c r="K348">
        <v>500</v>
      </c>
      <c r="L348">
        <v>100</v>
      </c>
      <c r="N348" t="s">
        <v>68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25213.976471444661</v>
      </c>
      <c r="Z348">
        <v>126069882.3572233</v>
      </c>
      <c r="AA348">
        <v>181540630.59440151</v>
      </c>
      <c r="AB348">
        <v>181540.6305944015</v>
      </c>
      <c r="AC348">
        <v>0</v>
      </c>
      <c r="AD348">
        <v>1306.6222457654319</v>
      </c>
      <c r="AE348">
        <v>470384.00847555551</v>
      </c>
      <c r="AF348">
        <v>470384.00847555551</v>
      </c>
      <c r="AG348">
        <v>29.195060839007549</v>
      </c>
      <c r="AH348">
        <v>41.403200426018387</v>
      </c>
      <c r="AI348">
        <v>41.403200426018387</v>
      </c>
      <c r="AJ348">
        <v>5900.0704943180499</v>
      </c>
      <c r="AK348">
        <v>854.70085470085473</v>
      </c>
      <c r="AL348" t="s">
        <v>69</v>
      </c>
      <c r="AM348">
        <v>3208.7480330164249</v>
      </c>
      <c r="AN348">
        <v>274.51939232788283</v>
      </c>
      <c r="AO348">
        <v>7038.5440724231266</v>
      </c>
      <c r="AP348">
        <v>10238.038774363211</v>
      </c>
      <c r="AQ348">
        <v>3199.4947019400861</v>
      </c>
      <c r="AR348">
        <v>1.2543093276999999E-2</v>
      </c>
      <c r="AS348">
        <v>202.09139233698599</v>
      </c>
      <c r="AT348">
        <v>109.90722200274411</v>
      </c>
      <c r="AU348">
        <v>9.4029395534294338</v>
      </c>
      <c r="AV348">
        <v>241.0868095544065</v>
      </c>
      <c r="AW348">
        <v>350.67708304564172</v>
      </c>
      <c r="AX348">
        <v>109.5902734912351</v>
      </c>
      <c r="AY348">
        <v>1.4181577032612149</v>
      </c>
      <c r="AZ348" t="str">
        <f>VLOOKUP(BA348,Sheet1!$A$1:$B$58,2,FALSE)</f>
        <v>L-Glutamate</v>
      </c>
      <c r="BA348" t="s">
        <v>130</v>
      </c>
      <c r="BB348" t="s">
        <v>131</v>
      </c>
      <c r="BC348">
        <v>146.11892</v>
      </c>
      <c r="BD348">
        <v>3.4</v>
      </c>
      <c r="BE348">
        <v>333.8</v>
      </c>
      <c r="BF348" t="s">
        <v>191</v>
      </c>
      <c r="BG348">
        <v>0.1501639430974879</v>
      </c>
      <c r="BH348">
        <v>0.36373134328358198</v>
      </c>
      <c r="BI348">
        <v>0.85630922771010198</v>
      </c>
      <c r="BJ348">
        <v>90</v>
      </c>
      <c r="BK348">
        <v>455.02394552725389</v>
      </c>
      <c r="BL348">
        <v>142.19976453067051</v>
      </c>
      <c r="BM348">
        <v>1.6899782980588851</v>
      </c>
      <c r="BN348">
        <v>287.29631067001048</v>
      </c>
      <c r="BO348">
        <v>167.7276348572434</v>
      </c>
    </row>
    <row r="349" spans="1:67" x14ac:dyDescent="0.25">
      <c r="A349" s="1">
        <v>347</v>
      </c>
      <c r="B349" t="s">
        <v>189</v>
      </c>
      <c r="C349" t="s">
        <v>190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67</v>
      </c>
      <c r="J349">
        <v>1.44</v>
      </c>
      <c r="K349">
        <v>500</v>
      </c>
      <c r="L349">
        <v>100</v>
      </c>
      <c r="N349" t="s">
        <v>68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69</v>
      </c>
      <c r="AM349">
        <v>4687.9292858821564</v>
      </c>
      <c r="AN349">
        <v>401.06841845935242</v>
      </c>
      <c r="AO349">
        <v>10283.199723870541</v>
      </c>
      <c r="AP349">
        <v>14563.60668971646</v>
      </c>
      <c r="AQ349">
        <v>4280.406965845923</v>
      </c>
      <c r="AR349">
        <v>1.2543093276999999E-2</v>
      </c>
      <c r="AS349">
        <v>202.09139233698599</v>
      </c>
      <c r="AT349">
        <v>109.90722200274411</v>
      </c>
      <c r="AU349">
        <v>9.4029395534294338</v>
      </c>
      <c r="AV349">
        <v>241.0868095544065</v>
      </c>
      <c r="AW349">
        <v>341.43978204357938</v>
      </c>
      <c r="AX349">
        <v>100.3529724891729</v>
      </c>
      <c r="AY349">
        <v>1.4181577032612149</v>
      </c>
      <c r="AZ349" t="str">
        <f>VLOOKUP(BA349,Sheet1!$A$1:$B$58,2,FALSE)</f>
        <v>Glutarate</v>
      </c>
      <c r="BA349" t="s">
        <v>132</v>
      </c>
      <c r="BB349" t="s">
        <v>133</v>
      </c>
      <c r="BC349">
        <v>130.09654</v>
      </c>
      <c r="BD349">
        <v>3.6</v>
      </c>
      <c r="BE349">
        <v>200</v>
      </c>
      <c r="BF349" t="s">
        <v>191</v>
      </c>
      <c r="BG349">
        <v>0.72814174383125063</v>
      </c>
      <c r="BH349">
        <v>0.27962500000000201</v>
      </c>
      <c r="BI349">
        <v>0.586118173399784</v>
      </c>
      <c r="BJ349">
        <v>90</v>
      </c>
      <c r="BK349">
        <v>647.27140843184259</v>
      </c>
      <c r="BL349">
        <v>190.24030959315209</v>
      </c>
      <c r="BM349">
        <v>1.9602764846316341</v>
      </c>
      <c r="BN349">
        <v>333.24700238737779</v>
      </c>
      <c r="BO349">
        <v>314.02440604446468</v>
      </c>
    </row>
    <row r="350" spans="1:67" x14ac:dyDescent="0.25">
      <c r="A350" s="1">
        <v>348</v>
      </c>
      <c r="B350" t="s">
        <v>189</v>
      </c>
      <c r="C350" t="s">
        <v>190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67</v>
      </c>
      <c r="J350">
        <v>1.44</v>
      </c>
      <c r="K350">
        <v>500</v>
      </c>
      <c r="L350">
        <v>100</v>
      </c>
      <c r="N350" t="s">
        <v>68</v>
      </c>
      <c r="O350">
        <v>0</v>
      </c>
      <c r="P350">
        <v>0.2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14448.81210815667</v>
      </c>
      <c r="Z350">
        <v>72244060.540783331</v>
      </c>
      <c r="AA350">
        <v>104031447.178728</v>
      </c>
      <c r="AB350">
        <v>104031.44717872801</v>
      </c>
      <c r="AC350">
        <v>0</v>
      </c>
      <c r="AD350">
        <v>748.75691848064639</v>
      </c>
      <c r="AE350">
        <v>269552.49065303273</v>
      </c>
      <c r="AF350">
        <v>269552.49065303273</v>
      </c>
      <c r="AG350">
        <v>16.730163487967019</v>
      </c>
      <c r="AH350">
        <v>23.726010227279939</v>
      </c>
      <c r="AI350">
        <v>23.726010227279939</v>
      </c>
      <c r="AJ350">
        <v>3381.02203330866</v>
      </c>
      <c r="AK350">
        <v>854.70085470085473</v>
      </c>
      <c r="AL350" t="s">
        <v>69</v>
      </c>
      <c r="AM350">
        <v>1838.7657926141951</v>
      </c>
      <c r="AN350">
        <v>157.31271599634599</v>
      </c>
      <c r="AO350">
        <v>4033.4217386375899</v>
      </c>
      <c r="AP350">
        <v>6231.801396620056</v>
      </c>
      <c r="AQ350">
        <v>2198.3796579824661</v>
      </c>
      <c r="AR350">
        <v>1.2543093276999999E-2</v>
      </c>
      <c r="AS350">
        <v>202.09139233698599</v>
      </c>
      <c r="AT350">
        <v>109.90722200274411</v>
      </c>
      <c r="AU350">
        <v>9.4029395534294338</v>
      </c>
      <c r="AV350">
        <v>241.0868095544065</v>
      </c>
      <c r="AW350">
        <v>372.48897185626481</v>
      </c>
      <c r="AX350">
        <v>131.40216230185831</v>
      </c>
      <c r="AY350">
        <v>1.4181577032612149</v>
      </c>
      <c r="AZ350" t="str">
        <f>VLOOKUP(BA350,Sheet1!$A$1:$B$58,2,FALSE)</f>
        <v>Glycolate</v>
      </c>
      <c r="BA350" t="s">
        <v>134</v>
      </c>
      <c r="BB350" t="s">
        <v>135</v>
      </c>
      <c r="BC350">
        <v>75.041920000000005</v>
      </c>
      <c r="BD350">
        <v>2.5</v>
      </c>
      <c r="BE350">
        <v>112</v>
      </c>
      <c r="BF350" t="s">
        <v>191</v>
      </c>
      <c r="BG350">
        <v>-0.22390338155512171</v>
      </c>
      <c r="BH350">
        <v>1.2359259259259301</v>
      </c>
      <c r="BI350">
        <v>1.49430697542083</v>
      </c>
      <c r="BJ350">
        <v>90</v>
      </c>
      <c r="BK350">
        <v>276.96895096089139</v>
      </c>
      <c r="BL350">
        <v>97.705762576998467</v>
      </c>
      <c r="BM350">
        <v>1.278392724989786</v>
      </c>
      <c r="BN350">
        <v>217.3267632482636</v>
      </c>
      <c r="BO350">
        <v>59.642187712627823</v>
      </c>
    </row>
    <row r="351" spans="1:67" x14ac:dyDescent="0.25">
      <c r="A351" s="1">
        <v>349</v>
      </c>
      <c r="B351" t="s">
        <v>189</v>
      </c>
      <c r="C351" t="s">
        <v>190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67</v>
      </c>
      <c r="J351">
        <v>1.44</v>
      </c>
      <c r="K351">
        <v>500</v>
      </c>
      <c r="L351">
        <v>100</v>
      </c>
      <c r="N351" t="s">
        <v>68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77915.552998405372</v>
      </c>
      <c r="Z351">
        <v>389577764.99202693</v>
      </c>
      <c r="AA351">
        <v>560991981.58851862</v>
      </c>
      <c r="AB351">
        <v>560991.9815885186</v>
      </c>
      <c r="AC351">
        <v>0</v>
      </c>
      <c r="AD351">
        <v>4037.6889759586129</v>
      </c>
      <c r="AE351">
        <v>1453568.0313451011</v>
      </c>
      <c r="AF351">
        <v>1453568.0313451011</v>
      </c>
      <c r="AG351">
        <v>90.21779300339881</v>
      </c>
      <c r="AH351">
        <v>127.94305811899579</v>
      </c>
      <c r="AI351">
        <v>127.94305811899579</v>
      </c>
      <c r="AJ351">
        <v>18232.239401626859</v>
      </c>
      <c r="AK351">
        <v>854.70085470085473</v>
      </c>
      <c r="AL351" t="s">
        <v>69</v>
      </c>
      <c r="AM351">
        <v>9915.5870042221723</v>
      </c>
      <c r="AN351">
        <v>848.31245425476789</v>
      </c>
      <c r="AO351">
        <v>21750.319880229279</v>
      </c>
      <c r="AP351">
        <v>29850.83971480465</v>
      </c>
      <c r="AQ351">
        <v>8100.5198345753706</v>
      </c>
      <c r="AR351">
        <v>1.2543093276999999E-2</v>
      </c>
      <c r="AS351">
        <v>202.09139233698599</v>
      </c>
      <c r="AT351">
        <v>109.90722200274421</v>
      </c>
      <c r="AU351">
        <v>9.4029395534294338</v>
      </c>
      <c r="AV351">
        <v>241.0868095544065</v>
      </c>
      <c r="AW351">
        <v>330.87530431696632</v>
      </c>
      <c r="AX351">
        <v>89.788494762559736</v>
      </c>
      <c r="AY351">
        <v>1.4181577032612149</v>
      </c>
      <c r="AZ351" t="str">
        <f>VLOOKUP(BA351,Sheet1!$A$1:$B$58,2,FALSE)</f>
        <v>Heptane</v>
      </c>
      <c r="BA351" t="s">
        <v>136</v>
      </c>
      <c r="BB351" t="s">
        <v>137</v>
      </c>
      <c r="BC351">
        <v>100.20034</v>
      </c>
      <c r="BD351">
        <v>6.2857142857142856</v>
      </c>
      <c r="BE351">
        <v>98</v>
      </c>
      <c r="BF351" t="s">
        <v>191</v>
      </c>
      <c r="BG351">
        <v>2.0431851573527142</v>
      </c>
      <c r="BH351">
        <v>0.17164658634538199</v>
      </c>
      <c r="BI351">
        <v>0.27710719989634602</v>
      </c>
      <c r="BJ351">
        <v>90</v>
      </c>
      <c r="BK351">
        <v>1326.7039873246511</v>
      </c>
      <c r="BL351">
        <v>360.02310375890539</v>
      </c>
      <c r="BM351">
        <v>3.6431729812693199</v>
      </c>
      <c r="BN351">
        <v>619.3394068157844</v>
      </c>
      <c r="BO351">
        <v>707.36458050886665</v>
      </c>
    </row>
    <row r="352" spans="1:67" x14ac:dyDescent="0.25">
      <c r="A352" s="1">
        <v>350</v>
      </c>
      <c r="B352" t="s">
        <v>189</v>
      </c>
      <c r="C352" t="s">
        <v>190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67</v>
      </c>
      <c r="J352">
        <v>1.44</v>
      </c>
      <c r="K352">
        <v>500</v>
      </c>
      <c r="L352">
        <v>100</v>
      </c>
      <c r="N352" t="s">
        <v>68</v>
      </c>
      <c r="O352">
        <v>0</v>
      </c>
      <c r="P352">
        <v>0.2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76375.468771914573</v>
      </c>
      <c r="Z352">
        <v>381877343.85957289</v>
      </c>
      <c r="AA352">
        <v>549903375.15778494</v>
      </c>
      <c r="AB352">
        <v>549903.3751577849</v>
      </c>
      <c r="AC352">
        <v>0</v>
      </c>
      <c r="AD352">
        <v>3957.8797355175311</v>
      </c>
      <c r="AE352">
        <v>1424836.7047863109</v>
      </c>
      <c r="AF352">
        <v>1424836.7047863109</v>
      </c>
      <c r="AG352">
        <v>88.434541847417293</v>
      </c>
      <c r="AH352">
        <v>125.41412675529109</v>
      </c>
      <c r="AI352">
        <v>125.41412675529109</v>
      </c>
      <c r="AJ352">
        <v>17871.859692628012</v>
      </c>
      <c r="AK352">
        <v>854.70085470085473</v>
      </c>
      <c r="AL352" t="s">
        <v>69</v>
      </c>
      <c r="AM352">
        <v>9719.5948235350606</v>
      </c>
      <c r="AN352">
        <v>831.54465142649042</v>
      </c>
      <c r="AO352">
        <v>21320.401548399492</v>
      </c>
      <c r="AP352">
        <v>29277.700022290421</v>
      </c>
      <c r="AQ352">
        <v>7957.2984738909327</v>
      </c>
      <c r="AR352">
        <v>1.2543093276999999E-2</v>
      </c>
      <c r="AS352">
        <v>202.09139233698599</v>
      </c>
      <c r="AT352">
        <v>109.90722200274411</v>
      </c>
      <c r="AU352">
        <v>9.4029395534294338</v>
      </c>
      <c r="AV352">
        <v>241.0868095544065</v>
      </c>
      <c r="AW352">
        <v>331.066339132569</v>
      </c>
      <c r="AX352">
        <v>89.97952957816247</v>
      </c>
      <c r="AY352">
        <v>1.4181577032612149</v>
      </c>
      <c r="AZ352" t="str">
        <f>VLOOKUP(BA352,Sheet1!$A$1:$B$58,2,FALSE)</f>
        <v>Hexane</v>
      </c>
      <c r="BA352" t="s">
        <v>138</v>
      </c>
      <c r="BB352" t="s">
        <v>139</v>
      </c>
      <c r="BC352">
        <v>86.173959999999994</v>
      </c>
      <c r="BD352">
        <v>6.333333333333333</v>
      </c>
      <c r="BE352">
        <v>69</v>
      </c>
      <c r="BF352" t="s">
        <v>191</v>
      </c>
      <c r="BG352">
        <v>1.9523015572327249</v>
      </c>
      <c r="BH352">
        <v>0.20360975609756099</v>
      </c>
      <c r="BI352">
        <v>0.282694968252726</v>
      </c>
      <c r="BJ352">
        <v>90</v>
      </c>
      <c r="BK352">
        <v>1301.231112101796</v>
      </c>
      <c r="BL352">
        <v>353.65770995070812</v>
      </c>
      <c r="BM352">
        <v>3.621659631891323</v>
      </c>
      <c r="BN352">
        <v>615.682137421525</v>
      </c>
      <c r="BO352">
        <v>685.54897468027127</v>
      </c>
    </row>
    <row r="353" spans="1:67" x14ac:dyDescent="0.25">
      <c r="A353" s="1">
        <v>351</v>
      </c>
      <c r="B353" t="s">
        <v>189</v>
      </c>
      <c r="C353" t="s">
        <v>190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67</v>
      </c>
      <c r="J353">
        <v>1.44</v>
      </c>
      <c r="K353">
        <v>500</v>
      </c>
      <c r="L353">
        <v>100</v>
      </c>
      <c r="N353" t="s">
        <v>68</v>
      </c>
      <c r="O353">
        <v>0</v>
      </c>
      <c r="P353">
        <v>0.2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49033.474790998996</v>
      </c>
      <c r="Z353">
        <v>245167373.95499501</v>
      </c>
      <c r="AA353">
        <v>353041018.49519283</v>
      </c>
      <c r="AB353">
        <v>353041.01849519281</v>
      </c>
      <c r="AC353">
        <v>0</v>
      </c>
      <c r="AD353">
        <v>2540.9807541327868</v>
      </c>
      <c r="AE353">
        <v>914753.07148780336</v>
      </c>
      <c r="AF353">
        <v>914753.07148780336</v>
      </c>
      <c r="AG353">
        <v>56.775466626313452</v>
      </c>
      <c r="AH353">
        <v>80.516565352356466</v>
      </c>
      <c r="AI353">
        <v>80.516565352356466</v>
      </c>
      <c r="AJ353">
        <v>11473.833101093771</v>
      </c>
      <c r="AK353">
        <v>854.70085470085473</v>
      </c>
      <c r="AL353" t="s">
        <v>69</v>
      </c>
      <c r="AM353">
        <v>6240.0338148076262</v>
      </c>
      <c r="AN353">
        <v>533.85628080497554</v>
      </c>
      <c r="AO353">
        <v>13687.816109900599</v>
      </c>
      <c r="AP353">
        <v>19102.42405140723</v>
      </c>
      <c r="AQ353">
        <v>5414.607941506627</v>
      </c>
      <c r="AR353">
        <v>1.2543093276999999E-2</v>
      </c>
      <c r="AS353">
        <v>202.09139233698599</v>
      </c>
      <c r="AT353">
        <v>109.90722200274421</v>
      </c>
      <c r="AU353">
        <v>9.4029395534294338</v>
      </c>
      <c r="AV353">
        <v>241.08680955440661</v>
      </c>
      <c r="AW353">
        <v>336.45560638252721</v>
      </c>
      <c r="AX353">
        <v>95.368796828120566</v>
      </c>
      <c r="AY353">
        <v>1.4181577032612149</v>
      </c>
      <c r="AZ353" t="str">
        <f>VLOOKUP(BA353,Sheet1!$A$1:$B$58,2,FALSE)</f>
        <v>Isobutanol</v>
      </c>
      <c r="BA353" t="s">
        <v>140</v>
      </c>
      <c r="BB353" t="s">
        <v>141</v>
      </c>
      <c r="BC353">
        <v>86.130899999999997</v>
      </c>
      <c r="BD353">
        <v>5.6</v>
      </c>
      <c r="BE353">
        <v>108</v>
      </c>
      <c r="BF353" t="s">
        <v>191</v>
      </c>
      <c r="BG353">
        <v>1.1767988993920631</v>
      </c>
      <c r="BH353">
        <v>0.31730496453900697</v>
      </c>
      <c r="BI353">
        <v>0.44033103531399898</v>
      </c>
      <c r="BJ353">
        <v>90</v>
      </c>
      <c r="BK353">
        <v>848.99662450698781</v>
      </c>
      <c r="BL353">
        <v>240.64924184473901</v>
      </c>
      <c r="BM353">
        <v>2.4017151162682251</v>
      </c>
      <c r="BN353">
        <v>408.29156976559818</v>
      </c>
      <c r="BO353">
        <v>440.70505474138957</v>
      </c>
    </row>
    <row r="354" spans="1:67" x14ac:dyDescent="0.25">
      <c r="A354" s="1">
        <v>352</v>
      </c>
      <c r="B354" t="s">
        <v>189</v>
      </c>
      <c r="C354" t="s">
        <v>190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67</v>
      </c>
      <c r="J354">
        <v>1.44</v>
      </c>
      <c r="K354">
        <v>500</v>
      </c>
      <c r="L354">
        <v>100</v>
      </c>
      <c r="N354" t="s">
        <v>68</v>
      </c>
      <c r="O354">
        <v>0</v>
      </c>
      <c r="P354">
        <v>0.2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43331.774498934617</v>
      </c>
      <c r="Z354">
        <v>216658872.4946731</v>
      </c>
      <c r="AA354">
        <v>311988776.39232922</v>
      </c>
      <c r="AB354">
        <v>311988.77639232919</v>
      </c>
      <c r="AC354">
        <v>0</v>
      </c>
      <c r="AD354">
        <v>2245.510959880547</v>
      </c>
      <c r="AE354">
        <v>808383.94555699674</v>
      </c>
      <c r="AF354">
        <v>808383.94555699674</v>
      </c>
      <c r="AG354">
        <v>50.173513653876597</v>
      </c>
      <c r="AH354">
        <v>71.153954887926858</v>
      </c>
      <c r="AI354">
        <v>71.153954887926858</v>
      </c>
      <c r="AJ354">
        <v>10139.635232750699</v>
      </c>
      <c r="AK354">
        <v>854.70085470085473</v>
      </c>
      <c r="AL354" t="s">
        <v>69</v>
      </c>
      <c r="AM354">
        <v>5514.4315038143313</v>
      </c>
      <c r="AN354">
        <v>471.77851607056812</v>
      </c>
      <c r="AO354">
        <v>12096.172330947569</v>
      </c>
      <c r="AP354">
        <v>16980.546107336449</v>
      </c>
      <c r="AQ354">
        <v>4884.3737763888876</v>
      </c>
      <c r="AR354">
        <v>1.2543093276999999E-2</v>
      </c>
      <c r="AS354">
        <v>202.09139233698599</v>
      </c>
      <c r="AT354">
        <v>109.90722200274411</v>
      </c>
      <c r="AU354">
        <v>9.4029395534294338</v>
      </c>
      <c r="AV354">
        <v>241.0868095544065</v>
      </c>
      <c r="AW354">
        <v>338.43645522769702</v>
      </c>
      <c r="AX354">
        <v>97.349645673290496</v>
      </c>
      <c r="AY354">
        <v>1.4181577032612149</v>
      </c>
      <c r="AZ354" t="str">
        <f>VLOOKUP(BA354,Sheet1!$A$1:$B$58,2,FALSE)</f>
        <v>Isobutyrate</v>
      </c>
      <c r="BA354" t="s">
        <v>142</v>
      </c>
      <c r="BB354" t="s">
        <v>114</v>
      </c>
      <c r="BC354">
        <v>87.095680000000002</v>
      </c>
      <c r="BD354">
        <v>4.75</v>
      </c>
      <c r="BE354">
        <v>155</v>
      </c>
      <c r="BF354" t="s">
        <v>191</v>
      </c>
      <c r="BG354">
        <v>0.82493463720398164</v>
      </c>
      <c r="BH354">
        <v>0.35507936507936499</v>
      </c>
      <c r="BI354">
        <v>0.49827086403521997</v>
      </c>
      <c r="BJ354">
        <v>90</v>
      </c>
      <c r="BK354">
        <v>754.69093810384243</v>
      </c>
      <c r="BL354">
        <v>217.08327895061731</v>
      </c>
      <c r="BM354">
        <v>2.3374633578149902</v>
      </c>
      <c r="BN354">
        <v>397.36877082854818</v>
      </c>
      <c r="BO354">
        <v>357.32216727529419</v>
      </c>
    </row>
    <row r="355" spans="1:67" x14ac:dyDescent="0.25">
      <c r="A355" s="1">
        <v>353</v>
      </c>
      <c r="B355" t="s">
        <v>189</v>
      </c>
      <c r="C355" t="s">
        <v>190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67</v>
      </c>
      <c r="J355">
        <v>1.44</v>
      </c>
      <c r="K355">
        <v>500</v>
      </c>
      <c r="L355">
        <v>100</v>
      </c>
      <c r="N355" t="s">
        <v>68</v>
      </c>
      <c r="O355">
        <v>0</v>
      </c>
      <c r="P355">
        <v>0.2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74753.395699680274</v>
      </c>
      <c r="Z355">
        <v>373766978.49840128</v>
      </c>
      <c r="AA355">
        <v>538224449.03769791</v>
      </c>
      <c r="AB355">
        <v>538224.44903769786</v>
      </c>
      <c r="AC355">
        <v>66773.504273504266</v>
      </c>
      <c r="AD355">
        <v>3873.8217225801932</v>
      </c>
      <c r="AE355">
        <v>1394575.820128869</v>
      </c>
      <c r="AF355">
        <v>1394575.820128869</v>
      </c>
      <c r="AG355">
        <v>86.556356465479269</v>
      </c>
      <c r="AH355">
        <v>122.7505636877431</v>
      </c>
      <c r="AI355">
        <v>122.7505636877431</v>
      </c>
      <c r="AJ355">
        <v>17492.294593725179</v>
      </c>
      <c r="AK355">
        <v>2170.1388888888891</v>
      </c>
      <c r="AL355" t="s">
        <v>107</v>
      </c>
      <c r="AM355">
        <v>9513.1686858000885</v>
      </c>
      <c r="AN355">
        <v>813.88418780999234</v>
      </c>
      <c r="AO355">
        <v>20867.59582691632</v>
      </c>
      <c r="AP355">
        <v>29989.486356224152</v>
      </c>
      <c r="AQ355">
        <v>9121.8905293078278</v>
      </c>
      <c r="AR355">
        <v>1.2543093276999999E-2</v>
      </c>
      <c r="AS355">
        <v>202.09139233698599</v>
      </c>
      <c r="AT355">
        <v>109.90722200274411</v>
      </c>
      <c r="AU355">
        <v>9.402939553429432</v>
      </c>
      <c r="AV355">
        <v>241.0868095544065</v>
      </c>
      <c r="AW355">
        <v>346.47352985779457</v>
      </c>
      <c r="AX355">
        <v>105.3867203033881</v>
      </c>
      <c r="AY355">
        <v>1.4181577032612149</v>
      </c>
      <c r="AZ355" t="str">
        <f>VLOOKUP(BA355,Sheet1!$A$1:$B$58,2,FALSE)</f>
        <v>Isoprene</v>
      </c>
      <c r="BA355" t="s">
        <v>143</v>
      </c>
      <c r="BB355" t="s">
        <v>144</v>
      </c>
      <c r="BC355">
        <v>68.116219999999998</v>
      </c>
      <c r="BD355">
        <v>5.6</v>
      </c>
      <c r="BE355">
        <v>34.07</v>
      </c>
      <c r="BF355" t="s">
        <v>191</v>
      </c>
      <c r="BG355">
        <v>1.679517618503894</v>
      </c>
      <c r="BH355">
        <v>0.26317647058823401</v>
      </c>
      <c r="BI355">
        <v>0.28882916311259699</v>
      </c>
      <c r="BJ355">
        <v>90</v>
      </c>
      <c r="BK355">
        <v>1332.866060276629</v>
      </c>
      <c r="BL355">
        <v>405.41735685812552</v>
      </c>
      <c r="BM355">
        <v>3.776062989840244</v>
      </c>
      <c r="BN355">
        <v>641.93070827284146</v>
      </c>
      <c r="BO355">
        <v>690.93535200378733</v>
      </c>
    </row>
    <row r="356" spans="1:67" x14ac:dyDescent="0.25">
      <c r="A356" s="1">
        <v>354</v>
      </c>
      <c r="B356" t="s">
        <v>189</v>
      </c>
      <c r="C356" t="s">
        <v>190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67</v>
      </c>
      <c r="J356">
        <v>1.44</v>
      </c>
      <c r="K356">
        <v>500</v>
      </c>
      <c r="L356">
        <v>100</v>
      </c>
      <c r="N356" t="s">
        <v>68</v>
      </c>
      <c r="O356">
        <v>0</v>
      </c>
      <c r="P356">
        <v>0.2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56349.225233808611</v>
      </c>
      <c r="Z356">
        <v>281746126.16904312</v>
      </c>
      <c r="AA356">
        <v>405714421.68342203</v>
      </c>
      <c r="AB356">
        <v>405714.42168342188</v>
      </c>
      <c r="AC356">
        <v>0</v>
      </c>
      <c r="AD356">
        <v>2920.092802716993</v>
      </c>
      <c r="AE356">
        <v>1051233.4089781169</v>
      </c>
      <c r="AF356">
        <v>1051233.4089781169</v>
      </c>
      <c r="AG356">
        <v>65.246315304335795</v>
      </c>
      <c r="AH356">
        <v>92.529564658253889</v>
      </c>
      <c r="AI356">
        <v>92.529564658253889</v>
      </c>
      <c r="AJ356">
        <v>13185.718704711209</v>
      </c>
      <c r="AK356">
        <v>854.70085470085473</v>
      </c>
      <c r="AL356" t="s">
        <v>69</v>
      </c>
      <c r="AM356">
        <v>7171.0412610146768</v>
      </c>
      <c r="AN356">
        <v>613.50715889066714</v>
      </c>
      <c r="AO356">
        <v>15730.02599190316</v>
      </c>
      <c r="AP356">
        <v>21824.967979317411</v>
      </c>
      <c r="AQ356">
        <v>6094.9419874142532</v>
      </c>
      <c r="AR356">
        <v>1.2543093276999999E-2</v>
      </c>
      <c r="AS356">
        <v>202.09139233698599</v>
      </c>
      <c r="AT356">
        <v>109.90722200274411</v>
      </c>
      <c r="AU356">
        <v>9.4029395534294338</v>
      </c>
      <c r="AV356">
        <v>241.0868095544065</v>
      </c>
      <c r="AW356">
        <v>334.50115730699491</v>
      </c>
      <c r="AX356">
        <v>93.414347752588384</v>
      </c>
      <c r="AY356">
        <v>1.4181577032612149</v>
      </c>
      <c r="AZ356" t="str">
        <f>VLOOKUP(BA356,Sheet1!$A$1:$B$58,2,FALSE)</f>
        <v>Isopropanol</v>
      </c>
      <c r="BA356" t="s">
        <v>145</v>
      </c>
      <c r="BB356" t="s">
        <v>79</v>
      </c>
      <c r="BC356">
        <v>60.093820000000001</v>
      </c>
      <c r="BD356">
        <v>6</v>
      </c>
      <c r="BE356">
        <v>82.5</v>
      </c>
      <c r="BF356" t="s">
        <v>191</v>
      </c>
      <c r="BG356">
        <v>1.5041204481951249</v>
      </c>
      <c r="BH356">
        <v>0.395740740740741</v>
      </c>
      <c r="BI356">
        <v>0.38316339985468401</v>
      </c>
      <c r="BJ356">
        <v>90</v>
      </c>
      <c r="BK356">
        <v>969.99857685855159</v>
      </c>
      <c r="BL356">
        <v>270.88631055174449</v>
      </c>
      <c r="BM356">
        <v>2.6083046477272691</v>
      </c>
      <c r="BN356">
        <v>443.41179011363567</v>
      </c>
      <c r="BO356">
        <v>526.5867867449158</v>
      </c>
    </row>
    <row r="357" spans="1:67" x14ac:dyDescent="0.25">
      <c r="A357" s="1">
        <v>355</v>
      </c>
      <c r="B357" t="s">
        <v>189</v>
      </c>
      <c r="C357" t="s">
        <v>190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67</v>
      </c>
      <c r="J357">
        <v>1.44</v>
      </c>
      <c r="K357">
        <v>500</v>
      </c>
      <c r="L357">
        <v>100</v>
      </c>
      <c r="N357" t="s">
        <v>68</v>
      </c>
      <c r="O357">
        <v>0</v>
      </c>
      <c r="P357">
        <v>0.2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28764.945917078509</v>
      </c>
      <c r="Z357">
        <v>143824729.58539259</v>
      </c>
      <c r="AA357">
        <v>207107610.6029653</v>
      </c>
      <c r="AB357">
        <v>207107.61060296529</v>
      </c>
      <c r="AC357">
        <v>0</v>
      </c>
      <c r="AD357">
        <v>1490.63826866262</v>
      </c>
      <c r="AE357">
        <v>536629.77671854338</v>
      </c>
      <c r="AF357">
        <v>536629.77671854338</v>
      </c>
      <c r="AG357">
        <v>33.306699838914867</v>
      </c>
      <c r="AH357">
        <v>47.23415294676618</v>
      </c>
      <c r="AI357">
        <v>47.23415294676618</v>
      </c>
      <c r="AJ357">
        <v>6730.9973445963724</v>
      </c>
      <c r="AK357">
        <v>854.70085470085473</v>
      </c>
      <c r="AL357" t="s">
        <v>69</v>
      </c>
      <c r="AM357">
        <v>3660.6468533743791</v>
      </c>
      <c r="AN357">
        <v>313.18088530953429</v>
      </c>
      <c r="AO357">
        <v>8029.8060009502506</v>
      </c>
      <c r="AP357">
        <v>11559.52593798114</v>
      </c>
      <c r="AQ357">
        <v>3529.7199370308908</v>
      </c>
      <c r="AR357">
        <v>1.2543093276999999E-2</v>
      </c>
      <c r="AS357">
        <v>202.09139233698599</v>
      </c>
      <c r="AT357">
        <v>109.90722200274411</v>
      </c>
      <c r="AU357">
        <v>9.4029395534294338</v>
      </c>
      <c r="AV357">
        <v>241.0868095544065</v>
      </c>
      <c r="AW357">
        <v>347.06308322012819</v>
      </c>
      <c r="AX357">
        <v>105.97627366572171</v>
      </c>
      <c r="AY357">
        <v>1.418157703261214</v>
      </c>
      <c r="AZ357" t="str">
        <f>VLOOKUP(BA357,Sheet1!$A$1:$B$58,2,FALSE)</f>
        <v>Itaconate</v>
      </c>
      <c r="BA357" t="s">
        <v>146</v>
      </c>
      <c r="BB357" t="s">
        <v>147</v>
      </c>
      <c r="BC357">
        <v>128.08086</v>
      </c>
      <c r="BD357">
        <v>3.2</v>
      </c>
      <c r="BE357">
        <v>381</v>
      </c>
      <c r="BF357" t="s">
        <v>191</v>
      </c>
      <c r="BG357">
        <v>0.1713120382572883</v>
      </c>
      <c r="BH357">
        <v>0.36373134328358198</v>
      </c>
      <c r="BI357">
        <v>0.75059973281383197</v>
      </c>
      <c r="BJ357">
        <v>90</v>
      </c>
      <c r="BK357">
        <v>513.75670835471738</v>
      </c>
      <c r="BL357">
        <v>156.87644164581741</v>
      </c>
      <c r="BM357">
        <v>1.9279836482656529</v>
      </c>
      <c r="BN357">
        <v>327.75722020516099</v>
      </c>
      <c r="BO357">
        <v>185.99948814955641</v>
      </c>
    </row>
    <row r="358" spans="1:67" x14ac:dyDescent="0.25">
      <c r="A358" s="1">
        <v>356</v>
      </c>
      <c r="B358" t="s">
        <v>189</v>
      </c>
      <c r="C358" t="s">
        <v>190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67</v>
      </c>
      <c r="J358">
        <v>1.44</v>
      </c>
      <c r="K358">
        <v>500</v>
      </c>
      <c r="L358">
        <v>100</v>
      </c>
      <c r="N358" t="s">
        <v>68</v>
      </c>
      <c r="O358">
        <v>0</v>
      </c>
      <c r="P358">
        <v>0.2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74533.53277115144</v>
      </c>
      <c r="Z358">
        <v>372667663.85575718</v>
      </c>
      <c r="AA358">
        <v>536641435.9522903</v>
      </c>
      <c r="AB358">
        <v>536641.43595229031</v>
      </c>
      <c r="AC358">
        <v>0</v>
      </c>
      <c r="AD358">
        <v>3862.4281292784681</v>
      </c>
      <c r="AE358">
        <v>1390474.126540249</v>
      </c>
      <c r="AF358">
        <v>1390474.126540249</v>
      </c>
      <c r="AG358">
        <v>86.301778946462733</v>
      </c>
      <c r="AH358">
        <v>122.38953261807271</v>
      </c>
      <c r="AI358">
        <v>122.38953261807271</v>
      </c>
      <c r="AJ358">
        <v>17440.846668449431</v>
      </c>
      <c r="AK358">
        <v>854.70085470085473</v>
      </c>
      <c r="AL358" t="s">
        <v>69</v>
      </c>
      <c r="AM358">
        <v>9485.188777900632</v>
      </c>
      <c r="AN358">
        <v>811.49041078701794</v>
      </c>
      <c r="AO358">
        <v>20806.22054507236</v>
      </c>
      <c r="AP358">
        <v>28592.226711837939</v>
      </c>
      <c r="AQ358">
        <v>7786.0061667655827</v>
      </c>
      <c r="AR358">
        <v>1.2543093276999999E-2</v>
      </c>
      <c r="AS358">
        <v>202.09139233698599</v>
      </c>
      <c r="AT358">
        <v>109.90722200274411</v>
      </c>
      <c r="AU358">
        <v>9.402939553429432</v>
      </c>
      <c r="AV358">
        <v>241.08680955440661</v>
      </c>
      <c r="AW358">
        <v>331.305183518582</v>
      </c>
      <c r="AX358">
        <v>90.218373964175441</v>
      </c>
      <c r="AY358">
        <v>1.4181577032612149</v>
      </c>
      <c r="AZ358" t="str">
        <f>VLOOKUP(BA358,Sheet1!$A$1:$B$58,2,FALSE)</f>
        <v>Limonene</v>
      </c>
      <c r="BA358" t="s">
        <v>148</v>
      </c>
      <c r="BB358" t="s">
        <v>149</v>
      </c>
      <c r="BC358">
        <v>136.23244</v>
      </c>
      <c r="BD358">
        <v>5.6</v>
      </c>
      <c r="BE358">
        <v>176</v>
      </c>
      <c r="BF358" t="s">
        <v>191</v>
      </c>
      <c r="BG358">
        <v>1.6650763664101349</v>
      </c>
      <c r="BH358">
        <v>0.131976401179941</v>
      </c>
      <c r="BI358">
        <v>0.28968116654360898</v>
      </c>
      <c r="BJ358">
        <v>90</v>
      </c>
      <c r="BK358">
        <v>1270.765631637242</v>
      </c>
      <c r="BL358">
        <v>346.04471852291459</v>
      </c>
      <c r="BM358">
        <v>3.774458416615317</v>
      </c>
      <c r="BN358">
        <v>641.65793082460391</v>
      </c>
      <c r="BO358">
        <v>629.10770081263763</v>
      </c>
    </row>
    <row r="359" spans="1:67" x14ac:dyDescent="0.25">
      <c r="A359" s="1">
        <v>357</v>
      </c>
      <c r="B359" t="s">
        <v>189</v>
      </c>
      <c r="C359" t="s">
        <v>190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67</v>
      </c>
      <c r="J359">
        <v>1.44</v>
      </c>
      <c r="K359">
        <v>500</v>
      </c>
      <c r="L359">
        <v>100</v>
      </c>
      <c r="N359" t="s">
        <v>68</v>
      </c>
      <c r="O359">
        <v>0</v>
      </c>
      <c r="P359">
        <v>0.2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35814.382230567237</v>
      </c>
      <c r="Z359">
        <v>179071911.1528362</v>
      </c>
      <c r="AA359">
        <v>257863552.0600841</v>
      </c>
      <c r="AB359">
        <v>257863.5520600841</v>
      </c>
      <c r="AC359">
        <v>0</v>
      </c>
      <c r="AD359">
        <v>1855.949560110148</v>
      </c>
      <c r="AE359">
        <v>668141.84163965343</v>
      </c>
      <c r="AF359">
        <v>668141.84163965343</v>
      </c>
      <c r="AG359">
        <v>41.46918552561705</v>
      </c>
      <c r="AH359">
        <v>58.809844901122297</v>
      </c>
      <c r="AI359">
        <v>58.809844901122297</v>
      </c>
      <c r="AJ359">
        <v>8380.5654419527345</v>
      </c>
      <c r="AK359">
        <v>854.70085470085473</v>
      </c>
      <c r="AL359" t="s">
        <v>69</v>
      </c>
      <c r="AM359">
        <v>4557.762979836978</v>
      </c>
      <c r="AN359">
        <v>389.93224482732791</v>
      </c>
      <c r="AO359">
        <v>9997.6736331907905</v>
      </c>
      <c r="AP359">
        <v>14182.9615213179</v>
      </c>
      <c r="AQ359">
        <v>4185.2878881271063</v>
      </c>
      <c r="AR359">
        <v>1.2543093276999999E-2</v>
      </c>
      <c r="AS359">
        <v>202.09139233698599</v>
      </c>
      <c r="AT359">
        <v>109.90722200274411</v>
      </c>
      <c r="AU359">
        <v>9.4029395534294338</v>
      </c>
      <c r="AV359">
        <v>241.0868095544065</v>
      </c>
      <c r="AW359">
        <v>342.01205887095512</v>
      </c>
      <c r="AX359">
        <v>100.9252493165485</v>
      </c>
      <c r="AY359">
        <v>1.4181577032612149</v>
      </c>
      <c r="AZ359" t="str">
        <f>VLOOKUP(BA359,Sheet1!$A$1:$B$58,2,FALSE)</f>
        <v>L-Lysine</v>
      </c>
      <c r="BA359" t="s">
        <v>150</v>
      </c>
      <c r="BB359" t="s">
        <v>151</v>
      </c>
      <c r="BC359">
        <v>147.19319999999999</v>
      </c>
      <c r="BD359">
        <v>4.833333333333333</v>
      </c>
      <c r="BF359" t="s">
        <v>191</v>
      </c>
      <c r="BG359">
        <v>0.55842656897338128</v>
      </c>
      <c r="BH359">
        <v>0.25420454545454502</v>
      </c>
      <c r="BI359">
        <v>0.60285727060051797</v>
      </c>
      <c r="BJ359">
        <v>90</v>
      </c>
      <c r="BK359">
        <v>630.35384539190648</v>
      </c>
      <c r="BL359">
        <v>186.01279502787139</v>
      </c>
      <c r="BM359">
        <v>2.055344315520943</v>
      </c>
      <c r="BN359">
        <v>349.40853363856019</v>
      </c>
      <c r="BO359">
        <v>280.94531175334618</v>
      </c>
    </row>
    <row r="360" spans="1:67" x14ac:dyDescent="0.25">
      <c r="A360" s="1">
        <v>358</v>
      </c>
      <c r="B360" t="s">
        <v>189</v>
      </c>
      <c r="C360" t="s">
        <v>190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67</v>
      </c>
      <c r="J360">
        <v>1.44</v>
      </c>
      <c r="K360">
        <v>500</v>
      </c>
      <c r="L360">
        <v>100</v>
      </c>
      <c r="N360" t="s">
        <v>68</v>
      </c>
      <c r="O360">
        <v>0</v>
      </c>
      <c r="P360">
        <v>0.2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17695.405066873769</v>
      </c>
      <c r="Z360">
        <v>88477025.33436887</v>
      </c>
      <c r="AA360">
        <v>127406916.48149119</v>
      </c>
      <c r="AB360">
        <v>127406.91648149119</v>
      </c>
      <c r="AC360">
        <v>0</v>
      </c>
      <c r="AD360">
        <v>916.99974156765211</v>
      </c>
      <c r="AE360">
        <v>330119.9069643548</v>
      </c>
      <c r="AF360">
        <v>330119.9069643548</v>
      </c>
      <c r="AG360">
        <v>20.48936739840871</v>
      </c>
      <c r="AH360">
        <v>29.057154211002501</v>
      </c>
      <c r="AI360">
        <v>29.057154211002501</v>
      </c>
      <c r="AJ360">
        <v>4140.7247856484628</v>
      </c>
      <c r="AK360">
        <v>854.70085470085473</v>
      </c>
      <c r="AL360" t="s">
        <v>69</v>
      </c>
      <c r="AM360">
        <v>2251.9294513526938</v>
      </c>
      <c r="AN360">
        <v>192.6602831352447</v>
      </c>
      <c r="AO360">
        <v>4939.716215870425</v>
      </c>
      <c r="AP360">
        <v>7440.0153748372559</v>
      </c>
      <c r="AQ360">
        <v>2500.2991589668309</v>
      </c>
      <c r="AR360">
        <v>1.2543093276999999E-2</v>
      </c>
      <c r="AS360">
        <v>202.0913923369859</v>
      </c>
      <c r="AT360">
        <v>109.90722200274411</v>
      </c>
      <c r="AU360">
        <v>9.402939553429432</v>
      </c>
      <c r="AV360">
        <v>241.08680955440639</v>
      </c>
      <c r="AW360">
        <v>363.11591422852217</v>
      </c>
      <c r="AX360">
        <v>122.0291046741157</v>
      </c>
      <c r="AY360">
        <v>1.418157703261214</v>
      </c>
      <c r="AZ360" t="str">
        <f>VLOOKUP(BA360,Sheet1!$A$1:$B$58,2,FALSE)</f>
        <v>L-Malate</v>
      </c>
      <c r="BA360" t="s">
        <v>152</v>
      </c>
      <c r="BB360" t="s">
        <v>153</v>
      </c>
      <c r="BC360">
        <v>132.06916000000001</v>
      </c>
      <c r="BD360">
        <v>2.5</v>
      </c>
      <c r="BF360" t="s">
        <v>191</v>
      </c>
      <c r="BG360">
        <v>-0.1706510674164598</v>
      </c>
      <c r="BH360">
        <v>0.57341176470588195</v>
      </c>
      <c r="BI360">
        <v>1.2201450398093601</v>
      </c>
      <c r="BJ360">
        <v>90</v>
      </c>
      <c r="BK360">
        <v>330.6673499927669</v>
      </c>
      <c r="BL360">
        <v>111.1244070651925</v>
      </c>
      <c r="BM360">
        <v>1.462080143461016</v>
      </c>
      <c r="BN360">
        <v>248.5536243883727</v>
      </c>
      <c r="BO360">
        <v>82.113725604394233</v>
      </c>
    </row>
    <row r="361" spans="1:67" x14ac:dyDescent="0.25">
      <c r="A361" s="1">
        <v>359</v>
      </c>
      <c r="B361" t="s">
        <v>189</v>
      </c>
      <c r="C361" t="s">
        <v>190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67</v>
      </c>
      <c r="J361">
        <v>1.44</v>
      </c>
      <c r="K361">
        <v>500</v>
      </c>
      <c r="L361">
        <v>100</v>
      </c>
      <c r="N361" t="s">
        <v>68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18052.24684401595</v>
      </c>
      <c r="Z361">
        <v>90261234.220079765</v>
      </c>
      <c r="AA361">
        <v>129976177.27691481</v>
      </c>
      <c r="AB361">
        <v>129976.1772769149</v>
      </c>
      <c r="AC361">
        <v>0</v>
      </c>
      <c r="AD361">
        <v>935.49176343340127</v>
      </c>
      <c r="AE361">
        <v>336777.03483602451</v>
      </c>
      <c r="AF361">
        <v>336777.03483602451</v>
      </c>
      <c r="AG361">
        <v>20.902551626028021</v>
      </c>
      <c r="AH361">
        <v>29.64311460626687</v>
      </c>
      <c r="AI361">
        <v>29.64311460626687</v>
      </c>
      <c r="AJ361">
        <v>4224.2257614997316</v>
      </c>
      <c r="AK361">
        <v>854.70085470085473</v>
      </c>
      <c r="AL361" t="s">
        <v>69</v>
      </c>
      <c r="AM361">
        <v>2297.3413819856828</v>
      </c>
      <c r="AN361">
        <v>196.5454294519796</v>
      </c>
      <c r="AO361">
        <v>5039.3294830653685</v>
      </c>
      <c r="AP361">
        <v>7572.8134276382498</v>
      </c>
      <c r="AQ361">
        <v>2533.4839445728808</v>
      </c>
      <c r="AR361">
        <v>1.2543093276999999E-2</v>
      </c>
      <c r="AS361">
        <v>202.09139233698599</v>
      </c>
      <c r="AT361">
        <v>109.90722200274421</v>
      </c>
      <c r="AU361">
        <v>9.402939553429432</v>
      </c>
      <c r="AV361">
        <v>241.0868095544065</v>
      </c>
      <c r="AW361">
        <v>362.29133950366719</v>
      </c>
      <c r="AX361">
        <v>121.2045299492607</v>
      </c>
      <c r="AY361">
        <v>1.4181577032612149</v>
      </c>
      <c r="AZ361" t="str">
        <f>VLOOKUP(BA361,Sheet1!$A$1:$B$58,2,FALSE)</f>
        <v>Malonate</v>
      </c>
      <c r="BA361" t="s">
        <v>154</v>
      </c>
      <c r="BB361" t="s">
        <v>155</v>
      </c>
      <c r="BC361">
        <v>102.04378</v>
      </c>
      <c r="BD361">
        <v>2</v>
      </c>
      <c r="BE361">
        <v>199</v>
      </c>
      <c r="BF361" t="s">
        <v>191</v>
      </c>
      <c r="BG361">
        <v>-0.10813107281822359</v>
      </c>
      <c r="BH361">
        <v>0.72746268656716495</v>
      </c>
      <c r="BI361">
        <v>1.19602622910735</v>
      </c>
      <c r="BJ361">
        <v>90</v>
      </c>
      <c r="BK361">
        <v>336.56948567281108</v>
      </c>
      <c r="BL361">
        <v>112.5992864254614</v>
      </c>
      <c r="BM361">
        <v>1.425602833096751</v>
      </c>
      <c r="BN361">
        <v>242.35248162644771</v>
      </c>
      <c r="BO361">
        <v>94.217004046363371</v>
      </c>
    </row>
    <row r="362" spans="1:67" x14ac:dyDescent="0.25">
      <c r="A362" s="1">
        <v>360</v>
      </c>
      <c r="B362" t="s">
        <v>189</v>
      </c>
      <c r="C362" t="s">
        <v>190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67</v>
      </c>
      <c r="J362">
        <v>1.44</v>
      </c>
      <c r="K362">
        <v>500</v>
      </c>
      <c r="L362">
        <v>100</v>
      </c>
      <c r="N362" t="s">
        <v>68</v>
      </c>
      <c r="O362">
        <v>0</v>
      </c>
      <c r="P362">
        <v>0.2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77008.149602815931</v>
      </c>
      <c r="Z362">
        <v>385040748.01407957</v>
      </c>
      <c r="AA362">
        <v>554458677.14027464</v>
      </c>
      <c r="AB362">
        <v>554458.67714027467</v>
      </c>
      <c r="AC362">
        <v>0</v>
      </c>
      <c r="AD362">
        <v>3990.6661089426539</v>
      </c>
      <c r="AE362">
        <v>1436639.799219355</v>
      </c>
      <c r="AF362">
        <v>1436639.799219355</v>
      </c>
      <c r="AG362">
        <v>89.167117899860173</v>
      </c>
      <c r="AH362">
        <v>126.45303512728771</v>
      </c>
      <c r="AI362">
        <v>126.45303512728771</v>
      </c>
      <c r="AJ362">
        <v>18019.90700705893</v>
      </c>
      <c r="AK362">
        <v>854.70085470085473</v>
      </c>
      <c r="AL362" t="s">
        <v>69</v>
      </c>
      <c r="AM362">
        <v>9800.1102223647958</v>
      </c>
      <c r="AN362">
        <v>838.43301976590078</v>
      </c>
      <c r="AO362">
        <v>21497.01597163891</v>
      </c>
      <c r="AP362">
        <v>29513.151103890479</v>
      </c>
      <c r="AQ362">
        <v>8016.1351322515693</v>
      </c>
      <c r="AR362">
        <v>1.2543093276999999E-2</v>
      </c>
      <c r="AS362">
        <v>202.09139233698599</v>
      </c>
      <c r="AT362">
        <v>109.90722200274421</v>
      </c>
      <c r="AU362">
        <v>9.4029395534294338</v>
      </c>
      <c r="AV362">
        <v>241.08680955440661</v>
      </c>
      <c r="AW362">
        <v>330.9869355319463</v>
      </c>
      <c r="AX362">
        <v>89.900125977539744</v>
      </c>
      <c r="AY362">
        <v>1.4181577032612149</v>
      </c>
      <c r="AZ362" t="str">
        <f>VLOOKUP(BA362,Sheet1!$A$1:$B$58,2,FALSE)</f>
        <v>Nonane</v>
      </c>
      <c r="BA362" t="s">
        <v>156</v>
      </c>
      <c r="BB362" t="s">
        <v>157</v>
      </c>
      <c r="BC362">
        <v>128.25309999999999</v>
      </c>
      <c r="BD362">
        <v>6.2222222222222223</v>
      </c>
      <c r="BE362">
        <v>151</v>
      </c>
      <c r="BF362" t="s">
        <v>191</v>
      </c>
      <c r="BG362">
        <v>1.9697782623613771</v>
      </c>
      <c r="BH362">
        <v>0.13568253968253899</v>
      </c>
      <c r="BI362">
        <v>0.28037241293451298</v>
      </c>
      <c r="BJ362">
        <v>90</v>
      </c>
      <c r="BK362">
        <v>1311.695604617355</v>
      </c>
      <c r="BL362">
        <v>356.27267254451408</v>
      </c>
      <c r="BM362">
        <v>3.6503566321847432</v>
      </c>
      <c r="BN362">
        <v>620.56062747140629</v>
      </c>
      <c r="BO362">
        <v>691.13497714594826</v>
      </c>
    </row>
    <row r="363" spans="1:67" x14ac:dyDescent="0.25">
      <c r="A363" s="1">
        <v>361</v>
      </c>
      <c r="B363" t="s">
        <v>189</v>
      </c>
      <c r="C363" t="s">
        <v>190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67</v>
      </c>
      <c r="J363">
        <v>1.44</v>
      </c>
      <c r="K363">
        <v>500</v>
      </c>
      <c r="L363">
        <v>100</v>
      </c>
      <c r="N363" t="s">
        <v>68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75606.764313722539</v>
      </c>
      <c r="Z363">
        <v>378033821.56861269</v>
      </c>
      <c r="AA363">
        <v>544368703.05880225</v>
      </c>
      <c r="AB363">
        <v>544368.70305880229</v>
      </c>
      <c r="AC363">
        <v>0</v>
      </c>
      <c r="AD363">
        <v>3918.0444343848321</v>
      </c>
      <c r="AE363">
        <v>1410495.9963785401</v>
      </c>
      <c r="AF363">
        <v>1410495.9963785401</v>
      </c>
      <c r="AG363">
        <v>87.544465129468847</v>
      </c>
      <c r="AH363">
        <v>124.1518576012391</v>
      </c>
      <c r="AI363">
        <v>124.1518576012391</v>
      </c>
      <c r="AJ363">
        <v>17691.98284941107</v>
      </c>
      <c r="AK363">
        <v>854.70085470085473</v>
      </c>
      <c r="AL363" t="s">
        <v>69</v>
      </c>
      <c r="AM363">
        <v>9621.768964096027</v>
      </c>
      <c r="AN363">
        <v>823.1753138497063</v>
      </c>
      <c r="AO363">
        <v>21105.81579221064</v>
      </c>
      <c r="AP363">
        <v>28991.62798205766</v>
      </c>
      <c r="AQ363">
        <v>7885.8121898470235</v>
      </c>
      <c r="AR363">
        <v>1.2543093276999999E-2</v>
      </c>
      <c r="AS363">
        <v>202.09139233698599</v>
      </c>
      <c r="AT363">
        <v>109.90722200274411</v>
      </c>
      <c r="AU363">
        <v>9.4029395534294338</v>
      </c>
      <c r="AV363">
        <v>241.0868095544065</v>
      </c>
      <c r="AW363">
        <v>331.1646023444448</v>
      </c>
      <c r="AX363">
        <v>90.077792790038274</v>
      </c>
      <c r="AY363">
        <v>1.4181577032612149</v>
      </c>
      <c r="AZ363" t="str">
        <f>VLOOKUP(BA363,Sheet1!$A$1:$B$58,2,FALSE)</f>
        <v>Octane</v>
      </c>
      <c r="BA363" t="s">
        <v>158</v>
      </c>
      <c r="BB363" t="s">
        <v>159</v>
      </c>
      <c r="BC363">
        <v>114.22672</v>
      </c>
      <c r="BD363">
        <v>6.25</v>
      </c>
      <c r="BE363">
        <v>126</v>
      </c>
      <c r="BF363" t="s">
        <v>191</v>
      </c>
      <c r="BG363">
        <v>1.8837864258860491</v>
      </c>
      <c r="BH363">
        <v>0.155167286245354</v>
      </c>
      <c r="BI363">
        <v>0.28556916720009301</v>
      </c>
      <c r="BJ363">
        <v>90</v>
      </c>
      <c r="BK363">
        <v>1288.5167992025631</v>
      </c>
      <c r="BL363">
        <v>350.4805417709789</v>
      </c>
      <c r="BM363">
        <v>3.634073911946798</v>
      </c>
      <c r="BN363">
        <v>617.79256503095553</v>
      </c>
      <c r="BO363">
        <v>670.72423417160712</v>
      </c>
    </row>
    <row r="364" spans="1:67" x14ac:dyDescent="0.25">
      <c r="A364" s="1">
        <v>362</v>
      </c>
      <c r="B364" t="s">
        <v>189</v>
      </c>
      <c r="C364" t="s">
        <v>190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67</v>
      </c>
      <c r="J364">
        <v>1.44</v>
      </c>
      <c r="K364">
        <v>500</v>
      </c>
      <c r="L364">
        <v>100</v>
      </c>
      <c r="N364" t="s">
        <v>68</v>
      </c>
      <c r="O364">
        <v>0</v>
      </c>
      <c r="P364">
        <v>0.2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80098.948562864243</v>
      </c>
      <c r="Z364">
        <v>400494742.81432122</v>
      </c>
      <c r="AA364">
        <v>576712429.65262258</v>
      </c>
      <c r="AB364">
        <v>576712.42965262255</v>
      </c>
      <c r="AC364">
        <v>66773.504273504266</v>
      </c>
      <c r="AD364">
        <v>4150.8354770294964</v>
      </c>
      <c r="AE364">
        <v>1494300.771730619</v>
      </c>
      <c r="AF364">
        <v>1494300.771730619</v>
      </c>
      <c r="AG364">
        <v>92.745929190572141</v>
      </c>
      <c r="AH364">
        <v>131.528353927729</v>
      </c>
      <c r="AI364">
        <v>131.528353927729</v>
      </c>
      <c r="AJ364">
        <v>18743.153963710229</v>
      </c>
      <c r="AK364">
        <v>2170.1388888888891</v>
      </c>
      <c r="AL364" t="s">
        <v>107</v>
      </c>
      <c r="AM364">
        <v>10193.447429399001</v>
      </c>
      <c r="AN364">
        <v>872.08436600559617</v>
      </c>
      <c r="AO364">
        <v>22359.82016771393</v>
      </c>
      <c r="AP364">
        <v>31978.82464800372</v>
      </c>
      <c r="AQ364">
        <v>9619.0044802897864</v>
      </c>
      <c r="AR364">
        <v>1.2543093276999999E-2</v>
      </c>
      <c r="AS364">
        <v>202.09139233698599</v>
      </c>
      <c r="AT364">
        <v>109.90722200274411</v>
      </c>
      <c r="AU364">
        <v>9.402939553429432</v>
      </c>
      <c r="AV364">
        <v>241.08680955440639</v>
      </c>
      <c r="AW364">
        <v>344.80030473676521</v>
      </c>
      <c r="AX364">
        <v>103.7134951823587</v>
      </c>
      <c r="AY364">
        <v>1.4181577032612149</v>
      </c>
      <c r="AZ364" t="str">
        <f>VLOOKUP(BA364,Sheet1!$A$1:$B$58,2,FALSE)</f>
        <v>Pentane</v>
      </c>
      <c r="BA364" t="s">
        <v>160</v>
      </c>
      <c r="BB364" t="s">
        <v>161</v>
      </c>
      <c r="BC364">
        <v>72.147580000000005</v>
      </c>
      <c r="BD364">
        <v>6.4</v>
      </c>
      <c r="BE364">
        <v>36.1</v>
      </c>
      <c r="BF364" t="s">
        <v>191</v>
      </c>
      <c r="BG364">
        <v>2.211139197154945</v>
      </c>
      <c r="BH364">
        <v>0.23188888888888801</v>
      </c>
      <c r="BI364">
        <v>0.26955360971833697</v>
      </c>
      <c r="BJ364">
        <v>90</v>
      </c>
      <c r="BK364">
        <v>1421.2810954668321</v>
      </c>
      <c r="BL364">
        <v>427.51131023510158</v>
      </c>
      <c r="BM364">
        <v>3.634565421855235</v>
      </c>
      <c r="BN364">
        <v>617.8761217153899</v>
      </c>
      <c r="BO364">
        <v>803.40497375144196</v>
      </c>
    </row>
    <row r="365" spans="1:67" x14ac:dyDescent="0.25">
      <c r="A365" s="1">
        <v>363</v>
      </c>
      <c r="B365" t="s">
        <v>189</v>
      </c>
      <c r="C365" t="s">
        <v>190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67</v>
      </c>
      <c r="J365">
        <v>1.44</v>
      </c>
      <c r="K365">
        <v>500</v>
      </c>
      <c r="L365">
        <v>100</v>
      </c>
      <c r="N365" t="s">
        <v>68</v>
      </c>
      <c r="O365">
        <v>0</v>
      </c>
      <c r="P365">
        <v>0.2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57979.723925993203</v>
      </c>
      <c r="Z365">
        <v>289898619.62996602</v>
      </c>
      <c r="AA365">
        <v>417454012.26715112</v>
      </c>
      <c r="AB365">
        <v>417454.01226715097</v>
      </c>
      <c r="AC365">
        <v>0</v>
      </c>
      <c r="AD365">
        <v>3004.587442636745</v>
      </c>
      <c r="AE365">
        <v>1081651.4793492281</v>
      </c>
      <c r="AF365">
        <v>1081651.4793492281</v>
      </c>
      <c r="AG365">
        <v>67.13425664394012</v>
      </c>
      <c r="AH365">
        <v>95.206963212319081</v>
      </c>
      <c r="AI365">
        <v>95.206963212319081</v>
      </c>
      <c r="AJ365">
        <v>13567.25539868241</v>
      </c>
      <c r="AK365">
        <v>854.70085470085473</v>
      </c>
      <c r="AL365" t="s">
        <v>69</v>
      </c>
      <c r="AM365">
        <v>7378.5396489547284</v>
      </c>
      <c r="AN365">
        <v>631.2593571873872</v>
      </c>
      <c r="AO365">
        <v>16185.183746094241</v>
      </c>
      <c r="AP365">
        <v>22431.75525952538</v>
      </c>
      <c r="AQ365">
        <v>6246.5715134311358</v>
      </c>
      <c r="AR365">
        <v>1.2543093276999999E-2</v>
      </c>
      <c r="AS365">
        <v>202.09139233698599</v>
      </c>
      <c r="AT365">
        <v>109.90722200274411</v>
      </c>
      <c r="AU365">
        <v>9.402939553429432</v>
      </c>
      <c r="AV365">
        <v>241.08680955440661</v>
      </c>
      <c r="AW365">
        <v>334.13277186484169</v>
      </c>
      <c r="AX365">
        <v>93.045962310435186</v>
      </c>
      <c r="AY365">
        <v>1.4181577032612149</v>
      </c>
      <c r="AZ365" t="str">
        <f>VLOOKUP(BA365,Sheet1!$A$1:$B$58,2,FALSE)</f>
        <v>Pentanol (PW1)</v>
      </c>
      <c r="BA365" t="s">
        <v>162</v>
      </c>
      <c r="BB365" t="s">
        <v>83</v>
      </c>
      <c r="BC365">
        <v>88.14658</v>
      </c>
      <c r="BD365">
        <v>6</v>
      </c>
      <c r="BE365">
        <v>138</v>
      </c>
      <c r="BF365" t="s">
        <v>191</v>
      </c>
      <c r="BG365">
        <v>1.3118710256763171</v>
      </c>
      <c r="BH365">
        <v>0.26220858895705601</v>
      </c>
      <c r="BI365">
        <v>0.37238812567170398</v>
      </c>
      <c r="BJ365">
        <v>90</v>
      </c>
      <c r="BK365">
        <v>996.96690042335024</v>
      </c>
      <c r="BL365">
        <v>277.62540059693941</v>
      </c>
      <c r="BM365">
        <v>2.9195495615378642</v>
      </c>
      <c r="BN365">
        <v>496.3234254614369</v>
      </c>
      <c r="BO365">
        <v>500.64347496191328</v>
      </c>
    </row>
    <row r="366" spans="1:67" x14ac:dyDescent="0.25">
      <c r="A366" s="1">
        <v>364</v>
      </c>
      <c r="B366" t="s">
        <v>189</v>
      </c>
      <c r="C366" t="s">
        <v>190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67</v>
      </c>
      <c r="J366">
        <v>1.44</v>
      </c>
      <c r="K366">
        <v>500</v>
      </c>
      <c r="L366">
        <v>100</v>
      </c>
      <c r="N366" t="s">
        <v>68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69006.542586765107</v>
      </c>
      <c r="Z366">
        <v>345032712.93382561</v>
      </c>
      <c r="AA366">
        <v>496847106.62470877</v>
      </c>
      <c r="AB366">
        <v>496847.10662470869</v>
      </c>
      <c r="AC366">
        <v>0</v>
      </c>
      <c r="AD366">
        <v>3576.0120482915968</v>
      </c>
      <c r="AE366">
        <v>1287364.337384975</v>
      </c>
      <c r="AF366">
        <v>1287364.337384975</v>
      </c>
      <c r="AG366">
        <v>79.902121404444287</v>
      </c>
      <c r="AH366">
        <v>113.3138089766255</v>
      </c>
      <c r="AI366">
        <v>113.3138089766255</v>
      </c>
      <c r="AJ366">
        <v>16147.530965303031</v>
      </c>
      <c r="AK366">
        <v>854.70085470085473</v>
      </c>
      <c r="AL366" t="s">
        <v>69</v>
      </c>
      <c r="AM366">
        <v>8781.8201956884732</v>
      </c>
      <c r="AN366">
        <v>751.3148177567698</v>
      </c>
      <c r="AO366">
        <v>19263.347526026329</v>
      </c>
      <c r="AP366">
        <v>26535.36683344913</v>
      </c>
      <c r="AQ366">
        <v>7272.0193074228046</v>
      </c>
      <c r="AR366">
        <v>1.2543093276999999E-2</v>
      </c>
      <c r="AS366">
        <v>202.09139233698599</v>
      </c>
      <c r="AT366">
        <v>109.90722200274411</v>
      </c>
      <c r="AU366">
        <v>9.4029395534294338</v>
      </c>
      <c r="AV366">
        <v>241.0868095544065</v>
      </c>
      <c r="AW366">
        <v>332.09840198276868</v>
      </c>
      <c r="AX366">
        <v>91.011592428362235</v>
      </c>
      <c r="AY366">
        <v>1.4181577032612149</v>
      </c>
      <c r="AZ366" t="str">
        <f>VLOOKUP(BA366,Sheet1!$A$1:$B$58,2,FALSE)</f>
        <v>Pentanol (PW2)</v>
      </c>
      <c r="BA366" t="s">
        <v>163</v>
      </c>
      <c r="BB366" t="s">
        <v>83</v>
      </c>
      <c r="BC366">
        <v>88.14658</v>
      </c>
      <c r="BD366">
        <v>6</v>
      </c>
      <c r="BE366">
        <v>138</v>
      </c>
      <c r="BF366" t="s">
        <v>191</v>
      </c>
      <c r="BG366">
        <v>2.036145323022104</v>
      </c>
      <c r="BH366">
        <v>0.220309278350515</v>
      </c>
      <c r="BI366">
        <v>0.31288280662106999</v>
      </c>
      <c r="BJ366">
        <v>90</v>
      </c>
      <c r="BK366">
        <v>1179.349637042184</v>
      </c>
      <c r="BL366">
        <v>323.20085810768012</v>
      </c>
      <c r="BM366">
        <v>3.0000239648279181</v>
      </c>
      <c r="BN366">
        <v>510.00407402074597</v>
      </c>
      <c r="BO366">
        <v>669.34556302143756</v>
      </c>
    </row>
    <row r="367" spans="1:67" x14ac:dyDescent="0.25">
      <c r="A367" s="1">
        <v>365</v>
      </c>
      <c r="B367" t="s">
        <v>189</v>
      </c>
      <c r="C367" t="s">
        <v>190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67</v>
      </c>
      <c r="J367">
        <v>1.44</v>
      </c>
      <c r="K367">
        <v>500</v>
      </c>
      <c r="L367">
        <v>100</v>
      </c>
      <c r="N367" t="s">
        <v>68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61838.448966413816</v>
      </c>
      <c r="Z367">
        <v>309192244.8320691</v>
      </c>
      <c r="AA367">
        <v>445236832.5581795</v>
      </c>
      <c r="AB367">
        <v>445236.83255817951</v>
      </c>
      <c r="AC367">
        <v>0</v>
      </c>
      <c r="AD367">
        <v>3204.55177526852</v>
      </c>
      <c r="AE367">
        <v>1153638.6390966671</v>
      </c>
      <c r="AF367">
        <v>1153638.6390966671</v>
      </c>
      <c r="AG367">
        <v>71.60224337517495</v>
      </c>
      <c r="AH367">
        <v>101.5432730132886</v>
      </c>
      <c r="AI367">
        <v>101.5432730132886</v>
      </c>
      <c r="AJ367">
        <v>14470.19705814083</v>
      </c>
      <c r="AK367">
        <v>854.70085470085473</v>
      </c>
      <c r="AL367" t="s">
        <v>69</v>
      </c>
      <c r="AM367">
        <v>7869.6036585298689</v>
      </c>
      <c r="AN367">
        <v>673.27156634671303</v>
      </c>
      <c r="AO367">
        <v>17262.356412259069</v>
      </c>
      <c r="AP367">
        <v>23867.773137718272</v>
      </c>
      <c r="AQ367">
        <v>6605.4167254592066</v>
      </c>
      <c r="AR367">
        <v>1.2543093276999999E-2</v>
      </c>
      <c r="AS367">
        <v>202.09139233698599</v>
      </c>
      <c r="AT367">
        <v>109.90722200274411</v>
      </c>
      <c r="AU367">
        <v>9.402939553429432</v>
      </c>
      <c r="AV367">
        <v>241.08680955440639</v>
      </c>
      <c r="AW367">
        <v>333.33834266418262</v>
      </c>
      <c r="AX367">
        <v>92.251533109776176</v>
      </c>
      <c r="AY367">
        <v>1.4181577032612149</v>
      </c>
      <c r="AZ367" t="str">
        <f>VLOOKUP(BA367,Sheet1!$A$1:$B$58,2,FALSE)</f>
        <v>Phenol</v>
      </c>
      <c r="BA367" t="s">
        <v>164</v>
      </c>
      <c r="BB367" t="s">
        <v>165</v>
      </c>
      <c r="BC367">
        <v>94.11023999999999</v>
      </c>
      <c r="BD367">
        <v>4.666666666666667</v>
      </c>
      <c r="BE367">
        <v>181.7</v>
      </c>
      <c r="BF367" t="s">
        <v>191</v>
      </c>
      <c r="BG367">
        <v>1.255875217149798</v>
      </c>
      <c r="BH367">
        <v>0.23026771653543299</v>
      </c>
      <c r="BI367">
        <v>0.34915107155242697</v>
      </c>
      <c r="BJ367">
        <v>90</v>
      </c>
      <c r="BK367">
        <v>1060.789917231923</v>
      </c>
      <c r="BL367">
        <v>293.57407668707577</v>
      </c>
      <c r="BM367">
        <v>3.257159138996363</v>
      </c>
      <c r="BN367">
        <v>553.71705362938178</v>
      </c>
      <c r="BO367">
        <v>507.07286360254119</v>
      </c>
    </row>
    <row r="368" spans="1:67" x14ac:dyDescent="0.25">
      <c r="A368" s="1">
        <v>366</v>
      </c>
      <c r="B368" t="s">
        <v>189</v>
      </c>
      <c r="C368" t="s">
        <v>190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67</v>
      </c>
      <c r="J368">
        <v>1.44</v>
      </c>
      <c r="K368">
        <v>500</v>
      </c>
      <c r="L368">
        <v>100</v>
      </c>
      <c r="N368" t="s">
        <v>68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84459.108641734929</v>
      </c>
      <c r="Z368">
        <v>422295543.20867473</v>
      </c>
      <c r="AA368">
        <v>608105582.22049153</v>
      </c>
      <c r="AB368">
        <v>608105.58222049149</v>
      </c>
      <c r="AC368">
        <v>66773.504273504266</v>
      </c>
      <c r="AD368">
        <v>4376.7848492200692</v>
      </c>
      <c r="AE368">
        <v>1575642.545719225</v>
      </c>
      <c r="AF368">
        <v>1575642.545719225</v>
      </c>
      <c r="AG368">
        <v>97.79452352532951</v>
      </c>
      <c r="AH368">
        <v>138.68805687420621</v>
      </c>
      <c r="AI368">
        <v>138.68805687420621</v>
      </c>
      <c r="AJ368">
        <v>19763.43142216597</v>
      </c>
      <c r="AK368">
        <v>2170.1388888888891</v>
      </c>
      <c r="AL368" t="s">
        <v>107</v>
      </c>
      <c r="AM368">
        <v>10748.324407750981</v>
      </c>
      <c r="AN368">
        <v>919.55599336510613</v>
      </c>
      <c r="AO368">
        <v>23576.969668615049</v>
      </c>
      <c r="AP368">
        <v>33601.450712170947</v>
      </c>
      <c r="AQ368">
        <v>10024.48104355589</v>
      </c>
      <c r="AR368">
        <v>1.2543093276999999E-2</v>
      </c>
      <c r="AS368">
        <v>202.09139233698599</v>
      </c>
      <c r="AT368">
        <v>109.90722200274421</v>
      </c>
      <c r="AU368">
        <v>9.4029395534294338</v>
      </c>
      <c r="AV368">
        <v>241.08680955440661</v>
      </c>
      <c r="AW368">
        <v>343.59235569533621</v>
      </c>
      <c r="AX368">
        <v>102.5055461409296</v>
      </c>
      <c r="AY368">
        <v>1.4181577032612149</v>
      </c>
      <c r="AZ368" t="str">
        <f>VLOOKUP(BA368,Sheet1!$A$1:$B$58,2,FALSE)</f>
        <v>Propane (PW1)</v>
      </c>
      <c r="BA368" t="s">
        <v>166</v>
      </c>
      <c r="BB368" t="s">
        <v>167</v>
      </c>
      <c r="BC368">
        <v>44.094819999999999</v>
      </c>
      <c r="BD368">
        <v>6.666666666666667</v>
      </c>
      <c r="BE368">
        <v>-42</v>
      </c>
      <c r="BF368" t="s">
        <v>191</v>
      </c>
      <c r="BG368">
        <v>2.5532965960467879</v>
      </c>
      <c r="BH368">
        <v>0.35982758620689698</v>
      </c>
      <c r="BI368">
        <v>0.25563803676107499</v>
      </c>
      <c r="BJ368">
        <v>90</v>
      </c>
      <c r="BK368">
        <v>1493.39780942982</v>
      </c>
      <c r="BL368">
        <v>445.53249082470631</v>
      </c>
      <c r="BM368">
        <v>3.6106170428068198</v>
      </c>
      <c r="BN368">
        <v>613.8048972771594</v>
      </c>
      <c r="BO368">
        <v>879.59291215266012</v>
      </c>
    </row>
    <row r="369" spans="1:67" x14ac:dyDescent="0.25">
      <c r="A369" s="1">
        <v>367</v>
      </c>
      <c r="B369" t="s">
        <v>189</v>
      </c>
      <c r="C369" t="s">
        <v>190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67</v>
      </c>
      <c r="J369">
        <v>1.44</v>
      </c>
      <c r="K369">
        <v>500</v>
      </c>
      <c r="L369">
        <v>100</v>
      </c>
      <c r="N369" t="s">
        <v>68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99548.441913987306</v>
      </c>
      <c r="Z369">
        <v>497742209.56993651</v>
      </c>
      <c r="AA369">
        <v>716748781.78070855</v>
      </c>
      <c r="AB369">
        <v>716748.78178070858</v>
      </c>
      <c r="AC369">
        <v>66773.504273504266</v>
      </c>
      <c r="AD369">
        <v>5158.7344377596746</v>
      </c>
      <c r="AE369">
        <v>1857144.3975934831</v>
      </c>
      <c r="AF369">
        <v>1857144.3975934831</v>
      </c>
      <c r="AG369">
        <v>115.266341324572</v>
      </c>
      <c r="AH369">
        <v>163.4658498761784</v>
      </c>
      <c r="AI369">
        <v>163.4658498761784</v>
      </c>
      <c r="AJ369">
        <v>23294.33540787303</v>
      </c>
      <c r="AK369">
        <v>2170.1388888888891</v>
      </c>
      <c r="AL369" t="s">
        <v>107</v>
      </c>
      <c r="AM369">
        <v>12668.603365403829</v>
      </c>
      <c r="AN369">
        <v>1083.842440019916</v>
      </c>
      <c r="AO369">
        <v>27789.194478950329</v>
      </c>
      <c r="AP369">
        <v>39216.920102185657</v>
      </c>
      <c r="AQ369">
        <v>11427.72562323533</v>
      </c>
      <c r="AR369">
        <v>1.2543093276999999E-2</v>
      </c>
      <c r="AS369">
        <v>202.09139233698599</v>
      </c>
      <c r="AT369">
        <v>109.90722200274421</v>
      </c>
      <c r="AU369">
        <v>9.402939553429432</v>
      </c>
      <c r="AV369">
        <v>241.08680955440661</v>
      </c>
      <c r="AW369">
        <v>340.22872289974862</v>
      </c>
      <c r="AX369">
        <v>99.141913345341976</v>
      </c>
      <c r="AY369">
        <v>1.4181577032612149</v>
      </c>
      <c r="AZ369" t="str">
        <f>VLOOKUP(BA369,Sheet1!$A$1:$B$58,2,FALSE)</f>
        <v>Propane (PW2)</v>
      </c>
      <c r="BA369" t="s">
        <v>168</v>
      </c>
      <c r="BB369" t="s">
        <v>167</v>
      </c>
      <c r="BC369">
        <v>44.094819999999999</v>
      </c>
      <c r="BD369">
        <v>6.666666666666667</v>
      </c>
      <c r="BE369">
        <v>-42</v>
      </c>
      <c r="BF369" t="s">
        <v>191</v>
      </c>
      <c r="BG369">
        <v>3.5444089548685191</v>
      </c>
      <c r="BH369">
        <v>0.30528571428571399</v>
      </c>
      <c r="BI369">
        <v>0.216888986955905</v>
      </c>
      <c r="BJ369">
        <v>90</v>
      </c>
      <c r="BK369">
        <v>1742.9742267638071</v>
      </c>
      <c r="BL369">
        <v>507.898916588237</v>
      </c>
      <c r="BM369">
        <v>3.720739928517188</v>
      </c>
      <c r="BN369">
        <v>632.52578784792195</v>
      </c>
      <c r="BO369">
        <v>1110.4484389158849</v>
      </c>
    </row>
    <row r="370" spans="1:67" x14ac:dyDescent="0.25">
      <c r="A370" s="1">
        <v>368</v>
      </c>
      <c r="B370" t="s">
        <v>189</v>
      </c>
      <c r="C370" t="s">
        <v>190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67</v>
      </c>
      <c r="J370">
        <v>1.44</v>
      </c>
      <c r="K370">
        <v>500</v>
      </c>
      <c r="L370">
        <v>100</v>
      </c>
      <c r="N370" t="s">
        <v>68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31547.8259717945</v>
      </c>
      <c r="Z370">
        <v>157739129.85897249</v>
      </c>
      <c r="AA370">
        <v>227144346.99692041</v>
      </c>
      <c r="AB370">
        <v>227144.34699692039</v>
      </c>
      <c r="AC370">
        <v>0</v>
      </c>
      <c r="AD370">
        <v>1634.8508640422849</v>
      </c>
      <c r="AE370">
        <v>588546.31105522276</v>
      </c>
      <c r="AF370">
        <v>588546.31105522276</v>
      </c>
      <c r="AG370">
        <v>36.528974302330333</v>
      </c>
      <c r="AH370">
        <v>51.803846299080689</v>
      </c>
      <c r="AI370">
        <v>51.803846299080689</v>
      </c>
      <c r="AJ370">
        <v>7382.1912773999138</v>
      </c>
      <c r="AK370">
        <v>854.70085470085473</v>
      </c>
      <c r="AL370" t="s">
        <v>69</v>
      </c>
      <c r="AM370">
        <v>4014.798088178753</v>
      </c>
      <c r="AN370">
        <v>343.47973731358911</v>
      </c>
      <c r="AO370">
        <v>8806.6538708437165</v>
      </c>
      <c r="AP370">
        <v>12595.169957593111</v>
      </c>
      <c r="AQ370">
        <v>3788.516086749396</v>
      </c>
      <c r="AR370">
        <v>1.2543093276999999E-2</v>
      </c>
      <c r="AS370">
        <v>202.09139233698599</v>
      </c>
      <c r="AT370">
        <v>109.90722200274411</v>
      </c>
      <c r="AU370">
        <v>9.402939553429432</v>
      </c>
      <c r="AV370">
        <v>241.08680955440639</v>
      </c>
      <c r="AW370">
        <v>344.79944203606118</v>
      </c>
      <c r="AX370">
        <v>103.71263248165479</v>
      </c>
      <c r="AY370">
        <v>1.418157703261214</v>
      </c>
      <c r="AZ370" t="str">
        <f>VLOOKUP(BA370,Sheet1!$A$1:$B$58,2,FALSE)</f>
        <v>Shikimate</v>
      </c>
      <c r="BA370" t="s">
        <v>169</v>
      </c>
      <c r="BB370" t="s">
        <v>170</v>
      </c>
      <c r="BC370">
        <v>173.14045999999999</v>
      </c>
      <c r="BD370">
        <v>3.8571428571428572</v>
      </c>
      <c r="BE370">
        <v>400.5</v>
      </c>
      <c r="BF370" t="s">
        <v>191</v>
      </c>
      <c r="BG370">
        <v>0.29284837489135329</v>
      </c>
      <c r="BH370">
        <v>0.24533557046979901</v>
      </c>
      <c r="BI370">
        <v>0.68438822817987399</v>
      </c>
      <c r="BJ370">
        <v>90</v>
      </c>
      <c r="BK370">
        <v>559.78533144858295</v>
      </c>
      <c r="BL370">
        <v>168.37849274441771</v>
      </c>
      <c r="BM370">
        <v>2.0095447939566768</v>
      </c>
      <c r="BN370">
        <v>341.62261497263512</v>
      </c>
      <c r="BO370">
        <v>218.1627164759478</v>
      </c>
    </row>
    <row r="371" spans="1:67" x14ac:dyDescent="0.25">
      <c r="A371" s="1">
        <v>369</v>
      </c>
      <c r="B371" t="s">
        <v>189</v>
      </c>
      <c r="C371" t="s">
        <v>190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67</v>
      </c>
      <c r="J371">
        <v>1.44</v>
      </c>
      <c r="K371">
        <v>500</v>
      </c>
      <c r="L371">
        <v>100</v>
      </c>
      <c r="N371" t="s">
        <v>68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75413.708312838251</v>
      </c>
      <c r="Z371">
        <v>377068541.56419122</v>
      </c>
      <c r="AA371">
        <v>542978699.85243535</v>
      </c>
      <c r="AB371">
        <v>542978.69985243538</v>
      </c>
      <c r="AC371">
        <v>0</v>
      </c>
      <c r="AD371">
        <v>3908.040012205744</v>
      </c>
      <c r="AE371">
        <v>1406894.4043940681</v>
      </c>
      <c r="AF371">
        <v>1406894.4043940681</v>
      </c>
      <c r="AG371">
        <v>87.320927136660146</v>
      </c>
      <c r="AH371">
        <v>123.8348454747658</v>
      </c>
      <c r="AI371">
        <v>123.8348454747658</v>
      </c>
      <c r="AJ371">
        <v>17646.807745204151</v>
      </c>
      <c r="AK371">
        <v>854.70085470085473</v>
      </c>
      <c r="AL371" t="s">
        <v>69</v>
      </c>
      <c r="AM371">
        <v>9597.2005242943524</v>
      </c>
      <c r="AN371">
        <v>821.07339961543119</v>
      </c>
      <c r="AO371">
        <v>21051.92373071019</v>
      </c>
      <c r="AP371">
        <v>28919.782523814789</v>
      </c>
      <c r="AQ371">
        <v>7867.858793104595</v>
      </c>
      <c r="AR371">
        <v>1.2543093276999999E-2</v>
      </c>
      <c r="AS371">
        <v>202.09139233698599</v>
      </c>
      <c r="AT371">
        <v>109.90722200274411</v>
      </c>
      <c r="AU371">
        <v>9.4029395534294338</v>
      </c>
      <c r="AV371">
        <v>241.0868095544065</v>
      </c>
      <c r="AW371">
        <v>331.18959534813888</v>
      </c>
      <c r="AX371">
        <v>90.102785793732352</v>
      </c>
      <c r="AY371">
        <v>1.4181577032612149</v>
      </c>
      <c r="AZ371" t="str">
        <f>VLOOKUP(BA371,Sheet1!$A$1:$B$58,2,FALSE)</f>
        <v>Styrene</v>
      </c>
      <c r="BA371" t="s">
        <v>171</v>
      </c>
      <c r="BB371" t="s">
        <v>172</v>
      </c>
      <c r="BC371">
        <v>104.14832</v>
      </c>
      <c r="BD371">
        <v>5</v>
      </c>
      <c r="BE371">
        <v>145</v>
      </c>
      <c r="BF371" t="s">
        <v>191</v>
      </c>
      <c r="BG371">
        <v>1.572833599437107</v>
      </c>
      <c r="BH371">
        <v>0.170618436406067</v>
      </c>
      <c r="BI371">
        <v>0.28630021255814397</v>
      </c>
      <c r="BJ371">
        <v>90</v>
      </c>
      <c r="BK371">
        <v>1285.323667725102</v>
      </c>
      <c r="BL371">
        <v>349.68261302687108</v>
      </c>
      <c r="BM371">
        <v>3.930937310552487</v>
      </c>
      <c r="BN371">
        <v>668.25934279392266</v>
      </c>
      <c r="BO371">
        <v>617.06432493117916</v>
      </c>
    </row>
    <row r="372" spans="1:67" x14ac:dyDescent="0.25">
      <c r="A372" s="1">
        <v>370</v>
      </c>
      <c r="B372" t="s">
        <v>189</v>
      </c>
      <c r="C372" t="s">
        <v>190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67</v>
      </c>
      <c r="J372">
        <v>1.44</v>
      </c>
      <c r="K372">
        <v>500</v>
      </c>
      <c r="L372">
        <v>100</v>
      </c>
      <c r="N372" t="s">
        <v>68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21082.029756395928</v>
      </c>
      <c r="Z372">
        <v>105410148.78197961</v>
      </c>
      <c r="AA372">
        <v>151790614.24605069</v>
      </c>
      <c r="AB372">
        <v>151790.61424605071</v>
      </c>
      <c r="AC372">
        <v>0</v>
      </c>
      <c r="AD372">
        <v>1092.4991976887261</v>
      </c>
      <c r="AE372">
        <v>393299.71116794151</v>
      </c>
      <c r="AF372">
        <v>393299.71116794151</v>
      </c>
      <c r="AG372">
        <v>24.41071292522237</v>
      </c>
      <c r="AH372">
        <v>34.618240577002197</v>
      </c>
      <c r="AI372">
        <v>34.618240577002197</v>
      </c>
      <c r="AJ372">
        <v>4933.1949629966466</v>
      </c>
      <c r="AK372">
        <v>854.70085470085473</v>
      </c>
      <c r="AL372" t="s">
        <v>69</v>
      </c>
      <c r="AM372">
        <v>2682.9136447176702</v>
      </c>
      <c r="AN372">
        <v>229.53245809198449</v>
      </c>
      <c r="AO372">
        <v>5885.1008980903734</v>
      </c>
      <c r="AP372">
        <v>8700.3419205071568</v>
      </c>
      <c r="AQ372">
        <v>2815.2410224167829</v>
      </c>
      <c r="AR372">
        <v>1.2543093276999999E-2</v>
      </c>
      <c r="AS372">
        <v>202.0913923369859</v>
      </c>
      <c r="AT372">
        <v>109.90722200274411</v>
      </c>
      <c r="AU372">
        <v>9.402939553429432</v>
      </c>
      <c r="AV372">
        <v>241.0868095544065</v>
      </c>
      <c r="AW372">
        <v>356.41490468381733</v>
      </c>
      <c r="AX372">
        <v>115.3280951294108</v>
      </c>
      <c r="AY372">
        <v>1.4181577032612149</v>
      </c>
      <c r="AZ372" t="str">
        <f>VLOOKUP(BA372,Sheet1!$A$1:$B$58,2,FALSE)</f>
        <v>Succinate</v>
      </c>
      <c r="BA372" t="s">
        <v>173</v>
      </c>
      <c r="BB372" t="s">
        <v>174</v>
      </c>
      <c r="BC372">
        <v>116.07016</v>
      </c>
      <c r="BD372">
        <v>3</v>
      </c>
      <c r="BE372">
        <v>235</v>
      </c>
      <c r="BF372" t="s">
        <v>191</v>
      </c>
      <c r="BG372">
        <v>-0.13193836821826321</v>
      </c>
      <c r="BH372">
        <v>0.54764044943820001</v>
      </c>
      <c r="BI372">
        <v>1.0241405106267401</v>
      </c>
      <c r="BJ372">
        <v>90</v>
      </c>
      <c r="BK372">
        <v>386.6818631336514</v>
      </c>
      <c r="BL372">
        <v>125.1218232185237</v>
      </c>
      <c r="BM372">
        <v>1.67052683830725</v>
      </c>
      <c r="BN372">
        <v>283.98956251223251</v>
      </c>
      <c r="BO372">
        <v>102.69230062141889</v>
      </c>
    </row>
    <row r="373" spans="1:67" x14ac:dyDescent="0.25">
      <c r="A373" s="1">
        <v>371</v>
      </c>
      <c r="B373" t="s">
        <v>189</v>
      </c>
      <c r="C373" t="s">
        <v>190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67</v>
      </c>
      <c r="J373">
        <v>1.44</v>
      </c>
      <c r="K373">
        <v>500</v>
      </c>
      <c r="L373">
        <v>100</v>
      </c>
      <c r="N373" t="s">
        <v>68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33997.840306422913</v>
      </c>
      <c r="Z373">
        <v>169989201.53211451</v>
      </c>
      <c r="AA373">
        <v>244784450.20624489</v>
      </c>
      <c r="AB373">
        <v>244784.45020624489</v>
      </c>
      <c r="AC373">
        <v>0</v>
      </c>
      <c r="AD373">
        <v>1761.813909149238</v>
      </c>
      <c r="AE373">
        <v>634253.00729372562</v>
      </c>
      <c r="AF373">
        <v>634253.00729372562</v>
      </c>
      <c r="AG373">
        <v>39.365826222015578</v>
      </c>
      <c r="AH373">
        <v>55.826949701993719</v>
      </c>
      <c r="AI373">
        <v>55.826949701993719</v>
      </c>
      <c r="AJ373">
        <v>7955.4946317029599</v>
      </c>
      <c r="AK373">
        <v>854.70085470085473</v>
      </c>
      <c r="AL373" t="s">
        <v>69</v>
      </c>
      <c r="AM373">
        <v>4326.5886019045129</v>
      </c>
      <c r="AN373">
        <v>370.15448443641992</v>
      </c>
      <c r="AO373">
        <v>9490.5814493389316</v>
      </c>
      <c r="AP373">
        <v>13506.93857274475</v>
      </c>
      <c r="AQ373">
        <v>4016.3571234058159</v>
      </c>
      <c r="AR373">
        <v>1.2543093276999999E-2</v>
      </c>
      <c r="AS373">
        <v>202.09139233698599</v>
      </c>
      <c r="AT373">
        <v>109.90722200274411</v>
      </c>
      <c r="AU373">
        <v>9.4029395534294338</v>
      </c>
      <c r="AV373">
        <v>241.0868095544065</v>
      </c>
      <c r="AW373">
        <v>343.1133007743378</v>
      </c>
      <c r="AX373">
        <v>102.0264912199313</v>
      </c>
      <c r="AY373">
        <v>1.4181577032612149</v>
      </c>
      <c r="AZ373" t="str">
        <f>VLOOKUP(BA373,Sheet1!$A$1:$B$58,2,FALSE)</f>
        <v>1,3-Butanediol (PW1)</v>
      </c>
      <c r="BA373" t="s">
        <v>70</v>
      </c>
      <c r="BB373" t="s">
        <v>71</v>
      </c>
      <c r="BC373">
        <v>90.119200000000006</v>
      </c>
      <c r="BD373">
        <v>5.5</v>
      </c>
      <c r="BE373">
        <v>207</v>
      </c>
      <c r="BF373" t="s">
        <v>192</v>
      </c>
      <c r="BG373">
        <v>0.27966661398215348</v>
      </c>
      <c r="BH373">
        <v>0.43738095238095198</v>
      </c>
      <c r="BI373">
        <v>0.63506859627446599</v>
      </c>
      <c r="BJ373">
        <v>90</v>
      </c>
      <c r="BK373">
        <v>600.30838101087761</v>
      </c>
      <c r="BL373">
        <v>178.50476104025839</v>
      </c>
      <c r="BM373">
        <v>2.2015311505509012</v>
      </c>
      <c r="BN373">
        <v>374.26029559365321</v>
      </c>
      <c r="BO373">
        <v>226.04808541722451</v>
      </c>
    </row>
    <row r="374" spans="1:67" x14ac:dyDescent="0.25">
      <c r="A374" s="1">
        <v>372</v>
      </c>
      <c r="B374" t="s">
        <v>189</v>
      </c>
      <c r="C374" t="s">
        <v>190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67</v>
      </c>
      <c r="J374">
        <v>1.44</v>
      </c>
      <c r="K374">
        <v>500</v>
      </c>
      <c r="L374">
        <v>100</v>
      </c>
      <c r="N374" t="s">
        <v>68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33429.231214700892</v>
      </c>
      <c r="Z374">
        <v>167146156.07350451</v>
      </c>
      <c r="AA374">
        <v>240690464.74584651</v>
      </c>
      <c r="AB374">
        <v>240690.46474584649</v>
      </c>
      <c r="AC374">
        <v>0</v>
      </c>
      <c r="AD374">
        <v>1732.3478196083879</v>
      </c>
      <c r="AE374">
        <v>623645.21505901986</v>
      </c>
      <c r="AF374">
        <v>623645.21505901986</v>
      </c>
      <c r="AG374">
        <v>38.707438321747752</v>
      </c>
      <c r="AH374">
        <v>54.893251829494908</v>
      </c>
      <c r="AI374">
        <v>54.893251829494908</v>
      </c>
      <c r="AJ374">
        <v>7822.4401042400104</v>
      </c>
      <c r="AK374">
        <v>854.70085470085473</v>
      </c>
      <c r="AL374" t="s">
        <v>69</v>
      </c>
      <c r="AM374">
        <v>4254.227016785856</v>
      </c>
      <c r="AN374">
        <v>363.96370280749198</v>
      </c>
      <c r="AO374">
        <v>9331.852811014136</v>
      </c>
      <c r="AP374">
        <v>13295.33167853421</v>
      </c>
      <c r="AQ374">
        <v>3963.478867520078</v>
      </c>
      <c r="AR374">
        <v>1.2543093276999999E-2</v>
      </c>
      <c r="AS374">
        <v>202.09139233698599</v>
      </c>
      <c r="AT374">
        <v>109.90722200274411</v>
      </c>
      <c r="AU374">
        <v>9.402939553429432</v>
      </c>
      <c r="AV374">
        <v>241.0868095544065</v>
      </c>
      <c r="AW374">
        <v>343.48260321490312</v>
      </c>
      <c r="AX374">
        <v>102.39579366049659</v>
      </c>
      <c r="AY374">
        <v>1.4181577032612149</v>
      </c>
      <c r="AZ374" t="str">
        <f>VLOOKUP(BA374,Sheet1!$A$1:$B$58,2,FALSE)</f>
        <v>1,3-Butanediol (PW2)</v>
      </c>
      <c r="BA374" t="s">
        <v>72</v>
      </c>
      <c r="BB374" t="s">
        <v>71</v>
      </c>
      <c r="BC374">
        <v>90.119200000000006</v>
      </c>
      <c r="BD374">
        <v>5.5</v>
      </c>
      <c r="BE374">
        <v>207</v>
      </c>
      <c r="BF374" t="s">
        <v>192</v>
      </c>
      <c r="BG374">
        <v>0.24231867501255919</v>
      </c>
      <c r="BH374">
        <v>0.44482051282051299</v>
      </c>
      <c r="BI374">
        <v>0.64587069266099595</v>
      </c>
      <c r="BJ374">
        <v>90</v>
      </c>
      <c r="BK374">
        <v>590.90363015707624</v>
      </c>
      <c r="BL374">
        <v>176.15461633422581</v>
      </c>
      <c r="BM374">
        <v>2.1973814062983261</v>
      </c>
      <c r="BN374">
        <v>373.55483907071539</v>
      </c>
      <c r="BO374">
        <v>217.34879108636079</v>
      </c>
    </row>
    <row r="375" spans="1:67" x14ac:dyDescent="0.25">
      <c r="A375" s="1">
        <v>373</v>
      </c>
      <c r="B375" t="s">
        <v>189</v>
      </c>
      <c r="C375" t="s">
        <v>190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67</v>
      </c>
      <c r="J375">
        <v>1.44</v>
      </c>
      <c r="K375">
        <v>500</v>
      </c>
      <c r="L375">
        <v>100</v>
      </c>
      <c r="N375" t="s">
        <v>68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35449.540828666417</v>
      </c>
      <c r="Z375">
        <v>177247704.14333209</v>
      </c>
      <c r="AA375">
        <v>255236693.96639821</v>
      </c>
      <c r="AB375">
        <v>255236.69396639819</v>
      </c>
      <c r="AC375">
        <v>0</v>
      </c>
      <c r="AD375">
        <v>1837.042986906999</v>
      </c>
      <c r="AE375">
        <v>661335.4752865195</v>
      </c>
      <c r="AF375">
        <v>661335.4752865195</v>
      </c>
      <c r="AG375">
        <v>41.046738596742237</v>
      </c>
      <c r="AH375">
        <v>58.210748534719443</v>
      </c>
      <c r="AI375">
        <v>58.210748534719443</v>
      </c>
      <c r="AJ375">
        <v>8295.1925539079421</v>
      </c>
      <c r="AK375">
        <v>854.70085470085473</v>
      </c>
      <c r="AL375" t="s">
        <v>69</v>
      </c>
      <c r="AM375">
        <v>4511.3330114407572</v>
      </c>
      <c r="AN375">
        <v>385.96000189058623</v>
      </c>
      <c r="AO375">
        <v>9895.8272509023045</v>
      </c>
      <c r="AP375">
        <v>14047.18642194014</v>
      </c>
      <c r="AQ375">
        <v>4151.3591710378369</v>
      </c>
      <c r="AR375">
        <v>1.2543093276999999E-2</v>
      </c>
      <c r="AS375">
        <v>202.09139233698599</v>
      </c>
      <c r="AT375">
        <v>109.90722200274411</v>
      </c>
      <c r="AU375">
        <v>9.402939553429432</v>
      </c>
      <c r="AV375">
        <v>241.0868095544065</v>
      </c>
      <c r="AW375">
        <v>342.22417912284573</v>
      </c>
      <c r="AX375">
        <v>101.1373695684392</v>
      </c>
      <c r="AY375">
        <v>1.4181577032612149</v>
      </c>
      <c r="AZ375" t="str">
        <f>VLOOKUP(BA375,Sheet1!$A$1:$B$58,2,FALSE)</f>
        <v>1,3-Diaminopropane</v>
      </c>
      <c r="BA375" t="s">
        <v>73</v>
      </c>
      <c r="BB375" t="s">
        <v>74</v>
      </c>
      <c r="BC375">
        <v>76.139580000000009</v>
      </c>
      <c r="BD375">
        <v>6</v>
      </c>
      <c r="BE375">
        <v>139.30000000000001</v>
      </c>
      <c r="BF375" t="s">
        <v>192</v>
      </c>
      <c r="BG375">
        <v>0.59437932350374401</v>
      </c>
      <c r="BH375">
        <v>0.49648648648648702</v>
      </c>
      <c r="BI375">
        <v>0.609061787968318</v>
      </c>
      <c r="BJ375">
        <v>90</v>
      </c>
      <c r="BK375">
        <v>624.31939653067286</v>
      </c>
      <c r="BL375">
        <v>184.50485204612599</v>
      </c>
      <c r="BM375">
        <v>1.9927650558171199</v>
      </c>
      <c r="BN375">
        <v>338.77005948891048</v>
      </c>
      <c r="BO375">
        <v>285.54933704176239</v>
      </c>
    </row>
    <row r="376" spans="1:67" x14ac:dyDescent="0.25">
      <c r="A376" s="1">
        <v>374</v>
      </c>
      <c r="B376" t="s">
        <v>189</v>
      </c>
      <c r="C376" t="s">
        <v>190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67</v>
      </c>
      <c r="J376">
        <v>1.44</v>
      </c>
      <c r="K376">
        <v>500</v>
      </c>
      <c r="L376">
        <v>100</v>
      </c>
      <c r="N376" t="s">
        <v>68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34471.798504443141</v>
      </c>
      <c r="Z376">
        <v>172358992.52221569</v>
      </c>
      <c r="AA376">
        <v>248196949.23199061</v>
      </c>
      <c r="AB376">
        <v>248196.94923199061</v>
      </c>
      <c r="AC376">
        <v>0</v>
      </c>
      <c r="AD376">
        <v>1786.3750618019139</v>
      </c>
      <c r="AE376">
        <v>643095.02224868885</v>
      </c>
      <c r="AF376">
        <v>643095.02224868885</v>
      </c>
      <c r="AG376">
        <v>39.914618612696913</v>
      </c>
      <c r="AH376">
        <v>56.605223858329587</v>
      </c>
      <c r="AI376">
        <v>56.605223858329587</v>
      </c>
      <c r="AJ376">
        <v>8066.400850039694</v>
      </c>
      <c r="AK376">
        <v>854.70085470085473</v>
      </c>
      <c r="AL376" t="s">
        <v>69</v>
      </c>
      <c r="AM376">
        <v>4386.9048490205432</v>
      </c>
      <c r="AN376">
        <v>375.31474611337848</v>
      </c>
      <c r="AO376">
        <v>9622.8880559160298</v>
      </c>
      <c r="AP376">
        <v>13683.321299874469</v>
      </c>
      <c r="AQ376">
        <v>4060.4332439584409</v>
      </c>
      <c r="AR376">
        <v>1.2543093276999999E-2</v>
      </c>
      <c r="AS376">
        <v>202.09139233698599</v>
      </c>
      <c r="AT376">
        <v>109.90722200274411</v>
      </c>
      <c r="AU376">
        <v>9.4029395534294338</v>
      </c>
      <c r="AV376">
        <v>241.0868095544065</v>
      </c>
      <c r="AW376">
        <v>342.81478253989332</v>
      </c>
      <c r="AX376">
        <v>101.7279729854868</v>
      </c>
      <c r="AY376">
        <v>1.4181577032612149</v>
      </c>
      <c r="AZ376" t="str">
        <f>VLOOKUP(BA376,Sheet1!$A$1:$B$58,2,FALSE)</f>
        <v>1,3-Propanediol</v>
      </c>
      <c r="BA376" t="s">
        <v>75</v>
      </c>
      <c r="BB376" t="s">
        <v>76</v>
      </c>
      <c r="BC376">
        <v>76.092820000000003</v>
      </c>
      <c r="BD376">
        <v>5.333333333333333</v>
      </c>
      <c r="BE376">
        <v>213</v>
      </c>
      <c r="BF376" t="s">
        <v>192</v>
      </c>
      <c r="BG376">
        <v>0.52909269810758086</v>
      </c>
      <c r="BH376">
        <v>0.51088235294117601</v>
      </c>
      <c r="BI376">
        <v>0.62633693791696299</v>
      </c>
      <c r="BJ376">
        <v>90</v>
      </c>
      <c r="BK376">
        <v>608.14761332775424</v>
      </c>
      <c r="BL376">
        <v>180.4636997314862</v>
      </c>
      <c r="BM376">
        <v>1.98669502892929</v>
      </c>
      <c r="BN376">
        <v>337.73815491797927</v>
      </c>
      <c r="BO376">
        <v>270.40945840977503</v>
      </c>
    </row>
    <row r="377" spans="1:67" x14ac:dyDescent="0.25">
      <c r="A377" s="1">
        <v>375</v>
      </c>
      <c r="B377" t="s">
        <v>189</v>
      </c>
      <c r="C377" t="s">
        <v>190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67</v>
      </c>
      <c r="J377">
        <v>1.44</v>
      </c>
      <c r="K377">
        <v>500</v>
      </c>
      <c r="L377">
        <v>100</v>
      </c>
      <c r="N377" t="s">
        <v>68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36811.187921767822</v>
      </c>
      <c r="Z377">
        <v>184055939.60883909</v>
      </c>
      <c r="AA377">
        <v>265040553.03672829</v>
      </c>
      <c r="AB377">
        <v>265040.55303672829</v>
      </c>
      <c r="AC377">
        <v>0</v>
      </c>
      <c r="AD377">
        <v>1907.605374586826</v>
      </c>
      <c r="AE377">
        <v>686737.93485125748</v>
      </c>
      <c r="AF377">
        <v>686737.93485125748</v>
      </c>
      <c r="AG377">
        <v>42.623378829169482</v>
      </c>
      <c r="AH377">
        <v>60.44667302560768</v>
      </c>
      <c r="AI377">
        <v>60.44667302560768</v>
      </c>
      <c r="AJ377">
        <v>8613.8179736936709</v>
      </c>
      <c r="AK377">
        <v>854.70085470085473</v>
      </c>
      <c r="AL377" t="s">
        <v>69</v>
      </c>
      <c r="AM377">
        <v>4684.6171594845964</v>
      </c>
      <c r="AN377">
        <v>400.78505469360442</v>
      </c>
      <c r="AO377">
        <v>10275.934414353311</v>
      </c>
      <c r="AP377">
        <v>14553.921042572731</v>
      </c>
      <c r="AQ377">
        <v>4277.9866282194216</v>
      </c>
      <c r="AR377">
        <v>1.2543093276999999E-2</v>
      </c>
      <c r="AS377">
        <v>202.09139233698599</v>
      </c>
      <c r="AT377">
        <v>109.90722200274411</v>
      </c>
      <c r="AU377">
        <v>9.4029395534294338</v>
      </c>
      <c r="AV377">
        <v>241.0868095544065</v>
      </c>
      <c r="AW377">
        <v>341.45394950746362</v>
      </c>
      <c r="AX377">
        <v>100.36713995305711</v>
      </c>
      <c r="AY377">
        <v>1.4181577032612149</v>
      </c>
      <c r="AZ377" t="str">
        <f>VLOOKUP(BA377,Sheet1!$A$1:$B$58,2,FALSE)</f>
        <v>1,4-Butanediol</v>
      </c>
      <c r="BA377" t="s">
        <v>77</v>
      </c>
      <c r="BB377" t="s">
        <v>71</v>
      </c>
      <c r="BC377">
        <v>90.119200000000006</v>
      </c>
      <c r="BD377">
        <v>5.5</v>
      </c>
      <c r="BE377">
        <v>230</v>
      </c>
      <c r="BF377" t="s">
        <v>192</v>
      </c>
      <c r="BG377">
        <v>0.46445566601783889</v>
      </c>
      <c r="BH377">
        <v>0.40395348837209299</v>
      </c>
      <c r="BI377">
        <v>0.58653257171839102</v>
      </c>
      <c r="BJ377">
        <v>90</v>
      </c>
      <c r="BK377">
        <v>646.84093522545459</v>
      </c>
      <c r="BL377">
        <v>190.13273903197441</v>
      </c>
      <c r="BM377">
        <v>2.2220631351202802</v>
      </c>
      <c r="BN377">
        <v>377.75073297044747</v>
      </c>
      <c r="BO377">
        <v>269.09020225500711</v>
      </c>
    </row>
    <row r="378" spans="1:67" x14ac:dyDescent="0.25">
      <c r="A378" s="1">
        <v>376</v>
      </c>
      <c r="B378" t="s">
        <v>189</v>
      </c>
      <c r="C378" t="s">
        <v>190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67</v>
      </c>
      <c r="J378">
        <v>1.44</v>
      </c>
      <c r="K378">
        <v>500</v>
      </c>
      <c r="L378">
        <v>100</v>
      </c>
      <c r="N378" t="s">
        <v>68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48043.527653412428</v>
      </c>
      <c r="Z378">
        <v>240217638.2670621</v>
      </c>
      <c r="AA378">
        <v>345913399.10456938</v>
      </c>
      <c r="AB378">
        <v>345913.39910456951</v>
      </c>
      <c r="AC378">
        <v>0</v>
      </c>
      <c r="AD378">
        <v>2489.680359148786</v>
      </c>
      <c r="AE378">
        <v>896284.92929356289</v>
      </c>
      <c r="AF378">
        <v>896284.92929356289</v>
      </c>
      <c r="AG378">
        <v>55.629214786903162</v>
      </c>
      <c r="AH378">
        <v>78.89099947641941</v>
      </c>
      <c r="AI378">
        <v>78.89099947641941</v>
      </c>
      <c r="AJ378">
        <v>11242.18547089851</v>
      </c>
      <c r="AK378">
        <v>854.70085470085473</v>
      </c>
      <c r="AL378" t="s">
        <v>69</v>
      </c>
      <c r="AM378">
        <v>6114.0524594225044</v>
      </c>
      <c r="AN378">
        <v>523.07814404599321</v>
      </c>
      <c r="AO378">
        <v>13411.4699109913</v>
      </c>
      <c r="AP378">
        <v>18734.01692906786</v>
      </c>
      <c r="AQ378">
        <v>5322.5470180765606</v>
      </c>
      <c r="AR378">
        <v>1.2543093276999999E-2</v>
      </c>
      <c r="AS378">
        <v>202.09139233698599</v>
      </c>
      <c r="AT378">
        <v>109.90722200274421</v>
      </c>
      <c r="AU378">
        <v>9.4029395534294338</v>
      </c>
      <c r="AV378">
        <v>241.08680955440661</v>
      </c>
      <c r="AW378">
        <v>336.76579834591558</v>
      </c>
      <c r="AX378">
        <v>95.678988791509084</v>
      </c>
      <c r="AY378">
        <v>1.4181577032612149</v>
      </c>
      <c r="AZ378" t="str">
        <f>VLOOKUP(BA378,Sheet1!$A$1:$B$58,2,FALSE)</f>
        <v>1-Propanol (PW1)</v>
      </c>
      <c r="BA378" t="s">
        <v>78</v>
      </c>
      <c r="BB378" t="s">
        <v>79</v>
      </c>
      <c r="BC378">
        <v>60.093820000000001</v>
      </c>
      <c r="BD378">
        <v>6</v>
      </c>
      <c r="BE378">
        <v>97</v>
      </c>
      <c r="BF378" t="s">
        <v>192</v>
      </c>
      <c r="BG378">
        <v>0.9585774893353084</v>
      </c>
      <c r="BH378">
        <v>0.46415584415584399</v>
      </c>
      <c r="BI378">
        <v>0.44940415024311597</v>
      </c>
      <c r="BJ378">
        <v>90</v>
      </c>
      <c r="BK378">
        <v>832.62297462523816</v>
      </c>
      <c r="BL378">
        <v>236.55764524784709</v>
      </c>
      <c r="BM378">
        <v>2.5476891540611102</v>
      </c>
      <c r="BN378">
        <v>433.10715619038871</v>
      </c>
      <c r="BO378">
        <v>399.51581843484951</v>
      </c>
    </row>
    <row r="379" spans="1:67" x14ac:dyDescent="0.25">
      <c r="A379" s="1">
        <v>377</v>
      </c>
      <c r="B379" t="s">
        <v>189</v>
      </c>
      <c r="C379" t="s">
        <v>190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67</v>
      </c>
      <c r="J379">
        <v>1.44</v>
      </c>
      <c r="K379">
        <v>500</v>
      </c>
      <c r="L379">
        <v>100</v>
      </c>
      <c r="N379" t="s">
        <v>68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51591.539232621559</v>
      </c>
      <c r="Z379">
        <v>257957696.16310781</v>
      </c>
      <c r="AA379">
        <v>371459082.47487521</v>
      </c>
      <c r="AB379">
        <v>371459.08247487521</v>
      </c>
      <c r="AC379">
        <v>0</v>
      </c>
      <c r="AD379">
        <v>2673.543101421043</v>
      </c>
      <c r="AE379">
        <v>962475.51651157544</v>
      </c>
      <c r="AF379">
        <v>962475.51651157544</v>
      </c>
      <c r="AG379">
        <v>59.737428897034697</v>
      </c>
      <c r="AH379">
        <v>84.717094963348885</v>
      </c>
      <c r="AI379">
        <v>84.717094963348885</v>
      </c>
      <c r="AJ379">
        <v>12072.420180433441</v>
      </c>
      <c r="AK379">
        <v>854.70085470085473</v>
      </c>
      <c r="AL379" t="s">
        <v>69</v>
      </c>
      <c r="AM379">
        <v>6565.5748596595386</v>
      </c>
      <c r="AN379">
        <v>561.70743299610604</v>
      </c>
      <c r="AO379">
        <v>14401.906143769311</v>
      </c>
      <c r="AP379">
        <v>20054.40332778994</v>
      </c>
      <c r="AQ379">
        <v>5652.4971840206326</v>
      </c>
      <c r="AR379">
        <v>1.2543093276999999E-2</v>
      </c>
      <c r="AS379">
        <v>202.09139233698599</v>
      </c>
      <c r="AT379">
        <v>109.90722200274421</v>
      </c>
      <c r="AU379">
        <v>9.4029395534294338</v>
      </c>
      <c r="AV379">
        <v>241.08680955440661</v>
      </c>
      <c r="AW379">
        <v>335.70918096184448</v>
      </c>
      <c r="AX379">
        <v>94.622371407437953</v>
      </c>
      <c r="AY379">
        <v>1.4181577032612149</v>
      </c>
      <c r="AZ379" t="str">
        <f>VLOOKUP(BA379,Sheet1!$A$1:$B$58,2,FALSE)</f>
        <v>1-Propanol (PW2)</v>
      </c>
      <c r="BA379" t="s">
        <v>80</v>
      </c>
      <c r="BB379" t="s">
        <v>79</v>
      </c>
      <c r="BC379">
        <v>60.093820000000001</v>
      </c>
      <c r="BD379">
        <v>6</v>
      </c>
      <c r="BE379">
        <v>97</v>
      </c>
      <c r="BF379" t="s">
        <v>192</v>
      </c>
      <c r="BG379">
        <v>1.1916214590024869</v>
      </c>
      <c r="BH379">
        <v>0.432235294117647</v>
      </c>
      <c r="BI379">
        <v>0.41849809175903402</v>
      </c>
      <c r="BJ379">
        <v>90</v>
      </c>
      <c r="BK379">
        <v>891.30681456844195</v>
      </c>
      <c r="BL379">
        <v>251.22209706758369</v>
      </c>
      <c r="BM379">
        <v>2.5735827615907971</v>
      </c>
      <c r="BN379">
        <v>437.50906947043552</v>
      </c>
      <c r="BO379">
        <v>453.79774509800649</v>
      </c>
    </row>
    <row r="380" spans="1:67" x14ac:dyDescent="0.25">
      <c r="A380" s="1">
        <v>378</v>
      </c>
      <c r="B380" t="s">
        <v>189</v>
      </c>
      <c r="C380" t="s">
        <v>190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67</v>
      </c>
      <c r="J380">
        <v>1.44</v>
      </c>
      <c r="K380">
        <v>500</v>
      </c>
      <c r="L380">
        <v>100</v>
      </c>
      <c r="N380" t="s">
        <v>68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34807.312694671018</v>
      </c>
      <c r="Z380">
        <v>174036563.47335511</v>
      </c>
      <c r="AA380">
        <v>250612651.4016313</v>
      </c>
      <c r="AB380">
        <v>250612.6514016313</v>
      </c>
      <c r="AC380">
        <v>0</v>
      </c>
      <c r="AD380">
        <v>1803.7618593670741</v>
      </c>
      <c r="AE380">
        <v>649354.26937214658</v>
      </c>
      <c r="AF380">
        <v>649354.26937214658</v>
      </c>
      <c r="AG380">
        <v>40.303107798730167</v>
      </c>
      <c r="AH380">
        <v>57.156162790136342</v>
      </c>
      <c r="AI380">
        <v>57.156162790136342</v>
      </c>
      <c r="AJ380">
        <v>8144.9111705530186</v>
      </c>
      <c r="AK380">
        <v>854.70085470085473</v>
      </c>
      <c r="AL380" t="s">
        <v>69</v>
      </c>
      <c r="AM380">
        <v>4429.6026162355656</v>
      </c>
      <c r="AN380">
        <v>378.96768644681009</v>
      </c>
      <c r="AO380">
        <v>9716.5476743231775</v>
      </c>
      <c r="AP380">
        <v>13808.182327936251</v>
      </c>
      <c r="AQ380">
        <v>4091.6346536130732</v>
      </c>
      <c r="AR380">
        <v>1.2543093276999999E-2</v>
      </c>
      <c r="AS380">
        <v>202.09139233698599</v>
      </c>
      <c r="AT380">
        <v>109.90722200274411</v>
      </c>
      <c r="AU380">
        <v>9.402939553429432</v>
      </c>
      <c r="AV380">
        <v>241.0868095544065</v>
      </c>
      <c r="AW380">
        <v>342.60837642826402</v>
      </c>
      <c r="AX380">
        <v>101.52156687385749</v>
      </c>
      <c r="AY380">
        <v>1.4181577032612149</v>
      </c>
      <c r="AZ380" t="str">
        <f>VLOOKUP(BA380,Sheet1!$A$1:$B$58,2,FALSE)</f>
        <v>2,3-Butanediol</v>
      </c>
      <c r="BA380" t="s">
        <v>81</v>
      </c>
      <c r="BB380" t="s">
        <v>71</v>
      </c>
      <c r="BC380">
        <v>90.119200000000006</v>
      </c>
      <c r="BD380">
        <v>5.5</v>
      </c>
      <c r="BE380">
        <v>177</v>
      </c>
      <c r="BF380" t="s">
        <v>192</v>
      </c>
      <c r="BG380">
        <v>0.3328351717734393</v>
      </c>
      <c r="BH380">
        <v>0.42720930232558202</v>
      </c>
      <c r="BI380">
        <v>0.62029955915180501</v>
      </c>
      <c r="BJ380">
        <v>90</v>
      </c>
      <c r="BK380">
        <v>613.69699235272208</v>
      </c>
      <c r="BL380">
        <v>181.85042904946991</v>
      </c>
      <c r="BM380">
        <v>2.2074387300103981</v>
      </c>
      <c r="BN380">
        <v>375.2645841017677</v>
      </c>
      <c r="BO380">
        <v>238.43240825095441</v>
      </c>
    </row>
    <row r="381" spans="1:67" x14ac:dyDescent="0.25">
      <c r="A381" s="1">
        <v>379</v>
      </c>
      <c r="B381" t="s">
        <v>189</v>
      </c>
      <c r="C381" t="s">
        <v>190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67</v>
      </c>
      <c r="J381">
        <v>1.44</v>
      </c>
      <c r="K381">
        <v>500</v>
      </c>
      <c r="L381">
        <v>100</v>
      </c>
      <c r="N381" t="s">
        <v>68</v>
      </c>
      <c r="O381">
        <v>0</v>
      </c>
      <c r="P381">
        <v>0.2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55448.359668837322</v>
      </c>
      <c r="Z381">
        <v>277241798.3441866</v>
      </c>
      <c r="AA381">
        <v>399228189.61562872</v>
      </c>
      <c r="AB381">
        <v>399228.18961562868</v>
      </c>
      <c r="AC381">
        <v>0</v>
      </c>
      <c r="AD381">
        <v>2873.4087348957742</v>
      </c>
      <c r="AE381">
        <v>1034427.144562479</v>
      </c>
      <c r="AF381">
        <v>1034427.144562479</v>
      </c>
      <c r="AG381">
        <v>64.203210302358414</v>
      </c>
      <c r="AH381">
        <v>91.050277264389379</v>
      </c>
      <c r="AI381">
        <v>91.050277264389379</v>
      </c>
      <c r="AJ381">
        <v>12974.91616250793</v>
      </c>
      <c r="AK381">
        <v>854.70085470085473</v>
      </c>
      <c r="AL381" t="s">
        <v>69</v>
      </c>
      <c r="AM381">
        <v>7056.3964879901769</v>
      </c>
      <c r="AN381">
        <v>603.69890560919396</v>
      </c>
      <c r="AO381">
        <v>15478.5471349462</v>
      </c>
      <c r="AP381">
        <v>21489.712410808159</v>
      </c>
      <c r="AQ381">
        <v>6011.1652758619684</v>
      </c>
      <c r="AR381">
        <v>1.2543093276999999E-2</v>
      </c>
      <c r="AS381">
        <v>202.09139233698599</v>
      </c>
      <c r="AT381">
        <v>109.90722200274411</v>
      </c>
      <c r="AU381">
        <v>9.4029395534294338</v>
      </c>
      <c r="AV381">
        <v>241.0868095544065</v>
      </c>
      <c r="AW381">
        <v>334.71398563412282</v>
      </c>
      <c r="AX381">
        <v>93.627176079716293</v>
      </c>
      <c r="AY381">
        <v>1.4181577032612149</v>
      </c>
      <c r="AZ381" t="str">
        <f>VLOOKUP(BA381,Sheet1!$A$1:$B$58,2,FALSE)</f>
        <v>2-Methyl-1-Butanol</v>
      </c>
      <c r="BA381" t="s">
        <v>82</v>
      </c>
      <c r="BB381" t="s">
        <v>83</v>
      </c>
      <c r="BC381">
        <v>88.14658</v>
      </c>
      <c r="BD381">
        <v>6</v>
      </c>
      <c r="BE381">
        <v>129</v>
      </c>
      <c r="BF381" t="s">
        <v>192</v>
      </c>
      <c r="BG381">
        <v>1.145603480604559</v>
      </c>
      <c r="BH381">
        <v>0.27417910447761201</v>
      </c>
      <c r="BI381">
        <v>0.38938862842317501</v>
      </c>
      <c r="BJ381">
        <v>90</v>
      </c>
      <c r="BK381">
        <v>955.09832936925147</v>
      </c>
      <c r="BL381">
        <v>267.16290114942069</v>
      </c>
      <c r="BM381">
        <v>2.9010755089238569</v>
      </c>
      <c r="BN381">
        <v>493.18283651705582</v>
      </c>
      <c r="BO381">
        <v>461.91549285219571</v>
      </c>
    </row>
    <row r="382" spans="1:67" x14ac:dyDescent="0.25">
      <c r="A382" s="1">
        <v>380</v>
      </c>
      <c r="B382" t="s">
        <v>189</v>
      </c>
      <c r="C382" t="s">
        <v>190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67</v>
      </c>
      <c r="J382">
        <v>1.44</v>
      </c>
      <c r="K382">
        <v>500</v>
      </c>
      <c r="L382">
        <v>100</v>
      </c>
      <c r="N382" t="s">
        <v>68</v>
      </c>
      <c r="O382">
        <v>0</v>
      </c>
      <c r="P382">
        <v>0.2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23770.862824811898</v>
      </c>
      <c r="Z382">
        <v>118854314.1240595</v>
      </c>
      <c r="AA382">
        <v>171150212.3386457</v>
      </c>
      <c r="AB382">
        <v>171150.21233864571</v>
      </c>
      <c r="AC382">
        <v>0</v>
      </c>
      <c r="AD382">
        <v>1231.8381514757621</v>
      </c>
      <c r="AE382">
        <v>443461.7345312743</v>
      </c>
      <c r="AF382">
        <v>443461.7345312743</v>
      </c>
      <c r="AG382">
        <v>27.524091138581269</v>
      </c>
      <c r="AH382">
        <v>39.033501873442759</v>
      </c>
      <c r="AI382">
        <v>39.033501873442759</v>
      </c>
      <c r="AJ382">
        <v>5562.3819010059851</v>
      </c>
      <c r="AK382">
        <v>1835.336538461539</v>
      </c>
      <c r="AL382" t="s">
        <v>84</v>
      </c>
      <c r="AM382">
        <v>3025.0963951918138</v>
      </c>
      <c r="AN382">
        <v>258.80736523916232</v>
      </c>
      <c r="AO382">
        <v>6635.6953184852691</v>
      </c>
      <c r="AP382">
        <v>10681.6221998985</v>
      </c>
      <c r="AQ382">
        <v>4045.9268814132311</v>
      </c>
      <c r="AR382">
        <v>1.2543093276999999E-2</v>
      </c>
      <c r="AS382">
        <v>202.09139233698599</v>
      </c>
      <c r="AT382">
        <v>109.90722200274411</v>
      </c>
      <c r="AU382">
        <v>9.4029395534294338</v>
      </c>
      <c r="AV382">
        <v>241.0868095544065</v>
      </c>
      <c r="AW382">
        <v>388.08264898257733</v>
      </c>
      <c r="AX382">
        <v>146.9958394281708</v>
      </c>
      <c r="AY382">
        <v>1.4181577032612149</v>
      </c>
      <c r="AZ382" t="str">
        <f>VLOOKUP(BA382,Sheet1!$A$1:$B$58,2,FALSE)</f>
        <v>2-Pyrone-4,6-Dicarboxylate</v>
      </c>
      <c r="BA382" t="s">
        <v>85</v>
      </c>
      <c r="BB382" t="s">
        <v>86</v>
      </c>
      <c r="BC382">
        <v>182.08457999999999</v>
      </c>
      <c r="BD382">
        <v>2.5714285714285721</v>
      </c>
      <c r="BE382">
        <v>355.5</v>
      </c>
      <c r="BF382" t="s">
        <v>192</v>
      </c>
      <c r="BG382">
        <v>-0.13056495501858609</v>
      </c>
      <c r="BH382">
        <v>0.30960674157303397</v>
      </c>
      <c r="BI382">
        <v>0.908295204885324</v>
      </c>
      <c r="BJ382">
        <v>90</v>
      </c>
      <c r="BK382">
        <v>474.73876443993328</v>
      </c>
      <c r="BL382">
        <v>179.8189725072547</v>
      </c>
      <c r="BM382">
        <v>1.8653872605049311</v>
      </c>
      <c r="BN382">
        <v>317.11583428583822</v>
      </c>
      <c r="BO382">
        <v>157.62293015409509</v>
      </c>
    </row>
    <row r="383" spans="1:67" x14ac:dyDescent="0.25">
      <c r="A383" s="1">
        <v>381</v>
      </c>
      <c r="B383" t="s">
        <v>189</v>
      </c>
      <c r="C383" t="s">
        <v>190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67</v>
      </c>
      <c r="J383">
        <v>1.44</v>
      </c>
      <c r="K383">
        <v>500</v>
      </c>
      <c r="L383">
        <v>100</v>
      </c>
      <c r="N383" t="s">
        <v>68</v>
      </c>
      <c r="O383">
        <v>0</v>
      </c>
      <c r="P383">
        <v>0.2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57118.050843208541</v>
      </c>
      <c r="Z383">
        <v>285590254.2160427</v>
      </c>
      <c r="AA383">
        <v>411249966.07110149</v>
      </c>
      <c r="AB383">
        <v>411249.96607110149</v>
      </c>
      <c r="AC383">
        <v>0</v>
      </c>
      <c r="AD383">
        <v>2959.9343820685799</v>
      </c>
      <c r="AE383">
        <v>1065576.377544689</v>
      </c>
      <c r="AF383">
        <v>1065576.377544689</v>
      </c>
      <c r="AG383">
        <v>66.136532302294782</v>
      </c>
      <c r="AH383">
        <v>93.792032751483504</v>
      </c>
      <c r="AI383">
        <v>93.792032751483504</v>
      </c>
      <c r="AJ383">
        <v>13365.623897310799</v>
      </c>
      <c r="AK383">
        <v>854.70085470085473</v>
      </c>
      <c r="AL383" t="s">
        <v>69</v>
      </c>
      <c r="AM383">
        <v>7268.8825382399718</v>
      </c>
      <c r="AN383">
        <v>621.87781551191097</v>
      </c>
      <c r="AO383">
        <v>15944.645567752201</v>
      </c>
      <c r="AP383">
        <v>22111.085105763541</v>
      </c>
      <c r="AQ383">
        <v>6166.4395380113419</v>
      </c>
      <c r="AR383">
        <v>1.2543093276999999E-2</v>
      </c>
      <c r="AS383">
        <v>202.09139233698599</v>
      </c>
      <c r="AT383">
        <v>109.90722200274411</v>
      </c>
      <c r="AU383">
        <v>9.4029395534294355</v>
      </c>
      <c r="AV383">
        <v>241.0868095544065</v>
      </c>
      <c r="AW383">
        <v>334.32483282762519</v>
      </c>
      <c r="AX383">
        <v>93.238023273218715</v>
      </c>
      <c r="AY383">
        <v>1.4181577032612149</v>
      </c>
      <c r="AZ383" t="str">
        <f>VLOOKUP(BA383,Sheet1!$A$1:$B$58,2,FALSE)</f>
        <v>3-Methyl-1-Pentanol</v>
      </c>
      <c r="BA383" t="s">
        <v>87</v>
      </c>
      <c r="BB383" t="s">
        <v>88</v>
      </c>
      <c r="BC383">
        <v>102.17296</v>
      </c>
      <c r="BD383">
        <v>6</v>
      </c>
      <c r="BE383">
        <v>153</v>
      </c>
      <c r="BF383" t="s">
        <v>192</v>
      </c>
      <c r="BG383">
        <v>1.167242599845832</v>
      </c>
      <c r="BH383">
        <v>0.229625</v>
      </c>
      <c r="BI383">
        <v>0.37800590883312102</v>
      </c>
      <c r="BJ383">
        <v>90</v>
      </c>
      <c r="BK383">
        <v>982.71489358949043</v>
      </c>
      <c r="BL383">
        <v>274.06397946717073</v>
      </c>
      <c r="BM383">
        <v>3.0012921891089892</v>
      </c>
      <c r="BN383">
        <v>510.21967214852822</v>
      </c>
      <c r="BO383">
        <v>472.49522144096233</v>
      </c>
    </row>
    <row r="384" spans="1:67" x14ac:dyDescent="0.25">
      <c r="A384" s="1">
        <v>382</v>
      </c>
      <c r="B384" t="s">
        <v>189</v>
      </c>
      <c r="C384" t="s">
        <v>190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67</v>
      </c>
      <c r="J384">
        <v>1.44</v>
      </c>
      <c r="K384">
        <v>500</v>
      </c>
      <c r="L384">
        <v>100</v>
      </c>
      <c r="N384" t="s">
        <v>68</v>
      </c>
      <c r="O384">
        <v>0</v>
      </c>
      <c r="P384">
        <v>0.2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57275.707152510673</v>
      </c>
      <c r="Z384">
        <v>286378535.76255327</v>
      </c>
      <c r="AA384">
        <v>412385091.4980768</v>
      </c>
      <c r="AB384">
        <v>412385.0914980768</v>
      </c>
      <c r="AC384">
        <v>0</v>
      </c>
      <c r="AD384">
        <v>2968.1043445159048</v>
      </c>
      <c r="AE384">
        <v>1068517.5640257259</v>
      </c>
      <c r="AF384">
        <v>1068517.5640257259</v>
      </c>
      <c r="AG384">
        <v>66.319081276548857</v>
      </c>
      <c r="AH384">
        <v>94.050915985544364</v>
      </c>
      <c r="AI384">
        <v>94.050915985544364</v>
      </c>
      <c r="AJ384">
        <v>13402.515473687499</v>
      </c>
      <c r="AK384">
        <v>854.70085470085473</v>
      </c>
      <c r="AL384" t="s">
        <v>69</v>
      </c>
      <c r="AM384">
        <v>7288.9459888796882</v>
      </c>
      <c r="AN384">
        <v>623.59431248236274</v>
      </c>
      <c r="AO384">
        <v>15988.655717542541</v>
      </c>
      <c r="AP384">
        <v>22169.756629750402</v>
      </c>
      <c r="AQ384">
        <v>6181.1009122078594</v>
      </c>
      <c r="AR384">
        <v>1.2543093276999999E-2</v>
      </c>
      <c r="AS384">
        <v>202.09139233698599</v>
      </c>
      <c r="AT384">
        <v>109.90722200274411</v>
      </c>
      <c r="AU384">
        <v>9.4029395534294355</v>
      </c>
      <c r="AV384">
        <v>241.0868095544065</v>
      </c>
      <c r="AW384">
        <v>334.28926039103419</v>
      </c>
      <c r="AX384">
        <v>93.20245083662769</v>
      </c>
      <c r="AY384">
        <v>1.4181577032612149</v>
      </c>
      <c r="AZ384" t="str">
        <f>VLOOKUP(BA384,Sheet1!$A$1:$B$58,2,FALSE)</f>
        <v>4-Hydroxystyrene</v>
      </c>
      <c r="BA384" t="s">
        <v>89</v>
      </c>
      <c r="BB384" t="s">
        <v>90</v>
      </c>
      <c r="BC384">
        <v>120.14731999999999</v>
      </c>
      <c r="BD384">
        <v>4.75</v>
      </c>
      <c r="BE384">
        <v>229</v>
      </c>
      <c r="BF384" t="s">
        <v>192</v>
      </c>
      <c r="BG384">
        <v>0.83163662134429861</v>
      </c>
      <c r="BH384">
        <v>0.194734982332156</v>
      </c>
      <c r="BI384">
        <v>0.37696541506283299</v>
      </c>
      <c r="BJ384">
        <v>90</v>
      </c>
      <c r="BK384">
        <v>985.32251687779569</v>
      </c>
      <c r="BL384">
        <v>274.71559609812721</v>
      </c>
      <c r="BM384">
        <v>3.3484040891243412</v>
      </c>
      <c r="BN384">
        <v>569.22869515113791</v>
      </c>
      <c r="BO384">
        <v>416.09382172665778</v>
      </c>
    </row>
    <row r="385" spans="1:67" x14ac:dyDescent="0.25">
      <c r="A385" s="1">
        <v>383</v>
      </c>
      <c r="B385" t="s">
        <v>189</v>
      </c>
      <c r="C385" t="s">
        <v>190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67</v>
      </c>
      <c r="J385">
        <v>1.44</v>
      </c>
      <c r="K385">
        <v>500</v>
      </c>
      <c r="L385">
        <v>100</v>
      </c>
      <c r="N385" t="s">
        <v>68</v>
      </c>
      <c r="O385">
        <v>0</v>
      </c>
      <c r="P385">
        <v>0.2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39854.527105724294</v>
      </c>
      <c r="Z385">
        <v>199272635.52862149</v>
      </c>
      <c r="AA385">
        <v>286952595.16121489</v>
      </c>
      <c r="AB385">
        <v>286952.59516121488</v>
      </c>
      <c r="AC385">
        <v>0</v>
      </c>
      <c r="AD385">
        <v>2065.3153131072581</v>
      </c>
      <c r="AE385">
        <v>743513.51271861268</v>
      </c>
      <c r="AF385">
        <v>743513.51271861268</v>
      </c>
      <c r="AG385">
        <v>46.147236826339011</v>
      </c>
      <c r="AH385">
        <v>65.444059389492296</v>
      </c>
      <c r="AI385">
        <v>65.444059389492296</v>
      </c>
      <c r="AJ385">
        <v>9325.959342739483</v>
      </c>
      <c r="AK385">
        <v>854.70085470085473</v>
      </c>
      <c r="AL385" t="s">
        <v>69</v>
      </c>
      <c r="AM385">
        <v>5071.9146026856533</v>
      </c>
      <c r="AN385">
        <v>433.91967843585849</v>
      </c>
      <c r="AO385">
        <v>11125.490096213691</v>
      </c>
      <c r="AP385">
        <v>15686.49447856185</v>
      </c>
      <c r="AQ385">
        <v>4561.004382348161</v>
      </c>
      <c r="AR385">
        <v>1.2543093276999999E-2</v>
      </c>
      <c r="AS385">
        <v>202.09139233698599</v>
      </c>
      <c r="AT385">
        <v>109.90722200274421</v>
      </c>
      <c r="AU385">
        <v>9.4029395534294355</v>
      </c>
      <c r="AV385">
        <v>241.08680955440661</v>
      </c>
      <c r="AW385">
        <v>339.92272468215532</v>
      </c>
      <c r="AX385">
        <v>98.835915127748706</v>
      </c>
      <c r="AY385">
        <v>1.4181577032612149</v>
      </c>
      <c r="AZ385" t="str">
        <f>VLOOKUP(BA385,Sheet1!$A$1:$B$58,2,FALSE)</f>
        <v>5-Aminopentanoate</v>
      </c>
      <c r="BA385" t="s">
        <v>91</v>
      </c>
      <c r="BB385" t="s">
        <v>92</v>
      </c>
      <c r="BC385">
        <v>117.14444</v>
      </c>
      <c r="BD385">
        <v>4.8</v>
      </c>
      <c r="BE385">
        <v>247.5</v>
      </c>
      <c r="BF385" t="s">
        <v>192</v>
      </c>
      <c r="BG385">
        <v>0.73931383488175006</v>
      </c>
      <c r="BH385">
        <v>0.28703125000000002</v>
      </c>
      <c r="BI385">
        <v>0.54174424557812295</v>
      </c>
      <c r="BJ385">
        <v>90</v>
      </c>
      <c r="BK385">
        <v>697.17753238052671</v>
      </c>
      <c r="BL385">
        <v>202.71130588214049</v>
      </c>
      <c r="BM385">
        <v>2.169311026873463</v>
      </c>
      <c r="BN385">
        <v>368.78287456848869</v>
      </c>
      <c r="BO385">
        <v>328.39465781203802</v>
      </c>
    </row>
    <row r="386" spans="1:67" x14ac:dyDescent="0.25">
      <c r="A386" s="1">
        <v>384</v>
      </c>
      <c r="B386" t="s">
        <v>189</v>
      </c>
      <c r="C386" t="s">
        <v>190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67</v>
      </c>
      <c r="J386">
        <v>1.44</v>
      </c>
      <c r="K386">
        <v>500</v>
      </c>
      <c r="L386">
        <v>100</v>
      </c>
      <c r="N386" t="s">
        <v>68</v>
      </c>
      <c r="O386">
        <v>0</v>
      </c>
      <c r="P386">
        <v>0.2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40181.555371417919</v>
      </c>
      <c r="Z386">
        <v>200907776.85708961</v>
      </c>
      <c r="AA386">
        <v>289307198.674209</v>
      </c>
      <c r="AB386">
        <v>289307.19867420901</v>
      </c>
      <c r="AC386">
        <v>0</v>
      </c>
      <c r="AD386">
        <v>2082.2623586251789</v>
      </c>
      <c r="AE386">
        <v>749614.4491050645</v>
      </c>
      <c r="AF386">
        <v>749614.4491050645</v>
      </c>
      <c r="AG386">
        <v>46.52590022851254</v>
      </c>
      <c r="AH386">
        <v>65.981063810227781</v>
      </c>
      <c r="AI386">
        <v>65.981063810227781</v>
      </c>
      <c r="AJ386">
        <v>9402.4839569117939</v>
      </c>
      <c r="AK386">
        <v>854.70085470085473</v>
      </c>
      <c r="AL386" t="s">
        <v>69</v>
      </c>
      <c r="AM386">
        <v>5113.5324452926534</v>
      </c>
      <c r="AN386">
        <v>437.48022751759203</v>
      </c>
      <c r="AO386">
        <v>11216.780847738721</v>
      </c>
      <c r="AP386">
        <v>15808.197484422901</v>
      </c>
      <c r="AQ386">
        <v>4591.4166366841728</v>
      </c>
      <c r="AR386">
        <v>1.2543093276999999E-2</v>
      </c>
      <c r="AS386">
        <v>202.09139233698599</v>
      </c>
      <c r="AT386">
        <v>109.90722200274421</v>
      </c>
      <c r="AU386">
        <v>9.4029395534294338</v>
      </c>
      <c r="AV386">
        <v>241.0868095544065</v>
      </c>
      <c r="AW386">
        <v>339.77198521212352</v>
      </c>
      <c r="AX386">
        <v>98.685175657716997</v>
      </c>
      <c r="AY386">
        <v>1.4181577032612149</v>
      </c>
      <c r="AZ386" t="str">
        <f>VLOOKUP(BA386,Sheet1!$A$1:$B$58,2,FALSE)</f>
        <v>Acetone</v>
      </c>
      <c r="BA386" t="s">
        <v>93</v>
      </c>
      <c r="BB386" t="s">
        <v>94</v>
      </c>
      <c r="BC386">
        <v>58.078139999999998</v>
      </c>
      <c r="BD386">
        <v>5.333333333333333</v>
      </c>
      <c r="BE386">
        <v>56</v>
      </c>
      <c r="BF386" t="s">
        <v>192</v>
      </c>
      <c r="BG386">
        <v>0.36592764917716952</v>
      </c>
      <c r="BH386">
        <v>0.57423423423423403</v>
      </c>
      <c r="BI386">
        <v>0.53733511607969298</v>
      </c>
      <c r="BJ386">
        <v>90</v>
      </c>
      <c r="BK386">
        <v>702.58655486323983</v>
      </c>
      <c r="BL386">
        <v>204.06296163040781</v>
      </c>
      <c r="BM386">
        <v>2.5665640757218431</v>
      </c>
      <c r="BN386">
        <v>436.31589287271328</v>
      </c>
      <c r="BO386">
        <v>266.27066199052649</v>
      </c>
    </row>
    <row r="387" spans="1:67" x14ac:dyDescent="0.25">
      <c r="A387" s="1">
        <v>385</v>
      </c>
      <c r="B387" t="s">
        <v>189</v>
      </c>
      <c r="C387" t="s">
        <v>190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67</v>
      </c>
      <c r="J387">
        <v>1.44</v>
      </c>
      <c r="K387">
        <v>500</v>
      </c>
      <c r="L387">
        <v>100</v>
      </c>
      <c r="N387" t="s">
        <v>68</v>
      </c>
      <c r="O387">
        <v>0</v>
      </c>
      <c r="P387">
        <v>0.2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33366.950644568882</v>
      </c>
      <c r="Z387">
        <v>166834753.22284439</v>
      </c>
      <c r="AA387">
        <v>240242044.64089599</v>
      </c>
      <c r="AB387">
        <v>240242.044640896</v>
      </c>
      <c r="AC387">
        <v>0</v>
      </c>
      <c r="AD387">
        <v>1729.1203565183989</v>
      </c>
      <c r="AE387">
        <v>622483.32834662369</v>
      </c>
      <c r="AF387">
        <v>622483.32834662369</v>
      </c>
      <c r="AG387">
        <v>38.635324149826019</v>
      </c>
      <c r="AH387">
        <v>54.790982561069818</v>
      </c>
      <c r="AI387">
        <v>54.790982561069818</v>
      </c>
      <c r="AJ387">
        <v>7807.8664508291185</v>
      </c>
      <c r="AK387">
        <v>854.70085470085473</v>
      </c>
      <c r="AL387" t="s">
        <v>69</v>
      </c>
      <c r="AM387">
        <v>4246.3011484829112</v>
      </c>
      <c r="AN387">
        <v>363.2856176079664</v>
      </c>
      <c r="AO387">
        <v>9314.4670353818692</v>
      </c>
      <c r="AP387">
        <v>13272.154071620849</v>
      </c>
      <c r="AQ387">
        <v>3957.6870362389818</v>
      </c>
      <c r="AR387">
        <v>1.2543093276999999E-2</v>
      </c>
      <c r="AS387">
        <v>202.09139233698599</v>
      </c>
      <c r="AT387">
        <v>109.90722200274421</v>
      </c>
      <c r="AU387">
        <v>9.402939553429432</v>
      </c>
      <c r="AV387">
        <v>241.0868095544065</v>
      </c>
      <c r="AW387">
        <v>343.52381825896032</v>
      </c>
      <c r="AX387">
        <v>102.4370087045537</v>
      </c>
      <c r="AY387">
        <v>1.4181577032612149</v>
      </c>
      <c r="AZ387" t="str">
        <f>VLOOKUP(BA387,Sheet1!$A$1:$B$58,2,FALSE)</f>
        <v>Acrylate (PW1)</v>
      </c>
      <c r="BA387" t="s">
        <v>95</v>
      </c>
      <c r="BB387" t="s">
        <v>96</v>
      </c>
      <c r="BC387">
        <v>71.053619999999995</v>
      </c>
      <c r="BD387">
        <v>3.666666666666667</v>
      </c>
      <c r="BE387">
        <v>80</v>
      </c>
      <c r="BF387" t="s">
        <v>192</v>
      </c>
      <c r="BG387">
        <v>0.33346656415802312</v>
      </c>
      <c r="BH387">
        <v>0.56523076923076998</v>
      </c>
      <c r="BI387">
        <v>0.64707623269966996</v>
      </c>
      <c r="BJ387">
        <v>90</v>
      </c>
      <c r="BK387">
        <v>589.87351429426008</v>
      </c>
      <c r="BL387">
        <v>175.89720161062149</v>
      </c>
      <c r="BM387">
        <v>2.1016882163339692</v>
      </c>
      <c r="BN387">
        <v>357.28699677677469</v>
      </c>
      <c r="BO387">
        <v>232.58651751748531</v>
      </c>
    </row>
    <row r="388" spans="1:67" x14ac:dyDescent="0.25">
      <c r="A388" s="1">
        <v>386</v>
      </c>
      <c r="B388" t="s">
        <v>189</v>
      </c>
      <c r="C388" t="s">
        <v>190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67</v>
      </c>
      <c r="J388">
        <v>1.44</v>
      </c>
      <c r="K388">
        <v>500</v>
      </c>
      <c r="L388">
        <v>100</v>
      </c>
      <c r="N388" t="s">
        <v>68</v>
      </c>
      <c r="O388">
        <v>0</v>
      </c>
      <c r="P388">
        <v>0.2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26180.222813430981</v>
      </c>
      <c r="Z388">
        <v>130901114.0671549</v>
      </c>
      <c r="AA388">
        <v>188497604.25670311</v>
      </c>
      <c r="AB388">
        <v>188497.60425670311</v>
      </c>
      <c r="AC388">
        <v>0</v>
      </c>
      <c r="AD388">
        <v>1356.6944335759761</v>
      </c>
      <c r="AE388">
        <v>488409.99608735129</v>
      </c>
      <c r="AF388">
        <v>488409.99608735129</v>
      </c>
      <c r="AG388">
        <v>30.313869717555821</v>
      </c>
      <c r="AH388">
        <v>42.989847855608652</v>
      </c>
      <c r="AI388">
        <v>42.989847855608652</v>
      </c>
      <c r="AJ388">
        <v>6126.1721383428503</v>
      </c>
      <c r="AK388">
        <v>854.70085470085473</v>
      </c>
      <c r="AL388" t="s">
        <v>69</v>
      </c>
      <c r="AM388">
        <v>3331.713208809671</v>
      </c>
      <c r="AN388">
        <v>285.03948458471223</v>
      </c>
      <c r="AO388">
        <v>7308.274135453471</v>
      </c>
      <c r="AP388">
        <v>10597.62568643809</v>
      </c>
      <c r="AQ388">
        <v>3289.351550984617</v>
      </c>
      <c r="AR388">
        <v>1.2543093276999999E-2</v>
      </c>
      <c r="AS388">
        <v>202.0913923369859</v>
      </c>
      <c r="AT388">
        <v>109.90722200274411</v>
      </c>
      <c r="AU388">
        <v>9.4029395534294284</v>
      </c>
      <c r="AV388">
        <v>241.0868095544065</v>
      </c>
      <c r="AW388">
        <v>349.59659671231731</v>
      </c>
      <c r="AX388">
        <v>108.50978715791079</v>
      </c>
      <c r="AY388">
        <v>1.418157703261214</v>
      </c>
      <c r="AZ388" t="str">
        <f>VLOOKUP(BA388,Sheet1!$A$1:$B$58,2,FALSE)</f>
        <v>Acrylate (PW2)</v>
      </c>
      <c r="BA388" t="s">
        <v>97</v>
      </c>
      <c r="BB388" t="s">
        <v>96</v>
      </c>
      <c r="BC388">
        <v>71.053619999999995</v>
      </c>
      <c r="BD388">
        <v>3.666666666666667</v>
      </c>
      <c r="BE388">
        <v>80</v>
      </c>
      <c r="BF388" t="s">
        <v>192</v>
      </c>
      <c r="BG388">
        <v>-0.1385791282800283</v>
      </c>
      <c r="BH388">
        <v>0.72039215686274505</v>
      </c>
      <c r="BI388">
        <v>0.82470500246036305</v>
      </c>
      <c r="BJ388">
        <v>90</v>
      </c>
      <c r="BK388">
        <v>471.00558606391508</v>
      </c>
      <c r="BL388">
        <v>146.19340226598311</v>
      </c>
      <c r="BM388">
        <v>2.049239032973746</v>
      </c>
      <c r="BN388">
        <v>348.37063560553679</v>
      </c>
      <c r="BO388">
        <v>122.6349504583783</v>
      </c>
    </row>
    <row r="389" spans="1:67" x14ac:dyDescent="0.25">
      <c r="A389" s="1">
        <v>387</v>
      </c>
      <c r="B389" t="s">
        <v>189</v>
      </c>
      <c r="C389" t="s">
        <v>190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67</v>
      </c>
      <c r="J389">
        <v>1.44</v>
      </c>
      <c r="K389">
        <v>500</v>
      </c>
      <c r="L389">
        <v>100</v>
      </c>
      <c r="N389" t="s">
        <v>68</v>
      </c>
      <c r="O389">
        <v>0</v>
      </c>
      <c r="P389">
        <v>0.2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35852.875588977491</v>
      </c>
      <c r="Z389">
        <v>179264377.94488749</v>
      </c>
      <c r="AA389">
        <v>258140704.2406379</v>
      </c>
      <c r="AB389">
        <v>258140.70424063789</v>
      </c>
      <c r="AC389">
        <v>0</v>
      </c>
      <c r="AD389">
        <v>1857.9443378267861</v>
      </c>
      <c r="AE389">
        <v>668859.96161764278</v>
      </c>
      <c r="AF389">
        <v>668859.96161764278</v>
      </c>
      <c r="AG389">
        <v>41.513756676143728</v>
      </c>
      <c r="AH389">
        <v>58.873053821584932</v>
      </c>
      <c r="AI389">
        <v>58.873053821584932</v>
      </c>
      <c r="AJ389">
        <v>8389.5728878207319</v>
      </c>
      <c r="AK389">
        <v>854.70085470085473</v>
      </c>
      <c r="AL389" t="s">
        <v>69</v>
      </c>
      <c r="AM389">
        <v>4562.661671172832</v>
      </c>
      <c r="AN389">
        <v>390.35134466155711</v>
      </c>
      <c r="AO389">
        <v>10008.41914966944</v>
      </c>
      <c r="AP389">
        <v>14197.28675835598</v>
      </c>
      <c r="AQ389">
        <v>4188.8676086865416</v>
      </c>
      <c r="AR389">
        <v>1.2543093276999999E-2</v>
      </c>
      <c r="AS389">
        <v>202.09139233698599</v>
      </c>
      <c r="AT389">
        <v>109.90722200274421</v>
      </c>
      <c r="AU389">
        <v>9.4029395534294355</v>
      </c>
      <c r="AV389">
        <v>241.08680955440661</v>
      </c>
      <c r="AW389">
        <v>341.98993044911742</v>
      </c>
      <c r="AX389">
        <v>100.9031208947109</v>
      </c>
      <c r="AY389">
        <v>1.4181577032612149</v>
      </c>
      <c r="AZ389" t="str">
        <f>VLOOKUP(BA389,Sheet1!$A$1:$B$58,2,FALSE)</f>
        <v>Adipate</v>
      </c>
      <c r="BA389" t="s">
        <v>98</v>
      </c>
      <c r="BB389" t="s">
        <v>99</v>
      </c>
      <c r="BC389">
        <v>144.12291999999999</v>
      </c>
      <c r="BD389">
        <v>4</v>
      </c>
      <c r="BE389">
        <v>337.5</v>
      </c>
      <c r="BF389" t="s">
        <v>192</v>
      </c>
      <c r="BG389">
        <v>0.52273764489174412</v>
      </c>
      <c r="BH389">
        <v>0.25934117647058802</v>
      </c>
      <c r="BI389">
        <v>0.60221001426176601</v>
      </c>
      <c r="BJ389">
        <v>90</v>
      </c>
      <c r="BK389">
        <v>630.99052259359894</v>
      </c>
      <c r="BL389">
        <v>186.17189371940179</v>
      </c>
      <c r="BM389">
        <v>2.0938425249564752</v>
      </c>
      <c r="BN389">
        <v>355.95322924260068</v>
      </c>
      <c r="BO389">
        <v>275.03729335099831</v>
      </c>
    </row>
    <row r="390" spans="1:67" x14ac:dyDescent="0.25">
      <c r="A390" s="1">
        <v>388</v>
      </c>
      <c r="B390" t="s">
        <v>189</v>
      </c>
      <c r="C390" t="s">
        <v>190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67</v>
      </c>
      <c r="J390">
        <v>1.44</v>
      </c>
      <c r="K390">
        <v>500</v>
      </c>
      <c r="L390">
        <v>100</v>
      </c>
      <c r="N390" t="s">
        <v>68</v>
      </c>
      <c r="O390">
        <v>0</v>
      </c>
      <c r="P390">
        <v>0.2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48989.206386610327</v>
      </c>
      <c r="Z390">
        <v>244946031.93305159</v>
      </c>
      <c r="AA390">
        <v>352722285.98359442</v>
      </c>
      <c r="AB390">
        <v>352722.28598359443</v>
      </c>
      <c r="AC390">
        <v>0</v>
      </c>
      <c r="AD390">
        <v>2538.686705749571</v>
      </c>
      <c r="AE390">
        <v>913927.21406984539</v>
      </c>
      <c r="AF390">
        <v>913927.21406984539</v>
      </c>
      <c r="AG390">
        <v>56.724208596433208</v>
      </c>
      <c r="AH390">
        <v>80.44387338242781</v>
      </c>
      <c r="AI390">
        <v>80.44387338242781</v>
      </c>
      <c r="AJ390">
        <v>11463.47429446682</v>
      </c>
      <c r="AK390">
        <v>854.70085470085473</v>
      </c>
      <c r="AL390" t="s">
        <v>69</v>
      </c>
      <c r="AM390">
        <v>6234.4001871381552</v>
      </c>
      <c r="AN390">
        <v>533.37430464838383</v>
      </c>
      <c r="AO390">
        <v>13675.458475012731</v>
      </c>
      <c r="AP390">
        <v>19085.949640954212</v>
      </c>
      <c r="AQ390">
        <v>5410.4911659414847</v>
      </c>
      <c r="AR390">
        <v>1.2543093276999999E-2</v>
      </c>
      <c r="AS390">
        <v>202.09139233698599</v>
      </c>
      <c r="AT390">
        <v>109.90722200274421</v>
      </c>
      <c r="AU390">
        <v>9.4029395534294355</v>
      </c>
      <c r="AV390">
        <v>241.08680955440661</v>
      </c>
      <c r="AW390">
        <v>336.46920976442362</v>
      </c>
      <c r="AX390">
        <v>95.382400210017039</v>
      </c>
      <c r="AY390">
        <v>1.4181577032612149</v>
      </c>
      <c r="AZ390" t="str">
        <f>VLOOKUP(BA390,Sheet1!$A$1:$B$58,2,FALSE)</f>
        <v>Benzoate (PW1)</v>
      </c>
      <c r="BA390" t="s">
        <v>100</v>
      </c>
      <c r="BB390" t="s">
        <v>101</v>
      </c>
      <c r="BC390">
        <v>121.1121</v>
      </c>
      <c r="BD390">
        <v>4.1428571428571432</v>
      </c>
      <c r="BE390">
        <v>249.2</v>
      </c>
      <c r="BF390" t="s">
        <v>192</v>
      </c>
      <c r="BG390">
        <v>0.67408053080919805</v>
      </c>
      <c r="BH390">
        <v>0.225860655737705</v>
      </c>
      <c r="BI390">
        <v>0.44072893423447401</v>
      </c>
      <c r="BJ390">
        <v>90</v>
      </c>
      <c r="BK390">
        <v>848.26442848685372</v>
      </c>
      <c r="BL390">
        <v>240.4662740418436</v>
      </c>
      <c r="BM390">
        <v>2.901202730632038</v>
      </c>
      <c r="BN390">
        <v>493.20446420744639</v>
      </c>
      <c r="BO390">
        <v>355.05996427940732</v>
      </c>
    </row>
    <row r="391" spans="1:67" x14ac:dyDescent="0.25">
      <c r="A391" s="1">
        <v>389</v>
      </c>
      <c r="B391" t="s">
        <v>189</v>
      </c>
      <c r="C391" t="s">
        <v>190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67</v>
      </c>
      <c r="J391">
        <v>1.44</v>
      </c>
      <c r="K391">
        <v>500</v>
      </c>
      <c r="L391">
        <v>100</v>
      </c>
      <c r="N391" t="s">
        <v>68</v>
      </c>
      <c r="O391">
        <v>0</v>
      </c>
      <c r="P391">
        <v>0.2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48989.206386610444</v>
      </c>
      <c r="Z391">
        <v>244946031.93305221</v>
      </c>
      <c r="AA391">
        <v>352722285.98359507</v>
      </c>
      <c r="AB391">
        <v>352722.28598359512</v>
      </c>
      <c r="AC391">
        <v>0</v>
      </c>
      <c r="AD391">
        <v>2538.686705749576</v>
      </c>
      <c r="AE391">
        <v>913927.21406984748</v>
      </c>
      <c r="AF391">
        <v>913927.21406984748</v>
      </c>
      <c r="AG391">
        <v>56.724208596433343</v>
      </c>
      <c r="AH391">
        <v>80.443873382427981</v>
      </c>
      <c r="AI391">
        <v>80.443873382427981</v>
      </c>
      <c r="AJ391">
        <v>11463.47429446684</v>
      </c>
      <c r="AK391">
        <v>854.70085470085473</v>
      </c>
      <c r="AL391" t="s">
        <v>69</v>
      </c>
      <c r="AM391">
        <v>6234.4001871381688</v>
      </c>
      <c r="AN391">
        <v>533.37430464838485</v>
      </c>
      <c r="AO391">
        <v>13675.45847501276</v>
      </c>
      <c r="AP391">
        <v>19085.949640954252</v>
      </c>
      <c r="AQ391">
        <v>5410.491165941492</v>
      </c>
      <c r="AR391">
        <v>1.2543093276999999E-2</v>
      </c>
      <c r="AS391">
        <v>202.09139233698599</v>
      </c>
      <c r="AT391">
        <v>109.90722200274421</v>
      </c>
      <c r="AU391">
        <v>9.402939553429432</v>
      </c>
      <c r="AV391">
        <v>241.0868095544065</v>
      </c>
      <c r="AW391">
        <v>336.46920976442362</v>
      </c>
      <c r="AX391">
        <v>95.382400210017039</v>
      </c>
      <c r="AY391">
        <v>1.4181577032612149</v>
      </c>
      <c r="AZ391" t="str">
        <f>VLOOKUP(BA391,Sheet1!$A$1:$B$58,2,FALSE)</f>
        <v>Benzoate (PW2)</v>
      </c>
      <c r="BA391" t="s">
        <v>102</v>
      </c>
      <c r="BB391" t="s">
        <v>101</v>
      </c>
      <c r="BC391">
        <v>121.1121</v>
      </c>
      <c r="BD391">
        <v>4.1428571428571432</v>
      </c>
      <c r="BE391">
        <v>249.2</v>
      </c>
      <c r="BF391" t="s">
        <v>192</v>
      </c>
      <c r="BG391">
        <v>0.67408053080919494</v>
      </c>
      <c r="BH391">
        <v>0.225860655737705</v>
      </c>
      <c r="BI391">
        <v>0.44072893423447301</v>
      </c>
      <c r="BJ391">
        <v>90</v>
      </c>
      <c r="BK391">
        <v>848.26442848685542</v>
      </c>
      <c r="BL391">
        <v>240.4662740418442</v>
      </c>
      <c r="BM391">
        <v>2.9012027306320491</v>
      </c>
      <c r="BN391">
        <v>493.20446420744832</v>
      </c>
      <c r="BO391">
        <v>355.05996427940721</v>
      </c>
    </row>
    <row r="392" spans="1:67" x14ac:dyDescent="0.25">
      <c r="A392" s="1">
        <v>390</v>
      </c>
      <c r="B392" t="s">
        <v>189</v>
      </c>
      <c r="C392" t="s">
        <v>190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67</v>
      </c>
      <c r="J392">
        <v>1.44</v>
      </c>
      <c r="K392">
        <v>500</v>
      </c>
      <c r="L392">
        <v>100</v>
      </c>
      <c r="N392" t="s">
        <v>68</v>
      </c>
      <c r="O392">
        <v>0</v>
      </c>
      <c r="P392">
        <v>0.2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62962.701362664782</v>
      </c>
      <c r="Z392">
        <v>314813506.81332392</v>
      </c>
      <c r="AA392">
        <v>453331449.81118637</v>
      </c>
      <c r="AB392">
        <v>453331.44981118641</v>
      </c>
      <c r="AC392">
        <v>0</v>
      </c>
      <c r="AD392">
        <v>3262.812049781754</v>
      </c>
      <c r="AE392">
        <v>1174612.337921432</v>
      </c>
      <c r="AF392">
        <v>1174612.337921432</v>
      </c>
      <c r="AG392">
        <v>72.904006194860244</v>
      </c>
      <c r="AH392">
        <v>103.3893779838444</v>
      </c>
      <c r="AI392">
        <v>103.3893779838444</v>
      </c>
      <c r="AJ392">
        <v>14733.272118863561</v>
      </c>
      <c r="AK392">
        <v>854.70085470085473</v>
      </c>
      <c r="AL392" t="s">
        <v>69</v>
      </c>
      <c r="AM392">
        <v>8012.6767937479408</v>
      </c>
      <c r="AN392">
        <v>685.51196345311587</v>
      </c>
      <c r="AO392">
        <v>17576.194257253552</v>
      </c>
      <c r="AP392">
        <v>24286.161730765471</v>
      </c>
      <c r="AQ392">
        <v>6709.9674735119224</v>
      </c>
      <c r="AR392">
        <v>1.2543093276999999E-2</v>
      </c>
      <c r="AS392">
        <v>202.09139233698599</v>
      </c>
      <c r="AT392">
        <v>109.90722200274411</v>
      </c>
      <c r="AU392">
        <v>9.4029395534294338</v>
      </c>
      <c r="AV392">
        <v>241.0868095544065</v>
      </c>
      <c r="AW392">
        <v>333.12520118376779</v>
      </c>
      <c r="AX392">
        <v>92.038391629361257</v>
      </c>
      <c r="AY392">
        <v>1.4181577032612149</v>
      </c>
      <c r="AZ392" t="str">
        <f>VLOOKUP(BA392,Sheet1!$A$1:$B$58,2,FALSE)</f>
        <v>Benzyl Alcohol</v>
      </c>
      <c r="BA392" t="s">
        <v>103</v>
      </c>
      <c r="BB392" t="s">
        <v>104</v>
      </c>
      <c r="BC392">
        <v>108.13661999999999</v>
      </c>
      <c r="BD392">
        <v>4.8571428571428568</v>
      </c>
      <c r="BE392">
        <v>205</v>
      </c>
      <c r="BF392" t="s">
        <v>192</v>
      </c>
      <c r="BG392">
        <v>1.2866816382375159</v>
      </c>
      <c r="BH392">
        <v>0.19682142857142901</v>
      </c>
      <c r="BI392">
        <v>0.34291668325028901</v>
      </c>
      <c r="BJ392">
        <v>90</v>
      </c>
      <c r="BK392">
        <v>1079.384965811799</v>
      </c>
      <c r="BL392">
        <v>298.22077660053009</v>
      </c>
      <c r="BM392">
        <v>3.308401827711124</v>
      </c>
      <c r="BN392">
        <v>562.4283107108912</v>
      </c>
      <c r="BO392">
        <v>516.9566551009076</v>
      </c>
    </row>
    <row r="393" spans="1:67" x14ac:dyDescent="0.25">
      <c r="A393" s="1">
        <v>391</v>
      </c>
      <c r="B393" t="s">
        <v>189</v>
      </c>
      <c r="C393" t="s">
        <v>190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67</v>
      </c>
      <c r="J393">
        <v>1.44</v>
      </c>
      <c r="K393">
        <v>500</v>
      </c>
      <c r="L393">
        <v>100</v>
      </c>
      <c r="N393" t="s">
        <v>68</v>
      </c>
      <c r="O393">
        <v>0</v>
      </c>
      <c r="P393">
        <v>0.2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64378.370036206499</v>
      </c>
      <c r="Z393">
        <v>321891850.18103248</v>
      </c>
      <c r="AA393">
        <v>463524264.26068681</v>
      </c>
      <c r="AB393">
        <v>463524.26426068682</v>
      </c>
      <c r="AC393">
        <v>0</v>
      </c>
      <c r="AD393">
        <v>3336.1739085737499</v>
      </c>
      <c r="AE393">
        <v>1201022.60708655</v>
      </c>
      <c r="AF393">
        <v>1201022.60708655</v>
      </c>
      <c r="AG393">
        <v>74.543197581380937</v>
      </c>
      <c r="AH393">
        <v>105.71400987575819</v>
      </c>
      <c r="AI393">
        <v>105.71400987575819</v>
      </c>
      <c r="AJ393">
        <v>15064.53858847232</v>
      </c>
      <c r="AK393">
        <v>854.70085470085473</v>
      </c>
      <c r="AL393" t="s">
        <v>69</v>
      </c>
      <c r="AM393">
        <v>8192.8357653712574</v>
      </c>
      <c r="AN393">
        <v>700.92518097707216</v>
      </c>
      <c r="AO393">
        <v>17971.38167887889</v>
      </c>
      <c r="AP393">
        <v>24813.000389521501</v>
      </c>
      <c r="AQ393">
        <v>6841.618710642615</v>
      </c>
      <c r="AR393">
        <v>1.2543093276999999E-2</v>
      </c>
      <c r="AS393">
        <v>202.09139233698599</v>
      </c>
      <c r="AT393">
        <v>109.90722200274421</v>
      </c>
      <c r="AU393">
        <v>9.4029395534294355</v>
      </c>
      <c r="AV393">
        <v>241.08680955440661</v>
      </c>
      <c r="AW393">
        <v>332.86740030748541</v>
      </c>
      <c r="AX393">
        <v>91.780590753078769</v>
      </c>
      <c r="AY393">
        <v>1.4181577032612149</v>
      </c>
      <c r="AZ393" t="str">
        <f>VLOOKUP(BA393,Sheet1!$A$1:$B$58,2,FALSE)</f>
        <v>Beta Carotene</v>
      </c>
      <c r="BA393" t="s">
        <v>105</v>
      </c>
      <c r="BB393" t="s">
        <v>106</v>
      </c>
      <c r="BC393">
        <v>536.86703999999997</v>
      </c>
      <c r="BD393">
        <v>5.4</v>
      </c>
      <c r="BE393">
        <v>633</v>
      </c>
      <c r="BF393" t="s">
        <v>192</v>
      </c>
      <c r="BG393">
        <v>0.94953895065546989</v>
      </c>
      <c r="BH393">
        <v>3.8772321428571399E-2</v>
      </c>
      <c r="BI393">
        <v>0.33537600761902903</v>
      </c>
      <c r="BJ393">
        <v>90</v>
      </c>
      <c r="BK393">
        <v>1102.800017312067</v>
      </c>
      <c r="BL393">
        <v>304.07194269522728</v>
      </c>
      <c r="BM393">
        <v>3.748861488267115</v>
      </c>
      <c r="BN393">
        <v>637.30645300540959</v>
      </c>
      <c r="BO393">
        <v>465.49356430665739</v>
      </c>
    </row>
    <row r="394" spans="1:67" x14ac:dyDescent="0.25">
      <c r="A394" s="1">
        <v>392</v>
      </c>
      <c r="B394" t="s">
        <v>189</v>
      </c>
      <c r="C394" t="s">
        <v>190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67</v>
      </c>
      <c r="J394">
        <v>1.44</v>
      </c>
      <c r="K394">
        <v>500</v>
      </c>
      <c r="L394">
        <v>100</v>
      </c>
      <c r="N394" t="s">
        <v>68</v>
      </c>
      <c r="O394">
        <v>0</v>
      </c>
      <c r="P394">
        <v>0.2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70286.646298713502</v>
      </c>
      <c r="Z394">
        <v>351433231.49356753</v>
      </c>
      <c r="AA394">
        <v>506063853.35073721</v>
      </c>
      <c r="AB394">
        <v>506063.85335073719</v>
      </c>
      <c r="AC394">
        <v>66773.504273504266</v>
      </c>
      <c r="AD394">
        <v>3642.3487480506742</v>
      </c>
      <c r="AE394">
        <v>1311245.5492982429</v>
      </c>
      <c r="AF394">
        <v>1311245.5492982429</v>
      </c>
      <c r="AG394">
        <v>81.384343210786412</v>
      </c>
      <c r="AH394">
        <v>115.4158332492313</v>
      </c>
      <c r="AI394">
        <v>115.4158332492313</v>
      </c>
      <c r="AJ394">
        <v>16447.075233898959</v>
      </c>
      <c r="AK394">
        <v>2170.1388888888891</v>
      </c>
      <c r="AL394" t="s">
        <v>107</v>
      </c>
      <c r="AM394">
        <v>8944.7270768154267</v>
      </c>
      <c r="AN394">
        <v>765.25205980657984</v>
      </c>
      <c r="AO394">
        <v>19620.691652369322</v>
      </c>
      <c r="AP394">
        <v>28327.193259409851</v>
      </c>
      <c r="AQ394">
        <v>8706.5016070405327</v>
      </c>
      <c r="AR394">
        <v>1.2543093276999999E-2</v>
      </c>
      <c r="AS394">
        <v>202.09139233698599</v>
      </c>
      <c r="AT394">
        <v>109.90722200274411</v>
      </c>
      <c r="AU394">
        <v>9.4029395534294338</v>
      </c>
      <c r="AV394">
        <v>241.0868095544065</v>
      </c>
      <c r="AW394">
        <v>348.06686571202141</v>
      </c>
      <c r="AX394">
        <v>106.9800561576149</v>
      </c>
      <c r="AY394">
        <v>1.4181577032612149</v>
      </c>
      <c r="AZ394" t="str">
        <f>VLOOKUP(BA394,Sheet1!$A$1:$B$58,2,FALSE)</f>
        <v>Butane</v>
      </c>
      <c r="BA394" t="s">
        <v>108</v>
      </c>
      <c r="BB394" t="s">
        <v>109</v>
      </c>
      <c r="BC394">
        <v>58.121200000000002</v>
      </c>
      <c r="BD394">
        <v>6.5</v>
      </c>
      <c r="BE394">
        <v>-1</v>
      </c>
      <c r="BF394" t="s">
        <v>192</v>
      </c>
      <c r="BG394">
        <v>1.5877931292719489</v>
      </c>
      <c r="BH394">
        <v>0.32803571428571399</v>
      </c>
      <c r="BI394">
        <v>0.30718439215328802</v>
      </c>
      <c r="BJ394">
        <v>90</v>
      </c>
      <c r="BK394">
        <v>1258.986367084882</v>
      </c>
      <c r="BL394">
        <v>386.95562697957922</v>
      </c>
      <c r="BM394">
        <v>3.541799459582776</v>
      </c>
      <c r="BN394">
        <v>602.10590812907196</v>
      </c>
      <c r="BO394">
        <v>656.88045895581047</v>
      </c>
    </row>
    <row r="395" spans="1:67" x14ac:dyDescent="0.25">
      <c r="A395" s="1">
        <v>393</v>
      </c>
      <c r="B395" t="s">
        <v>189</v>
      </c>
      <c r="C395" t="s">
        <v>190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67</v>
      </c>
      <c r="J395">
        <v>1.44</v>
      </c>
      <c r="K395">
        <v>500</v>
      </c>
      <c r="L395">
        <v>100</v>
      </c>
      <c r="N395" t="s">
        <v>68</v>
      </c>
      <c r="O395">
        <v>0</v>
      </c>
      <c r="P395">
        <v>0.2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44813.718613406447</v>
      </c>
      <c r="Z395">
        <v>224068593.06703219</v>
      </c>
      <c r="AA395">
        <v>322658774.0165264</v>
      </c>
      <c r="AB395">
        <v>322658.77401652641</v>
      </c>
      <c r="AC395">
        <v>0</v>
      </c>
      <c r="AD395">
        <v>2322.3073013518328</v>
      </c>
      <c r="AE395">
        <v>836030.62848665996</v>
      </c>
      <c r="AF395">
        <v>836030.62848665996</v>
      </c>
      <c r="AG395">
        <v>51.889444841129567</v>
      </c>
      <c r="AH395">
        <v>73.587415919395809</v>
      </c>
      <c r="AI395">
        <v>73.587415919395809</v>
      </c>
      <c r="AJ395">
        <v>10486.410155537111</v>
      </c>
      <c r="AK395">
        <v>854.70085470085473</v>
      </c>
      <c r="AL395" t="s">
        <v>69</v>
      </c>
      <c r="AM395">
        <v>5703.0247337531746</v>
      </c>
      <c r="AN395">
        <v>487.91331330215212</v>
      </c>
      <c r="AO395">
        <v>12509.86070629729</v>
      </c>
      <c r="AP395">
        <v>17532.04905729329</v>
      </c>
      <c r="AQ395">
        <v>5022.1883509960062</v>
      </c>
      <c r="AR395">
        <v>1.2543093276999999E-2</v>
      </c>
      <c r="AS395">
        <v>202.09139233698599</v>
      </c>
      <c r="AT395">
        <v>109.90722200274411</v>
      </c>
      <c r="AU395">
        <v>9.4029395534294338</v>
      </c>
      <c r="AV395">
        <v>241.0868095544065</v>
      </c>
      <c r="AW395">
        <v>337.87312835917481</v>
      </c>
      <c r="AX395">
        <v>96.786318804768285</v>
      </c>
      <c r="AY395">
        <v>1.4181577032612149</v>
      </c>
      <c r="AZ395" t="str">
        <f>VLOOKUP(BA395,Sheet1!$A$1:$B$58,2,FALSE)</f>
        <v>Butanol (PW1)</v>
      </c>
      <c r="BA395" t="s">
        <v>110</v>
      </c>
      <c r="BB395" t="s">
        <v>111</v>
      </c>
      <c r="BC395">
        <v>74.120199999999997</v>
      </c>
      <c r="BD395">
        <v>6</v>
      </c>
      <c r="BE395">
        <v>117.7</v>
      </c>
      <c r="BF395" t="s">
        <v>192</v>
      </c>
      <c r="BG395">
        <v>0.56843748428980689</v>
      </c>
      <c r="BH395">
        <v>0.40344186046511599</v>
      </c>
      <c r="BI395">
        <v>0.48179355313094502</v>
      </c>
      <c r="BJ395">
        <v>90</v>
      </c>
      <c r="BK395">
        <v>779.2021803241463</v>
      </c>
      <c r="BL395">
        <v>223.20837115537799</v>
      </c>
      <c r="BM395">
        <v>2.7021143343500071</v>
      </c>
      <c r="BN395">
        <v>459.35943683950109</v>
      </c>
      <c r="BO395">
        <v>319.84274348464521</v>
      </c>
    </row>
    <row r="396" spans="1:67" x14ac:dyDescent="0.25">
      <c r="A396" s="1">
        <v>394</v>
      </c>
      <c r="B396" t="s">
        <v>189</v>
      </c>
      <c r="C396" t="s">
        <v>190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67</v>
      </c>
      <c r="J396">
        <v>1.44</v>
      </c>
      <c r="K396">
        <v>500</v>
      </c>
      <c r="L396">
        <v>100</v>
      </c>
      <c r="N396" t="s">
        <v>68</v>
      </c>
      <c r="O396">
        <v>0</v>
      </c>
      <c r="P396">
        <v>0.2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53697.774458078027</v>
      </c>
      <c r="Z396">
        <v>268488872.29039007</v>
      </c>
      <c r="AA396">
        <v>386623976.09816182</v>
      </c>
      <c r="AB396">
        <v>386623.97609816177</v>
      </c>
      <c r="AC396">
        <v>0</v>
      </c>
      <c r="AD396">
        <v>2782.691049723167</v>
      </c>
      <c r="AE396">
        <v>1001768.77790034</v>
      </c>
      <c r="AF396">
        <v>1001768.77790034</v>
      </c>
      <c r="AG396">
        <v>62.176221747424783</v>
      </c>
      <c r="AH396">
        <v>88.175687830787908</v>
      </c>
      <c r="AI396">
        <v>88.175687830787908</v>
      </c>
      <c r="AJ396">
        <v>12565.27922319026</v>
      </c>
      <c r="AK396">
        <v>854.70085470085473</v>
      </c>
      <c r="AL396" t="s">
        <v>69</v>
      </c>
      <c r="AM396">
        <v>6833.6158068860632</v>
      </c>
      <c r="AN396">
        <v>584.63925475165956</v>
      </c>
      <c r="AO396">
        <v>14989.866931233941</v>
      </c>
      <c r="AP396">
        <v>20838.235139528839</v>
      </c>
      <c r="AQ396">
        <v>5848.3682082948908</v>
      </c>
      <c r="AR396">
        <v>1.2543093276999999E-2</v>
      </c>
      <c r="AS396">
        <v>202.09139233698599</v>
      </c>
      <c r="AT396">
        <v>109.90722200274411</v>
      </c>
      <c r="AU396">
        <v>9.4029395534294302</v>
      </c>
      <c r="AV396">
        <v>241.0868095544065</v>
      </c>
      <c r="AW396">
        <v>335.14798027096128</v>
      </c>
      <c r="AX396">
        <v>94.061170716554813</v>
      </c>
      <c r="AY396">
        <v>1.418157703261214</v>
      </c>
      <c r="AZ396" t="str">
        <f>VLOOKUP(BA396,Sheet1!$A$1:$B$58,2,FALSE)</f>
        <v>Butanol (PW2)</v>
      </c>
      <c r="BA396" t="s">
        <v>112</v>
      </c>
      <c r="BB396" t="s">
        <v>111</v>
      </c>
      <c r="BC396">
        <v>74.120199999999997</v>
      </c>
      <c r="BD396">
        <v>6</v>
      </c>
      <c r="BE396">
        <v>117.7</v>
      </c>
      <c r="BF396" t="s">
        <v>192</v>
      </c>
      <c r="BG396">
        <v>1.151968736814271</v>
      </c>
      <c r="BH396">
        <v>0.33669421487603302</v>
      </c>
      <c r="BI396">
        <v>0.40208297155070299</v>
      </c>
      <c r="BJ396">
        <v>90</v>
      </c>
      <c r="BK396">
        <v>926.14378397905921</v>
      </c>
      <c r="BL396">
        <v>259.92747592421728</v>
      </c>
      <c r="BM396">
        <v>2.7669507223318579</v>
      </c>
      <c r="BN396">
        <v>470.38162279641591</v>
      </c>
      <c r="BO396">
        <v>455.76216118264341</v>
      </c>
    </row>
    <row r="397" spans="1:67" x14ac:dyDescent="0.25">
      <c r="A397" s="1">
        <v>395</v>
      </c>
      <c r="B397" t="s">
        <v>189</v>
      </c>
      <c r="C397" t="s">
        <v>190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67</v>
      </c>
      <c r="J397">
        <v>1.44</v>
      </c>
      <c r="K397">
        <v>500</v>
      </c>
      <c r="L397">
        <v>100</v>
      </c>
      <c r="N397" t="s">
        <v>68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30772.437953687881</v>
      </c>
      <c r="Z397">
        <v>153862189.76843941</v>
      </c>
      <c r="AA397">
        <v>221561553.26655269</v>
      </c>
      <c r="AB397">
        <v>221561.55326655271</v>
      </c>
      <c r="AC397">
        <v>0</v>
      </c>
      <c r="AD397">
        <v>1594.669211826282</v>
      </c>
      <c r="AE397">
        <v>574080.9162574613</v>
      </c>
      <c r="AF397">
        <v>574080.9162574613</v>
      </c>
      <c r="AG397">
        <v>35.631158744038743</v>
      </c>
      <c r="AH397">
        <v>50.530602248981751</v>
      </c>
      <c r="AI397">
        <v>50.530602248981751</v>
      </c>
      <c r="AJ397">
        <v>7200.7504811629633</v>
      </c>
      <c r="AK397">
        <v>854.70085470085473</v>
      </c>
      <c r="AL397" t="s">
        <v>69</v>
      </c>
      <c r="AM397">
        <v>3916.121674296086</v>
      </c>
      <c r="AN397">
        <v>335.03763188884488</v>
      </c>
      <c r="AO397">
        <v>8590.2023823268974</v>
      </c>
      <c r="AP397">
        <v>12306.61064204875</v>
      </c>
      <c r="AQ397">
        <v>3716.4082597218512</v>
      </c>
      <c r="AR397">
        <v>1.2543093276999999E-2</v>
      </c>
      <c r="AS397">
        <v>202.09139233698599</v>
      </c>
      <c r="AT397">
        <v>109.90722200274421</v>
      </c>
      <c r="AU397">
        <v>9.402939553429432</v>
      </c>
      <c r="AV397">
        <v>241.08680955440661</v>
      </c>
      <c r="AW397">
        <v>345.38900995207462</v>
      </c>
      <c r="AX397">
        <v>104.302200397668</v>
      </c>
      <c r="AY397">
        <v>1.4181577032612149</v>
      </c>
      <c r="AZ397" t="str">
        <f>VLOOKUP(BA397,Sheet1!$A$1:$B$58,2,FALSE)</f>
        <v>Butyrate</v>
      </c>
      <c r="BA397" t="s">
        <v>113</v>
      </c>
      <c r="BB397" t="s">
        <v>114</v>
      </c>
      <c r="BC397">
        <v>87.095680000000002</v>
      </c>
      <c r="BD397">
        <v>4.75</v>
      </c>
      <c r="BE397">
        <v>163.5</v>
      </c>
      <c r="BF397" t="s">
        <v>192</v>
      </c>
      <c r="BG397">
        <v>4.1725975959611191E-17</v>
      </c>
      <c r="BH397">
        <v>0.5</v>
      </c>
      <c r="BI397">
        <v>0.70163308972326399</v>
      </c>
      <c r="BJ397">
        <v>90</v>
      </c>
      <c r="BK397">
        <v>546.96047297994426</v>
      </c>
      <c r="BL397">
        <v>165.1737004320822</v>
      </c>
      <c r="BM397">
        <v>2.245804544399189</v>
      </c>
      <c r="BN397">
        <v>381.7867725478622</v>
      </c>
      <c r="BO397">
        <v>165.17370043208209</v>
      </c>
    </row>
    <row r="398" spans="1:67" x14ac:dyDescent="0.25">
      <c r="A398" s="1">
        <v>396</v>
      </c>
      <c r="B398" t="s">
        <v>189</v>
      </c>
      <c r="C398" t="s">
        <v>190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67</v>
      </c>
      <c r="J398">
        <v>1.44</v>
      </c>
      <c r="K398">
        <v>500</v>
      </c>
      <c r="L398">
        <v>100</v>
      </c>
      <c r="N398" t="s">
        <v>68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41628.014941089859</v>
      </c>
      <c r="Z398">
        <v>208140074.70544931</v>
      </c>
      <c r="AA398">
        <v>299721707.57584703</v>
      </c>
      <c r="AB398">
        <v>299721.70757584699</v>
      </c>
      <c r="AC398">
        <v>0</v>
      </c>
      <c r="AD398">
        <v>2157.2198431565889</v>
      </c>
      <c r="AE398">
        <v>776599.14353637211</v>
      </c>
      <c r="AF398">
        <v>776599.14353637211</v>
      </c>
      <c r="AG398">
        <v>48.200744146351632</v>
      </c>
      <c r="AH398">
        <v>68.356256614071484</v>
      </c>
      <c r="AI398">
        <v>68.356256614071484</v>
      </c>
      <c r="AJ398">
        <v>9740.9554962150269</v>
      </c>
      <c r="AK398">
        <v>854.70085470085473</v>
      </c>
      <c r="AL398" t="s">
        <v>69</v>
      </c>
      <c r="AM398">
        <v>5297.60988759054</v>
      </c>
      <c r="AN398">
        <v>453.22868363846197</v>
      </c>
      <c r="AO398">
        <v>11620.563624392151</v>
      </c>
      <c r="AP398">
        <v>16346.494922144881</v>
      </c>
      <c r="AQ398">
        <v>4725.9312977527316</v>
      </c>
      <c r="AR398">
        <v>1.2543093276999999E-2</v>
      </c>
      <c r="AS398">
        <v>202.09139233698599</v>
      </c>
      <c r="AT398">
        <v>109.90722200274421</v>
      </c>
      <c r="AU398">
        <v>9.4029395534294338</v>
      </c>
      <c r="AV398">
        <v>241.08680955440661</v>
      </c>
      <c r="AW398">
        <v>339.13366300968562</v>
      </c>
      <c r="AX398">
        <v>98.046853455278978</v>
      </c>
      <c r="AY398">
        <v>1.4181577032612149</v>
      </c>
      <c r="AZ398" t="str">
        <f>VLOOKUP(BA398,Sheet1!$A$1:$B$58,2,FALSE)</f>
        <v>Catechol</v>
      </c>
      <c r="BA398" t="s">
        <v>115</v>
      </c>
      <c r="BB398" t="s">
        <v>116</v>
      </c>
      <c r="BC398">
        <v>110.10924</v>
      </c>
      <c r="BD398">
        <v>4.333333333333333</v>
      </c>
      <c r="BE398">
        <v>245</v>
      </c>
      <c r="BF398" t="s">
        <v>192</v>
      </c>
      <c r="BG398">
        <v>0.33608816689032661</v>
      </c>
      <c r="BH398">
        <v>0.29236074270557</v>
      </c>
      <c r="BI398">
        <v>0.51866419165838296</v>
      </c>
      <c r="BJ398">
        <v>90</v>
      </c>
      <c r="BK398">
        <v>726.51088542866171</v>
      </c>
      <c r="BL398">
        <v>210.04139101123261</v>
      </c>
      <c r="BM398">
        <v>2.7019676826239611</v>
      </c>
      <c r="BN398">
        <v>459.33450604607339</v>
      </c>
      <c r="BO398">
        <v>267.17637938258832</v>
      </c>
    </row>
    <row r="399" spans="1:67" x14ac:dyDescent="0.25">
      <c r="A399" s="1">
        <v>397</v>
      </c>
      <c r="B399" t="s">
        <v>189</v>
      </c>
      <c r="C399" t="s">
        <v>190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67</v>
      </c>
      <c r="J399">
        <v>1.44</v>
      </c>
      <c r="K399">
        <v>500</v>
      </c>
      <c r="L399">
        <v>100</v>
      </c>
      <c r="N399" t="s">
        <v>68</v>
      </c>
      <c r="O399">
        <v>0</v>
      </c>
      <c r="P399">
        <v>0.2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33239.533430301257</v>
      </c>
      <c r="Z399">
        <v>166197667.1515063</v>
      </c>
      <c r="AA399">
        <v>239324640.69816911</v>
      </c>
      <c r="AB399">
        <v>239324.6406981691</v>
      </c>
      <c r="AC399">
        <v>0</v>
      </c>
      <c r="AD399">
        <v>1722.5174247339551</v>
      </c>
      <c r="AE399">
        <v>620106.27290422376</v>
      </c>
      <c r="AF399">
        <v>620106.27290422376</v>
      </c>
      <c r="AG399">
        <v>38.487788780833633</v>
      </c>
      <c r="AH399">
        <v>54.581754141029784</v>
      </c>
      <c r="AI399">
        <v>54.581754141029784</v>
      </c>
      <c r="AJ399">
        <v>7778.0508226904958</v>
      </c>
      <c r="AK399">
        <v>854.70085470085473</v>
      </c>
      <c r="AL399" t="s">
        <v>69</v>
      </c>
      <c r="AM399">
        <v>4230.0859459298081</v>
      </c>
      <c r="AN399">
        <v>361.8983514513381</v>
      </c>
      <c r="AO399">
        <v>9278.8982039750626</v>
      </c>
      <c r="AP399">
        <v>13224.7359747725</v>
      </c>
      <c r="AQ399">
        <v>3945.837770797436</v>
      </c>
      <c r="AR399">
        <v>1.2543093276999999E-2</v>
      </c>
      <c r="AS399">
        <v>202.09139233698599</v>
      </c>
      <c r="AT399">
        <v>109.90722200274421</v>
      </c>
      <c r="AU399">
        <v>9.4029395534294338</v>
      </c>
      <c r="AV399">
        <v>241.08680955440661</v>
      </c>
      <c r="AW399">
        <v>343.60861960867521</v>
      </c>
      <c r="AX399">
        <v>102.5218100542687</v>
      </c>
      <c r="AY399">
        <v>1.4181577032612149</v>
      </c>
      <c r="AZ399" t="str">
        <f>VLOOKUP(BA399,Sheet1!$A$1:$B$58,2,FALSE)</f>
        <v>cis,cis-Muconate</v>
      </c>
      <c r="BA399" t="s">
        <v>117</v>
      </c>
      <c r="BB399" t="s">
        <v>118</v>
      </c>
      <c r="BC399">
        <v>140.09155999999999</v>
      </c>
      <c r="BD399">
        <v>3.333333333333333</v>
      </c>
      <c r="BE399">
        <v>345.4</v>
      </c>
      <c r="BF399" t="s">
        <v>192</v>
      </c>
      <c r="BG399">
        <v>0.29836144677517412</v>
      </c>
      <c r="BH399">
        <v>0.28778067885117498</v>
      </c>
      <c r="BI399">
        <v>0.64955667217882995</v>
      </c>
      <c r="BJ399">
        <v>90</v>
      </c>
      <c r="BK399">
        <v>587.76604332322222</v>
      </c>
      <c r="BL399">
        <v>175.37056759099721</v>
      </c>
      <c r="BM399">
        <v>2.12749429282615</v>
      </c>
      <c r="BN399">
        <v>361.67402978044538</v>
      </c>
      <c r="BO399">
        <v>226.09201354277681</v>
      </c>
    </row>
    <row r="400" spans="1:67" x14ac:dyDescent="0.25">
      <c r="A400" s="1">
        <v>398</v>
      </c>
      <c r="B400" t="s">
        <v>189</v>
      </c>
      <c r="C400" t="s">
        <v>190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67</v>
      </c>
      <c r="J400">
        <v>1.44</v>
      </c>
      <c r="K400">
        <v>500</v>
      </c>
      <c r="L400">
        <v>100</v>
      </c>
      <c r="N400" t="s">
        <v>68</v>
      </c>
      <c r="O400">
        <v>0</v>
      </c>
      <c r="P400">
        <v>0.2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15829.44288091889</v>
      </c>
      <c r="Z400">
        <v>79147214.404594466</v>
      </c>
      <c r="AA400">
        <v>113971988.742616</v>
      </c>
      <c r="AB400">
        <v>113971.988742616</v>
      </c>
      <c r="AC400">
        <v>0</v>
      </c>
      <c r="AD400">
        <v>820.30306602791927</v>
      </c>
      <c r="AE400">
        <v>295309.10377005092</v>
      </c>
      <c r="AF400">
        <v>295309.10377005092</v>
      </c>
      <c r="AG400">
        <v>18.32878477059764</v>
      </c>
      <c r="AH400">
        <v>25.993107313839889</v>
      </c>
      <c r="AI400">
        <v>25.993107313839889</v>
      </c>
      <c r="AJ400">
        <v>3704.0896341350208</v>
      </c>
      <c r="AK400">
        <v>854.70085470085473</v>
      </c>
      <c r="AL400" t="s">
        <v>69</v>
      </c>
      <c r="AM400">
        <v>2014.465816822591</v>
      </c>
      <c r="AN400">
        <v>172.34445528574761</v>
      </c>
      <c r="AO400">
        <v>4418.8282433527802</v>
      </c>
      <c r="AP400">
        <v>6745.600760944214</v>
      </c>
      <c r="AQ400">
        <v>2326.7725175914338</v>
      </c>
      <c r="AR400">
        <v>1.2543093276999999E-2</v>
      </c>
      <c r="AS400">
        <v>202.09139233698599</v>
      </c>
      <c r="AT400">
        <v>109.90722200274421</v>
      </c>
      <c r="AU400">
        <v>9.4029395534294338</v>
      </c>
      <c r="AV400">
        <v>241.08680955440661</v>
      </c>
      <c r="AW400">
        <v>368.03316997672738</v>
      </c>
      <c r="AX400">
        <v>126.94636042232089</v>
      </c>
      <c r="AY400">
        <v>1.4181577032612149</v>
      </c>
      <c r="AZ400" t="str">
        <f>VLOOKUP(BA400,Sheet1!$A$1:$B$58,2,FALSE)</f>
        <v>Citrate</v>
      </c>
      <c r="BA400" t="s">
        <v>119</v>
      </c>
      <c r="BB400" t="s">
        <v>120</v>
      </c>
      <c r="BC400">
        <v>189.09639999999999</v>
      </c>
      <c r="BD400">
        <v>2.5</v>
      </c>
      <c r="BF400" t="s">
        <v>192</v>
      </c>
      <c r="BG400">
        <v>-0.35670564102394142</v>
      </c>
      <c r="BH400">
        <v>0.447692307692308</v>
      </c>
      <c r="BI400">
        <v>1.3639747704443601</v>
      </c>
      <c r="BJ400">
        <v>90</v>
      </c>
      <c r="BK400">
        <v>299.80447826418731</v>
      </c>
      <c r="BL400">
        <v>103.41211189295259</v>
      </c>
      <c r="BM400">
        <v>1.5119548549723809</v>
      </c>
      <c r="BN400">
        <v>257.03232534530468</v>
      </c>
      <c r="BO400">
        <v>42.772152918882512</v>
      </c>
    </row>
    <row r="401" spans="1:67" x14ac:dyDescent="0.25">
      <c r="A401" s="1">
        <v>399</v>
      </c>
      <c r="B401" t="s">
        <v>189</v>
      </c>
      <c r="C401" t="s">
        <v>190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67</v>
      </c>
      <c r="J401">
        <v>1.44</v>
      </c>
      <c r="K401">
        <v>500</v>
      </c>
      <c r="L401">
        <v>100</v>
      </c>
      <c r="N401" t="s">
        <v>68</v>
      </c>
      <c r="O401">
        <v>0</v>
      </c>
      <c r="P401">
        <v>0.2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42403.152873078361</v>
      </c>
      <c r="Z401">
        <v>212015764.36539179</v>
      </c>
      <c r="AA401">
        <v>305302700.68616408</v>
      </c>
      <c r="AB401">
        <v>305302.70068616408</v>
      </c>
      <c r="AC401">
        <v>0</v>
      </c>
      <c r="AD401">
        <v>2197.3885355728689</v>
      </c>
      <c r="AE401">
        <v>791059.872806233</v>
      </c>
      <c r="AF401">
        <v>791059.872806233</v>
      </c>
      <c r="AG401">
        <v>49.098270131935692</v>
      </c>
      <c r="AH401">
        <v>69.629090004404617</v>
      </c>
      <c r="AI401">
        <v>69.629090004404617</v>
      </c>
      <c r="AJ401">
        <v>9922.3377723003341</v>
      </c>
      <c r="AK401">
        <v>854.70085470085473</v>
      </c>
      <c r="AL401" t="s">
        <v>69</v>
      </c>
      <c r="AM401">
        <v>5396.2544753413576</v>
      </c>
      <c r="AN401">
        <v>461.66806622854108</v>
      </c>
      <c r="AO401">
        <v>11836.945300748779</v>
      </c>
      <c r="AP401">
        <v>16634.961168571092</v>
      </c>
      <c r="AQ401">
        <v>4798.0158678223033</v>
      </c>
      <c r="AR401">
        <v>1.2543093276999999E-2</v>
      </c>
      <c r="AS401">
        <v>202.09139233698599</v>
      </c>
      <c r="AT401">
        <v>109.90722200274411</v>
      </c>
      <c r="AU401">
        <v>9.4029395534294338</v>
      </c>
      <c r="AV401">
        <v>241.0868095544065</v>
      </c>
      <c r="AW401">
        <v>338.80951658520797</v>
      </c>
      <c r="AX401">
        <v>97.722707030801502</v>
      </c>
      <c r="AY401">
        <v>1.4181577032612149</v>
      </c>
      <c r="AZ401" t="str">
        <f>VLOOKUP(BA401,Sheet1!$A$1:$B$58,2,FALSE)</f>
        <v>Coumaric Acid</v>
      </c>
      <c r="BA401" t="s">
        <v>121</v>
      </c>
      <c r="BB401" t="s">
        <v>122</v>
      </c>
      <c r="BC401">
        <v>163.14818</v>
      </c>
      <c r="BD401">
        <v>4.1111111111111107</v>
      </c>
      <c r="BE401">
        <v>346</v>
      </c>
      <c r="BF401" t="s">
        <v>192</v>
      </c>
      <c r="BG401">
        <v>0.35737245254605132</v>
      </c>
      <c r="BH401">
        <v>0.193708260105448</v>
      </c>
      <c r="BI401">
        <v>0.50918290874241801</v>
      </c>
      <c r="BJ401">
        <v>90</v>
      </c>
      <c r="BK401">
        <v>739.33160749204831</v>
      </c>
      <c r="BL401">
        <v>213.24514968099129</v>
      </c>
      <c r="BM401">
        <v>2.7372537698719319</v>
      </c>
      <c r="BN401">
        <v>465.33314087822851</v>
      </c>
      <c r="BO401">
        <v>273.9984666138198</v>
      </c>
    </row>
    <row r="402" spans="1:67" x14ac:dyDescent="0.25">
      <c r="A402" s="1">
        <v>400</v>
      </c>
      <c r="B402" t="s">
        <v>189</v>
      </c>
      <c r="C402" t="s">
        <v>190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67</v>
      </c>
      <c r="J402">
        <v>1.44</v>
      </c>
      <c r="K402">
        <v>500</v>
      </c>
      <c r="L402">
        <v>100</v>
      </c>
      <c r="N402" t="s">
        <v>68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31085.925208462471</v>
      </c>
      <c r="Z402">
        <v>155429626.04231241</v>
      </c>
      <c r="AA402">
        <v>223818661.5009298</v>
      </c>
      <c r="AB402">
        <v>223818.6615009298</v>
      </c>
      <c r="AC402">
        <v>0</v>
      </c>
      <c r="AD402">
        <v>1610.9145439069359</v>
      </c>
      <c r="AE402">
        <v>579929.23580649693</v>
      </c>
      <c r="AF402">
        <v>579929.23580649693</v>
      </c>
      <c r="AG402">
        <v>35.994143118429797</v>
      </c>
      <c r="AH402">
        <v>51.045371335687868</v>
      </c>
      <c r="AI402">
        <v>51.045371335687868</v>
      </c>
      <c r="AJ402">
        <v>7274.1064987802192</v>
      </c>
      <c r="AK402">
        <v>854.70085470085473</v>
      </c>
      <c r="AL402" t="s">
        <v>69</v>
      </c>
      <c r="AM402">
        <v>3956.01627851581</v>
      </c>
      <c r="AN402">
        <v>338.45075202008331</v>
      </c>
      <c r="AO402">
        <v>8677.7131270669379</v>
      </c>
      <c r="AP402">
        <v>12423.27438401697</v>
      </c>
      <c r="AQ402">
        <v>3745.5612569500322</v>
      </c>
      <c r="AR402">
        <v>1.2543093276999999E-2</v>
      </c>
      <c r="AS402">
        <v>202.09139233698599</v>
      </c>
      <c r="AT402">
        <v>109.90722200274421</v>
      </c>
      <c r="AU402">
        <v>9.402939553429432</v>
      </c>
      <c r="AV402">
        <v>241.08680955440661</v>
      </c>
      <c r="AW402">
        <v>345.14710749305152</v>
      </c>
      <c r="AX402">
        <v>104.06029793864489</v>
      </c>
      <c r="AY402">
        <v>1.4181577032612149</v>
      </c>
      <c r="AZ402" t="str">
        <f>VLOOKUP(BA402,Sheet1!$A$1:$B$58,2,FALSE)</f>
        <v>Ethyl Acetate</v>
      </c>
      <c r="BA402" t="s">
        <v>123</v>
      </c>
      <c r="BB402" t="s">
        <v>124</v>
      </c>
      <c r="BC402">
        <v>88.103520000000003</v>
      </c>
      <c r="BD402">
        <v>5</v>
      </c>
      <c r="BE402">
        <v>77.099999999999994</v>
      </c>
      <c r="BF402" t="s">
        <v>192</v>
      </c>
      <c r="BG402">
        <v>4.3712120807937377E-2</v>
      </c>
      <c r="BH402">
        <v>0.48929577464788798</v>
      </c>
      <c r="BI402">
        <v>0.69455744279683795</v>
      </c>
      <c r="BJ402">
        <v>90</v>
      </c>
      <c r="BK402">
        <v>552.14552817853189</v>
      </c>
      <c r="BL402">
        <v>166.46938919777921</v>
      </c>
      <c r="BM402">
        <v>2.2249710496670789</v>
      </c>
      <c r="BN402">
        <v>378.24507844340337</v>
      </c>
      <c r="BO402">
        <v>173.90044973512849</v>
      </c>
    </row>
    <row r="403" spans="1:67" x14ac:dyDescent="0.25">
      <c r="A403" s="1">
        <v>401</v>
      </c>
      <c r="B403" t="s">
        <v>189</v>
      </c>
      <c r="C403" t="s">
        <v>190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67</v>
      </c>
      <c r="J403">
        <v>1.44</v>
      </c>
      <c r="K403">
        <v>500</v>
      </c>
      <c r="L403">
        <v>100</v>
      </c>
      <c r="N403" t="s">
        <v>68</v>
      </c>
      <c r="O403">
        <v>0</v>
      </c>
      <c r="P403">
        <v>0.2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63542.979538405183</v>
      </c>
      <c r="Z403">
        <v>317714897.6920259</v>
      </c>
      <c r="AA403">
        <v>457509452.67651731</v>
      </c>
      <c r="AB403">
        <v>457509.45267651731</v>
      </c>
      <c r="AC403">
        <v>0</v>
      </c>
      <c r="AD403">
        <v>3292.8828469847758</v>
      </c>
      <c r="AE403">
        <v>1185437.824914519</v>
      </c>
      <c r="AF403">
        <v>1185437.824914519</v>
      </c>
      <c r="AG403">
        <v>73.575905633787528</v>
      </c>
      <c r="AH403">
        <v>104.342237348976</v>
      </c>
      <c r="AI403">
        <v>104.342237348976</v>
      </c>
      <c r="AJ403">
        <v>14869.05721198681</v>
      </c>
      <c r="AK403">
        <v>1835.336538461539</v>
      </c>
      <c r="AL403" t="s">
        <v>84</v>
      </c>
      <c r="AM403">
        <v>8086.5233945456403</v>
      </c>
      <c r="AN403">
        <v>691.82979326333225</v>
      </c>
      <c r="AO403">
        <v>17738.180349325921</v>
      </c>
      <c r="AP403">
        <v>25482.746938257329</v>
      </c>
      <c r="AQ403">
        <v>7744.5665889314041</v>
      </c>
      <c r="AR403">
        <v>1.2543093276999999E-2</v>
      </c>
      <c r="AS403">
        <v>202.09139233698599</v>
      </c>
      <c r="AT403">
        <v>109.90722200274411</v>
      </c>
      <c r="AU403">
        <v>9.4029395534294338</v>
      </c>
      <c r="AV403">
        <v>241.08680955440661</v>
      </c>
      <c r="AW403">
        <v>346.34635780215439</v>
      </c>
      <c r="AX403">
        <v>105.2595482477479</v>
      </c>
      <c r="AY403">
        <v>1.4181577032612149</v>
      </c>
      <c r="AZ403" t="str">
        <f>VLOOKUP(BA403,Sheet1!$A$1:$B$58,2,FALSE)</f>
        <v>Farnesene</v>
      </c>
      <c r="BA403" t="s">
        <v>125</v>
      </c>
      <c r="BB403" t="s">
        <v>126</v>
      </c>
      <c r="BC403">
        <v>204.34866</v>
      </c>
      <c r="BD403">
        <v>5.6</v>
      </c>
      <c r="BE403" t="s">
        <v>127</v>
      </c>
      <c r="BF403" t="s">
        <v>192</v>
      </c>
      <c r="BG403">
        <v>0.94318409040785911</v>
      </c>
      <c r="BH403">
        <v>0.103202247191011</v>
      </c>
      <c r="BI403">
        <v>0.33978514820372802</v>
      </c>
      <c r="BJ403">
        <v>90</v>
      </c>
      <c r="BK403">
        <v>1132.5665305892139</v>
      </c>
      <c r="BL403">
        <v>344.20295950806229</v>
      </c>
      <c r="BM403">
        <v>3.6942486806577399</v>
      </c>
      <c r="BN403">
        <v>628.02227571181584</v>
      </c>
      <c r="BO403">
        <v>504.54425487739849</v>
      </c>
    </row>
    <row r="404" spans="1:67" x14ac:dyDescent="0.25">
      <c r="A404" s="1">
        <v>402</v>
      </c>
      <c r="B404" t="s">
        <v>189</v>
      </c>
      <c r="C404" t="s">
        <v>190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67</v>
      </c>
      <c r="J404">
        <v>1.44</v>
      </c>
      <c r="K404">
        <v>500</v>
      </c>
      <c r="L404">
        <v>100</v>
      </c>
      <c r="N404" t="s">
        <v>68</v>
      </c>
      <c r="O404">
        <v>0</v>
      </c>
      <c r="P404">
        <v>0.2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33752.533870549007</v>
      </c>
      <c r="Z404">
        <v>168762669.352745</v>
      </c>
      <c r="AA404">
        <v>243018243.86795279</v>
      </c>
      <c r="AB404">
        <v>243018.24386795281</v>
      </c>
      <c r="AC404">
        <v>0</v>
      </c>
      <c r="AD404">
        <v>1749.1017990024991</v>
      </c>
      <c r="AE404">
        <v>629676.64764089976</v>
      </c>
      <c r="AF404">
        <v>629676.64764089976</v>
      </c>
      <c r="AG404">
        <v>39.081787870205048</v>
      </c>
      <c r="AH404">
        <v>55.424138525351992</v>
      </c>
      <c r="AI404">
        <v>55.424138525351992</v>
      </c>
      <c r="AJ404">
        <v>7898.0929257084663</v>
      </c>
      <c r="AK404">
        <v>1835.336538461539</v>
      </c>
      <c r="AL404" t="s">
        <v>84</v>
      </c>
      <c r="AM404">
        <v>4295.3707357147796</v>
      </c>
      <c r="AN404">
        <v>367.48368898348969</v>
      </c>
      <c r="AO404">
        <v>9422.1035493098389</v>
      </c>
      <c r="AP404">
        <v>14396.283888868271</v>
      </c>
      <c r="AQ404">
        <v>4974.1803395584357</v>
      </c>
      <c r="AR404">
        <v>1.2543093276999999E-2</v>
      </c>
      <c r="AS404">
        <v>202.09139233698599</v>
      </c>
      <c r="AT404">
        <v>109.90722200274411</v>
      </c>
      <c r="AU404">
        <v>9.4029395534294338</v>
      </c>
      <c r="AV404">
        <v>241.0868095544065</v>
      </c>
      <c r="AW404">
        <v>368.36298115838332</v>
      </c>
      <c r="AX404">
        <v>127.27617160397671</v>
      </c>
      <c r="AY404">
        <v>1.4181577032612149</v>
      </c>
      <c r="AZ404" t="str">
        <f>VLOOKUP(BA404,Sheet1!$A$1:$B$58,2,FALSE)</f>
        <v>Gamma Butyrolactone</v>
      </c>
      <c r="BA404" t="s">
        <v>128</v>
      </c>
      <c r="BB404" t="s">
        <v>129</v>
      </c>
      <c r="BC404">
        <v>86.08784</v>
      </c>
      <c r="BD404">
        <v>4.5</v>
      </c>
      <c r="BE404">
        <v>204</v>
      </c>
      <c r="BF404" t="s">
        <v>192</v>
      </c>
      <c r="BG404">
        <v>0.17207886479753889</v>
      </c>
      <c r="BH404">
        <v>0.46119047619047598</v>
      </c>
      <c r="BI404">
        <v>0.63968414349486202</v>
      </c>
      <c r="BJ404">
        <v>90</v>
      </c>
      <c r="BK404">
        <v>639.83483950525647</v>
      </c>
      <c r="BL404">
        <v>221.07468175815259</v>
      </c>
      <c r="BM404">
        <v>2.29121618077366</v>
      </c>
      <c r="BN404">
        <v>389.50675073152229</v>
      </c>
      <c r="BO404">
        <v>250.32808877373421</v>
      </c>
    </row>
    <row r="405" spans="1:67" x14ac:dyDescent="0.25">
      <c r="A405" s="1">
        <v>403</v>
      </c>
      <c r="B405" t="s">
        <v>189</v>
      </c>
      <c r="C405" t="s">
        <v>190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67</v>
      </c>
      <c r="J405">
        <v>1.44</v>
      </c>
      <c r="K405">
        <v>500</v>
      </c>
      <c r="L405">
        <v>100</v>
      </c>
      <c r="N405" t="s">
        <v>68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19809.965409184399</v>
      </c>
      <c r="Z405">
        <v>99049827.045922011</v>
      </c>
      <c r="AA405">
        <v>142631750.94612771</v>
      </c>
      <c r="AB405">
        <v>142631.75094612769</v>
      </c>
      <c r="AC405">
        <v>0</v>
      </c>
      <c r="AD405">
        <v>1026.5791086462841</v>
      </c>
      <c r="AE405">
        <v>369568.47911266237</v>
      </c>
      <c r="AF405">
        <v>369568.47911266237</v>
      </c>
      <c r="AG405">
        <v>22.937799834737309</v>
      </c>
      <c r="AH405">
        <v>32.529417531496541</v>
      </c>
      <c r="AI405">
        <v>32.529417531496541</v>
      </c>
      <c r="AJ405">
        <v>4635.5319057491506</v>
      </c>
      <c r="AK405">
        <v>854.70085470085473</v>
      </c>
      <c r="AL405" t="s">
        <v>69</v>
      </c>
      <c r="AM405">
        <v>2521.0298586909821</v>
      </c>
      <c r="AN405">
        <v>215.68274533469861</v>
      </c>
      <c r="AO405">
        <v>5530.0009803544117</v>
      </c>
      <c r="AP405">
        <v>8226.9453644756868</v>
      </c>
      <c r="AQ405">
        <v>2696.9443841212751</v>
      </c>
      <c r="AR405">
        <v>1.2543093276999999E-2</v>
      </c>
      <c r="AS405">
        <v>202.09139233698599</v>
      </c>
      <c r="AT405">
        <v>109.90722200274411</v>
      </c>
      <c r="AU405">
        <v>9.402939553429432</v>
      </c>
      <c r="AV405">
        <v>241.0868095544065</v>
      </c>
      <c r="AW405">
        <v>358.66322941822392</v>
      </c>
      <c r="AX405">
        <v>117.57641986381741</v>
      </c>
      <c r="AY405">
        <v>1.4181577032612149</v>
      </c>
      <c r="AZ405" t="str">
        <f>VLOOKUP(BA405,Sheet1!$A$1:$B$58,2,FALSE)</f>
        <v>L-Glutamate</v>
      </c>
      <c r="BA405" t="s">
        <v>130</v>
      </c>
      <c r="BB405" t="s">
        <v>131</v>
      </c>
      <c r="BC405">
        <v>146.11892</v>
      </c>
      <c r="BD405">
        <v>3.4</v>
      </c>
      <c r="BE405">
        <v>333.8</v>
      </c>
      <c r="BF405" t="s">
        <v>192</v>
      </c>
      <c r="BG405">
        <v>-0.20478760143924959</v>
      </c>
      <c r="BH405">
        <v>0.46295454545454601</v>
      </c>
      <c r="BI405">
        <v>1.08990400910813</v>
      </c>
      <c r="BJ405">
        <v>90</v>
      </c>
      <c r="BK405">
        <v>365.64201619891952</v>
      </c>
      <c r="BL405">
        <v>119.8641948498345</v>
      </c>
      <c r="BM405">
        <v>1.650539491727985</v>
      </c>
      <c r="BN405">
        <v>280.59171359375739</v>
      </c>
      <c r="BO405">
        <v>85.050302605162074</v>
      </c>
    </row>
    <row r="406" spans="1:67" x14ac:dyDescent="0.25">
      <c r="A406" s="1">
        <v>404</v>
      </c>
      <c r="B406" t="s">
        <v>189</v>
      </c>
      <c r="C406" t="s">
        <v>190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67</v>
      </c>
      <c r="J406">
        <v>1.44</v>
      </c>
      <c r="K406">
        <v>500</v>
      </c>
      <c r="L406">
        <v>100</v>
      </c>
      <c r="N406" t="s">
        <v>68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31961.597371519631</v>
      </c>
      <c r="Z406">
        <v>159807986.8575981</v>
      </c>
      <c r="AA406">
        <v>230123501.07494131</v>
      </c>
      <c r="AB406">
        <v>230123.5010749413</v>
      </c>
      <c r="AC406">
        <v>0</v>
      </c>
      <c r="AD406">
        <v>1656.29305568368</v>
      </c>
      <c r="AE406">
        <v>596265.50004612491</v>
      </c>
      <c r="AF406">
        <v>596265.50004612491</v>
      </c>
      <c r="AG406">
        <v>37.008076882682808</v>
      </c>
      <c r="AH406">
        <v>52.483289314059917</v>
      </c>
      <c r="AI406">
        <v>52.483289314059917</v>
      </c>
      <c r="AJ406">
        <v>7479.0137849355924</v>
      </c>
      <c r="AK406">
        <v>854.70085470085473</v>
      </c>
      <c r="AL406" t="s">
        <v>69</v>
      </c>
      <c r="AM406">
        <v>4067.4549218396442</v>
      </c>
      <c r="AN406">
        <v>347.98470991653562</v>
      </c>
      <c r="AO406">
        <v>8922.1591833901875</v>
      </c>
      <c r="AP406">
        <v>12749.15427139263</v>
      </c>
      <c r="AQ406">
        <v>3826.9950880024412</v>
      </c>
      <c r="AR406">
        <v>1.2543093276999999E-2</v>
      </c>
      <c r="AS406">
        <v>202.09139233698599</v>
      </c>
      <c r="AT406">
        <v>109.90722200274421</v>
      </c>
      <c r="AU406">
        <v>9.4029395534294338</v>
      </c>
      <c r="AV406">
        <v>241.08680955440661</v>
      </c>
      <c r="AW406">
        <v>344.49653549434612</v>
      </c>
      <c r="AX406">
        <v>103.40972593993951</v>
      </c>
      <c r="AY406">
        <v>1.4181577032612149</v>
      </c>
      <c r="AZ406" t="str">
        <f>VLOOKUP(BA406,Sheet1!$A$1:$B$58,2,FALSE)</f>
        <v>Glutarate</v>
      </c>
      <c r="BA406" t="s">
        <v>132</v>
      </c>
      <c r="BB406" t="s">
        <v>133</v>
      </c>
      <c r="BC406">
        <v>130.09654</v>
      </c>
      <c r="BD406">
        <v>3.6</v>
      </c>
      <c r="BE406">
        <v>200</v>
      </c>
      <c r="BF406" t="s">
        <v>192</v>
      </c>
      <c r="BG406">
        <v>0.40789670438848791</v>
      </c>
      <c r="BH406">
        <v>0.322280701754386</v>
      </c>
      <c r="BI406">
        <v>0.67552821183470502</v>
      </c>
      <c r="BJ406">
        <v>90</v>
      </c>
      <c r="BK406">
        <v>566.62907872856124</v>
      </c>
      <c r="BL406">
        <v>170.08867057788629</v>
      </c>
      <c r="BM406">
        <v>1.9246939317919529</v>
      </c>
      <c r="BN406">
        <v>327.19796840463198</v>
      </c>
      <c r="BO406">
        <v>239.4311103239292</v>
      </c>
    </row>
    <row r="407" spans="1:67" x14ac:dyDescent="0.25">
      <c r="A407" s="1">
        <v>405</v>
      </c>
      <c r="B407" t="s">
        <v>189</v>
      </c>
      <c r="C407" t="s">
        <v>190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67</v>
      </c>
      <c r="J407">
        <v>1.44</v>
      </c>
      <c r="K407">
        <v>500</v>
      </c>
      <c r="L407">
        <v>100</v>
      </c>
      <c r="N407" t="s">
        <v>68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14288.37049966216</v>
      </c>
      <c r="Z407">
        <v>71441852.498310819</v>
      </c>
      <c r="AA407">
        <v>102876267.5975676</v>
      </c>
      <c r="AB407">
        <v>102876.2675975676</v>
      </c>
      <c r="AC407">
        <v>0</v>
      </c>
      <c r="AD407">
        <v>740.44261807496775</v>
      </c>
      <c r="AE407">
        <v>266559.34250698838</v>
      </c>
      <c r="AF407">
        <v>266559.34250698838</v>
      </c>
      <c r="AG407">
        <v>16.544389438149441</v>
      </c>
      <c r="AH407">
        <v>23.46255332746512</v>
      </c>
      <c r="AI407">
        <v>23.46255332746512</v>
      </c>
      <c r="AJ407">
        <v>3343.4786969209458</v>
      </c>
      <c r="AK407">
        <v>854.70085470085473</v>
      </c>
      <c r="AL407" t="s">
        <v>69</v>
      </c>
      <c r="AM407">
        <v>1818.347882878546</v>
      </c>
      <c r="AN407">
        <v>155.56589383531551</v>
      </c>
      <c r="AO407">
        <v>3988.63406566907</v>
      </c>
      <c r="AP407">
        <v>6172.0933283356617</v>
      </c>
      <c r="AQ407">
        <v>2183.4592626665922</v>
      </c>
      <c r="AR407">
        <v>1.2543093276999999E-2</v>
      </c>
      <c r="AS407">
        <v>202.09139233698599</v>
      </c>
      <c r="AT407">
        <v>109.90722200274411</v>
      </c>
      <c r="AU407">
        <v>9.402939553429432</v>
      </c>
      <c r="AV407">
        <v>241.0868095544065</v>
      </c>
      <c r="AW407">
        <v>373.06262352018439</v>
      </c>
      <c r="AX407">
        <v>131.97581396577789</v>
      </c>
      <c r="AY407">
        <v>1.4181577032612149</v>
      </c>
      <c r="AZ407" t="str">
        <f>VLOOKUP(BA407,Sheet1!$A$1:$B$58,2,FALSE)</f>
        <v>Glycolate</v>
      </c>
      <c r="BA407" t="s">
        <v>134</v>
      </c>
      <c r="BB407" t="s">
        <v>135</v>
      </c>
      <c r="BC407">
        <v>75.041920000000005</v>
      </c>
      <c r="BD407">
        <v>2.5</v>
      </c>
      <c r="BE407">
        <v>112</v>
      </c>
      <c r="BF407" t="s">
        <v>192</v>
      </c>
      <c r="BG407">
        <v>-0.2344416643393292</v>
      </c>
      <c r="BH407">
        <v>1.2498039215686301</v>
      </c>
      <c r="BI407">
        <v>1.5110862865904799</v>
      </c>
      <c r="BJ407">
        <v>90</v>
      </c>
      <c r="BK407">
        <v>274.31525903714049</v>
      </c>
      <c r="BL407">
        <v>97.042633896292969</v>
      </c>
      <c r="BM407">
        <v>1.2772218122266681</v>
      </c>
      <c r="BN407">
        <v>217.12770807853349</v>
      </c>
      <c r="BO407">
        <v>57.187550958607012</v>
      </c>
    </row>
    <row r="408" spans="1:67" x14ac:dyDescent="0.25">
      <c r="A408" s="1">
        <v>406</v>
      </c>
      <c r="B408" t="s">
        <v>189</v>
      </c>
      <c r="C408" t="s">
        <v>190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67</v>
      </c>
      <c r="J408">
        <v>1.44</v>
      </c>
      <c r="K408">
        <v>500</v>
      </c>
      <c r="L408">
        <v>100</v>
      </c>
      <c r="N408" t="s">
        <v>68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62598.790757757582</v>
      </c>
      <c r="Z408">
        <v>312993953.7887879</v>
      </c>
      <c r="AA408">
        <v>450711293.45585448</v>
      </c>
      <c r="AB408">
        <v>450711.29345585452</v>
      </c>
      <c r="AC408">
        <v>0</v>
      </c>
      <c r="AD408">
        <v>3243.9537117334021</v>
      </c>
      <c r="AE408">
        <v>1167823.3362240251</v>
      </c>
      <c r="AF408">
        <v>1167823.3362240251</v>
      </c>
      <c r="AG408">
        <v>72.48263702834825</v>
      </c>
      <c r="AH408">
        <v>102.7918100544387</v>
      </c>
      <c r="AI408">
        <v>102.7918100544387</v>
      </c>
      <c r="AJ408">
        <v>14648.117037315271</v>
      </c>
      <c r="AK408">
        <v>854.70085470085473</v>
      </c>
      <c r="AL408" t="s">
        <v>69</v>
      </c>
      <c r="AM408">
        <v>7966.3652792189969</v>
      </c>
      <c r="AN408">
        <v>681.54985465072468</v>
      </c>
      <c r="AO408">
        <v>17474.607709254571</v>
      </c>
      <c r="AP408">
        <v>24150.733025885849</v>
      </c>
      <c r="AQ408">
        <v>6676.1253166312736</v>
      </c>
      <c r="AR408">
        <v>1.2543093276999999E-2</v>
      </c>
      <c r="AS408">
        <v>202.09139233698599</v>
      </c>
      <c r="AT408">
        <v>109.90722200274421</v>
      </c>
      <c r="AU408">
        <v>9.4029395534294355</v>
      </c>
      <c r="AV408">
        <v>241.08680955440661</v>
      </c>
      <c r="AW408">
        <v>333.19335520919861</v>
      </c>
      <c r="AX408">
        <v>92.106545654792029</v>
      </c>
      <c r="AY408">
        <v>1.4181577032612149</v>
      </c>
      <c r="AZ408" t="str">
        <f>VLOOKUP(BA408,Sheet1!$A$1:$B$58,2,FALSE)</f>
        <v>Heptane</v>
      </c>
      <c r="BA408" t="s">
        <v>136</v>
      </c>
      <c r="BB408" t="s">
        <v>137</v>
      </c>
      <c r="BC408">
        <v>100.20034</v>
      </c>
      <c r="BD408">
        <v>6.2857142857142856</v>
      </c>
      <c r="BE408">
        <v>98</v>
      </c>
      <c r="BF408" t="s">
        <v>192</v>
      </c>
      <c r="BG408">
        <v>1.0371345864003609</v>
      </c>
      <c r="BH408">
        <v>0.21364532019704399</v>
      </c>
      <c r="BI408">
        <v>0.34491018849414101</v>
      </c>
      <c r="BJ408">
        <v>90</v>
      </c>
      <c r="BK408">
        <v>1073.3659122615929</v>
      </c>
      <c r="BL408">
        <v>296.71668073916788</v>
      </c>
      <c r="BM408">
        <v>3.5313903049080229</v>
      </c>
      <c r="BN408">
        <v>600.336351834364</v>
      </c>
      <c r="BO408">
        <v>473.0295604272294</v>
      </c>
    </row>
    <row r="409" spans="1:67" x14ac:dyDescent="0.25">
      <c r="A409" s="1">
        <v>407</v>
      </c>
      <c r="B409" t="s">
        <v>189</v>
      </c>
      <c r="C409" t="s">
        <v>190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67</v>
      </c>
      <c r="J409">
        <v>1.44</v>
      </c>
      <c r="K409">
        <v>500</v>
      </c>
      <c r="L409">
        <v>100</v>
      </c>
      <c r="N409" t="s">
        <v>68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63563.96835708338</v>
      </c>
      <c r="Z409">
        <v>317819841.7854169</v>
      </c>
      <c r="AA409">
        <v>457660572.1710003</v>
      </c>
      <c r="AB409">
        <v>457660.5721710003</v>
      </c>
      <c r="AC409">
        <v>0</v>
      </c>
      <c r="AD409">
        <v>3293.9705158587572</v>
      </c>
      <c r="AE409">
        <v>1185829.385709153</v>
      </c>
      <c r="AF409">
        <v>1185829.385709153</v>
      </c>
      <c r="AG409">
        <v>73.600208418353972</v>
      </c>
      <c r="AH409">
        <v>104.3767025301196</v>
      </c>
      <c r="AI409">
        <v>104.3767025301196</v>
      </c>
      <c r="AJ409">
        <v>14873.96859555751</v>
      </c>
      <c r="AK409">
        <v>854.70085470085473</v>
      </c>
      <c r="AL409" t="s">
        <v>69</v>
      </c>
      <c r="AM409">
        <v>8089.1944460842687</v>
      </c>
      <c r="AN409">
        <v>692.05831087759054</v>
      </c>
      <c r="AO409">
        <v>17744.039430120331</v>
      </c>
      <c r="AP409">
        <v>24509.922207220221</v>
      </c>
      <c r="AQ409">
        <v>6765.8827770998942</v>
      </c>
      <c r="AR409">
        <v>1.2543093276999999E-2</v>
      </c>
      <c r="AS409">
        <v>202.09139233698599</v>
      </c>
      <c r="AT409">
        <v>109.90722200274411</v>
      </c>
      <c r="AU409">
        <v>9.4029395534294338</v>
      </c>
      <c r="AV409">
        <v>241.0868095544065</v>
      </c>
      <c r="AW409">
        <v>333.01430436042199</v>
      </c>
      <c r="AX409">
        <v>91.927494806015488</v>
      </c>
      <c r="AY409">
        <v>1.4181577032612149</v>
      </c>
      <c r="AZ409" t="str">
        <f>VLOOKUP(BA409,Sheet1!$A$1:$B$58,2,FALSE)</f>
        <v>Hexane</v>
      </c>
      <c r="BA409" t="s">
        <v>138</v>
      </c>
      <c r="BB409" t="s">
        <v>139</v>
      </c>
      <c r="BC409">
        <v>86.173959999999994</v>
      </c>
      <c r="BD409">
        <v>6.333333333333333</v>
      </c>
      <c r="BE409">
        <v>69</v>
      </c>
      <c r="BF409" t="s">
        <v>192</v>
      </c>
      <c r="BG409">
        <v>1.1108040459053869</v>
      </c>
      <c r="BH409">
        <v>0.24464788732394399</v>
      </c>
      <c r="BI409">
        <v>0.33967295116742702</v>
      </c>
      <c r="BJ409">
        <v>90</v>
      </c>
      <c r="BK409">
        <v>1089.329875876454</v>
      </c>
      <c r="BL409">
        <v>300.70590120443973</v>
      </c>
      <c r="BM409">
        <v>3.5281605109888168</v>
      </c>
      <c r="BN409">
        <v>599.78728686809893</v>
      </c>
      <c r="BO409">
        <v>489.54258900835532</v>
      </c>
    </row>
    <row r="410" spans="1:67" x14ac:dyDescent="0.25">
      <c r="A410" s="1">
        <v>408</v>
      </c>
      <c r="B410" t="s">
        <v>189</v>
      </c>
      <c r="C410" t="s">
        <v>190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67</v>
      </c>
      <c r="J410">
        <v>1.44</v>
      </c>
      <c r="K410">
        <v>500</v>
      </c>
      <c r="L410">
        <v>100</v>
      </c>
      <c r="N410" t="s">
        <v>68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40230.366714189309</v>
      </c>
      <c r="Z410">
        <v>201151833.57094651</v>
      </c>
      <c r="AA410">
        <v>289658640.34216303</v>
      </c>
      <c r="AB410">
        <v>289658.64034216298</v>
      </c>
      <c r="AC410">
        <v>0</v>
      </c>
      <c r="AD410">
        <v>2084.7918281986522</v>
      </c>
      <c r="AE410">
        <v>750525.05815151485</v>
      </c>
      <c r="AF410">
        <v>750525.05815151485</v>
      </c>
      <c r="AG410">
        <v>46.58241849025751</v>
      </c>
      <c r="AH410">
        <v>66.061215618496334</v>
      </c>
      <c r="AI410">
        <v>66.061215618496334</v>
      </c>
      <c r="AJ410">
        <v>9413.9058111202994</v>
      </c>
      <c r="AK410">
        <v>854.70085470085473</v>
      </c>
      <c r="AL410" t="s">
        <v>69</v>
      </c>
      <c r="AM410">
        <v>5119.7442104334659</v>
      </c>
      <c r="AN410">
        <v>438.01166531644492</v>
      </c>
      <c r="AO410">
        <v>11230.406655144379</v>
      </c>
      <c r="AP410">
        <v>15826.362541571059</v>
      </c>
      <c r="AQ410">
        <v>4595.9558864266874</v>
      </c>
      <c r="AR410">
        <v>1.2543093276999999E-2</v>
      </c>
      <c r="AS410">
        <v>202.09139233698599</v>
      </c>
      <c r="AT410">
        <v>109.90722200274411</v>
      </c>
      <c r="AU410">
        <v>9.4029395534294338</v>
      </c>
      <c r="AV410">
        <v>241.0868095544065</v>
      </c>
      <c r="AW410">
        <v>339.74969644139611</v>
      </c>
      <c r="AX410">
        <v>98.662886886989526</v>
      </c>
      <c r="AY410">
        <v>1.4181577032612149</v>
      </c>
      <c r="AZ410" t="str">
        <f>VLOOKUP(BA410,Sheet1!$A$1:$B$58,2,FALSE)</f>
        <v>Isobutanol</v>
      </c>
      <c r="BA410" t="s">
        <v>140</v>
      </c>
      <c r="BB410" t="s">
        <v>141</v>
      </c>
      <c r="BC410">
        <v>86.130899999999997</v>
      </c>
      <c r="BD410">
        <v>5.6</v>
      </c>
      <c r="BE410">
        <v>108</v>
      </c>
      <c r="BF410" t="s">
        <v>192</v>
      </c>
      <c r="BG410">
        <v>0.59858453739545436</v>
      </c>
      <c r="BH410">
        <v>0.38673684210526299</v>
      </c>
      <c r="BI410">
        <v>0.53668316953591899</v>
      </c>
      <c r="BJ410">
        <v>90</v>
      </c>
      <c r="BK410">
        <v>703.3938907364917</v>
      </c>
      <c r="BL410">
        <v>204.26470606340831</v>
      </c>
      <c r="BM410">
        <v>2.3374694900932709</v>
      </c>
      <c r="BN410">
        <v>397.36981331585611</v>
      </c>
      <c r="BO410">
        <v>306.02407742063559</v>
      </c>
    </row>
    <row r="411" spans="1:67" x14ac:dyDescent="0.25">
      <c r="A411" s="1">
        <v>409</v>
      </c>
      <c r="B411" t="s">
        <v>189</v>
      </c>
      <c r="C411" t="s">
        <v>190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67</v>
      </c>
      <c r="J411">
        <v>1.44</v>
      </c>
      <c r="K411">
        <v>500</v>
      </c>
      <c r="L411">
        <v>100</v>
      </c>
      <c r="N411" t="s">
        <v>68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33502.926460193659</v>
      </c>
      <c r="Z411">
        <v>167514632.30096829</v>
      </c>
      <c r="AA411">
        <v>241221070.5133943</v>
      </c>
      <c r="AB411">
        <v>241221.07051339431</v>
      </c>
      <c r="AC411">
        <v>0</v>
      </c>
      <c r="AD411">
        <v>1736.1668065610031</v>
      </c>
      <c r="AE411">
        <v>625020.05036196113</v>
      </c>
      <c r="AF411">
        <v>625020.05036196113</v>
      </c>
      <c r="AG411">
        <v>38.792769454587628</v>
      </c>
      <c r="AH411">
        <v>55.014264832859823</v>
      </c>
      <c r="AI411">
        <v>55.014264832859823</v>
      </c>
      <c r="AJ411">
        <v>7839.6847916853158</v>
      </c>
      <c r="AK411">
        <v>854.70085470085473</v>
      </c>
      <c r="AL411" t="s">
        <v>69</v>
      </c>
      <c r="AM411">
        <v>4263.6055245466359</v>
      </c>
      <c r="AN411">
        <v>364.76606629161131</v>
      </c>
      <c r="AO411">
        <v>9352.4250215861684</v>
      </c>
      <c r="AP411">
        <v>13322.757237224419</v>
      </c>
      <c r="AQ411">
        <v>3970.332215638251</v>
      </c>
      <c r="AR411">
        <v>1.2543093276999999E-2</v>
      </c>
      <c r="AS411">
        <v>202.09139233698599</v>
      </c>
      <c r="AT411">
        <v>109.90722200274411</v>
      </c>
      <c r="AU411">
        <v>9.4029395534294338</v>
      </c>
      <c r="AV411">
        <v>241.0868095544065</v>
      </c>
      <c r="AW411">
        <v>343.43403228327298</v>
      </c>
      <c r="AX411">
        <v>102.3472227288665</v>
      </c>
      <c r="AY411">
        <v>1.4181577032612149</v>
      </c>
      <c r="AZ411" t="str">
        <f>VLOOKUP(BA411,Sheet1!$A$1:$B$58,2,FALSE)</f>
        <v>Isobutyrate</v>
      </c>
      <c r="BA411" t="s">
        <v>142</v>
      </c>
      <c r="BB411" t="s">
        <v>114</v>
      </c>
      <c r="BC411">
        <v>87.095680000000002</v>
      </c>
      <c r="BD411">
        <v>4.75</v>
      </c>
      <c r="BE411">
        <v>155</v>
      </c>
      <c r="BF411" t="s">
        <v>192</v>
      </c>
      <c r="BG411">
        <v>0.17934661893875811</v>
      </c>
      <c r="BH411">
        <v>0.45924999999999999</v>
      </c>
      <c r="BI411">
        <v>0.64444999291081795</v>
      </c>
      <c r="BJ411">
        <v>90</v>
      </c>
      <c r="BK411">
        <v>592.12254387664086</v>
      </c>
      <c r="BL411">
        <v>176.4592095839223</v>
      </c>
      <c r="BM411">
        <v>2.2657318180772341</v>
      </c>
      <c r="BN411">
        <v>385.17440907312982</v>
      </c>
      <c r="BO411">
        <v>206.94813480351101</v>
      </c>
    </row>
    <row r="412" spans="1:67" x14ac:dyDescent="0.25">
      <c r="A412" s="1">
        <v>410</v>
      </c>
      <c r="B412" t="s">
        <v>189</v>
      </c>
      <c r="C412" t="s">
        <v>190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67</v>
      </c>
      <c r="J412">
        <v>1.44</v>
      </c>
      <c r="K412">
        <v>500</v>
      </c>
      <c r="L412">
        <v>100</v>
      </c>
      <c r="N412" t="s">
        <v>68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63721.471053962479</v>
      </c>
      <c r="Z412">
        <v>318607355.26981241</v>
      </c>
      <c r="AA412">
        <v>458794591.58852983</v>
      </c>
      <c r="AB412">
        <v>458794.59158852982</v>
      </c>
      <c r="AC412">
        <v>66773.504273504266</v>
      </c>
      <c r="AD412">
        <v>3302.1325179032719</v>
      </c>
      <c r="AE412">
        <v>1188767.706445178</v>
      </c>
      <c r="AF412">
        <v>1188767.706445178</v>
      </c>
      <c r="AG412">
        <v>73.782579526017244</v>
      </c>
      <c r="AH412">
        <v>104.6353335213046</v>
      </c>
      <c r="AI412">
        <v>104.6353335213046</v>
      </c>
      <c r="AJ412">
        <v>14910.824226627219</v>
      </c>
      <c r="AK412">
        <v>2170.1388888888891</v>
      </c>
      <c r="AL412" t="s">
        <v>107</v>
      </c>
      <c r="AM412">
        <v>8109.2383479011032</v>
      </c>
      <c r="AN412">
        <v>693.77313537924022</v>
      </c>
      <c r="AO412">
        <v>17788.006698621779</v>
      </c>
      <c r="AP412">
        <v>25883.974598796449</v>
      </c>
      <c r="AQ412">
        <v>8095.9679001746736</v>
      </c>
      <c r="AR412">
        <v>1.2543093276999999E-2</v>
      </c>
      <c r="AS412">
        <v>202.09139233698599</v>
      </c>
      <c r="AT412">
        <v>109.90722200274411</v>
      </c>
      <c r="AU412">
        <v>9.402939553429432</v>
      </c>
      <c r="AV412">
        <v>241.0868095544065</v>
      </c>
      <c r="AW412">
        <v>350.81417273665829</v>
      </c>
      <c r="AX412">
        <v>109.72736318225181</v>
      </c>
      <c r="AY412">
        <v>1.4181577032612149</v>
      </c>
      <c r="AZ412" t="str">
        <f>VLOOKUP(BA412,Sheet1!$A$1:$B$58,2,FALSE)</f>
        <v>Isoprene</v>
      </c>
      <c r="BA412" t="s">
        <v>143</v>
      </c>
      <c r="BB412" t="s">
        <v>144</v>
      </c>
      <c r="BC412">
        <v>68.116219999999998</v>
      </c>
      <c r="BD412">
        <v>5.6</v>
      </c>
      <c r="BE412">
        <v>34.07</v>
      </c>
      <c r="BF412" t="s">
        <v>192</v>
      </c>
      <c r="BG412">
        <v>0.95490794485668418</v>
      </c>
      <c r="BH412">
        <v>0.308739495798319</v>
      </c>
      <c r="BI412">
        <v>0.33883336907710698</v>
      </c>
      <c r="BJ412">
        <v>90</v>
      </c>
      <c r="BK412">
        <v>1150.39887105762</v>
      </c>
      <c r="BL412">
        <v>359.82079556331888</v>
      </c>
      <c r="BM412">
        <v>3.6955513227568511</v>
      </c>
      <c r="BN412">
        <v>628.2437248686648</v>
      </c>
      <c r="BO412">
        <v>522.15514618895497</v>
      </c>
    </row>
    <row r="413" spans="1:67" x14ac:dyDescent="0.25">
      <c r="A413" s="1">
        <v>411</v>
      </c>
      <c r="B413" t="s">
        <v>189</v>
      </c>
      <c r="C413" t="s">
        <v>190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67</v>
      </c>
      <c r="J413">
        <v>1.44</v>
      </c>
      <c r="K413">
        <v>500</v>
      </c>
      <c r="L413">
        <v>100</v>
      </c>
      <c r="N413" t="s">
        <v>68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41982.461501464008</v>
      </c>
      <c r="Z413">
        <v>209912307.50732011</v>
      </c>
      <c r="AA413">
        <v>302273722.81054091</v>
      </c>
      <c r="AB413">
        <v>302273.72281054087</v>
      </c>
      <c r="AC413">
        <v>0</v>
      </c>
      <c r="AD413">
        <v>2175.5877416609928</v>
      </c>
      <c r="AE413">
        <v>783211.58699795732</v>
      </c>
      <c r="AF413">
        <v>783211.58699795732</v>
      </c>
      <c r="AG413">
        <v>48.611154971713503</v>
      </c>
      <c r="AH413">
        <v>68.938283887560203</v>
      </c>
      <c r="AI413">
        <v>68.938283887560203</v>
      </c>
      <c r="AJ413">
        <v>9823.8959913425806</v>
      </c>
      <c r="AK413">
        <v>854.70085470085473</v>
      </c>
      <c r="AL413" t="s">
        <v>69</v>
      </c>
      <c r="AM413">
        <v>5342.717001285916</v>
      </c>
      <c r="AN413">
        <v>457.08775182141272</v>
      </c>
      <c r="AO413">
        <v>11719.508260885241</v>
      </c>
      <c r="AP413">
        <v>16478.401599150759</v>
      </c>
      <c r="AQ413">
        <v>4758.8933382655268</v>
      </c>
      <c r="AR413">
        <v>1.2543093276999999E-2</v>
      </c>
      <c r="AS413">
        <v>202.09139233698599</v>
      </c>
      <c r="AT413">
        <v>109.90722200274411</v>
      </c>
      <c r="AU413">
        <v>9.4029395534294338</v>
      </c>
      <c r="AV413">
        <v>241.08680955440661</v>
      </c>
      <c r="AW413">
        <v>338.98395561141132</v>
      </c>
      <c r="AX413">
        <v>97.897146057004704</v>
      </c>
      <c r="AY413">
        <v>1.4181577032612149</v>
      </c>
      <c r="AZ413" t="str">
        <f>VLOOKUP(BA413,Sheet1!$A$1:$B$58,2,FALSE)</f>
        <v>Isopropanol</v>
      </c>
      <c r="BA413" t="s">
        <v>145</v>
      </c>
      <c r="BB413" t="s">
        <v>79</v>
      </c>
      <c r="BC413">
        <v>60.093820000000001</v>
      </c>
      <c r="BD413">
        <v>6</v>
      </c>
      <c r="BE413">
        <v>82.5</v>
      </c>
      <c r="BF413" t="s">
        <v>192</v>
      </c>
      <c r="BG413">
        <v>0.56046860921144204</v>
      </c>
      <c r="BH413">
        <v>0.53116666666666701</v>
      </c>
      <c r="BI413">
        <v>0.51428525025886196</v>
      </c>
      <c r="BJ413">
        <v>90</v>
      </c>
      <c r="BK413">
        <v>732.37340440670062</v>
      </c>
      <c r="BL413">
        <v>211.50637058957901</v>
      </c>
      <c r="BM413">
        <v>2.5034551191245669</v>
      </c>
      <c r="BN413">
        <v>425.58737025117642</v>
      </c>
      <c r="BO413">
        <v>306.78603415552419</v>
      </c>
    </row>
    <row r="414" spans="1:67" x14ac:dyDescent="0.25">
      <c r="A414" s="1">
        <v>412</v>
      </c>
      <c r="B414" t="s">
        <v>189</v>
      </c>
      <c r="C414" t="s">
        <v>190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67</v>
      </c>
      <c r="J414">
        <v>1.44</v>
      </c>
      <c r="K414">
        <v>500</v>
      </c>
      <c r="L414">
        <v>100</v>
      </c>
      <c r="N414" t="s">
        <v>68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22599.869729383219</v>
      </c>
      <c r="Z414">
        <v>112999348.64691611</v>
      </c>
      <c r="AA414">
        <v>162719062.05155921</v>
      </c>
      <c r="AB414">
        <v>162719.06205155919</v>
      </c>
      <c r="AC414">
        <v>0</v>
      </c>
      <c r="AD414">
        <v>1171.1557109310249</v>
      </c>
      <c r="AE414">
        <v>421616.05593516899</v>
      </c>
      <c r="AF414">
        <v>421616.05593516899</v>
      </c>
      <c r="AG414">
        <v>26.16820763873681</v>
      </c>
      <c r="AH414">
        <v>37.110645243413572</v>
      </c>
      <c r="AI414">
        <v>37.110645243413572</v>
      </c>
      <c r="AJ414">
        <v>5288.3695166756734</v>
      </c>
      <c r="AK414">
        <v>854.70085470085473</v>
      </c>
      <c r="AL414" t="s">
        <v>69</v>
      </c>
      <c r="AM414">
        <v>2876.0750063645519</v>
      </c>
      <c r="AN414">
        <v>246.05807464863261</v>
      </c>
      <c r="AO414">
        <v>6308.8096913803074</v>
      </c>
      <c r="AP414">
        <v>9265.2034523897128</v>
      </c>
      <c r="AQ414">
        <v>2956.3937610094049</v>
      </c>
      <c r="AR414">
        <v>1.2543093276999999E-2</v>
      </c>
      <c r="AS414">
        <v>202.0913923369859</v>
      </c>
      <c r="AT414">
        <v>109.90722200274411</v>
      </c>
      <c r="AU414">
        <v>9.402939553429432</v>
      </c>
      <c r="AV414">
        <v>241.0868095544065</v>
      </c>
      <c r="AW414">
        <v>354.06335734948948</v>
      </c>
      <c r="AX414">
        <v>112.97654779508299</v>
      </c>
      <c r="AY414">
        <v>1.4181577032612149</v>
      </c>
      <c r="AZ414" t="str">
        <f>VLOOKUP(BA414,Sheet1!$A$1:$B$58,2,FALSE)</f>
        <v>Itaconate</v>
      </c>
      <c r="BA414" t="s">
        <v>146</v>
      </c>
      <c r="BB414" t="s">
        <v>147</v>
      </c>
      <c r="BC414">
        <v>128.08086</v>
      </c>
      <c r="BD414">
        <v>3.2</v>
      </c>
      <c r="BE414">
        <v>381</v>
      </c>
      <c r="BF414" t="s">
        <v>192</v>
      </c>
      <c r="BG414">
        <v>-0.2336285308491339</v>
      </c>
      <c r="BH414">
        <v>0.46295454545454601</v>
      </c>
      <c r="BI414">
        <v>0.95535775109765197</v>
      </c>
      <c r="BJ414">
        <v>90</v>
      </c>
      <c r="BK414">
        <v>411.78682010620952</v>
      </c>
      <c r="BL414">
        <v>131.39527826708471</v>
      </c>
      <c r="BM414">
        <v>1.882990541667515</v>
      </c>
      <c r="BN414">
        <v>320.10839208347761</v>
      </c>
      <c r="BO414">
        <v>91.67842802273185</v>
      </c>
    </row>
    <row r="415" spans="1:67" x14ac:dyDescent="0.25">
      <c r="A415" s="1">
        <v>413</v>
      </c>
      <c r="B415" t="s">
        <v>189</v>
      </c>
      <c r="C415" t="s">
        <v>190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67</v>
      </c>
      <c r="J415">
        <v>1.44</v>
      </c>
      <c r="K415">
        <v>500</v>
      </c>
      <c r="L415">
        <v>100</v>
      </c>
      <c r="N415" t="s">
        <v>68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63453.733780626433</v>
      </c>
      <c r="Z415">
        <v>317268668.90313208</v>
      </c>
      <c r="AA415">
        <v>456866883.22051018</v>
      </c>
      <c r="AB415">
        <v>456866.88322051032</v>
      </c>
      <c r="AC415">
        <v>0</v>
      </c>
      <c r="AD415">
        <v>3288.2580115255232</v>
      </c>
      <c r="AE415">
        <v>1183772.8841491879</v>
      </c>
      <c r="AF415">
        <v>1183772.8841491879</v>
      </c>
      <c r="AG415">
        <v>73.472568687672549</v>
      </c>
      <c r="AH415">
        <v>104.1956892628116</v>
      </c>
      <c r="AI415">
        <v>104.1956892628116</v>
      </c>
      <c r="AJ415">
        <v>14848.17370466658</v>
      </c>
      <c r="AK415">
        <v>854.70085470085473</v>
      </c>
      <c r="AL415" t="s">
        <v>69</v>
      </c>
      <c r="AM415">
        <v>8075.1659178678956</v>
      </c>
      <c r="AN415">
        <v>690.85812220537696</v>
      </c>
      <c r="AO415">
        <v>17713.26717467796</v>
      </c>
      <c r="AP415">
        <v>24468.898599440708</v>
      </c>
      <c r="AQ415">
        <v>6755.6314247627488</v>
      </c>
      <c r="AR415">
        <v>1.2543093276999999E-2</v>
      </c>
      <c r="AS415">
        <v>202.09139233698599</v>
      </c>
      <c r="AT415">
        <v>109.90722200274411</v>
      </c>
      <c r="AU415">
        <v>9.402939553429432</v>
      </c>
      <c r="AV415">
        <v>241.0868095544065</v>
      </c>
      <c r="AW415">
        <v>333.03447853383921</v>
      </c>
      <c r="AX415">
        <v>91.947668979432706</v>
      </c>
      <c r="AY415">
        <v>1.4181577032612149</v>
      </c>
      <c r="AZ415" t="str">
        <f>VLOOKUP(BA415,Sheet1!$A$1:$B$58,2,FALSE)</f>
        <v>Limonene</v>
      </c>
      <c r="BA415" t="s">
        <v>148</v>
      </c>
      <c r="BB415" t="s">
        <v>149</v>
      </c>
      <c r="BC415">
        <v>136.23244</v>
      </c>
      <c r="BD415">
        <v>5.6</v>
      </c>
      <c r="BE415">
        <v>176</v>
      </c>
      <c r="BF415" t="s">
        <v>192</v>
      </c>
      <c r="BG415">
        <v>0.93732216318344963</v>
      </c>
      <c r="BH415">
        <v>0.15502109704641401</v>
      </c>
      <c r="BI415">
        <v>0.34026304573987998</v>
      </c>
      <c r="BJ415">
        <v>90</v>
      </c>
      <c r="BK415">
        <v>1087.5066044195869</v>
      </c>
      <c r="BL415">
        <v>300.25028554501102</v>
      </c>
      <c r="BM415">
        <v>3.6935973596081761</v>
      </c>
      <c r="BN415">
        <v>627.91155113338982</v>
      </c>
      <c r="BO415">
        <v>459.5950532861973</v>
      </c>
    </row>
    <row r="416" spans="1:67" x14ac:dyDescent="0.25">
      <c r="A416" s="1">
        <v>414</v>
      </c>
      <c r="B416" t="s">
        <v>189</v>
      </c>
      <c r="C416" t="s">
        <v>190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67</v>
      </c>
      <c r="J416">
        <v>1.44</v>
      </c>
      <c r="K416">
        <v>500</v>
      </c>
      <c r="L416">
        <v>100</v>
      </c>
      <c r="N416" t="s">
        <v>68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32214.02390406558</v>
      </c>
      <c r="Z416">
        <v>161070119.5203279</v>
      </c>
      <c r="AA416">
        <v>231940972.10927221</v>
      </c>
      <c r="AB416">
        <v>231940.97210927209</v>
      </c>
      <c r="AC416">
        <v>0</v>
      </c>
      <c r="AD416">
        <v>1669.3741388368869</v>
      </c>
      <c r="AE416">
        <v>600974.68998127943</v>
      </c>
      <c r="AF416">
        <v>600974.68998127943</v>
      </c>
      <c r="AG416">
        <v>37.300359537241683</v>
      </c>
      <c r="AH416">
        <v>52.897792212152218</v>
      </c>
      <c r="AI416">
        <v>52.897792212152218</v>
      </c>
      <c r="AJ416">
        <v>7538.0815935513447</v>
      </c>
      <c r="AK416">
        <v>854.70085470085473</v>
      </c>
      <c r="AL416" t="s">
        <v>69</v>
      </c>
      <c r="AM416">
        <v>4099.578896441797</v>
      </c>
      <c r="AN416">
        <v>350.73302604986861</v>
      </c>
      <c r="AO416">
        <v>8992.6246760658778</v>
      </c>
      <c r="AP416">
        <v>12843.094370743869</v>
      </c>
      <c r="AQ416">
        <v>3850.4696946779882</v>
      </c>
      <c r="AR416">
        <v>1.2543093276999999E-2</v>
      </c>
      <c r="AS416">
        <v>202.09139233698599</v>
      </c>
      <c r="AT416">
        <v>109.90722200274421</v>
      </c>
      <c r="AU416">
        <v>9.402939553429432</v>
      </c>
      <c r="AV416">
        <v>241.08680955440661</v>
      </c>
      <c r="AW416">
        <v>344.31556505295822</v>
      </c>
      <c r="AX416">
        <v>103.22875549855161</v>
      </c>
      <c r="AY416">
        <v>1.4181577032612149</v>
      </c>
      <c r="AZ416" t="str">
        <f>VLOOKUP(BA416,Sheet1!$A$1:$B$58,2,FALSE)</f>
        <v>L-Lysine</v>
      </c>
      <c r="BA416" t="s">
        <v>150</v>
      </c>
      <c r="BB416" t="s">
        <v>151</v>
      </c>
      <c r="BC416">
        <v>147.19319999999999</v>
      </c>
      <c r="BD416">
        <v>4.833333333333333</v>
      </c>
      <c r="BF416" t="s">
        <v>192</v>
      </c>
      <c r="BG416">
        <v>0.32194430900870141</v>
      </c>
      <c r="BH416">
        <v>0.28261538461538499</v>
      </c>
      <c r="BI416">
        <v>0.67023482642410803</v>
      </c>
      <c r="BJ416">
        <v>90</v>
      </c>
      <c r="BK416">
        <v>570.80419425528294</v>
      </c>
      <c r="BL416">
        <v>171.1319864301328</v>
      </c>
      <c r="BM416">
        <v>2.029068678198064</v>
      </c>
      <c r="BN416">
        <v>344.94167529367081</v>
      </c>
      <c r="BO416">
        <v>225.8625189616121</v>
      </c>
    </row>
    <row r="417" spans="1:67" x14ac:dyDescent="0.25">
      <c r="A417" s="1">
        <v>415</v>
      </c>
      <c r="B417" t="s">
        <v>189</v>
      </c>
      <c r="C417" t="s">
        <v>190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67</v>
      </c>
      <c r="J417">
        <v>1.44</v>
      </c>
      <c r="K417">
        <v>500</v>
      </c>
      <c r="L417">
        <v>100</v>
      </c>
      <c r="N417" t="s">
        <v>68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15441.794641336641</v>
      </c>
      <c r="Z417">
        <v>77208973.206683174</v>
      </c>
      <c r="AA417">
        <v>111180921.4176238</v>
      </c>
      <c r="AB417">
        <v>111180.9214176238</v>
      </c>
      <c r="AC417">
        <v>0</v>
      </c>
      <c r="AD417">
        <v>800.21461175559853</v>
      </c>
      <c r="AE417">
        <v>288077.26023201551</v>
      </c>
      <c r="AF417">
        <v>288077.26023201551</v>
      </c>
      <c r="AG417">
        <v>17.879929987554771</v>
      </c>
      <c r="AH417">
        <v>25.356560445622009</v>
      </c>
      <c r="AI417">
        <v>25.356560445622009</v>
      </c>
      <c r="AJ417">
        <v>3613.3799460727728</v>
      </c>
      <c r="AK417">
        <v>854.70085470085473</v>
      </c>
      <c r="AL417" t="s">
        <v>69</v>
      </c>
      <c r="AM417">
        <v>1965.133434535705</v>
      </c>
      <c r="AN417">
        <v>168.12390089252779</v>
      </c>
      <c r="AO417">
        <v>4310.6152757557411</v>
      </c>
      <c r="AP417">
        <v>6601.3381362018599</v>
      </c>
      <c r="AQ417">
        <v>2290.7228604461188</v>
      </c>
      <c r="AR417">
        <v>1.2543093276999999E-2</v>
      </c>
      <c r="AS417">
        <v>202.09139233698599</v>
      </c>
      <c r="AT417">
        <v>109.90722200274421</v>
      </c>
      <c r="AU417">
        <v>9.4029395534294338</v>
      </c>
      <c r="AV417">
        <v>241.08680955440661</v>
      </c>
      <c r="AW417">
        <v>369.20380229657979</v>
      </c>
      <c r="AX417">
        <v>128.11699274217321</v>
      </c>
      <c r="AY417">
        <v>1.4181577032612149</v>
      </c>
      <c r="AZ417" t="str">
        <f>VLOOKUP(BA417,Sheet1!$A$1:$B$58,2,FALSE)</f>
        <v>L-Malate</v>
      </c>
      <c r="BA417" t="s">
        <v>152</v>
      </c>
      <c r="BB417" t="s">
        <v>153</v>
      </c>
      <c r="BC417">
        <v>132.06916000000001</v>
      </c>
      <c r="BD417">
        <v>2.5</v>
      </c>
      <c r="BF417" t="s">
        <v>192</v>
      </c>
      <c r="BG417">
        <v>-0.31867491342870918</v>
      </c>
      <c r="BH417">
        <v>0.65709677419354795</v>
      </c>
      <c r="BI417">
        <v>1.39821576580004</v>
      </c>
      <c r="BJ417">
        <v>90</v>
      </c>
      <c r="BK417">
        <v>293.39280605341611</v>
      </c>
      <c r="BL417">
        <v>101.8099049087164</v>
      </c>
      <c r="BM417">
        <v>1.445633155456354</v>
      </c>
      <c r="BN417">
        <v>245.7576364275802</v>
      </c>
      <c r="BO417">
        <v>47.635169625835942</v>
      </c>
    </row>
    <row r="418" spans="1:67" x14ac:dyDescent="0.25">
      <c r="A418" s="1">
        <v>416</v>
      </c>
      <c r="B418" t="s">
        <v>189</v>
      </c>
      <c r="C418" t="s">
        <v>190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67</v>
      </c>
      <c r="J418">
        <v>1.44</v>
      </c>
      <c r="K418">
        <v>500</v>
      </c>
      <c r="L418">
        <v>100</v>
      </c>
      <c r="N418" t="s">
        <v>68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14237.43189169592</v>
      </c>
      <c r="Z418">
        <v>71187159.458479583</v>
      </c>
      <c r="AA418">
        <v>102509509.6202106</v>
      </c>
      <c r="AB418">
        <v>102509.50962021061</v>
      </c>
      <c r="AC418">
        <v>0</v>
      </c>
      <c r="AD418">
        <v>737.80291075183288</v>
      </c>
      <c r="AE418">
        <v>265609.04787065991</v>
      </c>
      <c r="AF418">
        <v>265609.04787065991</v>
      </c>
      <c r="AG418">
        <v>16.485408033121441</v>
      </c>
      <c r="AH418">
        <v>23.378908393575479</v>
      </c>
      <c r="AI418">
        <v>23.378908393575479</v>
      </c>
      <c r="AJ418">
        <v>3331.5590626568451</v>
      </c>
      <c r="AK418">
        <v>854.70085470085473</v>
      </c>
      <c r="AL418" t="s">
        <v>69</v>
      </c>
      <c r="AM418">
        <v>1811.8654005021001</v>
      </c>
      <c r="AN418">
        <v>155.01129524906091</v>
      </c>
      <c r="AO418">
        <v>3974.414426907832</v>
      </c>
      <c r="AP418">
        <v>6153.1366131088598</v>
      </c>
      <c r="AQ418">
        <v>2178.7221862010279</v>
      </c>
      <c r="AR418">
        <v>1.2543093276999999E-2</v>
      </c>
      <c r="AS418">
        <v>202.09139233698599</v>
      </c>
      <c r="AT418">
        <v>109.90722200274411</v>
      </c>
      <c r="AU418">
        <v>9.4029395534294338</v>
      </c>
      <c r="AV418">
        <v>241.0868095544065</v>
      </c>
      <c r="AW418">
        <v>373.24745621985022</v>
      </c>
      <c r="AX418">
        <v>132.16064666544369</v>
      </c>
      <c r="AY418">
        <v>1.4181577032612149</v>
      </c>
      <c r="AZ418" t="str">
        <f>VLOOKUP(BA418,Sheet1!$A$1:$B$58,2,FALSE)</f>
        <v>Malonate</v>
      </c>
      <c r="BA418" t="s">
        <v>154</v>
      </c>
      <c r="BB418" t="s">
        <v>155</v>
      </c>
      <c r="BC418">
        <v>102.04378</v>
      </c>
      <c r="BD418">
        <v>2</v>
      </c>
      <c r="BE418">
        <v>199</v>
      </c>
      <c r="BF418" t="s">
        <v>192</v>
      </c>
      <c r="BG418">
        <v>-0.35869948280986769</v>
      </c>
      <c r="BH418">
        <v>0.92238095238095297</v>
      </c>
      <c r="BI418">
        <v>1.5164926430557</v>
      </c>
      <c r="BJ418">
        <v>90</v>
      </c>
      <c r="BK418">
        <v>273.47273836039392</v>
      </c>
      <c r="BL418">
        <v>96.832097164490193</v>
      </c>
      <c r="BM418">
        <v>1.3977620780798889</v>
      </c>
      <c r="BN418">
        <v>237.61955327358109</v>
      </c>
      <c r="BO418">
        <v>35.853185086812722</v>
      </c>
    </row>
    <row r="419" spans="1:67" x14ac:dyDescent="0.25">
      <c r="A419" s="1">
        <v>417</v>
      </c>
      <c r="B419" t="s">
        <v>189</v>
      </c>
      <c r="C419" t="s">
        <v>190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67</v>
      </c>
      <c r="J419">
        <v>1.44</v>
      </c>
      <c r="K419">
        <v>500</v>
      </c>
      <c r="L419">
        <v>100</v>
      </c>
      <c r="N419" t="s">
        <v>68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61916.208388086023</v>
      </c>
      <c r="Z419">
        <v>309581041.9404301</v>
      </c>
      <c r="AA419">
        <v>445796700.39421928</v>
      </c>
      <c r="AB419">
        <v>445796.70039421931</v>
      </c>
      <c r="AC419">
        <v>0</v>
      </c>
      <c r="AD419">
        <v>3208.5813733087111</v>
      </c>
      <c r="AE419">
        <v>1155089.2943911359</v>
      </c>
      <c r="AF419">
        <v>1155089.2943911359</v>
      </c>
      <c r="AG419">
        <v>71.692280384969777</v>
      </c>
      <c r="AH419">
        <v>101.6709596923078</v>
      </c>
      <c r="AI419">
        <v>101.6709596923078</v>
      </c>
      <c r="AJ419">
        <v>14488.392762812129</v>
      </c>
      <c r="AK419">
        <v>854.70085470085473</v>
      </c>
      <c r="AL419" t="s">
        <v>69</v>
      </c>
      <c r="AM419">
        <v>7879.4993761538544</v>
      </c>
      <c r="AN419">
        <v>674.1181789073853</v>
      </c>
      <c r="AO419">
        <v>17284.063147692319</v>
      </c>
      <c r="AP419">
        <v>23896.711172574222</v>
      </c>
      <c r="AQ419">
        <v>6612.6480248818989</v>
      </c>
      <c r="AR419">
        <v>1.2543093276999999E-2</v>
      </c>
      <c r="AS419">
        <v>202.09139233698599</v>
      </c>
      <c r="AT419">
        <v>109.90722200274411</v>
      </c>
      <c r="AU419">
        <v>9.402939553429432</v>
      </c>
      <c r="AV419">
        <v>241.0868095544065</v>
      </c>
      <c r="AW419">
        <v>333.32335147180152</v>
      </c>
      <c r="AX419">
        <v>92.236541917394987</v>
      </c>
      <c r="AY419">
        <v>1.4181577032612149</v>
      </c>
      <c r="AZ419" t="str">
        <f>VLOOKUP(BA419,Sheet1!$A$1:$B$58,2,FALSE)</f>
        <v>Nonane</v>
      </c>
      <c r="BA419" t="s">
        <v>156</v>
      </c>
      <c r="BB419" t="s">
        <v>157</v>
      </c>
      <c r="BC419">
        <v>128.25309999999999</v>
      </c>
      <c r="BD419">
        <v>6.2222222222222223</v>
      </c>
      <c r="BE419">
        <v>151</v>
      </c>
      <c r="BF419" t="s">
        <v>192</v>
      </c>
      <c r="BG419">
        <v>0.97849460610894723</v>
      </c>
      <c r="BH419">
        <v>0.16875486381322899</v>
      </c>
      <c r="BI419">
        <v>0.34871257917527798</v>
      </c>
      <c r="BJ419">
        <v>90</v>
      </c>
      <c r="BK419">
        <v>1062.07605211441</v>
      </c>
      <c r="BL419">
        <v>293.89546777252878</v>
      </c>
      <c r="BM419">
        <v>3.5402147135491768</v>
      </c>
      <c r="BN419">
        <v>601.83650130336002</v>
      </c>
      <c r="BO419">
        <v>460.23955081104981</v>
      </c>
    </row>
    <row r="420" spans="1:67" x14ac:dyDescent="0.25">
      <c r="A420" s="1">
        <v>418</v>
      </c>
      <c r="B420" t="s">
        <v>189</v>
      </c>
      <c r="C420" t="s">
        <v>190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67</v>
      </c>
      <c r="J420">
        <v>1.44</v>
      </c>
      <c r="K420">
        <v>500</v>
      </c>
      <c r="L420">
        <v>100</v>
      </c>
      <c r="N420" t="s">
        <v>68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62474.491694449804</v>
      </c>
      <c r="Z420">
        <v>312372458.47224897</v>
      </c>
      <c r="AA420">
        <v>449816340.20003861</v>
      </c>
      <c r="AB420">
        <v>449816.34020003863</v>
      </c>
      <c r="AC420">
        <v>0</v>
      </c>
      <c r="AD420">
        <v>3237.512366734541</v>
      </c>
      <c r="AE420">
        <v>1165504.4520244349</v>
      </c>
      <c r="AF420">
        <v>1165504.4520244349</v>
      </c>
      <c r="AG420">
        <v>72.338712141307454</v>
      </c>
      <c r="AH420">
        <v>102.5877018671907</v>
      </c>
      <c r="AI420">
        <v>102.5877018671907</v>
      </c>
      <c r="AJ420">
        <v>14619.031056501261</v>
      </c>
      <c r="AK420">
        <v>854.70085470085473</v>
      </c>
      <c r="AL420" t="s">
        <v>69</v>
      </c>
      <c r="AM420">
        <v>7950.5468947072804</v>
      </c>
      <c r="AN420">
        <v>680.19653763764575</v>
      </c>
      <c r="AO420">
        <v>17439.909317422422</v>
      </c>
      <c r="AP420">
        <v>24104.475343547041</v>
      </c>
      <c r="AQ420">
        <v>6664.5660261246157</v>
      </c>
      <c r="AR420">
        <v>1.2543093276999999E-2</v>
      </c>
      <c r="AS420">
        <v>202.09139233698599</v>
      </c>
      <c r="AT420">
        <v>109.90722200274411</v>
      </c>
      <c r="AU420">
        <v>9.402939553429432</v>
      </c>
      <c r="AV420">
        <v>241.0868095544065</v>
      </c>
      <c r="AW420">
        <v>333.21681614210962</v>
      </c>
      <c r="AX420">
        <v>92.13000658770315</v>
      </c>
      <c r="AY420">
        <v>1.418157703261214</v>
      </c>
      <c r="AZ420" t="str">
        <f>VLOOKUP(BA420,Sheet1!$A$1:$B$58,2,FALSE)</f>
        <v>Octane</v>
      </c>
      <c r="BA420" t="s">
        <v>158</v>
      </c>
      <c r="BB420" t="s">
        <v>159</v>
      </c>
      <c r="BC420">
        <v>114.22672</v>
      </c>
      <c r="BD420">
        <v>6.25</v>
      </c>
      <c r="BE420">
        <v>126</v>
      </c>
      <c r="BF420" t="s">
        <v>192</v>
      </c>
      <c r="BG420">
        <v>1.0212196406251219</v>
      </c>
      <c r="BH420">
        <v>0.18778378378378399</v>
      </c>
      <c r="BI420">
        <v>0.34559642078178898</v>
      </c>
      <c r="BJ420">
        <v>90</v>
      </c>
      <c r="BK420">
        <v>1071.3100152687571</v>
      </c>
      <c r="BL420">
        <v>296.20293449442738</v>
      </c>
      <c r="BM420">
        <v>3.5382337756944651</v>
      </c>
      <c r="BN420">
        <v>601.49974186805912</v>
      </c>
      <c r="BO420">
        <v>469.81027340069818</v>
      </c>
    </row>
    <row r="421" spans="1:67" x14ac:dyDescent="0.25">
      <c r="A421" s="1">
        <v>419</v>
      </c>
      <c r="B421" t="s">
        <v>189</v>
      </c>
      <c r="C421" t="s">
        <v>190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67</v>
      </c>
      <c r="J421">
        <v>1.44</v>
      </c>
      <c r="K421">
        <v>500</v>
      </c>
      <c r="L421">
        <v>100</v>
      </c>
      <c r="N421" t="s">
        <v>68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64026.317717775273</v>
      </c>
      <c r="Z421">
        <v>320131588.58887643</v>
      </c>
      <c r="AA421">
        <v>460989487.56798202</v>
      </c>
      <c r="AB421">
        <v>460989.48756798188</v>
      </c>
      <c r="AC421">
        <v>66773.504273504266</v>
      </c>
      <c r="AD421">
        <v>3317.9300829139429</v>
      </c>
      <c r="AE421">
        <v>1194454.8298490189</v>
      </c>
      <c r="AF421">
        <v>1194454.8298490189</v>
      </c>
      <c r="AG421">
        <v>74.135559029534363</v>
      </c>
      <c r="AH421">
        <v>105.1359141233107</v>
      </c>
      <c r="AI421">
        <v>105.1359141233107</v>
      </c>
      <c r="AJ421">
        <v>14982.158345959409</v>
      </c>
      <c r="AK421">
        <v>2170.1388888888891</v>
      </c>
      <c r="AL421" t="s">
        <v>107</v>
      </c>
      <c r="AM421">
        <v>8148.0333445565784</v>
      </c>
      <c r="AN421">
        <v>697.09218031441139</v>
      </c>
      <c r="AO421">
        <v>17873.105400962821</v>
      </c>
      <c r="AP421">
        <v>25997.422759719291</v>
      </c>
      <c r="AQ421">
        <v>8124.3173587564779</v>
      </c>
      <c r="AR421">
        <v>1.2543093276999999E-2</v>
      </c>
      <c r="AS421">
        <v>202.09139233698599</v>
      </c>
      <c r="AT421">
        <v>109.90722200274411</v>
      </c>
      <c r="AU421">
        <v>9.4029395534294355</v>
      </c>
      <c r="AV421">
        <v>241.0868095544065</v>
      </c>
      <c r="AW421">
        <v>350.67413128108137</v>
      </c>
      <c r="AX421">
        <v>109.5873217266749</v>
      </c>
      <c r="AY421">
        <v>1.4181577032612149</v>
      </c>
      <c r="AZ421" t="str">
        <f>VLOOKUP(BA421,Sheet1!$A$1:$B$58,2,FALSE)</f>
        <v>Pentane</v>
      </c>
      <c r="BA421" t="s">
        <v>160</v>
      </c>
      <c r="BB421" t="s">
        <v>161</v>
      </c>
      <c r="BC421">
        <v>72.147580000000005</v>
      </c>
      <c r="BD421">
        <v>6.4</v>
      </c>
      <c r="BE421">
        <v>36.1</v>
      </c>
      <c r="BF421" t="s">
        <v>192</v>
      </c>
      <c r="BG421">
        <v>1.155440924611659</v>
      </c>
      <c r="BH421">
        <v>0.29010033444816102</v>
      </c>
      <c r="BI421">
        <v>0.33722009150885901</v>
      </c>
      <c r="BJ421">
        <v>90</v>
      </c>
      <c r="BK421">
        <v>1155.4410115430801</v>
      </c>
      <c r="BL421">
        <v>361.08077150028811</v>
      </c>
      <c r="BM421">
        <v>3.517266369757706</v>
      </c>
      <c r="BN421">
        <v>597.93528285880996</v>
      </c>
      <c r="BO421">
        <v>557.50572868426991</v>
      </c>
    </row>
    <row r="422" spans="1:67" x14ac:dyDescent="0.25">
      <c r="A422" s="1">
        <v>420</v>
      </c>
      <c r="B422" t="s">
        <v>189</v>
      </c>
      <c r="C422" t="s">
        <v>190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67</v>
      </c>
      <c r="J422">
        <v>1.44</v>
      </c>
      <c r="K422">
        <v>500</v>
      </c>
      <c r="L422">
        <v>100</v>
      </c>
      <c r="N422" t="s">
        <v>68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50896.628651246217</v>
      </c>
      <c r="Z422">
        <v>254483143.2562311</v>
      </c>
      <c r="AA422">
        <v>366455726.2889728</v>
      </c>
      <c r="AB422">
        <v>366455.72628897277</v>
      </c>
      <c r="AC422">
        <v>0</v>
      </c>
      <c r="AD422">
        <v>2637.5318984491082</v>
      </c>
      <c r="AE422">
        <v>949511.48344167881</v>
      </c>
      <c r="AF422">
        <v>949511.48344167881</v>
      </c>
      <c r="AG422">
        <v>58.932797516343953</v>
      </c>
      <c r="AH422">
        <v>83.57600077253656</v>
      </c>
      <c r="AI422">
        <v>83.57600077253656</v>
      </c>
      <c r="AJ422">
        <v>11909.81110439162</v>
      </c>
      <c r="AK422">
        <v>854.70085470085473</v>
      </c>
      <c r="AL422" t="s">
        <v>69</v>
      </c>
      <c r="AM422">
        <v>6477.1400598715836</v>
      </c>
      <c r="AN422">
        <v>554.14153276067839</v>
      </c>
      <c r="AO422">
        <v>14207.920131331221</v>
      </c>
      <c r="AP422">
        <v>19795.793551724732</v>
      </c>
      <c r="AQ422">
        <v>5587.8734203935164</v>
      </c>
      <c r="AR422">
        <v>1.2543093276999999E-2</v>
      </c>
      <c r="AS422">
        <v>202.09139233698599</v>
      </c>
      <c r="AT422">
        <v>109.90722200274411</v>
      </c>
      <c r="AU422">
        <v>9.4029395534294338</v>
      </c>
      <c r="AV422">
        <v>241.0868095544065</v>
      </c>
      <c r="AW422">
        <v>335.9045283101438</v>
      </c>
      <c r="AX422">
        <v>94.817718755737303</v>
      </c>
      <c r="AY422">
        <v>1.4181577032612149</v>
      </c>
      <c r="AZ422" t="str">
        <f>VLOOKUP(BA422,Sheet1!$A$1:$B$58,2,FALSE)</f>
        <v>Pentanol (PW1)</v>
      </c>
      <c r="BA422" t="s">
        <v>162</v>
      </c>
      <c r="BB422" t="s">
        <v>83</v>
      </c>
      <c r="BC422">
        <v>88.14658</v>
      </c>
      <c r="BD422">
        <v>6</v>
      </c>
      <c r="BE422">
        <v>138</v>
      </c>
      <c r="BF422" t="s">
        <v>192</v>
      </c>
      <c r="BG422">
        <v>0.84663222825224071</v>
      </c>
      <c r="BH422">
        <v>0.29869918699186998</v>
      </c>
      <c r="BI422">
        <v>0.42421200169679202</v>
      </c>
      <c r="BJ422">
        <v>90</v>
      </c>
      <c r="BK422">
        <v>879.81304674332125</v>
      </c>
      <c r="BL422">
        <v>248.34992979526729</v>
      </c>
      <c r="BM422">
        <v>2.8678566949716058</v>
      </c>
      <c r="BN422">
        <v>487.53563814517298</v>
      </c>
      <c r="BO422">
        <v>392.27740859814821</v>
      </c>
    </row>
    <row r="423" spans="1:67" x14ac:dyDescent="0.25">
      <c r="A423" s="1">
        <v>421</v>
      </c>
      <c r="B423" t="s">
        <v>189</v>
      </c>
      <c r="C423" t="s">
        <v>190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67</v>
      </c>
      <c r="J423">
        <v>1.44</v>
      </c>
      <c r="K423">
        <v>500</v>
      </c>
      <c r="L423">
        <v>100</v>
      </c>
      <c r="N423" t="s">
        <v>68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55601.729460343508</v>
      </c>
      <c r="Z423">
        <v>278008647.30171758</v>
      </c>
      <c r="AA423">
        <v>400332452.11447328</v>
      </c>
      <c r="AB423">
        <v>400332.45211447327</v>
      </c>
      <c r="AC423">
        <v>0</v>
      </c>
      <c r="AD423">
        <v>2881.3565642132698</v>
      </c>
      <c r="AE423">
        <v>1037288.363116777</v>
      </c>
      <c r="AF423">
        <v>1037288.363116777</v>
      </c>
      <c r="AG423">
        <v>64.380795952085663</v>
      </c>
      <c r="AH423">
        <v>91.302121721538725</v>
      </c>
      <c r="AI423">
        <v>91.302121721538725</v>
      </c>
      <c r="AJ423">
        <v>13010.80469372038</v>
      </c>
      <c r="AK423">
        <v>854.70085470085473</v>
      </c>
      <c r="AL423" t="s">
        <v>69</v>
      </c>
      <c r="AM423">
        <v>7075.9144334192524</v>
      </c>
      <c r="AN423">
        <v>605.36873273913591</v>
      </c>
      <c r="AO423">
        <v>15521.360692661579</v>
      </c>
      <c r="AP423">
        <v>21546.788714579619</v>
      </c>
      <c r="AQ423">
        <v>6025.42802191804</v>
      </c>
      <c r="AR423">
        <v>1.2543093276999999E-2</v>
      </c>
      <c r="AS423">
        <v>202.09139233698599</v>
      </c>
      <c r="AT423">
        <v>109.90722200274411</v>
      </c>
      <c r="AU423">
        <v>9.4029395534294338</v>
      </c>
      <c r="AV423">
        <v>241.0868095544065</v>
      </c>
      <c r="AW423">
        <v>334.67726510581599</v>
      </c>
      <c r="AX423">
        <v>93.590455551409491</v>
      </c>
      <c r="AY423">
        <v>1.4181577032612149</v>
      </c>
      <c r="AZ423" t="str">
        <f>VLOOKUP(BA423,Sheet1!$A$1:$B$58,2,FALSE)</f>
        <v>Pentanol (PW2)</v>
      </c>
      <c r="BA423" t="s">
        <v>163</v>
      </c>
      <c r="BB423" t="s">
        <v>83</v>
      </c>
      <c r="BC423">
        <v>88.14658</v>
      </c>
      <c r="BD423">
        <v>6</v>
      </c>
      <c r="BE423">
        <v>138</v>
      </c>
      <c r="BF423" t="s">
        <v>192</v>
      </c>
      <c r="BG423">
        <v>1.1556772653827989</v>
      </c>
      <c r="BH423">
        <v>0.27342281879194602</v>
      </c>
      <c r="BI423">
        <v>0.38831455297020301</v>
      </c>
      <c r="BJ423">
        <v>90</v>
      </c>
      <c r="BK423">
        <v>957.63505398131645</v>
      </c>
      <c r="BL423">
        <v>267.79680097413501</v>
      </c>
      <c r="BM423">
        <v>2.9021948111300331</v>
      </c>
      <c r="BN423">
        <v>493.3731178921056</v>
      </c>
      <c r="BO423">
        <v>464.26193608921079</v>
      </c>
    </row>
    <row r="424" spans="1:67" x14ac:dyDescent="0.25">
      <c r="A424" s="1">
        <v>422</v>
      </c>
      <c r="B424" t="s">
        <v>189</v>
      </c>
      <c r="C424" t="s">
        <v>190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67</v>
      </c>
      <c r="J424">
        <v>1.44</v>
      </c>
      <c r="K424">
        <v>500</v>
      </c>
      <c r="L424">
        <v>100</v>
      </c>
      <c r="N424" t="s">
        <v>68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57619.050110367432</v>
      </c>
      <c r="Z424">
        <v>288095250.55183709</v>
      </c>
      <c r="AA424">
        <v>414857160.79464549</v>
      </c>
      <c r="AB424">
        <v>414857.16079464549</v>
      </c>
      <c r="AC424">
        <v>0</v>
      </c>
      <c r="AD424">
        <v>2985.8968393717091</v>
      </c>
      <c r="AE424">
        <v>1074922.862173815</v>
      </c>
      <c r="AF424">
        <v>1074922.862173815</v>
      </c>
      <c r="AG424">
        <v>66.716635329739375</v>
      </c>
      <c r="AH424">
        <v>94.614710328539203</v>
      </c>
      <c r="AI424">
        <v>94.614710328539203</v>
      </c>
      <c r="AJ424">
        <v>13482.857725825979</v>
      </c>
      <c r="AK424">
        <v>854.70085470085473</v>
      </c>
      <c r="AL424" t="s">
        <v>69</v>
      </c>
      <c r="AM424">
        <v>7332.6400504617886</v>
      </c>
      <c r="AN424">
        <v>627.33248921373388</v>
      </c>
      <c r="AO424">
        <v>16084.500755851661</v>
      </c>
      <c r="AP424">
        <v>22297.531120202359</v>
      </c>
      <c r="AQ424">
        <v>6213.0303643506941</v>
      </c>
      <c r="AR424">
        <v>1.2543093276999999E-2</v>
      </c>
      <c r="AS424">
        <v>202.09139233698599</v>
      </c>
      <c r="AT424">
        <v>109.90722200274411</v>
      </c>
      <c r="AU424">
        <v>9.4029395534294338</v>
      </c>
      <c r="AV424">
        <v>241.0868095544065</v>
      </c>
      <c r="AW424">
        <v>334.21246455249661</v>
      </c>
      <c r="AX424">
        <v>93.125654998090056</v>
      </c>
      <c r="AY424">
        <v>1.4181577032612149</v>
      </c>
      <c r="AZ424" t="str">
        <f>VLOOKUP(BA424,Sheet1!$A$1:$B$58,2,FALSE)</f>
        <v>Phenol</v>
      </c>
      <c r="BA424" t="s">
        <v>164</v>
      </c>
      <c r="BB424" t="s">
        <v>165</v>
      </c>
      <c r="BC424">
        <v>94.11023999999999</v>
      </c>
      <c r="BD424">
        <v>4.666666666666667</v>
      </c>
      <c r="BE424">
        <v>181.7</v>
      </c>
      <c r="BF424" t="s">
        <v>192</v>
      </c>
      <c r="BG424">
        <v>0.97873253114949699</v>
      </c>
      <c r="BH424">
        <v>0.24713004484304901</v>
      </c>
      <c r="BI424">
        <v>0.37471913678560598</v>
      </c>
      <c r="BJ424">
        <v>90</v>
      </c>
      <c r="BK424">
        <v>991.00138312010483</v>
      </c>
      <c r="BL424">
        <v>276.13468286003092</v>
      </c>
      <c r="BM424">
        <v>3.2263657056744681</v>
      </c>
      <c r="BN424">
        <v>548.48216996465953</v>
      </c>
      <c r="BO424">
        <v>442.5192131554453</v>
      </c>
    </row>
    <row r="425" spans="1:67" x14ac:dyDescent="0.25">
      <c r="A425" s="1">
        <v>423</v>
      </c>
      <c r="B425" t="s">
        <v>189</v>
      </c>
      <c r="C425" t="s">
        <v>190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67</v>
      </c>
      <c r="J425">
        <v>1.44</v>
      </c>
      <c r="K425">
        <v>500</v>
      </c>
      <c r="L425">
        <v>100</v>
      </c>
      <c r="N425" t="s">
        <v>68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66919.840723848727</v>
      </c>
      <c r="Z425">
        <v>334599203.61924362</v>
      </c>
      <c r="AA425">
        <v>481822853.21171081</v>
      </c>
      <c r="AB425">
        <v>481822.85321171081</v>
      </c>
      <c r="AC425">
        <v>66773.504273504266</v>
      </c>
      <c r="AD425">
        <v>3467.87634516462</v>
      </c>
      <c r="AE425">
        <v>1248435.4842592629</v>
      </c>
      <c r="AF425">
        <v>1248435.4842592629</v>
      </c>
      <c r="AG425">
        <v>77.485946077648507</v>
      </c>
      <c r="AH425">
        <v>109.8872913245004</v>
      </c>
      <c r="AI425">
        <v>109.8872913245004</v>
      </c>
      <c r="AJ425">
        <v>15659.242729380599</v>
      </c>
      <c r="AK425">
        <v>2170.1388888888891</v>
      </c>
      <c r="AL425" t="s">
        <v>107</v>
      </c>
      <c r="AM425">
        <v>8516.2650776487772</v>
      </c>
      <c r="AN425">
        <v>728.59566720842133</v>
      </c>
      <c r="AO425">
        <v>18680.839525165062</v>
      </c>
      <c r="AP425">
        <v>27074.24236312669</v>
      </c>
      <c r="AQ425">
        <v>8393.4028379616248</v>
      </c>
      <c r="AR425">
        <v>1.2543093276999999E-2</v>
      </c>
      <c r="AS425">
        <v>202.09139233698599</v>
      </c>
      <c r="AT425">
        <v>109.90722200274421</v>
      </c>
      <c r="AU425">
        <v>9.4029395534294338</v>
      </c>
      <c r="AV425">
        <v>241.08680955440661</v>
      </c>
      <c r="AW425">
        <v>349.40842479997139</v>
      </c>
      <c r="AX425">
        <v>108.3216152455649</v>
      </c>
      <c r="AY425">
        <v>1.4181577032612149</v>
      </c>
      <c r="AZ425" t="str">
        <f>VLOOKUP(BA425,Sheet1!$A$1:$B$58,2,FALSE)</f>
        <v>Propane (PW1)</v>
      </c>
      <c r="BA425" t="s">
        <v>166</v>
      </c>
      <c r="BB425" t="s">
        <v>167</v>
      </c>
      <c r="BC425">
        <v>44.094819999999999</v>
      </c>
      <c r="BD425">
        <v>6.666666666666667</v>
      </c>
      <c r="BE425">
        <v>-42</v>
      </c>
      <c r="BF425" t="s">
        <v>192</v>
      </c>
      <c r="BG425">
        <v>1.401265231608122</v>
      </c>
      <c r="BH425">
        <v>0.45413612565445</v>
      </c>
      <c r="BI425">
        <v>0.32263915284647299</v>
      </c>
      <c r="BJ425">
        <v>90</v>
      </c>
      <c r="BK425">
        <v>1203.299660583408</v>
      </c>
      <c r="BL425">
        <v>373.04012613162791</v>
      </c>
      <c r="BM425">
        <v>3.482614382814115</v>
      </c>
      <c r="BN425">
        <v>592.04444507839958</v>
      </c>
      <c r="BO425">
        <v>611.25521550500889</v>
      </c>
    </row>
    <row r="426" spans="1:67" x14ac:dyDescent="0.25">
      <c r="A426" s="1">
        <v>424</v>
      </c>
      <c r="B426" t="s">
        <v>189</v>
      </c>
      <c r="C426" t="s">
        <v>190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67</v>
      </c>
      <c r="J426">
        <v>1.44</v>
      </c>
      <c r="K426">
        <v>500</v>
      </c>
      <c r="L426">
        <v>100</v>
      </c>
      <c r="N426" t="s">
        <v>68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84372.704245117973</v>
      </c>
      <c r="Z426">
        <v>421863521.22558987</v>
      </c>
      <c r="AA426">
        <v>607483470.56484938</v>
      </c>
      <c r="AB426">
        <v>607483.47056484933</v>
      </c>
      <c r="AC426">
        <v>66773.504273504266</v>
      </c>
      <c r="AD426">
        <v>4372.3072569259893</v>
      </c>
      <c r="AE426">
        <v>1574030.612493356</v>
      </c>
      <c r="AF426">
        <v>1574030.612493356</v>
      </c>
      <c r="AG426">
        <v>97.694476568482145</v>
      </c>
      <c r="AH426">
        <v>138.54617451166521</v>
      </c>
      <c r="AI426">
        <v>138.54617451166521</v>
      </c>
      <c r="AJ426">
        <v>19743.212793357601</v>
      </c>
      <c r="AK426">
        <v>2170.1388888888891</v>
      </c>
      <c r="AL426" t="s">
        <v>107</v>
      </c>
      <c r="AM426">
        <v>10737.328524654051</v>
      </c>
      <c r="AN426">
        <v>918.61525787736559</v>
      </c>
      <c r="AO426">
        <v>23552.849666983078</v>
      </c>
      <c r="AP426">
        <v>33569.295464777912</v>
      </c>
      <c r="AQ426">
        <v>10016.44579779483</v>
      </c>
      <c r="AR426">
        <v>1.2543093276999999E-2</v>
      </c>
      <c r="AS426">
        <v>202.09139233698599</v>
      </c>
      <c r="AT426">
        <v>109.90722200274411</v>
      </c>
      <c r="AU426">
        <v>9.402939553429432</v>
      </c>
      <c r="AV426">
        <v>241.0868095544065</v>
      </c>
      <c r="AW426">
        <v>343.61508085102861</v>
      </c>
      <c r="AX426">
        <v>102.52827129662209</v>
      </c>
      <c r="AY426">
        <v>1.4181577032612149</v>
      </c>
      <c r="AZ426" t="str">
        <f>VLOOKUP(BA426,Sheet1!$A$1:$B$58,2,FALSE)</f>
        <v>Propane (PW2)</v>
      </c>
      <c r="BA426" t="s">
        <v>168</v>
      </c>
      <c r="BB426" t="s">
        <v>167</v>
      </c>
      <c r="BC426">
        <v>44.094819999999999</v>
      </c>
      <c r="BD426">
        <v>6.666666666666667</v>
      </c>
      <c r="BE426">
        <v>-42</v>
      </c>
      <c r="BF426" t="s">
        <v>192</v>
      </c>
      <c r="BG426">
        <v>2.5476212978875812</v>
      </c>
      <c r="BH426">
        <v>0.36019607843137302</v>
      </c>
      <c r="BI426">
        <v>0.25589983055465199</v>
      </c>
      <c r="BJ426">
        <v>90</v>
      </c>
      <c r="BK426">
        <v>1491.968687323463</v>
      </c>
      <c r="BL426">
        <v>445.17536879088141</v>
      </c>
      <c r="BM426">
        <v>3.609986458186428</v>
      </c>
      <c r="BN426">
        <v>613.69769789169266</v>
      </c>
      <c r="BO426">
        <v>878.27098943177009</v>
      </c>
    </row>
    <row r="427" spans="1:67" x14ac:dyDescent="0.25">
      <c r="A427" s="1">
        <v>425</v>
      </c>
      <c r="B427" t="s">
        <v>189</v>
      </c>
      <c r="C427" t="s">
        <v>190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67</v>
      </c>
      <c r="J427">
        <v>1.44</v>
      </c>
      <c r="K427">
        <v>500</v>
      </c>
      <c r="L427">
        <v>100</v>
      </c>
      <c r="N427" t="s">
        <v>68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28580.114134657601</v>
      </c>
      <c r="Z427">
        <v>142900570.67328799</v>
      </c>
      <c r="AA427">
        <v>205776821.76953471</v>
      </c>
      <c r="AB427">
        <v>205776.8217695347</v>
      </c>
      <c r="AC427">
        <v>0</v>
      </c>
      <c r="AD427">
        <v>1481.060036569434</v>
      </c>
      <c r="AE427">
        <v>533181.61316499615</v>
      </c>
      <c r="AF427">
        <v>533181.61316499615</v>
      </c>
      <c r="AG427">
        <v>33.092684602608443</v>
      </c>
      <c r="AH427">
        <v>46.930645590782959</v>
      </c>
      <c r="AI427">
        <v>46.930645590782959</v>
      </c>
      <c r="AJ427">
        <v>6687.7467075098784</v>
      </c>
      <c r="AK427">
        <v>854.70085470085473</v>
      </c>
      <c r="AL427" t="s">
        <v>69</v>
      </c>
      <c r="AM427">
        <v>3637.1250332856789</v>
      </c>
      <c r="AN427">
        <v>311.16851297903207</v>
      </c>
      <c r="AO427">
        <v>7978.2097504331032</v>
      </c>
      <c r="AP427">
        <v>11490.741108475449</v>
      </c>
      <c r="AQ427">
        <v>3512.5313580423431</v>
      </c>
      <c r="AR427">
        <v>1.2543093276999999E-2</v>
      </c>
      <c r="AS427">
        <v>202.09139233698599</v>
      </c>
      <c r="AT427">
        <v>109.90722200274411</v>
      </c>
      <c r="AU427">
        <v>9.4029395534294338</v>
      </c>
      <c r="AV427">
        <v>241.0868095544065</v>
      </c>
      <c r="AW427">
        <v>347.2290400872983</v>
      </c>
      <c r="AX427">
        <v>106.1422305328918</v>
      </c>
      <c r="AY427">
        <v>1.4181577032612149</v>
      </c>
      <c r="AZ427" t="str">
        <f>VLOOKUP(BA427,Sheet1!$A$1:$B$58,2,FALSE)</f>
        <v>Shikimate</v>
      </c>
      <c r="BA427" t="s">
        <v>169</v>
      </c>
      <c r="BB427" t="s">
        <v>170</v>
      </c>
      <c r="BC427">
        <v>173.14045999999999</v>
      </c>
      <c r="BD427">
        <v>3.8571428571428572</v>
      </c>
      <c r="BE427">
        <v>400.5</v>
      </c>
      <c r="BF427" t="s">
        <v>192</v>
      </c>
      <c r="BG427">
        <v>9.7920220933964908E-2</v>
      </c>
      <c r="BH427">
        <v>0.27081081081081099</v>
      </c>
      <c r="BI427">
        <v>0.75545397117855595</v>
      </c>
      <c r="BJ427">
        <v>90</v>
      </c>
      <c r="BK427">
        <v>510.69960482113089</v>
      </c>
      <c r="BL427">
        <v>156.1125048018819</v>
      </c>
      <c r="BM427">
        <v>1.9878862497675001</v>
      </c>
      <c r="BN427">
        <v>337.94066246047498</v>
      </c>
      <c r="BO427">
        <v>172.75894236065591</v>
      </c>
    </row>
    <row r="428" spans="1:67" x14ac:dyDescent="0.25">
      <c r="A428" s="1">
        <v>426</v>
      </c>
      <c r="B428" t="s">
        <v>189</v>
      </c>
      <c r="C428" t="s">
        <v>190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67</v>
      </c>
      <c r="J428">
        <v>1.44</v>
      </c>
      <c r="K428">
        <v>500</v>
      </c>
      <c r="L428">
        <v>100</v>
      </c>
      <c r="N428" t="s">
        <v>68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68525.773912219898</v>
      </c>
      <c r="Z428">
        <v>342628869.56109953</v>
      </c>
      <c r="AA428">
        <v>493385572.16798317</v>
      </c>
      <c r="AB428">
        <v>493385.57216798322</v>
      </c>
      <c r="AC428">
        <v>0</v>
      </c>
      <c r="AD428">
        <v>3551.0979675657991</v>
      </c>
      <c r="AE428">
        <v>1278395.2683236869</v>
      </c>
      <c r="AF428">
        <v>1278395.2683236869</v>
      </c>
      <c r="AG428">
        <v>79.345443217696044</v>
      </c>
      <c r="AH428">
        <v>112.524351517851</v>
      </c>
      <c r="AI428">
        <v>112.524351517851</v>
      </c>
      <c r="AJ428">
        <v>16035.031095459461</v>
      </c>
      <c r="AK428">
        <v>854.70085470085473</v>
      </c>
      <c r="AL428" t="s">
        <v>69</v>
      </c>
      <c r="AM428">
        <v>8720.637242633451</v>
      </c>
      <c r="AN428">
        <v>746.08040641606328</v>
      </c>
      <c r="AO428">
        <v>19129.13975803466</v>
      </c>
      <c r="AP428">
        <v>26356.44959920982</v>
      </c>
      <c r="AQ428">
        <v>7227.3098411751598</v>
      </c>
      <c r="AR428">
        <v>1.2543093276999999E-2</v>
      </c>
      <c r="AS428">
        <v>202.09139233698599</v>
      </c>
      <c r="AT428">
        <v>109.90722200274421</v>
      </c>
      <c r="AU428">
        <v>9.4029395534294338</v>
      </c>
      <c r="AV428">
        <v>241.0868095544065</v>
      </c>
      <c r="AW428">
        <v>332.17344979593821</v>
      </c>
      <c r="AX428">
        <v>91.086640241531683</v>
      </c>
      <c r="AY428">
        <v>1.4181577032612149</v>
      </c>
      <c r="AZ428" t="str">
        <f>VLOOKUP(BA428,Sheet1!$A$1:$B$58,2,FALSE)</f>
        <v>Styrene</v>
      </c>
      <c r="BA428" t="s">
        <v>171</v>
      </c>
      <c r="BB428" t="s">
        <v>172</v>
      </c>
      <c r="BC428">
        <v>104.14832</v>
      </c>
      <c r="BD428">
        <v>5</v>
      </c>
      <c r="BE428">
        <v>145</v>
      </c>
      <c r="BF428" t="s">
        <v>192</v>
      </c>
      <c r="BG428">
        <v>1.120413549589063</v>
      </c>
      <c r="BH428">
        <v>0.187768313458262</v>
      </c>
      <c r="BI428">
        <v>0.31507795515627501</v>
      </c>
      <c r="BJ428">
        <v>90</v>
      </c>
      <c r="BK428">
        <v>1171.3977599648811</v>
      </c>
      <c r="BL428">
        <v>321.21377071889589</v>
      </c>
      <c r="BM428">
        <v>3.8806687400932032</v>
      </c>
      <c r="BN428">
        <v>659.71368581584454</v>
      </c>
      <c r="BO428">
        <v>511.68407414903629</v>
      </c>
    </row>
    <row r="429" spans="1:67" x14ac:dyDescent="0.25">
      <c r="A429" s="1">
        <v>427</v>
      </c>
      <c r="B429" t="s">
        <v>189</v>
      </c>
      <c r="C429" t="s">
        <v>190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67</v>
      </c>
      <c r="J429">
        <v>1.44</v>
      </c>
      <c r="K429">
        <v>500</v>
      </c>
      <c r="L429">
        <v>100</v>
      </c>
      <c r="N429" t="s">
        <v>68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18703.84311627155</v>
      </c>
      <c r="Z429">
        <v>93519215.581357762</v>
      </c>
      <c r="AA429">
        <v>134667670.43715519</v>
      </c>
      <c r="AB429">
        <v>134667.6704371552</v>
      </c>
      <c r="AC429">
        <v>0</v>
      </c>
      <c r="AD429">
        <v>969.25836052494742</v>
      </c>
      <c r="AE429">
        <v>348933.00978898111</v>
      </c>
      <c r="AF429">
        <v>348933.00978898111</v>
      </c>
      <c r="AG429">
        <v>21.657029716087209</v>
      </c>
      <c r="AH429">
        <v>30.71308352162611</v>
      </c>
      <c r="AI429">
        <v>30.71308352162611</v>
      </c>
      <c r="AJ429">
        <v>4376.6992892075432</v>
      </c>
      <c r="AK429">
        <v>854.70085470085473</v>
      </c>
      <c r="AL429" t="s">
        <v>69</v>
      </c>
      <c r="AM429">
        <v>2380.2639729260241</v>
      </c>
      <c r="AN429">
        <v>203.63974132719301</v>
      </c>
      <c r="AO429">
        <v>5221.2241986764393</v>
      </c>
      <c r="AP429">
        <v>7815.3038581616156</v>
      </c>
      <c r="AQ429">
        <v>2594.0796594851759</v>
      </c>
      <c r="AR429">
        <v>1.2543093276999999E-2</v>
      </c>
      <c r="AS429">
        <v>202.09139233698599</v>
      </c>
      <c r="AT429">
        <v>109.90722200274421</v>
      </c>
      <c r="AU429">
        <v>9.4029395534294338</v>
      </c>
      <c r="AV429">
        <v>241.0868095544065</v>
      </c>
      <c r="AW429">
        <v>360.86683911027171</v>
      </c>
      <c r="AX429">
        <v>119.7800295558652</v>
      </c>
      <c r="AY429">
        <v>1.4181577032612149</v>
      </c>
      <c r="AZ429" t="str">
        <f>VLOOKUP(BA429,Sheet1!$A$1:$B$58,2,FALSE)</f>
        <v>Succinate</v>
      </c>
      <c r="BA429" t="s">
        <v>173</v>
      </c>
      <c r="BB429" t="s">
        <v>174</v>
      </c>
      <c r="BC429">
        <v>116.07016</v>
      </c>
      <c r="BD429">
        <v>3</v>
      </c>
      <c r="BE429">
        <v>235</v>
      </c>
      <c r="BF429" t="s">
        <v>192</v>
      </c>
      <c r="BG429">
        <v>-0.28814475110373122</v>
      </c>
      <c r="BH429">
        <v>0.61727272727272697</v>
      </c>
      <c r="BI429">
        <v>1.1543595926005299</v>
      </c>
      <c r="BJ429">
        <v>90</v>
      </c>
      <c r="BK429">
        <v>347.34683814051618</v>
      </c>
      <c r="BL429">
        <v>115.29242931045231</v>
      </c>
      <c r="BM429">
        <v>1.6531706853982251</v>
      </c>
      <c r="BN429">
        <v>281.03901651769831</v>
      </c>
      <c r="BO429">
        <v>66.307821622817926</v>
      </c>
    </row>
    <row r="430" spans="1:67" x14ac:dyDescent="0.25">
      <c r="A430" s="1">
        <v>428</v>
      </c>
      <c r="B430" t="s">
        <v>193</v>
      </c>
      <c r="C430" t="s">
        <v>194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67</v>
      </c>
      <c r="J430">
        <v>1.145</v>
      </c>
      <c r="K430">
        <v>500</v>
      </c>
      <c r="L430">
        <v>100</v>
      </c>
      <c r="N430" t="s">
        <v>68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34810.21874548612</v>
      </c>
      <c r="Z430">
        <v>174051093.72743061</v>
      </c>
      <c r="AA430">
        <v>199288502.31790799</v>
      </c>
      <c r="AB430">
        <v>199288.50231790799</v>
      </c>
      <c r="AC430">
        <v>0</v>
      </c>
      <c r="AD430">
        <v>1803.912454837274</v>
      </c>
      <c r="AE430">
        <v>541173.73645118228</v>
      </c>
      <c r="AF430">
        <v>541173.73645118228</v>
      </c>
      <c r="AG430">
        <v>24.930488633540659</v>
      </c>
      <c r="AH430">
        <v>47.634112282433072</v>
      </c>
      <c r="AI430">
        <v>47.634112282433072</v>
      </c>
      <c r="AJ430">
        <v>6476.8763253320121</v>
      </c>
      <c r="AK430">
        <v>854.70085470085473</v>
      </c>
      <c r="AL430" t="s">
        <v>69</v>
      </c>
      <c r="AM430">
        <v>3691.6437018885631</v>
      </c>
      <c r="AN430">
        <v>378.99932633132983</v>
      </c>
      <c r="AO430">
        <v>8097.7990880136222</v>
      </c>
      <c r="AP430">
        <v>11402.22020825276</v>
      </c>
      <c r="AQ430">
        <v>3304.421120239138</v>
      </c>
      <c r="AR430">
        <v>1.1968201501804171E-2</v>
      </c>
      <c r="AS430">
        <v>259.79740792638279</v>
      </c>
      <c r="AT430">
        <v>148.07747076894219</v>
      </c>
      <c r="AU430">
        <v>15.20224219839143</v>
      </c>
      <c r="AV430">
        <v>324.81509717058287</v>
      </c>
      <c r="AW430">
        <v>457.36047840284169</v>
      </c>
      <c r="AX430">
        <v>132.54538123225879</v>
      </c>
      <c r="AY430">
        <v>1.9106770421799</v>
      </c>
      <c r="AZ430" t="str">
        <f>VLOOKUP(BA430,Sheet1!$A$1:$B$58,2,FALSE)</f>
        <v>1,3-Butanediol (PW1)</v>
      </c>
      <c r="BA430" t="s">
        <v>70</v>
      </c>
      <c r="BB430" t="s">
        <v>71</v>
      </c>
      <c r="BC430">
        <v>90.119200000000006</v>
      </c>
      <c r="BD430">
        <v>5.5</v>
      </c>
      <c r="BE430">
        <v>207</v>
      </c>
      <c r="BF430" t="s">
        <v>193</v>
      </c>
      <c r="BG430">
        <v>-4.8048321954454402E-2</v>
      </c>
      <c r="BH430">
        <v>0.51260869565217404</v>
      </c>
      <c r="BI430">
        <v>1.0027882071419101</v>
      </c>
      <c r="BJ430">
        <v>90</v>
      </c>
      <c r="BK430">
        <v>506.76534258901148</v>
      </c>
      <c r="BL430">
        <v>146.86316089951731</v>
      </c>
      <c r="BM430">
        <v>2.1651199789514801</v>
      </c>
      <c r="BN430">
        <v>368.07039642175152</v>
      </c>
      <c r="BO430">
        <v>138.69494616726001</v>
      </c>
    </row>
    <row r="431" spans="1:67" x14ac:dyDescent="0.25">
      <c r="A431" s="1">
        <v>429</v>
      </c>
      <c r="B431" t="s">
        <v>193</v>
      </c>
      <c r="C431" t="s">
        <v>194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67</v>
      </c>
      <c r="J431">
        <v>1.145</v>
      </c>
      <c r="K431">
        <v>500</v>
      </c>
      <c r="L431">
        <v>100</v>
      </c>
      <c r="N431" t="s">
        <v>68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34305.722821638687</v>
      </c>
      <c r="Z431">
        <v>171528614.10819349</v>
      </c>
      <c r="AA431">
        <v>196400263.15388149</v>
      </c>
      <c r="AB431">
        <v>196400.2631538815</v>
      </c>
      <c r="AC431">
        <v>0</v>
      </c>
      <c r="AD431">
        <v>1777.768796071527</v>
      </c>
      <c r="AE431">
        <v>533330.63882145798</v>
      </c>
      <c r="AF431">
        <v>533330.63882145798</v>
      </c>
      <c r="AG431">
        <v>24.569177204069192</v>
      </c>
      <c r="AH431">
        <v>46.943762829064738</v>
      </c>
      <c r="AI431">
        <v>46.943762829064738</v>
      </c>
      <c r="AJ431">
        <v>6383.00855250115</v>
      </c>
      <c r="AK431">
        <v>854.70085470085473</v>
      </c>
      <c r="AL431" t="s">
        <v>69</v>
      </c>
      <c r="AM431">
        <v>3638.1416192525171</v>
      </c>
      <c r="AN431">
        <v>373.50658247145748</v>
      </c>
      <c r="AO431">
        <v>7980.4396809410046</v>
      </c>
      <c r="AP431">
        <v>11249.35760892598</v>
      </c>
      <c r="AQ431">
        <v>3268.917927984975</v>
      </c>
      <c r="AR431">
        <v>1.1968201501804171E-2</v>
      </c>
      <c r="AS431">
        <v>259.79740792638279</v>
      </c>
      <c r="AT431">
        <v>148.07747076894219</v>
      </c>
      <c r="AU431">
        <v>15.20224219839144</v>
      </c>
      <c r="AV431">
        <v>324.81509717058287</v>
      </c>
      <c r="AW431">
        <v>457.8646454250345</v>
      </c>
      <c r="AX431">
        <v>133.04954825445159</v>
      </c>
      <c r="AY431">
        <v>1.9106770421799</v>
      </c>
      <c r="AZ431" t="str">
        <f>VLOOKUP(BA431,Sheet1!$A$1:$B$58,2,FALSE)</f>
        <v>1,3-Butanediol (PW2)</v>
      </c>
      <c r="BA431" t="s">
        <v>72</v>
      </c>
      <c r="BB431" t="s">
        <v>71</v>
      </c>
      <c r="BC431">
        <v>90.119200000000006</v>
      </c>
      <c r="BD431">
        <v>5.5</v>
      </c>
      <c r="BE431">
        <v>207</v>
      </c>
      <c r="BF431" t="s">
        <v>193</v>
      </c>
      <c r="BG431">
        <v>-7.5662300089198511E-2</v>
      </c>
      <c r="BH431">
        <v>0.52014705882352896</v>
      </c>
      <c r="BI431">
        <v>1.01753509254105</v>
      </c>
      <c r="BJ431">
        <v>90</v>
      </c>
      <c r="BK431">
        <v>499.97144928559908</v>
      </c>
      <c r="BL431">
        <v>145.28524124377671</v>
      </c>
      <c r="BM431">
        <v>2.162051759158742</v>
      </c>
      <c r="BN431">
        <v>367.54879905698618</v>
      </c>
      <c r="BO431">
        <v>132.42265022861289</v>
      </c>
    </row>
    <row r="432" spans="1:67" x14ac:dyDescent="0.25">
      <c r="A432" s="1">
        <v>430</v>
      </c>
      <c r="B432" t="s">
        <v>193</v>
      </c>
      <c r="C432" t="s">
        <v>194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67</v>
      </c>
      <c r="J432">
        <v>1.145</v>
      </c>
      <c r="K432">
        <v>500</v>
      </c>
      <c r="L432">
        <v>100</v>
      </c>
      <c r="N432" t="s">
        <v>68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36276.970354739613</v>
      </c>
      <c r="Z432">
        <v>181384851.77369809</v>
      </c>
      <c r="AA432">
        <v>207685655.2808843</v>
      </c>
      <c r="AB432">
        <v>207685.6552808843</v>
      </c>
      <c r="AC432">
        <v>0</v>
      </c>
      <c r="AD432">
        <v>1879.921500210713</v>
      </c>
      <c r="AE432">
        <v>563976.45006321394</v>
      </c>
      <c r="AF432">
        <v>563976.45006321394</v>
      </c>
      <c r="AG432">
        <v>25.980951274700111</v>
      </c>
      <c r="AH432">
        <v>49.641207134564077</v>
      </c>
      <c r="AI432">
        <v>49.641207134564077</v>
      </c>
      <c r="AJ432">
        <v>6749.7837966287398</v>
      </c>
      <c r="AK432">
        <v>854.70085470085473</v>
      </c>
      <c r="AL432" t="s">
        <v>69</v>
      </c>
      <c r="AM432">
        <v>3847.1935529287171</v>
      </c>
      <c r="AN432">
        <v>394.96871382259769</v>
      </c>
      <c r="AO432">
        <v>8439.0052128758944</v>
      </c>
      <c r="AP432">
        <v>11846.646918080911</v>
      </c>
      <c r="AQ432">
        <v>3407.6417052050151</v>
      </c>
      <c r="AR432">
        <v>1.1968201501804171E-2</v>
      </c>
      <c r="AS432">
        <v>259.79740792638279</v>
      </c>
      <c r="AT432">
        <v>148.07747076894219</v>
      </c>
      <c r="AU432">
        <v>15.20224219839143</v>
      </c>
      <c r="AV432">
        <v>324.81509717058287</v>
      </c>
      <c r="AW432">
        <v>455.97433261102373</v>
      </c>
      <c r="AX432">
        <v>131.15923544044091</v>
      </c>
      <c r="AY432">
        <v>1.9106770421798991</v>
      </c>
      <c r="AZ432" t="str">
        <f>VLOOKUP(BA432,Sheet1!$A$1:$B$58,2,FALSE)</f>
        <v>1,3-Diaminopropane</v>
      </c>
      <c r="BA432" t="s">
        <v>73</v>
      </c>
      <c r="BB432" t="s">
        <v>74</v>
      </c>
      <c r="BC432">
        <v>76.139580000000009</v>
      </c>
      <c r="BD432">
        <v>6</v>
      </c>
      <c r="BE432">
        <v>139.30000000000001</v>
      </c>
      <c r="BF432" t="s">
        <v>193</v>
      </c>
      <c r="BG432">
        <v>0.25159616689176911</v>
      </c>
      <c r="BH432">
        <v>0.58219512195122103</v>
      </c>
      <c r="BI432">
        <v>0.96224344273123896</v>
      </c>
      <c r="BJ432">
        <v>90</v>
      </c>
      <c r="BK432">
        <v>526.51764080359578</v>
      </c>
      <c r="BL432">
        <v>151.4507424535561</v>
      </c>
      <c r="BM432">
        <v>1.954679705755523</v>
      </c>
      <c r="BN432">
        <v>332.295549978439</v>
      </c>
      <c r="BO432">
        <v>194.22209082515681</v>
      </c>
    </row>
    <row r="433" spans="1:67" x14ac:dyDescent="0.25">
      <c r="A433" s="1">
        <v>431</v>
      </c>
      <c r="B433" t="s">
        <v>193</v>
      </c>
      <c r="C433" t="s">
        <v>194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67</v>
      </c>
      <c r="J433">
        <v>1.145</v>
      </c>
      <c r="K433">
        <v>500</v>
      </c>
      <c r="L433">
        <v>100</v>
      </c>
      <c r="N433" t="s">
        <v>68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34428.87547189866</v>
      </c>
      <c r="Z433">
        <v>172144377.35949329</v>
      </c>
      <c r="AA433">
        <v>197105312.07661989</v>
      </c>
      <c r="AB433">
        <v>197105.31207661991</v>
      </c>
      <c r="AC433">
        <v>0</v>
      </c>
      <c r="AD433">
        <v>1784.150732401042</v>
      </c>
      <c r="AE433">
        <v>535245.21972031251</v>
      </c>
      <c r="AF433">
        <v>535245.21972031251</v>
      </c>
      <c r="AG433">
        <v>24.65737704475232</v>
      </c>
      <c r="AH433">
        <v>47.112284239781907</v>
      </c>
      <c r="AI433">
        <v>47.112284239781907</v>
      </c>
      <c r="AJ433">
        <v>6405.9226424901453</v>
      </c>
      <c r="AK433">
        <v>854.70085470085473</v>
      </c>
      <c r="AL433" t="s">
        <v>69</v>
      </c>
      <c r="AM433">
        <v>3651.2020285830981</v>
      </c>
      <c r="AN433">
        <v>374.847417811382</v>
      </c>
      <c r="AO433">
        <v>8009.088320762924</v>
      </c>
      <c r="AP433">
        <v>11286.67294358548</v>
      </c>
      <c r="AQ433">
        <v>3277.584622822556</v>
      </c>
      <c r="AR433">
        <v>1.1968201501804171E-2</v>
      </c>
      <c r="AS433">
        <v>259.79740792638279</v>
      </c>
      <c r="AT433">
        <v>148.07747076894219</v>
      </c>
      <c r="AU433">
        <v>15.20224219839144</v>
      </c>
      <c r="AV433">
        <v>324.81509717058287</v>
      </c>
      <c r="AW433">
        <v>457.74020988122732</v>
      </c>
      <c r="AX433">
        <v>132.9251127106443</v>
      </c>
      <c r="AY433">
        <v>1.9106770421799</v>
      </c>
      <c r="AZ433" t="str">
        <f>VLOOKUP(BA433,Sheet1!$A$1:$B$58,2,FALSE)</f>
        <v>1,3-Propanediol</v>
      </c>
      <c r="BA433" t="s">
        <v>75</v>
      </c>
      <c r="BB433" t="s">
        <v>76</v>
      </c>
      <c r="BC433">
        <v>76.092820000000003</v>
      </c>
      <c r="BD433">
        <v>5.333333333333333</v>
      </c>
      <c r="BE433">
        <v>213</v>
      </c>
      <c r="BF433" t="s">
        <v>193</v>
      </c>
      <c r="BG433">
        <v>0.1493736541484848</v>
      </c>
      <c r="BH433">
        <v>0.61382352941176399</v>
      </c>
      <c r="BI433">
        <v>1.0138953528846899</v>
      </c>
      <c r="BJ433">
        <v>90</v>
      </c>
      <c r="BK433">
        <v>501.62990860379909</v>
      </c>
      <c r="BL433">
        <v>145.67042768100251</v>
      </c>
      <c r="BM433">
        <v>1.944505645397377</v>
      </c>
      <c r="BN433">
        <v>330.56595971755411</v>
      </c>
      <c r="BO433">
        <v>171.06394888624499</v>
      </c>
    </row>
    <row r="434" spans="1:67" x14ac:dyDescent="0.25">
      <c r="A434" s="1">
        <v>432</v>
      </c>
      <c r="B434" t="s">
        <v>193</v>
      </c>
      <c r="C434" t="s">
        <v>194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67</v>
      </c>
      <c r="J434">
        <v>1.145</v>
      </c>
      <c r="K434">
        <v>500</v>
      </c>
      <c r="L434">
        <v>100</v>
      </c>
      <c r="N434" t="s">
        <v>68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36765.351966415546</v>
      </c>
      <c r="Z434">
        <v>183826759.83207771</v>
      </c>
      <c r="AA434">
        <v>210481640.00772899</v>
      </c>
      <c r="AB434">
        <v>210481.640007729</v>
      </c>
      <c r="AC434">
        <v>0</v>
      </c>
      <c r="AD434">
        <v>1905.2300935998301</v>
      </c>
      <c r="AE434">
        <v>571569.02807994897</v>
      </c>
      <c r="AF434">
        <v>571569.02807994897</v>
      </c>
      <c r="AG434">
        <v>26.33072190693137</v>
      </c>
      <c r="AH434">
        <v>50.309505851597123</v>
      </c>
      <c r="AI434">
        <v>50.309505851597123</v>
      </c>
      <c r="AJ434">
        <v>6840.6533002511933</v>
      </c>
      <c r="AK434">
        <v>854.70085470085473</v>
      </c>
      <c r="AL434" t="s">
        <v>69</v>
      </c>
      <c r="AM434">
        <v>3898.986703498776</v>
      </c>
      <c r="AN434">
        <v>400.28601168766193</v>
      </c>
      <c r="AO434">
        <v>8552.6159947715096</v>
      </c>
      <c r="AP434">
        <v>11994.626870138491</v>
      </c>
      <c r="AQ434">
        <v>3442.010875366977</v>
      </c>
      <c r="AR434">
        <v>1.1968201501804171E-2</v>
      </c>
      <c r="AS434">
        <v>259.79740792638279</v>
      </c>
      <c r="AT434">
        <v>148.07747076894219</v>
      </c>
      <c r="AU434">
        <v>15.20224219839144</v>
      </c>
      <c r="AV434">
        <v>324.81509717058287</v>
      </c>
      <c r="AW434">
        <v>455.53733439344057</v>
      </c>
      <c r="AX434">
        <v>130.7222372228577</v>
      </c>
      <c r="AY434">
        <v>1.9106770421799</v>
      </c>
      <c r="AZ434" t="str">
        <f>VLOOKUP(BA434,Sheet1!$A$1:$B$58,2,FALSE)</f>
        <v>1,4-Butanediol</v>
      </c>
      <c r="BA434" t="s">
        <v>77</v>
      </c>
      <c r="BB434" t="s">
        <v>71</v>
      </c>
      <c r="BC434">
        <v>90.119200000000006</v>
      </c>
      <c r="BD434">
        <v>5.5</v>
      </c>
      <c r="BE434">
        <v>230</v>
      </c>
      <c r="BF434" t="s">
        <v>193</v>
      </c>
      <c r="BG434">
        <v>5.8967420812106111E-2</v>
      </c>
      <c r="BH434">
        <v>0.485348837209303</v>
      </c>
      <c r="BI434">
        <v>0.94946124486692995</v>
      </c>
      <c r="BJ434">
        <v>90</v>
      </c>
      <c r="BK434">
        <v>533.09452756171049</v>
      </c>
      <c r="BL434">
        <v>152.97826112742121</v>
      </c>
      <c r="BM434">
        <v>2.1770106170366552</v>
      </c>
      <c r="BN434">
        <v>370.09180489623139</v>
      </c>
      <c r="BO434">
        <v>163.0027226654791</v>
      </c>
    </row>
    <row r="435" spans="1:67" x14ac:dyDescent="0.25">
      <c r="A435" s="1">
        <v>433</v>
      </c>
      <c r="B435" t="s">
        <v>193</v>
      </c>
      <c r="C435" t="s">
        <v>194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67</v>
      </c>
      <c r="J435">
        <v>1.145</v>
      </c>
      <c r="K435">
        <v>500</v>
      </c>
      <c r="L435">
        <v>100</v>
      </c>
      <c r="N435" t="s">
        <v>68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48331.308146775656</v>
      </c>
      <c r="Z435">
        <v>241656540.73387831</v>
      </c>
      <c r="AA435">
        <v>276696739.14029062</v>
      </c>
      <c r="AB435">
        <v>276696.73914029059</v>
      </c>
      <c r="AC435">
        <v>0</v>
      </c>
      <c r="AD435">
        <v>2504.5935322038808</v>
      </c>
      <c r="AE435">
        <v>751378.05966116418</v>
      </c>
      <c r="AF435">
        <v>751378.05966116418</v>
      </c>
      <c r="AG435">
        <v>34.614063680757113</v>
      </c>
      <c r="AH435">
        <v>66.136296811375672</v>
      </c>
      <c r="AI435">
        <v>66.136296811375672</v>
      </c>
      <c r="AJ435">
        <v>8992.644022059445</v>
      </c>
      <c r="AK435">
        <v>854.70085470085473</v>
      </c>
      <c r="AL435" t="s">
        <v>69</v>
      </c>
      <c r="AM435">
        <v>5125.5630028816149</v>
      </c>
      <c r="AN435">
        <v>526.21137954541405</v>
      </c>
      <c r="AO435">
        <v>11243.17045793386</v>
      </c>
      <c r="AP435">
        <v>15499.11925918733</v>
      </c>
      <c r="AQ435">
        <v>4255.9488012534657</v>
      </c>
      <c r="AR435">
        <v>1.1968201501804171E-2</v>
      </c>
      <c r="AS435">
        <v>259.79740792638279</v>
      </c>
      <c r="AT435">
        <v>148.07747076894219</v>
      </c>
      <c r="AU435">
        <v>15.20224219839144</v>
      </c>
      <c r="AV435">
        <v>324.81509717058287</v>
      </c>
      <c r="AW435">
        <v>447.7694211848264</v>
      </c>
      <c r="AX435">
        <v>122.9543240142435</v>
      </c>
      <c r="AY435">
        <v>1.9106770421799</v>
      </c>
      <c r="AZ435" t="str">
        <f>VLOOKUP(BA435,Sheet1!$A$1:$B$58,2,FALSE)</f>
        <v>1-Propanol (PW1)</v>
      </c>
      <c r="BA435" t="s">
        <v>78</v>
      </c>
      <c r="BB435" t="s">
        <v>79</v>
      </c>
      <c r="BC435">
        <v>60.093820000000001</v>
      </c>
      <c r="BD435">
        <v>6</v>
      </c>
      <c r="BE435">
        <v>97</v>
      </c>
      <c r="BF435" t="s">
        <v>193</v>
      </c>
      <c r="BG435">
        <v>0.448387349014846</v>
      </c>
      <c r="BH435">
        <v>0.55367088607594905</v>
      </c>
      <c r="BI435">
        <v>0.72224978351496405</v>
      </c>
      <c r="BJ435">
        <v>90</v>
      </c>
      <c r="BK435">
        <v>688.84974485277019</v>
      </c>
      <c r="BL435">
        <v>189.15328005570959</v>
      </c>
      <c r="BM435">
        <v>2.4910036203796291</v>
      </c>
      <c r="BN435">
        <v>423.47061546453688</v>
      </c>
      <c r="BO435">
        <v>265.37912938823331</v>
      </c>
    </row>
    <row r="436" spans="1:67" x14ac:dyDescent="0.25">
      <c r="A436" s="1">
        <v>434</v>
      </c>
      <c r="B436" t="s">
        <v>193</v>
      </c>
      <c r="C436" t="s">
        <v>194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67</v>
      </c>
      <c r="J436">
        <v>1.145</v>
      </c>
      <c r="K436">
        <v>500</v>
      </c>
      <c r="L436">
        <v>100</v>
      </c>
      <c r="N436" t="s">
        <v>68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52129.1653379903</v>
      </c>
      <c r="Z436">
        <v>260645826.68995151</v>
      </c>
      <c r="AA436">
        <v>298439471.55999452</v>
      </c>
      <c r="AB436">
        <v>298439.47155999439</v>
      </c>
      <c r="AC436">
        <v>0</v>
      </c>
      <c r="AD436">
        <v>2701.4036108482092</v>
      </c>
      <c r="AE436">
        <v>810421.08325446269</v>
      </c>
      <c r="AF436">
        <v>810421.08325446269</v>
      </c>
      <c r="AG436">
        <v>37.33402462755997</v>
      </c>
      <c r="AH436">
        <v>71.333263748057817</v>
      </c>
      <c r="AI436">
        <v>71.333263748057817</v>
      </c>
      <c r="AJ436">
        <v>9699.28282569982</v>
      </c>
      <c r="AK436">
        <v>854.70085470085473</v>
      </c>
      <c r="AL436" t="s">
        <v>69</v>
      </c>
      <c r="AM436">
        <v>5528.3279404744808</v>
      </c>
      <c r="AN436">
        <v>567.56088462887737</v>
      </c>
      <c r="AO436">
        <v>12126.65483716983</v>
      </c>
      <c r="AP436">
        <v>16649.87250550403</v>
      </c>
      <c r="AQ436">
        <v>4523.2176683342059</v>
      </c>
      <c r="AR436">
        <v>1.1968201501804171E-2</v>
      </c>
      <c r="AS436">
        <v>259.79740792638279</v>
      </c>
      <c r="AT436">
        <v>148.07747076894219</v>
      </c>
      <c r="AU436">
        <v>15.20224219839144</v>
      </c>
      <c r="AV436">
        <v>324.81509717058287</v>
      </c>
      <c r="AW436">
        <v>445.97046987570428</v>
      </c>
      <c r="AX436">
        <v>121.15537270512139</v>
      </c>
      <c r="AY436">
        <v>1.9106770421799</v>
      </c>
      <c r="AZ436" t="str">
        <f>VLOOKUP(BA436,Sheet1!$A$1:$B$58,2,FALSE)</f>
        <v>1-Propanol (PW2)</v>
      </c>
      <c r="BA436" t="s">
        <v>80</v>
      </c>
      <c r="BB436" t="s">
        <v>79</v>
      </c>
      <c r="BC436">
        <v>60.093820000000001</v>
      </c>
      <c r="BD436">
        <v>6</v>
      </c>
      <c r="BE436">
        <v>97</v>
      </c>
      <c r="BF436" t="s">
        <v>193</v>
      </c>
      <c r="BG436">
        <v>0.65626602648213217</v>
      </c>
      <c r="BH436">
        <v>0.51333333333333298</v>
      </c>
      <c r="BI436">
        <v>0.669630457723141</v>
      </c>
      <c r="BJ436">
        <v>90</v>
      </c>
      <c r="BK436">
        <v>739.99433357795715</v>
      </c>
      <c r="BL436">
        <v>201.03189637040921</v>
      </c>
      <c r="BM436">
        <v>2.5141012512093259</v>
      </c>
      <c r="BN436">
        <v>427.3972127055855</v>
      </c>
      <c r="BO436">
        <v>312.59712087237159</v>
      </c>
    </row>
    <row r="437" spans="1:67" x14ac:dyDescent="0.25">
      <c r="A437" s="1">
        <v>435</v>
      </c>
      <c r="B437" t="s">
        <v>193</v>
      </c>
      <c r="C437" t="s">
        <v>194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67</v>
      </c>
      <c r="J437">
        <v>1.145</v>
      </c>
      <c r="K437">
        <v>500</v>
      </c>
      <c r="L437">
        <v>100</v>
      </c>
      <c r="N437" t="s">
        <v>68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35314.71466933372</v>
      </c>
      <c r="Z437">
        <v>176573573.3466686</v>
      </c>
      <c r="AA437">
        <v>202176741.48193559</v>
      </c>
      <c r="AB437">
        <v>202176.74148193549</v>
      </c>
      <c r="AC437">
        <v>0</v>
      </c>
      <c r="AD437">
        <v>1830.0561136030301</v>
      </c>
      <c r="AE437">
        <v>549016.83408090903</v>
      </c>
      <c r="AF437">
        <v>549016.83408090903</v>
      </c>
      <c r="AG437">
        <v>25.291800063012239</v>
      </c>
      <c r="AH437">
        <v>48.324461735801627</v>
      </c>
      <c r="AI437">
        <v>48.324461735801627</v>
      </c>
      <c r="AJ437">
        <v>6570.7440981629052</v>
      </c>
      <c r="AK437">
        <v>854.70085470085473</v>
      </c>
      <c r="AL437" t="s">
        <v>69</v>
      </c>
      <c r="AM437">
        <v>3745.1457845246259</v>
      </c>
      <c r="AN437">
        <v>384.49207019120382</v>
      </c>
      <c r="AO437">
        <v>8215.1584950862762</v>
      </c>
      <c r="AP437">
        <v>11555.082807579591</v>
      </c>
      <c r="AQ437">
        <v>3339.9243124933132</v>
      </c>
      <c r="AR437">
        <v>1.1968201501804171E-2</v>
      </c>
      <c r="AS437">
        <v>259.79740792638279</v>
      </c>
      <c r="AT437">
        <v>148.07747076894219</v>
      </c>
      <c r="AU437">
        <v>15.20224219839144</v>
      </c>
      <c r="AV437">
        <v>324.81509717058299</v>
      </c>
      <c r="AW437">
        <v>456.87071615271128</v>
      </c>
      <c r="AX437">
        <v>132.05561898212841</v>
      </c>
      <c r="AY437">
        <v>1.9106770421799</v>
      </c>
      <c r="AZ437" t="str">
        <f>VLOOKUP(BA437,Sheet1!$A$1:$B$58,2,FALSE)</f>
        <v>2,3-Butanediol</v>
      </c>
      <c r="BA437" t="s">
        <v>81</v>
      </c>
      <c r="BB437" t="s">
        <v>71</v>
      </c>
      <c r="BC437">
        <v>90.119200000000006</v>
      </c>
      <c r="BD437">
        <v>5.5</v>
      </c>
      <c r="BE437">
        <v>177</v>
      </c>
      <c r="BF437" t="s">
        <v>193</v>
      </c>
      <c r="BG437">
        <v>-2.0434343819706009E-2</v>
      </c>
      <c r="BH437">
        <v>0.505285714285716</v>
      </c>
      <c r="BI437">
        <v>0.98846266132559801</v>
      </c>
      <c r="BJ437">
        <v>90</v>
      </c>
      <c r="BK437">
        <v>513.55923589242616</v>
      </c>
      <c r="BL437">
        <v>148.4410805552584</v>
      </c>
      <c r="BM437">
        <v>2.1681881987442231</v>
      </c>
      <c r="BN437">
        <v>368.59199378651778</v>
      </c>
      <c r="BO437">
        <v>144.9672421059083</v>
      </c>
    </row>
    <row r="438" spans="1:67" x14ac:dyDescent="0.25">
      <c r="A438" s="1">
        <v>436</v>
      </c>
      <c r="B438" t="s">
        <v>193</v>
      </c>
      <c r="C438" t="s">
        <v>194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67</v>
      </c>
      <c r="J438">
        <v>1.145</v>
      </c>
      <c r="K438">
        <v>500</v>
      </c>
      <c r="L438">
        <v>100</v>
      </c>
      <c r="N438" t="s">
        <v>68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55889.548618161818</v>
      </c>
      <c r="Z438">
        <v>279447743.09080911</v>
      </c>
      <c r="AA438">
        <v>319967665.83897638</v>
      </c>
      <c r="AB438">
        <v>319967.66583897639</v>
      </c>
      <c r="AC438">
        <v>0</v>
      </c>
      <c r="AD438">
        <v>2896.2717409125421</v>
      </c>
      <c r="AE438">
        <v>868881.52227376238</v>
      </c>
      <c r="AF438">
        <v>868881.52227376238</v>
      </c>
      <c r="AG438">
        <v>40.02714739445522</v>
      </c>
      <c r="AH438">
        <v>76.478951590536568</v>
      </c>
      <c r="AI438">
        <v>76.478951590536568</v>
      </c>
      <c r="AJ438">
        <v>10398.949139766741</v>
      </c>
      <c r="AK438">
        <v>854.70085470085473</v>
      </c>
      <c r="AL438" t="s">
        <v>69</v>
      </c>
      <c r="AM438">
        <v>5927.1187482665837</v>
      </c>
      <c r="AN438">
        <v>608.50238920122092</v>
      </c>
      <c r="AO438">
        <v>13001.42177039122</v>
      </c>
      <c r="AP438">
        <v>17789.271131935391</v>
      </c>
      <c r="AQ438">
        <v>4787.8493615441776</v>
      </c>
      <c r="AR438">
        <v>1.1968201501804171E-2</v>
      </c>
      <c r="AS438">
        <v>259.79740792638279</v>
      </c>
      <c r="AT438">
        <v>148.07747076894219</v>
      </c>
      <c r="AU438">
        <v>15.20224219839144</v>
      </c>
      <c r="AV438">
        <v>324.81509717058287</v>
      </c>
      <c r="AW438">
        <v>444.43015028344649</v>
      </c>
      <c r="AX438">
        <v>119.61505311286361</v>
      </c>
      <c r="AY438">
        <v>1.9106770421799</v>
      </c>
      <c r="AZ438" t="str">
        <f>VLOOKUP(BA438,Sheet1!$A$1:$B$58,2,FALSE)</f>
        <v>2-Methyl-1-Butanol</v>
      </c>
      <c r="BA438" t="s">
        <v>82</v>
      </c>
      <c r="BB438" t="s">
        <v>83</v>
      </c>
      <c r="BC438">
        <v>88.14658</v>
      </c>
      <c r="BD438">
        <v>6</v>
      </c>
      <c r="BE438">
        <v>129</v>
      </c>
      <c r="BF438" t="s">
        <v>193</v>
      </c>
      <c r="BG438">
        <v>0.56274810647961693</v>
      </c>
      <c r="BH438">
        <v>0.32641791044776097</v>
      </c>
      <c r="BI438">
        <v>0.62457610964960097</v>
      </c>
      <c r="BJ438">
        <v>90</v>
      </c>
      <c r="BK438">
        <v>790.63427253046189</v>
      </c>
      <c r="BL438">
        <v>212.7933049575191</v>
      </c>
      <c r="BM438">
        <v>2.8363164086553421</v>
      </c>
      <c r="BN438">
        <v>482.1737894714081</v>
      </c>
      <c r="BO438">
        <v>308.46048305905379</v>
      </c>
    </row>
    <row r="439" spans="1:67" x14ac:dyDescent="0.25">
      <c r="A439" s="1">
        <v>437</v>
      </c>
      <c r="B439" t="s">
        <v>193</v>
      </c>
      <c r="C439" t="s">
        <v>194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67</v>
      </c>
      <c r="J439">
        <v>1.145</v>
      </c>
      <c r="K439">
        <v>500</v>
      </c>
      <c r="L439">
        <v>100</v>
      </c>
      <c r="N439" t="s">
        <v>68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23960.001729134041</v>
      </c>
      <c r="Z439">
        <v>119800008.64567021</v>
      </c>
      <c r="AA439">
        <v>137171009.89929241</v>
      </c>
      <c r="AB439">
        <v>137171.0098992924</v>
      </c>
      <c r="AC439">
        <v>0</v>
      </c>
      <c r="AD439">
        <v>1241.6395844312849</v>
      </c>
      <c r="AE439">
        <v>372491.87532938551</v>
      </c>
      <c r="AF439">
        <v>372491.87532938551</v>
      </c>
      <c r="AG439">
        <v>17.159747117223951</v>
      </c>
      <c r="AH439">
        <v>32.786734866492523</v>
      </c>
      <c r="AI439">
        <v>32.786734866492523</v>
      </c>
      <c r="AJ439">
        <v>4458.0578217270022</v>
      </c>
      <c r="AK439">
        <v>1835.336538461539</v>
      </c>
      <c r="AL439" t="s">
        <v>84</v>
      </c>
      <c r="AM439">
        <v>2540.9719521531702</v>
      </c>
      <c r="AN439">
        <v>260.86663173918771</v>
      </c>
      <c r="AO439">
        <v>5573.7449273037273</v>
      </c>
      <c r="AP439">
        <v>9095.232944080899</v>
      </c>
      <c r="AQ439">
        <v>3521.4880167771721</v>
      </c>
      <c r="AR439">
        <v>1.1968201501804171E-2</v>
      </c>
      <c r="AS439">
        <v>259.79740792638279</v>
      </c>
      <c r="AT439">
        <v>148.07747076894219</v>
      </c>
      <c r="AU439">
        <v>15.20224219839143</v>
      </c>
      <c r="AV439">
        <v>324.81509717058287</v>
      </c>
      <c r="AW439">
        <v>530.03304081046952</v>
      </c>
      <c r="AX439">
        <v>205.21794363988661</v>
      </c>
      <c r="AY439">
        <v>1.9106770421799</v>
      </c>
      <c r="AZ439" t="str">
        <f>VLOOKUP(BA439,Sheet1!$A$1:$B$58,2,FALSE)</f>
        <v>2-Pyrone-4,6-Dicarboxylate</v>
      </c>
      <c r="BA439" t="s">
        <v>85</v>
      </c>
      <c r="BB439" t="s">
        <v>86</v>
      </c>
      <c r="BC439">
        <v>182.08457999999999</v>
      </c>
      <c r="BD439">
        <v>2.5714285714285721</v>
      </c>
      <c r="BE439">
        <v>355.5</v>
      </c>
      <c r="BF439" t="s">
        <v>193</v>
      </c>
      <c r="BG439">
        <v>-0.38043664153513229</v>
      </c>
      <c r="BH439">
        <v>0.36859550561797699</v>
      </c>
      <c r="BI439">
        <v>1.45689792682938</v>
      </c>
      <c r="BJ439">
        <v>90</v>
      </c>
      <c r="BK439">
        <v>404.23257529248428</v>
      </c>
      <c r="BL439">
        <v>156.51057852342981</v>
      </c>
      <c r="BM439">
        <v>1.8376248578236889</v>
      </c>
      <c r="BN439">
        <v>312.39622583002699</v>
      </c>
      <c r="BO439">
        <v>91.836349462457292</v>
      </c>
    </row>
    <row r="440" spans="1:67" x14ac:dyDescent="0.25">
      <c r="A440" s="1">
        <v>438</v>
      </c>
      <c r="B440" t="s">
        <v>193</v>
      </c>
      <c r="C440" t="s">
        <v>194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67</v>
      </c>
      <c r="J440">
        <v>1.145</v>
      </c>
      <c r="K440">
        <v>500</v>
      </c>
      <c r="L440">
        <v>100</v>
      </c>
      <c r="N440" t="s">
        <v>68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58023.554112805417</v>
      </c>
      <c r="Z440">
        <v>290117770.56402707</v>
      </c>
      <c r="AA440">
        <v>332184847.295811</v>
      </c>
      <c r="AB440">
        <v>332184.84729581099</v>
      </c>
      <c r="AC440">
        <v>0</v>
      </c>
      <c r="AD440">
        <v>3006.8587819944919</v>
      </c>
      <c r="AE440">
        <v>902057.63459834747</v>
      </c>
      <c r="AF440">
        <v>902057.63459834747</v>
      </c>
      <c r="AG440">
        <v>41.555485958401299</v>
      </c>
      <c r="AH440">
        <v>79.399112997346563</v>
      </c>
      <c r="AI440">
        <v>79.399112997346563</v>
      </c>
      <c r="AJ440">
        <v>10796.007537113859</v>
      </c>
      <c r="AK440">
        <v>854.70085470085473</v>
      </c>
      <c r="AL440" t="s">
        <v>69</v>
      </c>
      <c r="AM440">
        <v>6153.4312572943591</v>
      </c>
      <c r="AN440">
        <v>631.73656221147121</v>
      </c>
      <c r="AO440">
        <v>13497.84920954892</v>
      </c>
      <c r="AP440">
        <v>18435.876211320541</v>
      </c>
      <c r="AQ440">
        <v>4938.0270017716248</v>
      </c>
      <c r="AR440">
        <v>1.1968201501804171E-2</v>
      </c>
      <c r="AS440">
        <v>259.79740792638279</v>
      </c>
      <c r="AT440">
        <v>148.07747076894219</v>
      </c>
      <c r="AU440">
        <v>15.20224219839144</v>
      </c>
      <c r="AV440">
        <v>324.81509717058299</v>
      </c>
      <c r="AW440">
        <v>443.64482296695053</v>
      </c>
      <c r="AX440">
        <v>118.8297257963675</v>
      </c>
      <c r="AY440">
        <v>1.9106770421799</v>
      </c>
      <c r="AZ440" t="str">
        <f>VLOOKUP(BA440,Sheet1!$A$1:$B$58,2,FALSE)</f>
        <v>3-Methyl-1-Pentanol</v>
      </c>
      <c r="BA440" t="s">
        <v>87</v>
      </c>
      <c r="BB440" t="s">
        <v>88</v>
      </c>
      <c r="BC440">
        <v>102.17296</v>
      </c>
      <c r="BD440">
        <v>6</v>
      </c>
      <c r="BE440">
        <v>153</v>
      </c>
      <c r="BF440" t="s">
        <v>193</v>
      </c>
      <c r="BG440">
        <v>0.5915233918302315</v>
      </c>
      <c r="BH440">
        <v>0.27124999999999999</v>
      </c>
      <c r="BI440">
        <v>0.60160528564209304</v>
      </c>
      <c r="BJ440">
        <v>90</v>
      </c>
      <c r="BK440">
        <v>819.37227605869066</v>
      </c>
      <c r="BL440">
        <v>219.46786674540559</v>
      </c>
      <c r="BM440">
        <v>2.9373260747185039</v>
      </c>
      <c r="BN440">
        <v>499.34543270214567</v>
      </c>
      <c r="BO440">
        <v>320.02684335654487</v>
      </c>
    </row>
    <row r="441" spans="1:67" x14ac:dyDescent="0.25">
      <c r="A441" s="1">
        <v>439</v>
      </c>
      <c r="B441" t="s">
        <v>193</v>
      </c>
      <c r="C441" t="s">
        <v>194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67</v>
      </c>
      <c r="J441">
        <v>1.145</v>
      </c>
      <c r="K441">
        <v>500</v>
      </c>
      <c r="L441">
        <v>100</v>
      </c>
      <c r="N441" t="s">
        <v>68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57731.435855963093</v>
      </c>
      <c r="Z441">
        <v>288657179.27981538</v>
      </c>
      <c r="AA441">
        <v>330512470.27538872</v>
      </c>
      <c r="AB441">
        <v>330512.47027538868</v>
      </c>
      <c r="AC441">
        <v>0</v>
      </c>
      <c r="AD441">
        <v>2991.720820189194</v>
      </c>
      <c r="AE441">
        <v>897516.24605675833</v>
      </c>
      <c r="AF441">
        <v>897516.24605675833</v>
      </c>
      <c r="AG441">
        <v>41.346275814244947</v>
      </c>
      <c r="AH441">
        <v>78.999379977915865</v>
      </c>
      <c r="AI441">
        <v>78.999379977915865</v>
      </c>
      <c r="AJ441">
        <v>10741.655283950129</v>
      </c>
      <c r="AK441">
        <v>854.70085470085473</v>
      </c>
      <c r="AL441" t="s">
        <v>69</v>
      </c>
      <c r="AM441">
        <v>6122.4519482884798</v>
      </c>
      <c r="AN441">
        <v>628.55609892964571</v>
      </c>
      <c r="AO441">
        <v>13429.8945962457</v>
      </c>
      <c r="AP441">
        <v>18347.364185869119</v>
      </c>
      <c r="AQ441">
        <v>4917.4695896234189</v>
      </c>
      <c r="AR441">
        <v>1.1968201501804171E-2</v>
      </c>
      <c r="AS441">
        <v>259.79740792638279</v>
      </c>
      <c r="AT441">
        <v>148.07747076894219</v>
      </c>
      <c r="AU441">
        <v>15.20224219839143</v>
      </c>
      <c r="AV441">
        <v>324.81509717058287</v>
      </c>
      <c r="AW441">
        <v>443.7488945388385</v>
      </c>
      <c r="AX441">
        <v>118.9337973682556</v>
      </c>
      <c r="AY441">
        <v>1.9106770421799</v>
      </c>
      <c r="AZ441" t="str">
        <f>VLOOKUP(BA441,Sheet1!$A$1:$B$58,2,FALSE)</f>
        <v>4-Hydroxystyrene</v>
      </c>
      <c r="BA441" t="s">
        <v>89</v>
      </c>
      <c r="BB441" t="s">
        <v>90</v>
      </c>
      <c r="BC441">
        <v>120.14731999999999</v>
      </c>
      <c r="BD441">
        <v>4.75</v>
      </c>
      <c r="BE441">
        <v>229</v>
      </c>
      <c r="BF441" t="s">
        <v>193</v>
      </c>
      <c r="BG441">
        <v>0.22957275651532499</v>
      </c>
      <c r="BH441">
        <v>0.23183745583038801</v>
      </c>
      <c r="BI441">
        <v>0.60464937911981897</v>
      </c>
      <c r="BJ441">
        <v>90</v>
      </c>
      <c r="BK441">
        <v>815.43840826084943</v>
      </c>
      <c r="BL441">
        <v>218.55420398326299</v>
      </c>
      <c r="BM441">
        <v>3.2815107980587128</v>
      </c>
      <c r="BN441">
        <v>557.85683566998114</v>
      </c>
      <c r="BO441">
        <v>257.58157259086829</v>
      </c>
    </row>
    <row r="442" spans="1:67" x14ac:dyDescent="0.25">
      <c r="A442" s="1">
        <v>440</v>
      </c>
      <c r="B442" t="s">
        <v>193</v>
      </c>
      <c r="C442" t="s">
        <v>194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67</v>
      </c>
      <c r="J442">
        <v>1.145</v>
      </c>
      <c r="K442">
        <v>500</v>
      </c>
      <c r="L442">
        <v>100</v>
      </c>
      <c r="N442" t="s">
        <v>68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40256.312395560621</v>
      </c>
      <c r="Z442">
        <v>201281561.97780311</v>
      </c>
      <c r="AA442">
        <v>230467388.46458459</v>
      </c>
      <c r="AB442">
        <v>230467.3884645846</v>
      </c>
      <c r="AC442">
        <v>0</v>
      </c>
      <c r="AD442">
        <v>2086.136368378568</v>
      </c>
      <c r="AE442">
        <v>625840.9105135703</v>
      </c>
      <c r="AF442">
        <v>625840.9105135703</v>
      </c>
      <c r="AG442">
        <v>28.830888594629268</v>
      </c>
      <c r="AH442">
        <v>55.086516943404462</v>
      </c>
      <c r="AI442">
        <v>55.086516943404462</v>
      </c>
      <c r="AJ442">
        <v>7490.1901250989986</v>
      </c>
      <c r="AK442">
        <v>854.70085470085473</v>
      </c>
      <c r="AL442" t="s">
        <v>69</v>
      </c>
      <c r="AM442">
        <v>4269.2050631138454</v>
      </c>
      <c r="AN442">
        <v>438.29415121039551</v>
      </c>
      <c r="AO442">
        <v>9364.707880378759</v>
      </c>
      <c r="AP442">
        <v>13052.390194124089</v>
      </c>
      <c r="AQ442">
        <v>3687.6823137453362</v>
      </c>
      <c r="AR442">
        <v>1.1968201501804171E-2</v>
      </c>
      <c r="AS442">
        <v>259.79740792638279</v>
      </c>
      <c r="AT442">
        <v>148.07747076894219</v>
      </c>
      <c r="AU442">
        <v>15.20224219839143</v>
      </c>
      <c r="AV442">
        <v>324.81509717058287</v>
      </c>
      <c r="AW442">
        <v>452.72243868874523</v>
      </c>
      <c r="AX442">
        <v>127.9073415181623</v>
      </c>
      <c r="AY442">
        <v>1.9106770421799</v>
      </c>
      <c r="AZ442" t="str">
        <f>VLOOKUP(BA442,Sheet1!$A$1:$B$58,2,FALSE)</f>
        <v>5-Aminopentanoate</v>
      </c>
      <c r="BA442" t="s">
        <v>91</v>
      </c>
      <c r="BB442" t="s">
        <v>92</v>
      </c>
      <c r="BC442">
        <v>117.14444</v>
      </c>
      <c r="BD442">
        <v>4.8</v>
      </c>
      <c r="BE442">
        <v>247.5</v>
      </c>
      <c r="BF442" t="s">
        <v>193</v>
      </c>
      <c r="BG442">
        <v>0.32501044996608758</v>
      </c>
      <c r="BH442">
        <v>0.34100000000000003</v>
      </c>
      <c r="BI442">
        <v>0.86712554550459098</v>
      </c>
      <c r="BJ442">
        <v>90</v>
      </c>
      <c r="BK442">
        <v>580.10623084995973</v>
      </c>
      <c r="BL442">
        <v>163.896991722015</v>
      </c>
      <c r="BM442">
        <v>2.123279191962999</v>
      </c>
      <c r="BN442">
        <v>360.95746263370989</v>
      </c>
      <c r="BO442">
        <v>219.14876821624981</v>
      </c>
    </row>
    <row r="443" spans="1:67" x14ac:dyDescent="0.25">
      <c r="A443" s="1">
        <v>441</v>
      </c>
      <c r="B443" t="s">
        <v>193</v>
      </c>
      <c r="C443" t="s">
        <v>194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67</v>
      </c>
      <c r="J443">
        <v>1.145</v>
      </c>
      <c r="K443">
        <v>500</v>
      </c>
      <c r="L443">
        <v>100</v>
      </c>
      <c r="N443" t="s">
        <v>68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43446.547751920087</v>
      </c>
      <c r="Z443">
        <v>217232738.75960049</v>
      </c>
      <c r="AA443">
        <v>248731485.8797425</v>
      </c>
      <c r="AB443">
        <v>248731.48587974251</v>
      </c>
      <c r="AC443">
        <v>0</v>
      </c>
      <c r="AD443">
        <v>2251.4586645490081</v>
      </c>
      <c r="AE443">
        <v>675437.59936470236</v>
      </c>
      <c r="AF443">
        <v>675437.59936470236</v>
      </c>
      <c r="AG443">
        <v>31.115681082477469</v>
      </c>
      <c r="AH443">
        <v>59.452017496081098</v>
      </c>
      <c r="AI443">
        <v>59.452017496081098</v>
      </c>
      <c r="AJ443">
        <v>8083.7732910916329</v>
      </c>
      <c r="AK443">
        <v>854.70085470085473</v>
      </c>
      <c r="AL443" t="s">
        <v>69</v>
      </c>
      <c r="AM443">
        <v>4607.5313559462857</v>
      </c>
      <c r="AN443">
        <v>473.02811998372908</v>
      </c>
      <c r="AO443">
        <v>10106.842974333789</v>
      </c>
      <c r="AP443">
        <v>14019.033621722499</v>
      </c>
      <c r="AQ443">
        <v>3912.190647388717</v>
      </c>
      <c r="AR443">
        <v>1.1968201501804171E-2</v>
      </c>
      <c r="AS443">
        <v>259.79740792638279</v>
      </c>
      <c r="AT443">
        <v>148.07747076894219</v>
      </c>
      <c r="AU443">
        <v>15.20224219839144</v>
      </c>
      <c r="AV443">
        <v>324.81509717058287</v>
      </c>
      <c r="AW443">
        <v>450.54561346616981</v>
      </c>
      <c r="AX443">
        <v>125.7305162955869</v>
      </c>
      <c r="AY443">
        <v>1.9106770421799</v>
      </c>
      <c r="AZ443" t="str">
        <f>VLOOKUP(BA443,Sheet1!$A$1:$B$58,2,FALSE)</f>
        <v>Acetone</v>
      </c>
      <c r="BA443" t="s">
        <v>93</v>
      </c>
      <c r="BB443" t="s">
        <v>94</v>
      </c>
      <c r="BC443">
        <v>58.078139999999998</v>
      </c>
      <c r="BD443">
        <v>5.333333333333333</v>
      </c>
      <c r="BE443">
        <v>56</v>
      </c>
      <c r="BF443" t="s">
        <v>193</v>
      </c>
      <c r="BG443">
        <v>0.1047640956957928</v>
      </c>
      <c r="BH443">
        <v>0.63729729729729701</v>
      </c>
      <c r="BI443">
        <v>0.803453407744256</v>
      </c>
      <c r="BJ443">
        <v>90</v>
      </c>
      <c r="BK443">
        <v>623.06816096544469</v>
      </c>
      <c r="BL443">
        <v>173.87513988394301</v>
      </c>
      <c r="BM443">
        <v>2.537547793018923</v>
      </c>
      <c r="BN443">
        <v>431.38312481321691</v>
      </c>
      <c r="BO443">
        <v>191.68503615222781</v>
      </c>
    </row>
    <row r="444" spans="1:67" x14ac:dyDescent="0.25">
      <c r="A444" s="1">
        <v>442</v>
      </c>
      <c r="B444" t="s">
        <v>193</v>
      </c>
      <c r="C444" t="s">
        <v>194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67</v>
      </c>
      <c r="J444">
        <v>1.145</v>
      </c>
      <c r="K444">
        <v>500</v>
      </c>
      <c r="L444">
        <v>100</v>
      </c>
      <c r="N444" t="s">
        <v>68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33632.443257604929</v>
      </c>
      <c r="Z444">
        <v>168162216.28802469</v>
      </c>
      <c r="AA444">
        <v>192545737.6497882</v>
      </c>
      <c r="AB444">
        <v>192545.73764978821</v>
      </c>
      <c r="AC444">
        <v>0</v>
      </c>
      <c r="AD444">
        <v>1742.8785415739051</v>
      </c>
      <c r="AE444">
        <v>522863.56247217138</v>
      </c>
      <c r="AF444">
        <v>522863.56247217138</v>
      </c>
      <c r="AG444">
        <v>24.08698579237301</v>
      </c>
      <c r="AH444">
        <v>46.022450768800518</v>
      </c>
      <c r="AI444">
        <v>46.022450768800518</v>
      </c>
      <c r="AJ444">
        <v>6257.736473618118</v>
      </c>
      <c r="AK444">
        <v>854.70085470085473</v>
      </c>
      <c r="AL444" t="s">
        <v>69</v>
      </c>
      <c r="AM444">
        <v>3566.7399345820409</v>
      </c>
      <c r="AN444">
        <v>366.17619184486779</v>
      </c>
      <c r="AO444">
        <v>7823.8166306960893</v>
      </c>
      <c r="AP444">
        <v>11045.35345474588</v>
      </c>
      <c r="AQ444">
        <v>3221.5368240497928</v>
      </c>
      <c r="AR444">
        <v>1.1968201501804171E-2</v>
      </c>
      <c r="AS444">
        <v>259.79740792638279</v>
      </c>
      <c r="AT444">
        <v>148.07747076894219</v>
      </c>
      <c r="AU444">
        <v>15.20224219839143</v>
      </c>
      <c r="AV444">
        <v>324.81509717058287</v>
      </c>
      <c r="AW444">
        <v>458.56104827542691</v>
      </c>
      <c r="AX444">
        <v>133.74595110484401</v>
      </c>
      <c r="AY444">
        <v>1.9106770421799</v>
      </c>
      <c r="AZ444" t="str">
        <f>VLOOKUP(BA444,Sheet1!$A$1:$B$58,2,FALSE)</f>
        <v>Acrylate (PW1)</v>
      </c>
      <c r="BA444" t="s">
        <v>95</v>
      </c>
      <c r="BB444" t="s">
        <v>96</v>
      </c>
      <c r="BC444">
        <v>71.053619999999995</v>
      </c>
      <c r="BD444">
        <v>3.666666666666667</v>
      </c>
      <c r="BE444">
        <v>80</v>
      </c>
      <c r="BF444" t="s">
        <v>193</v>
      </c>
      <c r="BG444">
        <v>-1.7276119980903799E-2</v>
      </c>
      <c r="BH444">
        <v>0.67292307692307696</v>
      </c>
      <c r="BI444">
        <v>1.03790487591503</v>
      </c>
      <c r="BJ444">
        <v>90</v>
      </c>
      <c r="BK444">
        <v>490.90459798870592</v>
      </c>
      <c r="BL444">
        <v>143.17941440221301</v>
      </c>
      <c r="BM444">
        <v>2.0627183763720378</v>
      </c>
      <c r="BN444">
        <v>350.66212398324649</v>
      </c>
      <c r="BO444">
        <v>140.2424740054594</v>
      </c>
    </row>
    <row r="445" spans="1:67" x14ac:dyDescent="0.25">
      <c r="A445" s="1">
        <v>443</v>
      </c>
      <c r="B445" t="s">
        <v>193</v>
      </c>
      <c r="C445" t="s">
        <v>194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67</v>
      </c>
      <c r="J445">
        <v>1.145</v>
      </c>
      <c r="K445">
        <v>500</v>
      </c>
      <c r="L445">
        <v>100</v>
      </c>
      <c r="N445" t="s">
        <v>68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26388.532402120891</v>
      </c>
      <c r="Z445">
        <v>131942662.0106045</v>
      </c>
      <c r="AA445">
        <v>151074348.0021421</v>
      </c>
      <c r="AB445">
        <v>151074.3480021421</v>
      </c>
      <c r="AC445">
        <v>0</v>
      </c>
      <c r="AD445">
        <v>1367.489317234915</v>
      </c>
      <c r="AE445">
        <v>410246.79517047451</v>
      </c>
      <c r="AF445">
        <v>410246.79517047451</v>
      </c>
      <c r="AG445">
        <v>18.899019621708121</v>
      </c>
      <c r="AH445">
        <v>36.109922910905169</v>
      </c>
      <c r="AI445">
        <v>36.109922910905169</v>
      </c>
      <c r="AJ445">
        <v>4909.9163100696196</v>
      </c>
      <c r="AK445">
        <v>854.70085470085473</v>
      </c>
      <c r="AL445" t="s">
        <v>69</v>
      </c>
      <c r="AM445">
        <v>2798.5190255951511</v>
      </c>
      <c r="AN445">
        <v>287.30747360135888</v>
      </c>
      <c r="AO445">
        <v>6138.6868948538786</v>
      </c>
      <c r="AP445">
        <v>8850.4436639669839</v>
      </c>
      <c r="AQ445">
        <v>2711.7567691131048</v>
      </c>
      <c r="AR445">
        <v>1.1968201501804171E-2</v>
      </c>
      <c r="AS445">
        <v>259.79740792638279</v>
      </c>
      <c r="AT445">
        <v>148.07747076894219</v>
      </c>
      <c r="AU445">
        <v>15.20224219839143</v>
      </c>
      <c r="AV445">
        <v>324.81509717058287</v>
      </c>
      <c r="AW445">
        <v>468.30173422334718</v>
      </c>
      <c r="AX445">
        <v>143.48663705276431</v>
      </c>
      <c r="AY445">
        <v>1.9106770421799</v>
      </c>
      <c r="AZ445" t="str">
        <f>VLOOKUP(BA445,Sheet1!$A$1:$B$58,2,FALSE)</f>
        <v>Acrylate (PW2)</v>
      </c>
      <c r="BA445" t="s">
        <v>97</v>
      </c>
      <c r="BB445" t="s">
        <v>96</v>
      </c>
      <c r="BC445">
        <v>71.053619999999995</v>
      </c>
      <c r="BD445">
        <v>3.666666666666667</v>
      </c>
      <c r="BE445">
        <v>80</v>
      </c>
      <c r="BF445" t="s">
        <v>193</v>
      </c>
      <c r="BG445">
        <v>-0.41377723429672453</v>
      </c>
      <c r="BH445">
        <v>0.85764705882352898</v>
      </c>
      <c r="BI445">
        <v>1.3228199398917</v>
      </c>
      <c r="BJ445">
        <v>90</v>
      </c>
      <c r="BK445">
        <v>393.35305173186578</v>
      </c>
      <c r="BL445">
        <v>120.5225230716935</v>
      </c>
      <c r="BM445">
        <v>2.018662697003621</v>
      </c>
      <c r="BN445">
        <v>343.17265849061562</v>
      </c>
      <c r="BO445">
        <v>50.180393241250272</v>
      </c>
    </row>
    <row r="446" spans="1:67" x14ac:dyDescent="0.25">
      <c r="A446" s="1">
        <v>444</v>
      </c>
      <c r="B446" t="s">
        <v>193</v>
      </c>
      <c r="C446" t="s">
        <v>194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67</v>
      </c>
      <c r="J446">
        <v>1.145</v>
      </c>
      <c r="K446">
        <v>500</v>
      </c>
      <c r="L446">
        <v>100</v>
      </c>
      <c r="N446" t="s">
        <v>68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36138.148094888144</v>
      </c>
      <c r="Z446">
        <v>180690740.47444069</v>
      </c>
      <c r="AA446">
        <v>206890897.8432346</v>
      </c>
      <c r="AB446">
        <v>206890.89784323459</v>
      </c>
      <c r="AC446">
        <v>0</v>
      </c>
      <c r="AD446">
        <v>1872.7275435916611</v>
      </c>
      <c r="AE446">
        <v>561818.26307749841</v>
      </c>
      <c r="AF446">
        <v>561818.26307749841</v>
      </c>
      <c r="AG446">
        <v>25.88152912522688</v>
      </c>
      <c r="AH446">
        <v>49.451243516081412</v>
      </c>
      <c r="AI446">
        <v>49.451243516081412</v>
      </c>
      <c r="AJ446">
        <v>6723.954179905124</v>
      </c>
      <c r="AK446">
        <v>854.70085470085473</v>
      </c>
      <c r="AL446" t="s">
        <v>69</v>
      </c>
      <c r="AM446">
        <v>3832.471372496309</v>
      </c>
      <c r="AN446">
        <v>393.45727422642102</v>
      </c>
      <c r="AO446">
        <v>8406.7113977338395</v>
      </c>
      <c r="AP446">
        <v>11804.58368132871</v>
      </c>
      <c r="AQ446">
        <v>3397.8722835948702</v>
      </c>
      <c r="AR446">
        <v>1.1968201501804171E-2</v>
      </c>
      <c r="AS446">
        <v>259.79740792638279</v>
      </c>
      <c r="AT446">
        <v>148.07747076894219</v>
      </c>
      <c r="AU446">
        <v>15.20224219839143</v>
      </c>
      <c r="AV446">
        <v>324.81509717058287</v>
      </c>
      <c r="AW446">
        <v>456.10070503225069</v>
      </c>
      <c r="AX446">
        <v>131.28560786166781</v>
      </c>
      <c r="AY446">
        <v>1.9106770421798991</v>
      </c>
      <c r="AZ446" t="str">
        <f>VLOOKUP(BA446,Sheet1!$A$1:$B$58,2,FALSE)</f>
        <v>Adipate</v>
      </c>
      <c r="BA446" t="s">
        <v>98</v>
      </c>
      <c r="BB446" t="s">
        <v>99</v>
      </c>
      <c r="BC446">
        <v>144.12291999999999</v>
      </c>
      <c r="BD446">
        <v>4</v>
      </c>
      <c r="BE446">
        <v>337.5</v>
      </c>
      <c r="BF446" t="s">
        <v>193</v>
      </c>
      <c r="BG446">
        <v>0.1458637149923751</v>
      </c>
      <c r="BH446">
        <v>0.30875294117647101</v>
      </c>
      <c r="BI446">
        <v>0.96593983605212697</v>
      </c>
      <c r="BJ446">
        <v>90</v>
      </c>
      <c r="BK446">
        <v>524.64816361460942</v>
      </c>
      <c r="BL446">
        <v>151.01654593754981</v>
      </c>
      <c r="BM446">
        <v>2.0519693301667981</v>
      </c>
      <c r="BN446">
        <v>348.83478612835569</v>
      </c>
      <c r="BO446">
        <v>175.8133774862537</v>
      </c>
    </row>
    <row r="447" spans="1:67" x14ac:dyDescent="0.25">
      <c r="A447" s="1">
        <v>445</v>
      </c>
      <c r="B447" t="s">
        <v>193</v>
      </c>
      <c r="C447" t="s">
        <v>194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67</v>
      </c>
      <c r="J447">
        <v>1.145</v>
      </c>
      <c r="K447">
        <v>500</v>
      </c>
      <c r="L447">
        <v>100</v>
      </c>
      <c r="N447" t="s">
        <v>68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49379.001443182722</v>
      </c>
      <c r="Z447">
        <v>246895007.21591359</v>
      </c>
      <c r="AA447">
        <v>282694783.2622211</v>
      </c>
      <c r="AB447">
        <v>282694.78326222108</v>
      </c>
      <c r="AC447">
        <v>0</v>
      </c>
      <c r="AD447">
        <v>2558.8864109719379</v>
      </c>
      <c r="AE447">
        <v>767665.92329158145</v>
      </c>
      <c r="AF447">
        <v>767665.92329158145</v>
      </c>
      <c r="AG447">
        <v>35.364403861279527</v>
      </c>
      <c r="AH447">
        <v>67.569954568124999</v>
      </c>
      <c r="AI447">
        <v>67.569954568124999</v>
      </c>
      <c r="AJ447">
        <v>9187.5804560221859</v>
      </c>
      <c r="AK447">
        <v>854.70085470085473</v>
      </c>
      <c r="AL447" t="s">
        <v>69</v>
      </c>
      <c r="AM447">
        <v>5236.6714790296874</v>
      </c>
      <c r="AN447">
        <v>537.61823270090076</v>
      </c>
      <c r="AO447">
        <v>11486.892276581249</v>
      </c>
      <c r="AP447">
        <v>15816.571022453631</v>
      </c>
      <c r="AQ447">
        <v>4329.6787458723811</v>
      </c>
      <c r="AR447">
        <v>1.1968201501804171E-2</v>
      </c>
      <c r="AS447">
        <v>259.79740792638279</v>
      </c>
      <c r="AT447">
        <v>148.07747076894219</v>
      </c>
      <c r="AU447">
        <v>15.20224219839144</v>
      </c>
      <c r="AV447">
        <v>324.81509717058287</v>
      </c>
      <c r="AW447">
        <v>447.2455151370778</v>
      </c>
      <c r="AX447">
        <v>122.4304179664949</v>
      </c>
      <c r="AY447">
        <v>1.9106770421799</v>
      </c>
      <c r="AZ447" t="str">
        <f>VLOOKUP(BA447,Sheet1!$A$1:$B$58,2,FALSE)</f>
        <v>Benzoate (PW1)</v>
      </c>
      <c r="BA447" t="s">
        <v>100</v>
      </c>
      <c r="BB447" t="s">
        <v>101</v>
      </c>
      <c r="BC447">
        <v>121.1121</v>
      </c>
      <c r="BD447">
        <v>4.1428571428571432</v>
      </c>
      <c r="BE447">
        <v>249.2</v>
      </c>
      <c r="BF447" t="s">
        <v>193</v>
      </c>
      <c r="BG447">
        <v>0.15912170448706489</v>
      </c>
      <c r="BH447">
        <v>0.26889344262295001</v>
      </c>
      <c r="BI447">
        <v>0.70692553161831995</v>
      </c>
      <c r="BJ447">
        <v>90</v>
      </c>
      <c r="BK447">
        <v>702.95871210905011</v>
      </c>
      <c r="BL447">
        <v>192.43016648321679</v>
      </c>
      <c r="BM447">
        <v>2.843987387429602</v>
      </c>
      <c r="BN447">
        <v>483.47785586303229</v>
      </c>
      <c r="BO447">
        <v>219.48085624601779</v>
      </c>
    </row>
    <row r="448" spans="1:67" x14ac:dyDescent="0.25">
      <c r="A448" s="1">
        <v>446</v>
      </c>
      <c r="B448" t="s">
        <v>193</v>
      </c>
      <c r="C448" t="s">
        <v>194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67</v>
      </c>
      <c r="J448">
        <v>1.145</v>
      </c>
      <c r="K448">
        <v>500</v>
      </c>
      <c r="L448">
        <v>100</v>
      </c>
      <c r="N448" t="s">
        <v>68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49379.001443182722</v>
      </c>
      <c r="Z448">
        <v>246895007.21591359</v>
      </c>
      <c r="AA448">
        <v>282694783.2622211</v>
      </c>
      <c r="AB448">
        <v>282694.78326222108</v>
      </c>
      <c r="AC448">
        <v>0</v>
      </c>
      <c r="AD448">
        <v>2558.8864109719379</v>
      </c>
      <c r="AE448">
        <v>767665.92329158145</v>
      </c>
      <c r="AF448">
        <v>767665.92329158145</v>
      </c>
      <c r="AG448">
        <v>35.364403861279527</v>
      </c>
      <c r="AH448">
        <v>67.569954568124999</v>
      </c>
      <c r="AI448">
        <v>67.569954568124999</v>
      </c>
      <c r="AJ448">
        <v>9187.5804560221859</v>
      </c>
      <c r="AK448">
        <v>854.70085470085473</v>
      </c>
      <c r="AL448" t="s">
        <v>69</v>
      </c>
      <c r="AM448">
        <v>5236.6714790296874</v>
      </c>
      <c r="AN448">
        <v>537.61823270090076</v>
      </c>
      <c r="AO448">
        <v>11486.892276581249</v>
      </c>
      <c r="AP448">
        <v>15816.571022453631</v>
      </c>
      <c r="AQ448">
        <v>4329.6787458723811</v>
      </c>
      <c r="AR448">
        <v>1.1968201501804171E-2</v>
      </c>
      <c r="AS448">
        <v>259.79740792638279</v>
      </c>
      <c r="AT448">
        <v>148.07747076894219</v>
      </c>
      <c r="AU448">
        <v>15.20224219839144</v>
      </c>
      <c r="AV448">
        <v>324.81509717058287</v>
      </c>
      <c r="AW448">
        <v>447.2455151370778</v>
      </c>
      <c r="AX448">
        <v>122.4304179664949</v>
      </c>
      <c r="AY448">
        <v>1.9106770421799</v>
      </c>
      <c r="AZ448" t="str">
        <f>VLOOKUP(BA448,Sheet1!$A$1:$B$58,2,FALSE)</f>
        <v>Benzoate (PW2)</v>
      </c>
      <c r="BA448" t="s">
        <v>102</v>
      </c>
      <c r="BB448" t="s">
        <v>101</v>
      </c>
      <c r="BC448">
        <v>121.1121</v>
      </c>
      <c r="BD448">
        <v>4.1428571428571432</v>
      </c>
      <c r="BE448">
        <v>249.2</v>
      </c>
      <c r="BF448" t="s">
        <v>193</v>
      </c>
      <c r="BG448">
        <v>0.15912170448706761</v>
      </c>
      <c r="BH448">
        <v>0.26889344262295101</v>
      </c>
      <c r="BI448">
        <v>0.70692553161831995</v>
      </c>
      <c r="BJ448">
        <v>90</v>
      </c>
      <c r="BK448">
        <v>702.95871210905011</v>
      </c>
      <c r="BL448">
        <v>192.43016648321679</v>
      </c>
      <c r="BM448">
        <v>2.8439873874295989</v>
      </c>
      <c r="BN448">
        <v>483.47785586303178</v>
      </c>
      <c r="BO448">
        <v>219.48085624601831</v>
      </c>
    </row>
    <row r="449" spans="1:67" x14ac:dyDescent="0.25">
      <c r="A449" s="1">
        <v>447</v>
      </c>
      <c r="B449" t="s">
        <v>193</v>
      </c>
      <c r="C449" t="s">
        <v>194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67</v>
      </c>
      <c r="J449">
        <v>1.145</v>
      </c>
      <c r="K449">
        <v>500</v>
      </c>
      <c r="L449">
        <v>100</v>
      </c>
      <c r="N449" t="s">
        <v>68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63463.680079199337</v>
      </c>
      <c r="Z449">
        <v>317318400.39599669</v>
      </c>
      <c r="AA449">
        <v>363329568.45341623</v>
      </c>
      <c r="AB449">
        <v>363329.56845341623</v>
      </c>
      <c r="AC449">
        <v>0</v>
      </c>
      <c r="AD449">
        <v>3288.773442123831</v>
      </c>
      <c r="AE449">
        <v>986632.03263714921</v>
      </c>
      <c r="AF449">
        <v>986632.03263714921</v>
      </c>
      <c r="AG449">
        <v>45.451611965589919</v>
      </c>
      <c r="AH449">
        <v>86.843351512721881</v>
      </c>
      <c r="AI449">
        <v>86.843351512721881</v>
      </c>
      <c r="AJ449">
        <v>11808.21097473603</v>
      </c>
      <c r="AK449">
        <v>854.70085470085473</v>
      </c>
      <c r="AL449" t="s">
        <v>69</v>
      </c>
      <c r="AM449">
        <v>6730.3597422359462</v>
      </c>
      <c r="AN449">
        <v>690.96641340820429</v>
      </c>
      <c r="AO449">
        <v>14763.36975716272</v>
      </c>
      <c r="AP449">
        <v>20084.237985081039</v>
      </c>
      <c r="AQ449">
        <v>5320.8682279183158</v>
      </c>
      <c r="AR449">
        <v>1.1968201501804171E-2</v>
      </c>
      <c r="AS449">
        <v>259.79740792638279</v>
      </c>
      <c r="AT449">
        <v>148.07747076894219</v>
      </c>
      <c r="AU449">
        <v>15.20224219839144</v>
      </c>
      <c r="AV449">
        <v>324.81509717058287</v>
      </c>
      <c r="AW449">
        <v>441.88175328712703</v>
      </c>
      <c r="AX449">
        <v>117.0666561165441</v>
      </c>
      <c r="AY449">
        <v>1.9106770421799</v>
      </c>
      <c r="AZ449" t="str">
        <f>VLOOKUP(BA449,Sheet1!$A$1:$B$58,2,FALSE)</f>
        <v>Benzyl Alcohol</v>
      </c>
      <c r="BA449" t="s">
        <v>103</v>
      </c>
      <c r="BB449" t="s">
        <v>104</v>
      </c>
      <c r="BC449">
        <v>108.13661999999999</v>
      </c>
      <c r="BD449">
        <v>4.8571428571428568</v>
      </c>
      <c r="BE449">
        <v>205</v>
      </c>
      <c r="BF449" t="s">
        <v>193</v>
      </c>
      <c r="BG449">
        <v>0.62483791413402734</v>
      </c>
      <c r="BH449">
        <v>0.23432142857142799</v>
      </c>
      <c r="BI449">
        <v>0.550035497507256</v>
      </c>
      <c r="BJ449">
        <v>90</v>
      </c>
      <c r="BK449">
        <v>892.6327993369348</v>
      </c>
      <c r="BL449">
        <v>236.48303235192509</v>
      </c>
      <c r="BM449">
        <v>3.2348665975425011</v>
      </c>
      <c r="BN449">
        <v>549.92732158222509</v>
      </c>
      <c r="BO449">
        <v>342.7054777547097</v>
      </c>
    </row>
    <row r="450" spans="1:67" x14ac:dyDescent="0.25">
      <c r="A450" s="1">
        <v>448</v>
      </c>
      <c r="B450" t="s">
        <v>193</v>
      </c>
      <c r="C450" t="s">
        <v>194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67</v>
      </c>
      <c r="J450">
        <v>1.145</v>
      </c>
      <c r="K450">
        <v>500</v>
      </c>
      <c r="L450">
        <v>100</v>
      </c>
      <c r="N450" t="s">
        <v>68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66304.593240720758</v>
      </c>
      <c r="Z450">
        <v>331522966.2036038</v>
      </c>
      <c r="AA450">
        <v>379593796.30312628</v>
      </c>
      <c r="AB450">
        <v>379593.79630312632</v>
      </c>
      <c r="AC450">
        <v>0</v>
      </c>
      <c r="AD450">
        <v>3435.9933913188979</v>
      </c>
      <c r="AE450">
        <v>1030798.017395669</v>
      </c>
      <c r="AF450">
        <v>1030798.017395669</v>
      </c>
      <c r="AG450">
        <v>47.486225818493963</v>
      </c>
      <c r="AH450">
        <v>90.730841491166814</v>
      </c>
      <c r="AI450">
        <v>90.730841491166814</v>
      </c>
      <c r="AJ450">
        <v>12336.798379851611</v>
      </c>
      <c r="AK450">
        <v>854.70085470085473</v>
      </c>
      <c r="AL450" t="s">
        <v>69</v>
      </c>
      <c r="AM450">
        <v>7031.6402155654278</v>
      </c>
      <c r="AN450">
        <v>721.89710598025374</v>
      </c>
      <c r="AO450">
        <v>15424.24305349836</v>
      </c>
      <c r="AP450">
        <v>20945.036556098141</v>
      </c>
      <c r="AQ450">
        <v>5520.7935025997831</v>
      </c>
      <c r="AR450">
        <v>1.196820150180416E-2</v>
      </c>
      <c r="AS450">
        <v>259.79740792638268</v>
      </c>
      <c r="AT450">
        <v>148.07747076894219</v>
      </c>
      <c r="AU450">
        <v>15.20224219839143</v>
      </c>
      <c r="AV450">
        <v>324.81509717058282</v>
      </c>
      <c r="AW450">
        <v>441.07604247505589</v>
      </c>
      <c r="AX450">
        <v>116.2609453044731</v>
      </c>
      <c r="AY450">
        <v>1.9106770421798991</v>
      </c>
      <c r="AZ450" t="str">
        <f>VLOOKUP(BA450,Sheet1!$A$1:$B$58,2,FALSE)</f>
        <v>Beta Carotene</v>
      </c>
      <c r="BA450" t="s">
        <v>105</v>
      </c>
      <c r="BB450" t="s">
        <v>106</v>
      </c>
      <c r="BC450">
        <v>536.86703999999997</v>
      </c>
      <c r="BD450">
        <v>5.4</v>
      </c>
      <c r="BE450">
        <v>633</v>
      </c>
      <c r="BF450" t="s">
        <v>193</v>
      </c>
      <c r="BG450">
        <v>0.35020949008692331</v>
      </c>
      <c r="BH450">
        <v>4.5175159235668803E-2</v>
      </c>
      <c r="BI450">
        <v>0.52646845625418204</v>
      </c>
      <c r="BJ450">
        <v>90</v>
      </c>
      <c r="BK450">
        <v>930.8905136043619</v>
      </c>
      <c r="BL450">
        <v>245.36860011554609</v>
      </c>
      <c r="BM450">
        <v>3.6822723539649349</v>
      </c>
      <c r="BN450">
        <v>625.98630017403889</v>
      </c>
      <c r="BO450">
        <v>304.90421343032301</v>
      </c>
    </row>
    <row r="451" spans="1:67" x14ac:dyDescent="0.25">
      <c r="A451" s="1">
        <v>449</v>
      </c>
      <c r="B451" t="s">
        <v>193</v>
      </c>
      <c r="C451" t="s">
        <v>194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67</v>
      </c>
      <c r="J451">
        <v>1.145</v>
      </c>
      <c r="K451">
        <v>500</v>
      </c>
      <c r="L451">
        <v>100</v>
      </c>
      <c r="N451" t="s">
        <v>68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71864.556101650407</v>
      </c>
      <c r="Z451">
        <v>359322780.50825202</v>
      </c>
      <c r="AA451">
        <v>411424583.6819486</v>
      </c>
      <c r="AB451">
        <v>411424.5836819486</v>
      </c>
      <c r="AC451">
        <v>66773.504273504266</v>
      </c>
      <c r="AD451">
        <v>3724.1181608469328</v>
      </c>
      <c r="AE451">
        <v>1117235.44825408</v>
      </c>
      <c r="AF451">
        <v>1117235.44825408</v>
      </c>
      <c r="AG451">
        <v>51.468176978317928</v>
      </c>
      <c r="AH451">
        <v>98.33906415532411</v>
      </c>
      <c r="AI451">
        <v>98.33906415532411</v>
      </c>
      <c r="AJ451">
        <v>13371.29896966333</v>
      </c>
      <c r="AK451">
        <v>2170.1388888888891</v>
      </c>
      <c r="AL451" t="s">
        <v>107</v>
      </c>
      <c r="AM451">
        <v>7621.2774720376183</v>
      </c>
      <c r="AN451">
        <v>782.43169193406345</v>
      </c>
      <c r="AO451">
        <v>16717.6409064051</v>
      </c>
      <c r="AP451">
        <v>23945.147022523899</v>
      </c>
      <c r="AQ451">
        <v>7227.5061161188023</v>
      </c>
      <c r="AR451">
        <v>1.1968201501804171E-2</v>
      </c>
      <c r="AS451">
        <v>259.79740792638279</v>
      </c>
      <c r="AT451">
        <v>148.07747076894219</v>
      </c>
      <c r="AU451">
        <v>15.20224219839144</v>
      </c>
      <c r="AV451">
        <v>324.81509717058287</v>
      </c>
      <c r="AW451">
        <v>465.24179460662282</v>
      </c>
      <c r="AX451">
        <v>140.4266974360398</v>
      </c>
      <c r="AY451">
        <v>1.9106770421799</v>
      </c>
      <c r="AZ451" t="str">
        <f>VLOOKUP(BA451,Sheet1!$A$1:$B$58,2,FALSE)</f>
        <v>Butane</v>
      </c>
      <c r="BA451" t="s">
        <v>108</v>
      </c>
      <c r="BB451" t="s">
        <v>109</v>
      </c>
      <c r="BC451">
        <v>58.121200000000002</v>
      </c>
      <c r="BD451">
        <v>6.5</v>
      </c>
      <c r="BE451">
        <v>-1</v>
      </c>
      <c r="BF451" t="s">
        <v>193</v>
      </c>
      <c r="BG451">
        <v>0.90471939022897707</v>
      </c>
      <c r="BH451">
        <v>0.38499999999999901</v>
      </c>
      <c r="BI451">
        <v>0.48573704117268002</v>
      </c>
      <c r="BJ451">
        <v>90</v>
      </c>
      <c r="BK451">
        <v>1064.228756556618</v>
      </c>
      <c r="BL451">
        <v>321.22249404972462</v>
      </c>
      <c r="BM451">
        <v>3.4659056833409831</v>
      </c>
      <c r="BN451">
        <v>589.20396616796711</v>
      </c>
      <c r="BO451">
        <v>475.0247903886509</v>
      </c>
    </row>
    <row r="452" spans="1:67" x14ac:dyDescent="0.25">
      <c r="A452" s="1">
        <v>450</v>
      </c>
      <c r="B452" t="s">
        <v>193</v>
      </c>
      <c r="C452" t="s">
        <v>194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67</v>
      </c>
      <c r="J452">
        <v>1.145</v>
      </c>
      <c r="K452">
        <v>500</v>
      </c>
      <c r="L452">
        <v>100</v>
      </c>
      <c r="N452" t="s">
        <v>68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69</v>
      </c>
      <c r="AM452">
        <v>4685.4679754069984</v>
      </c>
      <c r="AN452">
        <v>481.02941389436302</v>
      </c>
      <c r="AO452">
        <v>10277.800720247609</v>
      </c>
      <c r="AP452">
        <v>14241.708957831381</v>
      </c>
      <c r="AQ452">
        <v>3963.908237583777</v>
      </c>
      <c r="AR452">
        <v>1.1968201501804171E-2</v>
      </c>
      <c r="AS452">
        <v>259.79740792638279</v>
      </c>
      <c r="AT452">
        <v>148.07747076894219</v>
      </c>
      <c r="AU452">
        <v>15.20224219839144</v>
      </c>
      <c r="AV452">
        <v>324.81509717058287</v>
      </c>
      <c r="AW452">
        <v>450.08871108971232</v>
      </c>
      <c r="AX452">
        <v>125.2736139191294</v>
      </c>
      <c r="AY452">
        <v>1.9106770421799</v>
      </c>
      <c r="AZ452" t="str">
        <f>VLOOKUP(BA452,Sheet1!$A$1:$B$58,2,FALSE)</f>
        <v>Butanol (PW1)</v>
      </c>
      <c r="BA452" t="s">
        <v>110</v>
      </c>
      <c r="BB452" t="s">
        <v>111</v>
      </c>
      <c r="BC452">
        <v>74.120199999999997</v>
      </c>
      <c r="BD452">
        <v>6</v>
      </c>
      <c r="BE452">
        <v>117.7</v>
      </c>
      <c r="BF452" t="s">
        <v>193</v>
      </c>
      <c r="BG452">
        <v>4.3245002338481338E-2</v>
      </c>
      <c r="BH452">
        <v>0.49105882352941199</v>
      </c>
      <c r="BI452">
        <v>0.79008901323287595</v>
      </c>
      <c r="BJ452">
        <v>90</v>
      </c>
      <c r="BK452">
        <v>632.96484257028374</v>
      </c>
      <c r="BL452">
        <v>176.17369944816781</v>
      </c>
      <c r="BM452">
        <v>2.64376172190926</v>
      </c>
      <c r="BN452">
        <v>449.43949272457422</v>
      </c>
      <c r="BO452">
        <v>183.5253498457096</v>
      </c>
    </row>
    <row r="453" spans="1:67" x14ac:dyDescent="0.25">
      <c r="A453" s="1">
        <v>451</v>
      </c>
      <c r="B453" t="s">
        <v>193</v>
      </c>
      <c r="C453" t="s">
        <v>194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67</v>
      </c>
      <c r="J453">
        <v>1.145</v>
      </c>
      <c r="K453">
        <v>500</v>
      </c>
      <c r="L453">
        <v>100</v>
      </c>
      <c r="N453" t="s">
        <v>68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54989.076027588162</v>
      </c>
      <c r="Z453">
        <v>274945380.13794082</v>
      </c>
      <c r="AA453">
        <v>314812460.25794232</v>
      </c>
      <c r="AB453">
        <v>314812.46025794232</v>
      </c>
      <c r="AC453">
        <v>0</v>
      </c>
      <c r="AD453">
        <v>2849.6080375542851</v>
      </c>
      <c r="AE453">
        <v>854882.41126628546</v>
      </c>
      <c r="AF453">
        <v>854882.41126628546</v>
      </c>
      <c r="AG453">
        <v>39.382244188064931</v>
      </c>
      <c r="AH453">
        <v>75.246749839658435</v>
      </c>
      <c r="AI453">
        <v>75.246749839658435</v>
      </c>
      <c r="AJ453">
        <v>10231.40495838312</v>
      </c>
      <c r="AK453">
        <v>854.70085470085473</v>
      </c>
      <c r="AL453" t="s">
        <v>69</v>
      </c>
      <c r="AM453">
        <v>5831.6231125735276</v>
      </c>
      <c r="AN453">
        <v>598.6984144631565</v>
      </c>
      <c r="AO453">
        <v>12791.947472741929</v>
      </c>
      <c r="AP453">
        <v>17516.427340120659</v>
      </c>
      <c r="AQ453">
        <v>4724.4798673787282</v>
      </c>
      <c r="AR453">
        <v>1.1968201501804171E-2</v>
      </c>
      <c r="AS453">
        <v>259.79740792638279</v>
      </c>
      <c r="AT453">
        <v>148.07747076894219</v>
      </c>
      <c r="AU453">
        <v>15.20224219839143</v>
      </c>
      <c r="AV453">
        <v>324.81509717058287</v>
      </c>
      <c r="AW453">
        <v>444.77981641861692</v>
      </c>
      <c r="AX453">
        <v>119.964719248034</v>
      </c>
      <c r="AY453">
        <v>1.9106770421798991</v>
      </c>
      <c r="AZ453" t="str">
        <f>VLOOKUP(BA453,Sheet1!$A$1:$B$58,2,FALSE)</f>
        <v>Butanol (PW2)</v>
      </c>
      <c r="BA453" t="s">
        <v>112</v>
      </c>
      <c r="BB453" t="s">
        <v>111</v>
      </c>
      <c r="BC453">
        <v>74.120199999999997</v>
      </c>
      <c r="BD453">
        <v>6</v>
      </c>
      <c r="BE453">
        <v>117.7</v>
      </c>
      <c r="BF453" t="s">
        <v>193</v>
      </c>
      <c r="BG453">
        <v>0.63480894410183919</v>
      </c>
      <c r="BH453">
        <v>0.39454545454545398</v>
      </c>
      <c r="BI453">
        <v>0.63480384410333901</v>
      </c>
      <c r="BJ453">
        <v>90</v>
      </c>
      <c r="BK453">
        <v>778.50788178314042</v>
      </c>
      <c r="BL453">
        <v>209.97688299461009</v>
      </c>
      <c r="BM453">
        <v>2.7094910487718691</v>
      </c>
      <c r="BN453">
        <v>460.61347829121769</v>
      </c>
      <c r="BO453">
        <v>317.89440349192267</v>
      </c>
    </row>
    <row r="454" spans="1:67" x14ac:dyDescent="0.25">
      <c r="A454" s="1">
        <v>452</v>
      </c>
      <c r="B454" t="s">
        <v>193</v>
      </c>
      <c r="C454" t="s">
        <v>194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67</v>
      </c>
      <c r="J454">
        <v>1.145</v>
      </c>
      <c r="K454">
        <v>500</v>
      </c>
      <c r="L454">
        <v>100</v>
      </c>
      <c r="N454" t="s">
        <v>68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32886.596106784833</v>
      </c>
      <c r="Z454">
        <v>164432980.5339241</v>
      </c>
      <c r="AA454">
        <v>188275762.71134311</v>
      </c>
      <c r="AB454">
        <v>188275.76271134321</v>
      </c>
      <c r="AC454">
        <v>0</v>
      </c>
      <c r="AD454">
        <v>1704.227736917765</v>
      </c>
      <c r="AE454">
        <v>511268.32107532938</v>
      </c>
      <c r="AF454">
        <v>511268.32107532938</v>
      </c>
      <c r="AG454">
        <v>23.552822705038469</v>
      </c>
      <c r="AH454">
        <v>45.001837621050491</v>
      </c>
      <c r="AI454">
        <v>45.001837621050491</v>
      </c>
      <c r="AJ454">
        <v>6118.9622881186524</v>
      </c>
      <c r="AK454">
        <v>854.70085470085473</v>
      </c>
      <c r="AL454" t="s">
        <v>69</v>
      </c>
      <c r="AM454">
        <v>3487.6424156314129</v>
      </c>
      <c r="AN454">
        <v>358.05571521776778</v>
      </c>
      <c r="AO454">
        <v>7650.3123955785832</v>
      </c>
      <c r="AP454">
        <v>10819.36127366869</v>
      </c>
      <c r="AQ454">
        <v>3169.0488780901051</v>
      </c>
      <c r="AR454">
        <v>1.1968201501804171E-2</v>
      </c>
      <c r="AS454">
        <v>259.79740792638279</v>
      </c>
      <c r="AT454">
        <v>148.07747076894219</v>
      </c>
      <c r="AU454">
        <v>15.20224219839144</v>
      </c>
      <c r="AV454">
        <v>324.81509717058287</v>
      </c>
      <c r="AW454">
        <v>459.36580125295058</v>
      </c>
      <c r="AX454">
        <v>134.55070408236779</v>
      </c>
      <c r="AY454">
        <v>1.9106770421799</v>
      </c>
      <c r="AZ454" t="str">
        <f>VLOOKUP(BA454,Sheet1!$A$1:$B$58,2,FALSE)</f>
        <v>Butyrate</v>
      </c>
      <c r="BA454" t="s">
        <v>113</v>
      </c>
      <c r="BB454" t="s">
        <v>114</v>
      </c>
      <c r="BC454">
        <v>87.095680000000002</v>
      </c>
      <c r="BD454">
        <v>4.75</v>
      </c>
      <c r="BE454">
        <v>163.5</v>
      </c>
      <c r="BF454" t="s">
        <v>193</v>
      </c>
      <c r="BG454">
        <v>-0.22115188773773789</v>
      </c>
      <c r="BH454">
        <v>0.56142857142856895</v>
      </c>
      <c r="BI454">
        <v>1.0614439005076</v>
      </c>
      <c r="BJ454">
        <v>90</v>
      </c>
      <c r="BK454">
        <v>480.86050105194158</v>
      </c>
      <c r="BL454">
        <v>140.84661680400461</v>
      </c>
      <c r="BM454">
        <v>2.2212335597844262</v>
      </c>
      <c r="BN454">
        <v>377.60970516335237</v>
      </c>
      <c r="BO454">
        <v>103.2507958885892</v>
      </c>
    </row>
    <row r="455" spans="1:67" x14ac:dyDescent="0.25">
      <c r="A455" s="1">
        <v>453</v>
      </c>
      <c r="B455" t="s">
        <v>193</v>
      </c>
      <c r="C455" t="s">
        <v>194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67</v>
      </c>
      <c r="J455">
        <v>1.145</v>
      </c>
      <c r="K455">
        <v>500</v>
      </c>
      <c r="L455">
        <v>100</v>
      </c>
      <c r="N455" t="s">
        <v>68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41959.238809280301</v>
      </c>
      <c r="Z455">
        <v>209796194.0464015</v>
      </c>
      <c r="AA455">
        <v>240216642.1831297</v>
      </c>
      <c r="AB455">
        <v>240216.6421831297</v>
      </c>
      <c r="AC455">
        <v>0</v>
      </c>
      <c r="AD455">
        <v>2174.3843104509979</v>
      </c>
      <c r="AE455">
        <v>652315.29313529946</v>
      </c>
      <c r="AF455">
        <v>652315.29313529946</v>
      </c>
      <c r="AG455">
        <v>30.05049562759282</v>
      </c>
      <c r="AH455">
        <v>57.416792101769069</v>
      </c>
      <c r="AI455">
        <v>57.416792101769069</v>
      </c>
      <c r="AJ455">
        <v>7807.0408709517169</v>
      </c>
      <c r="AK455">
        <v>854.70085470085473</v>
      </c>
      <c r="AL455" t="s">
        <v>69</v>
      </c>
      <c r="AM455">
        <v>4449.8013878871016</v>
      </c>
      <c r="AN455">
        <v>456.83491271236898</v>
      </c>
      <c r="AO455">
        <v>9760.8546573007425</v>
      </c>
      <c r="AP455">
        <v>13568.378026252039</v>
      </c>
      <c r="AQ455">
        <v>3807.523368951302</v>
      </c>
      <c r="AR455">
        <v>1.1968201501804171E-2</v>
      </c>
      <c r="AS455">
        <v>259.79740792638279</v>
      </c>
      <c r="AT455">
        <v>148.07747076894219</v>
      </c>
      <c r="AU455">
        <v>15.20224219839144</v>
      </c>
      <c r="AV455">
        <v>324.81509717058299</v>
      </c>
      <c r="AW455">
        <v>451.51927590150473</v>
      </c>
      <c r="AX455">
        <v>126.7041787309217</v>
      </c>
      <c r="AY455">
        <v>1.9106770421799</v>
      </c>
      <c r="AZ455" t="str">
        <f>VLOOKUP(BA455,Sheet1!$A$1:$B$58,2,FALSE)</f>
        <v>Catechol</v>
      </c>
      <c r="BA455" t="s">
        <v>115</v>
      </c>
      <c r="BB455" t="s">
        <v>116</v>
      </c>
      <c r="BC455">
        <v>110.10924</v>
      </c>
      <c r="BD455">
        <v>4.333333333333333</v>
      </c>
      <c r="BE455">
        <v>245</v>
      </c>
      <c r="BF455" t="s">
        <v>193</v>
      </c>
      <c r="BG455">
        <v>-0.1014921757470002</v>
      </c>
      <c r="BH455">
        <v>0.34806366047745302</v>
      </c>
      <c r="BI455">
        <v>0.83193303397780305</v>
      </c>
      <c r="BJ455">
        <v>90</v>
      </c>
      <c r="BK455">
        <v>603.03902338897967</v>
      </c>
      <c r="BL455">
        <v>169.22326084228001</v>
      </c>
      <c r="BM455">
        <v>2.653349602492292</v>
      </c>
      <c r="BN455">
        <v>451.06943242368959</v>
      </c>
      <c r="BO455">
        <v>151.96959096529</v>
      </c>
    </row>
    <row r="456" spans="1:67" x14ac:dyDescent="0.25">
      <c r="A456" s="1">
        <v>454</v>
      </c>
      <c r="B456" t="s">
        <v>193</v>
      </c>
      <c r="C456" t="s">
        <v>194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67</v>
      </c>
      <c r="J456">
        <v>1.145</v>
      </c>
      <c r="K456">
        <v>500</v>
      </c>
      <c r="L456">
        <v>100</v>
      </c>
      <c r="N456" t="s">
        <v>68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33504.012215926887</v>
      </c>
      <c r="Z456">
        <v>167520061.07963449</v>
      </c>
      <c r="AA456">
        <v>191810469.93618149</v>
      </c>
      <c r="AB456">
        <v>191810.46993618141</v>
      </c>
      <c r="AC456">
        <v>0</v>
      </c>
      <c r="AD456">
        <v>1736.223071886551</v>
      </c>
      <c r="AE456">
        <v>520866.92156596523</v>
      </c>
      <c r="AF456">
        <v>520866.92156596523</v>
      </c>
      <c r="AG456">
        <v>23.995005657224809</v>
      </c>
      <c r="AH456">
        <v>45.846706436236261</v>
      </c>
      <c r="AI456">
        <v>45.846706436236261</v>
      </c>
      <c r="AJ456">
        <v>6233.8402729258969</v>
      </c>
      <c r="AK456">
        <v>854.70085470085473</v>
      </c>
      <c r="AL456" t="s">
        <v>69</v>
      </c>
      <c r="AM456">
        <v>3553.1197488083099</v>
      </c>
      <c r="AN456">
        <v>364.7778875529043</v>
      </c>
      <c r="AO456">
        <v>7793.9400941601643</v>
      </c>
      <c r="AP456">
        <v>11006.43876398797</v>
      </c>
      <c r="AQ456">
        <v>3212.4986698278021</v>
      </c>
      <c r="AR456">
        <v>1.196820150180416E-2</v>
      </c>
      <c r="AS456">
        <v>259.79740792638268</v>
      </c>
      <c r="AT456">
        <v>148.07747076894219</v>
      </c>
      <c r="AU456">
        <v>15.20224219839144</v>
      </c>
      <c r="AV456">
        <v>324.81509717058287</v>
      </c>
      <c r="AW456">
        <v>458.69706893250788</v>
      </c>
      <c r="AX456">
        <v>133.881971761925</v>
      </c>
      <c r="AY456">
        <v>1.9106770421799</v>
      </c>
      <c r="AZ456" t="str">
        <f>VLOOKUP(BA456,Sheet1!$A$1:$B$58,2,FALSE)</f>
        <v>cis,cis-Muconate</v>
      </c>
      <c r="BA456" t="s">
        <v>117</v>
      </c>
      <c r="BB456" t="s">
        <v>118</v>
      </c>
      <c r="BC456">
        <v>140.09155999999999</v>
      </c>
      <c r="BD456">
        <v>3.333333333333333</v>
      </c>
      <c r="BE456">
        <v>345.4</v>
      </c>
      <c r="BF456" t="s">
        <v>193</v>
      </c>
      <c r="BG456">
        <v>-5.1041868471046047E-2</v>
      </c>
      <c r="BH456">
        <v>0.34261096605744201</v>
      </c>
      <c r="BI456">
        <v>1.0418834801346499</v>
      </c>
      <c r="BJ456">
        <v>90</v>
      </c>
      <c r="BK456">
        <v>489.17505617724288</v>
      </c>
      <c r="BL456">
        <v>142.77771865901349</v>
      </c>
      <c r="BM456">
        <v>2.0886732656371021</v>
      </c>
      <c r="BN456">
        <v>355.07445515830727</v>
      </c>
      <c r="BO456">
        <v>134.10060101893569</v>
      </c>
    </row>
    <row r="457" spans="1:67" x14ac:dyDescent="0.25">
      <c r="A457" s="1">
        <v>455</v>
      </c>
      <c r="B457" t="s">
        <v>193</v>
      </c>
      <c r="C457" t="s">
        <v>194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67</v>
      </c>
      <c r="J457">
        <v>1.145</v>
      </c>
      <c r="K457">
        <v>500</v>
      </c>
      <c r="L457">
        <v>100</v>
      </c>
      <c r="N457" t="s">
        <v>68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16469.57150235556</v>
      </c>
      <c r="Z457">
        <v>82347857.511777818</v>
      </c>
      <c r="AA457">
        <v>94288296.850985602</v>
      </c>
      <c r="AB457">
        <v>94288.2968509856</v>
      </c>
      <c r="AC457">
        <v>0</v>
      </c>
      <c r="AD457">
        <v>853.47539399719301</v>
      </c>
      <c r="AE457">
        <v>256042.61819915791</v>
      </c>
      <c r="AF457">
        <v>256042.61819915791</v>
      </c>
      <c r="AG457">
        <v>11.79522795133262</v>
      </c>
      <c r="AH457">
        <v>22.536871253889881</v>
      </c>
      <c r="AI457">
        <v>22.536871253889881</v>
      </c>
      <c r="AJ457">
        <v>3064.3696476570321</v>
      </c>
      <c r="AK457">
        <v>854.70085470085473</v>
      </c>
      <c r="AL457" t="s">
        <v>69</v>
      </c>
      <c r="AM457">
        <v>1746.607522176465</v>
      </c>
      <c r="AN457">
        <v>179.31391210139489</v>
      </c>
      <c r="AO457">
        <v>3831.268113161279</v>
      </c>
      <c r="AP457">
        <v>5844.9919366357462</v>
      </c>
      <c r="AQ457">
        <v>2013.7238234744671</v>
      </c>
      <c r="AR457">
        <v>1.196820150180416E-2</v>
      </c>
      <c r="AS457">
        <v>259.79740792638268</v>
      </c>
      <c r="AT457">
        <v>148.07747076894219</v>
      </c>
      <c r="AU457">
        <v>15.20224219839143</v>
      </c>
      <c r="AV457">
        <v>324.81509717058287</v>
      </c>
      <c r="AW457">
        <v>495.53870096892717</v>
      </c>
      <c r="AX457">
        <v>170.72360379834441</v>
      </c>
      <c r="AY457">
        <v>1.9106770421798991</v>
      </c>
      <c r="AZ457" t="str">
        <f>VLOOKUP(BA457,Sheet1!$A$1:$B$58,2,FALSE)</f>
        <v>Citrate</v>
      </c>
      <c r="BA457" t="s">
        <v>119</v>
      </c>
      <c r="BB457" t="s">
        <v>120</v>
      </c>
      <c r="BC457">
        <v>189.09639999999999</v>
      </c>
      <c r="BD457">
        <v>2.5</v>
      </c>
      <c r="BF457" t="s">
        <v>193</v>
      </c>
      <c r="BG457">
        <v>-0.49495575349418752</v>
      </c>
      <c r="BH457">
        <v>0.51635036496350195</v>
      </c>
      <c r="BI457">
        <v>2.1195012171999199</v>
      </c>
      <c r="BJ457">
        <v>90</v>
      </c>
      <c r="BK457">
        <v>259.77741940603318</v>
      </c>
      <c r="BL457">
        <v>89.498836598865196</v>
      </c>
      <c r="BM457">
        <v>1.4965944758892931</v>
      </c>
      <c r="BN457">
        <v>254.42106090117991</v>
      </c>
      <c r="BO457">
        <v>5.3563585048533184</v>
      </c>
    </row>
    <row r="458" spans="1:67" x14ac:dyDescent="0.25">
      <c r="A458" s="1">
        <v>456</v>
      </c>
      <c r="B458" t="s">
        <v>193</v>
      </c>
      <c r="C458" t="s">
        <v>194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67</v>
      </c>
      <c r="J458">
        <v>1.145</v>
      </c>
      <c r="K458">
        <v>500</v>
      </c>
      <c r="L458">
        <v>100</v>
      </c>
      <c r="N458" t="s">
        <v>68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42740.544322994057</v>
      </c>
      <c r="Z458">
        <v>213702721.6149703</v>
      </c>
      <c r="AA458">
        <v>244689616.24914101</v>
      </c>
      <c r="AB458">
        <v>244689.61624914111</v>
      </c>
      <c r="AC458">
        <v>0</v>
      </c>
      <c r="AD458">
        <v>2214.8726152653439</v>
      </c>
      <c r="AE458">
        <v>664461.78457960312</v>
      </c>
      <c r="AF458">
        <v>664461.78457960312</v>
      </c>
      <c r="AG458">
        <v>30.610053393413789</v>
      </c>
      <c r="AH458">
        <v>58.485926278696688</v>
      </c>
      <c r="AI458">
        <v>58.485926278696688</v>
      </c>
      <c r="AJ458">
        <v>7952.4125280970848</v>
      </c>
      <c r="AK458">
        <v>854.70085470085473</v>
      </c>
      <c r="AL458" t="s">
        <v>69</v>
      </c>
      <c r="AM458">
        <v>4532.6592865989933</v>
      </c>
      <c r="AN458">
        <v>465.3414453923703</v>
      </c>
      <c r="AO458">
        <v>9942.6074673784369</v>
      </c>
      <c r="AP458">
        <v>13805.114114789299</v>
      </c>
      <c r="AQ458">
        <v>3862.506647410868</v>
      </c>
      <c r="AR458">
        <v>1.1968201501804171E-2</v>
      </c>
      <c r="AS458">
        <v>259.79740792638279</v>
      </c>
      <c r="AT458">
        <v>148.07747076894219</v>
      </c>
      <c r="AU458">
        <v>15.20224219839144</v>
      </c>
      <c r="AV458">
        <v>324.81509717058299</v>
      </c>
      <c r="AW458">
        <v>450.99934774238841</v>
      </c>
      <c r="AX458">
        <v>126.18425057180541</v>
      </c>
      <c r="AY458">
        <v>1.9106770421799</v>
      </c>
      <c r="AZ458" t="str">
        <f>VLOOKUP(BA458,Sheet1!$A$1:$B$58,2,FALSE)</f>
        <v>Coumaric Acid</v>
      </c>
      <c r="BA458" t="s">
        <v>121</v>
      </c>
      <c r="BB458" t="s">
        <v>122</v>
      </c>
      <c r="BC458">
        <v>163.14818</v>
      </c>
      <c r="BD458">
        <v>4.1111111111111107</v>
      </c>
      <c r="BE458">
        <v>346</v>
      </c>
      <c r="BF458" t="s">
        <v>193</v>
      </c>
      <c r="BG458">
        <v>-8.8355891439661369E-2</v>
      </c>
      <c r="BH458">
        <v>0.23061511423550099</v>
      </c>
      <c r="BI458">
        <v>0.81672513532364899</v>
      </c>
      <c r="BJ458">
        <v>90</v>
      </c>
      <c r="BK458">
        <v>613.56062732396902</v>
      </c>
      <c r="BL458">
        <v>171.66696210714969</v>
      </c>
      <c r="BM458">
        <v>2.68773039271507</v>
      </c>
      <c r="BN458">
        <v>456.91416676156177</v>
      </c>
      <c r="BO458">
        <v>156.64646056240721</v>
      </c>
    </row>
    <row r="459" spans="1:67" x14ac:dyDescent="0.25">
      <c r="A459" s="1">
        <v>457</v>
      </c>
      <c r="B459" t="s">
        <v>193</v>
      </c>
      <c r="C459" t="s">
        <v>194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67</v>
      </c>
      <c r="J459">
        <v>1.145</v>
      </c>
      <c r="K459">
        <v>500</v>
      </c>
      <c r="L459">
        <v>100</v>
      </c>
      <c r="N459" t="s">
        <v>68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33284.454518915692</v>
      </c>
      <c r="Z459">
        <v>166422272.5945785</v>
      </c>
      <c r="AA459">
        <v>190553502.12079239</v>
      </c>
      <c r="AB459">
        <v>190553.5021207924</v>
      </c>
      <c r="AC459">
        <v>0</v>
      </c>
      <c r="AD459">
        <v>1724.8452960934801</v>
      </c>
      <c r="AE459">
        <v>517453.58882804401</v>
      </c>
      <c r="AF459">
        <v>517453.58882804401</v>
      </c>
      <c r="AG459">
        <v>23.83776215612059</v>
      </c>
      <c r="AH459">
        <v>45.546264888644437</v>
      </c>
      <c r="AI459">
        <v>45.546264888644437</v>
      </c>
      <c r="AJ459">
        <v>6192.9888189257526</v>
      </c>
      <c r="AK459">
        <v>854.70085470085473</v>
      </c>
      <c r="AL459" t="s">
        <v>69</v>
      </c>
      <c r="AM459">
        <v>3529.835528869944</v>
      </c>
      <c r="AN459">
        <v>362.38743376499491</v>
      </c>
      <c r="AO459">
        <v>7742.8650310695539</v>
      </c>
      <c r="AP459">
        <v>10939.91263626155</v>
      </c>
      <c r="AQ459">
        <v>3197.0476051919918</v>
      </c>
      <c r="AR459">
        <v>1.1968201501804171E-2</v>
      </c>
      <c r="AS459">
        <v>259.79740792638279</v>
      </c>
      <c r="AT459">
        <v>148.07747076894219</v>
      </c>
      <c r="AU459">
        <v>15.20224219839144</v>
      </c>
      <c r="AV459">
        <v>324.81509717058287</v>
      </c>
      <c r="AW459">
        <v>458.9320324874796</v>
      </c>
      <c r="AX459">
        <v>134.1169353168967</v>
      </c>
      <c r="AY459">
        <v>1.9106770421799</v>
      </c>
      <c r="AZ459" t="str">
        <f>VLOOKUP(BA459,Sheet1!$A$1:$B$58,2,FALSE)</f>
        <v>Ethyl Acetate</v>
      </c>
      <c r="BA459" t="s">
        <v>123</v>
      </c>
      <c r="BB459" t="s">
        <v>124</v>
      </c>
      <c r="BC459">
        <v>88.103520000000003</v>
      </c>
      <c r="BD459">
        <v>5</v>
      </c>
      <c r="BE459">
        <v>77.099999999999994</v>
      </c>
      <c r="BF459" t="s">
        <v>193</v>
      </c>
      <c r="BG459">
        <v>-0.1762534529644291</v>
      </c>
      <c r="BH459">
        <v>0.54837209302325696</v>
      </c>
      <c r="BI459">
        <v>1.04875616411757</v>
      </c>
      <c r="BJ459">
        <v>90</v>
      </c>
      <c r="BK459">
        <v>486.21833938940199</v>
      </c>
      <c r="BL459">
        <v>142.09100467519971</v>
      </c>
      <c r="BM459">
        <v>2.200531892459737</v>
      </c>
      <c r="BN459">
        <v>374.09042171815531</v>
      </c>
      <c r="BO459">
        <v>112.12791767124671</v>
      </c>
    </row>
    <row r="460" spans="1:67" x14ac:dyDescent="0.25">
      <c r="A460" s="1">
        <v>458</v>
      </c>
      <c r="B460" t="s">
        <v>193</v>
      </c>
      <c r="C460" t="s">
        <v>194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67</v>
      </c>
      <c r="J460">
        <v>1.145</v>
      </c>
      <c r="K460">
        <v>500</v>
      </c>
      <c r="L460">
        <v>100</v>
      </c>
      <c r="N460" t="s">
        <v>68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65204.799907646717</v>
      </c>
      <c r="Z460">
        <v>326023999.53823358</v>
      </c>
      <c r="AA460">
        <v>373297479.47127748</v>
      </c>
      <c r="AB460">
        <v>373297.47947127762</v>
      </c>
      <c r="AC460">
        <v>0</v>
      </c>
      <c r="AD460">
        <v>3379.000618426986</v>
      </c>
      <c r="AE460">
        <v>1013700.185528096</v>
      </c>
      <c r="AF460">
        <v>1013700.185528096</v>
      </c>
      <c r="AG460">
        <v>46.698572474804429</v>
      </c>
      <c r="AH460">
        <v>89.22589033018302</v>
      </c>
      <c r="AI460">
        <v>89.22589033018302</v>
      </c>
      <c r="AJ460">
        <v>12132.168082816521</v>
      </c>
      <c r="AK460">
        <v>1835.336538461539</v>
      </c>
      <c r="AL460" t="s">
        <v>84</v>
      </c>
      <c r="AM460">
        <v>6915.0065005891838</v>
      </c>
      <c r="AN460">
        <v>709.9230090811127</v>
      </c>
      <c r="AO460">
        <v>15168.401356131109</v>
      </c>
      <c r="AP460">
        <v>21592.434130948361</v>
      </c>
      <c r="AQ460">
        <v>6424.032774817244</v>
      </c>
      <c r="AR460">
        <v>1.1968201501804171E-2</v>
      </c>
      <c r="AS460">
        <v>259.79740792638279</v>
      </c>
      <c r="AT460">
        <v>148.07747076894219</v>
      </c>
      <c r="AU460">
        <v>15.20224219839143</v>
      </c>
      <c r="AV460">
        <v>324.81509717058287</v>
      </c>
      <c r="AW460">
        <v>462.37889054527858</v>
      </c>
      <c r="AX460">
        <v>137.56379337469559</v>
      </c>
      <c r="AY460">
        <v>1.9106770421799</v>
      </c>
      <c r="AZ460" t="str">
        <f>VLOOKUP(BA460,Sheet1!$A$1:$B$58,2,FALSE)</f>
        <v>Farnesene</v>
      </c>
      <c r="BA460" t="s">
        <v>125</v>
      </c>
      <c r="BB460" t="s">
        <v>126</v>
      </c>
      <c r="BC460">
        <v>204.34866</v>
      </c>
      <c r="BD460">
        <v>5.6</v>
      </c>
      <c r="BE460" t="s">
        <v>127</v>
      </c>
      <c r="BF460" t="s">
        <v>193</v>
      </c>
      <c r="BG460">
        <v>0.33852751983396312</v>
      </c>
      <c r="BH460">
        <v>0.120686498855835</v>
      </c>
      <c r="BI460">
        <v>0.53534827030287502</v>
      </c>
      <c r="BJ460">
        <v>90</v>
      </c>
      <c r="BK460">
        <v>959.66373915326028</v>
      </c>
      <c r="BL460">
        <v>285.51256776965539</v>
      </c>
      <c r="BM460">
        <v>3.6270676059519489</v>
      </c>
      <c r="BN460">
        <v>616.60149301183128</v>
      </c>
      <c r="BO460">
        <v>343.062246141429</v>
      </c>
    </row>
    <row r="461" spans="1:67" x14ac:dyDescent="0.25">
      <c r="A461" s="1">
        <v>459</v>
      </c>
      <c r="B461" t="s">
        <v>193</v>
      </c>
      <c r="C461" t="s">
        <v>194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67</v>
      </c>
      <c r="J461">
        <v>1.145</v>
      </c>
      <c r="K461">
        <v>500</v>
      </c>
      <c r="L461">
        <v>100</v>
      </c>
      <c r="N461" t="s">
        <v>68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35384.085917911318</v>
      </c>
      <c r="Z461">
        <v>176920429.5895566</v>
      </c>
      <c r="AA461">
        <v>202573891.88004231</v>
      </c>
      <c r="AB461">
        <v>202573.8918800423</v>
      </c>
      <c r="AC461">
        <v>0</v>
      </c>
      <c r="AD461">
        <v>1833.651025207341</v>
      </c>
      <c r="AE461">
        <v>550095.30756220233</v>
      </c>
      <c r="AF461">
        <v>550095.30756220233</v>
      </c>
      <c r="AG461">
        <v>25.341482575403312</v>
      </c>
      <c r="AH461">
        <v>48.419388971625068</v>
      </c>
      <c r="AI461">
        <v>48.419388971625068</v>
      </c>
      <c r="AJ461">
        <v>6583.6514861013757</v>
      </c>
      <c r="AK461">
        <v>1835.336538461539</v>
      </c>
      <c r="AL461" t="s">
        <v>84</v>
      </c>
      <c r="AM461">
        <v>3752.5026453009432</v>
      </c>
      <c r="AN461">
        <v>385.24735577759742</v>
      </c>
      <c r="AO461">
        <v>8231.2961251762608</v>
      </c>
      <c r="AP461">
        <v>12556.738025641451</v>
      </c>
      <c r="AQ461">
        <v>4325.4419004651936</v>
      </c>
      <c r="AR461">
        <v>1.1968201501804171E-2</v>
      </c>
      <c r="AS461">
        <v>259.79740792638279</v>
      </c>
      <c r="AT461">
        <v>148.07747076894219</v>
      </c>
      <c r="AU461">
        <v>15.20224219839143</v>
      </c>
      <c r="AV461">
        <v>324.81509717058299</v>
      </c>
      <c r="AW461">
        <v>495.50131837310693</v>
      </c>
      <c r="AX461">
        <v>170.68622120252391</v>
      </c>
      <c r="AY461">
        <v>1.9106770421799</v>
      </c>
      <c r="AZ461" t="str">
        <f>VLOOKUP(BA461,Sheet1!$A$1:$B$58,2,FALSE)</f>
        <v>Gamma Butyrolactone</v>
      </c>
      <c r="BA461" t="s">
        <v>128</v>
      </c>
      <c r="BB461" t="s">
        <v>129</v>
      </c>
      <c r="BC461">
        <v>86.08784</v>
      </c>
      <c r="BD461">
        <v>4.5</v>
      </c>
      <c r="BE461">
        <v>204</v>
      </c>
      <c r="BF461" t="s">
        <v>193</v>
      </c>
      <c r="BG461">
        <v>-0.1081125461217179</v>
      </c>
      <c r="BH461">
        <v>0.527910447761194</v>
      </c>
      <c r="BI461">
        <v>0.98652475937872897</v>
      </c>
      <c r="BJ461">
        <v>90</v>
      </c>
      <c r="BK461">
        <v>558.07724558406471</v>
      </c>
      <c r="BL461">
        <v>192.2418622428975</v>
      </c>
      <c r="BM461">
        <v>2.2600853893050541</v>
      </c>
      <c r="BN461">
        <v>384.21451618185921</v>
      </c>
      <c r="BO461">
        <v>173.8627294022055</v>
      </c>
    </row>
    <row r="462" spans="1:67" x14ac:dyDescent="0.25">
      <c r="A462" s="1">
        <v>460</v>
      </c>
      <c r="B462" t="s">
        <v>193</v>
      </c>
      <c r="C462" t="s">
        <v>194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67</v>
      </c>
      <c r="J462">
        <v>1.145</v>
      </c>
      <c r="K462">
        <v>500</v>
      </c>
      <c r="L462">
        <v>100</v>
      </c>
      <c r="N462" t="s">
        <v>68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20846.989062384298</v>
      </c>
      <c r="Z462">
        <v>104234945.31192151</v>
      </c>
      <c r="AA462">
        <v>119349012.3821501</v>
      </c>
      <c r="AB462">
        <v>119349.0123821501</v>
      </c>
      <c r="AC462">
        <v>0</v>
      </c>
      <c r="AD462">
        <v>1080.319072122116</v>
      </c>
      <c r="AE462">
        <v>324095.72163663479</v>
      </c>
      <c r="AF462">
        <v>324095.72163663479</v>
      </c>
      <c r="AG462">
        <v>14.93026021075238</v>
      </c>
      <c r="AH462">
        <v>28.5269054184566</v>
      </c>
      <c r="AI462">
        <v>28.5269054184566</v>
      </c>
      <c r="AJ462">
        <v>3878.842902419879</v>
      </c>
      <c r="AK462">
        <v>854.70085470085473</v>
      </c>
      <c r="AL462" t="s">
        <v>69</v>
      </c>
      <c r="AM462">
        <v>2210.8351699303871</v>
      </c>
      <c r="AN462">
        <v>226.97343180886449</v>
      </c>
      <c r="AO462">
        <v>4849.5739211376231</v>
      </c>
      <c r="AP462">
        <v>7171.3523588599846</v>
      </c>
      <c r="AQ462">
        <v>2321.778437722362</v>
      </c>
      <c r="AR462">
        <v>1.1968201501804171E-2</v>
      </c>
      <c r="AS462">
        <v>259.79740792638279</v>
      </c>
      <c r="AT462">
        <v>148.07747076894219</v>
      </c>
      <c r="AU462">
        <v>15.20224219839144</v>
      </c>
      <c r="AV462">
        <v>324.81509717058299</v>
      </c>
      <c r="AW462">
        <v>480.32333379530559</v>
      </c>
      <c r="AX462">
        <v>155.5082366247226</v>
      </c>
      <c r="AY462">
        <v>1.9106770421799</v>
      </c>
      <c r="AZ462" t="str">
        <f>VLOOKUP(BA462,Sheet1!$A$1:$B$58,2,FALSE)</f>
        <v>L-Glutamate</v>
      </c>
      <c r="BA462" t="s">
        <v>130</v>
      </c>
      <c r="BB462" t="s">
        <v>131</v>
      </c>
      <c r="BC462">
        <v>146.11892</v>
      </c>
      <c r="BD462">
        <v>3.4</v>
      </c>
      <c r="BE462">
        <v>333.8</v>
      </c>
      <c r="BF462" t="s">
        <v>193</v>
      </c>
      <c r="BG462">
        <v>-0.36488892453160121</v>
      </c>
      <c r="BH462">
        <v>0.527910447761194</v>
      </c>
      <c r="BI462">
        <v>1.6744517273714801</v>
      </c>
      <c r="BJ462">
        <v>90</v>
      </c>
      <c r="BK462">
        <v>318.72677150488818</v>
      </c>
      <c r="BL462">
        <v>103.19015278766049</v>
      </c>
      <c r="BM462">
        <v>1.6327513875741171</v>
      </c>
      <c r="BN462">
        <v>277.56773588759989</v>
      </c>
      <c r="BO462">
        <v>41.159035617288282</v>
      </c>
    </row>
    <row r="463" spans="1:67" x14ac:dyDescent="0.25">
      <c r="A463" s="1">
        <v>461</v>
      </c>
      <c r="B463" t="s">
        <v>193</v>
      </c>
      <c r="C463" t="s">
        <v>194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67</v>
      </c>
      <c r="J463">
        <v>1.145</v>
      </c>
      <c r="K463">
        <v>500</v>
      </c>
      <c r="L463">
        <v>100</v>
      </c>
      <c r="N463" t="s">
        <v>68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32623.64129621529</v>
      </c>
      <c r="Z463">
        <v>163118206.48107639</v>
      </c>
      <c r="AA463">
        <v>186770346.42083251</v>
      </c>
      <c r="AB463">
        <v>186770.3464208325</v>
      </c>
      <c r="AC463">
        <v>0</v>
      </c>
      <c r="AD463">
        <v>1690.6010642066869</v>
      </c>
      <c r="AE463">
        <v>507180.31926200609</v>
      </c>
      <c r="AF463">
        <v>507180.31926200609</v>
      </c>
      <c r="AG463">
        <v>23.364498926783309</v>
      </c>
      <c r="AH463">
        <v>44.642011701441781</v>
      </c>
      <c r="AI463">
        <v>44.642011701441781</v>
      </c>
      <c r="AJ463">
        <v>6070.036258677057</v>
      </c>
      <c r="AK463">
        <v>854.70085470085473</v>
      </c>
      <c r="AL463" t="s">
        <v>69</v>
      </c>
      <c r="AM463">
        <v>3459.7559068617379</v>
      </c>
      <c r="AN463">
        <v>355.19277152901668</v>
      </c>
      <c r="AO463">
        <v>7589.1419892451031</v>
      </c>
      <c r="AP463">
        <v>10739.68579176867</v>
      </c>
      <c r="AQ463">
        <v>3150.543802523563</v>
      </c>
      <c r="AR463">
        <v>1.1968201501804171E-2</v>
      </c>
      <c r="AS463">
        <v>259.79740792638279</v>
      </c>
      <c r="AT463">
        <v>148.07747076894219</v>
      </c>
      <c r="AU463">
        <v>15.20224219839144</v>
      </c>
      <c r="AV463">
        <v>324.81509717058287</v>
      </c>
      <c r="AW463">
        <v>459.6582972065151</v>
      </c>
      <c r="AX463">
        <v>134.8432000359322</v>
      </c>
      <c r="AY463">
        <v>1.9106770421799</v>
      </c>
      <c r="AZ463" t="str">
        <f>VLOOKUP(BA463,Sheet1!$A$1:$B$58,2,FALSE)</f>
        <v>Glutarate</v>
      </c>
      <c r="BA463" t="s">
        <v>132</v>
      </c>
      <c r="BB463" t="s">
        <v>133</v>
      </c>
      <c r="BC463">
        <v>130.09654</v>
      </c>
      <c r="BD463">
        <v>3.6</v>
      </c>
      <c r="BE463">
        <v>200</v>
      </c>
      <c r="BF463" t="s">
        <v>193</v>
      </c>
      <c r="BG463">
        <v>9.4244246925266895E-2</v>
      </c>
      <c r="BH463">
        <v>0.378888888888889</v>
      </c>
      <c r="BI463">
        <v>1.0699994071493599</v>
      </c>
      <c r="BJ463">
        <v>90</v>
      </c>
      <c r="BK463">
        <v>477.31936852305188</v>
      </c>
      <c r="BL463">
        <v>140.02416900104731</v>
      </c>
      <c r="BM463">
        <v>1.889845162027701</v>
      </c>
      <c r="BN463">
        <v>321.27367754470919</v>
      </c>
      <c r="BO463">
        <v>156.04569097834269</v>
      </c>
    </row>
    <row r="464" spans="1:67" x14ac:dyDescent="0.25">
      <c r="A464" s="1">
        <v>462</v>
      </c>
      <c r="B464" t="s">
        <v>193</v>
      </c>
      <c r="C464" t="s">
        <v>194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67</v>
      </c>
      <c r="J464">
        <v>1.145</v>
      </c>
      <c r="K464">
        <v>500</v>
      </c>
      <c r="L464">
        <v>100</v>
      </c>
      <c r="N464" t="s">
        <v>68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69</v>
      </c>
      <c r="AM464">
        <v>1734.793724739412</v>
      </c>
      <c r="AN464">
        <v>178.10105906583041</v>
      </c>
      <c r="AO464">
        <v>3805.3539768477431</v>
      </c>
      <c r="AP464">
        <v>5811.2383387350301</v>
      </c>
      <c r="AQ464">
        <v>2005.884361887287</v>
      </c>
      <c r="AR464">
        <v>1.1968201501804171E-2</v>
      </c>
      <c r="AS464">
        <v>259.79740792638279</v>
      </c>
      <c r="AT464">
        <v>148.07747076894219</v>
      </c>
      <c r="AU464">
        <v>15.20224219839143</v>
      </c>
      <c r="AV464">
        <v>324.81509717058287</v>
      </c>
      <c r="AW464">
        <v>496.03215815451063</v>
      </c>
      <c r="AX464">
        <v>171.21706098392769</v>
      </c>
      <c r="AY464">
        <v>1.9106770421799</v>
      </c>
      <c r="AZ464" t="str">
        <f>VLOOKUP(BA464,Sheet1!$A$1:$B$58,2,FALSE)</f>
        <v>Glycolate</v>
      </c>
      <c r="BA464" t="s">
        <v>134</v>
      </c>
      <c r="BB464" t="s">
        <v>135</v>
      </c>
      <c r="BC464">
        <v>75.041920000000005</v>
      </c>
      <c r="BD464">
        <v>2.5</v>
      </c>
      <c r="BE464">
        <v>112</v>
      </c>
      <c r="BF464" t="s">
        <v>193</v>
      </c>
      <c r="BG464">
        <v>-0.27756699595830592</v>
      </c>
      <c r="BH464">
        <v>1.31</v>
      </c>
      <c r="BI464">
        <v>2.1339348398782301</v>
      </c>
      <c r="BJ464">
        <v>90</v>
      </c>
      <c r="BK464">
        <v>258.2772594993346</v>
      </c>
      <c r="BL464">
        <v>89.150416083879392</v>
      </c>
      <c r="BM464">
        <v>1.272430780755101</v>
      </c>
      <c r="BN464">
        <v>216.31323272836721</v>
      </c>
      <c r="BO464">
        <v>41.964026770967372</v>
      </c>
    </row>
    <row r="465" spans="1:67" x14ac:dyDescent="0.25">
      <c r="A465" s="1">
        <v>463</v>
      </c>
      <c r="B465" t="s">
        <v>193</v>
      </c>
      <c r="C465" t="s">
        <v>194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67</v>
      </c>
      <c r="J465">
        <v>1.145</v>
      </c>
      <c r="K465">
        <v>500</v>
      </c>
      <c r="L465">
        <v>100</v>
      </c>
      <c r="N465" t="s">
        <v>68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62280.833463415671</v>
      </c>
      <c r="Z465">
        <v>311404167.31707841</v>
      </c>
      <c r="AA465">
        <v>356557771.57805473</v>
      </c>
      <c r="AB465">
        <v>356557.7715780547</v>
      </c>
      <c r="AC465">
        <v>0</v>
      </c>
      <c r="AD465">
        <v>3227.4767361773629</v>
      </c>
      <c r="AE465">
        <v>968243.02085320896</v>
      </c>
      <c r="AF465">
        <v>968243.02085320896</v>
      </c>
      <c r="AG465">
        <v>44.604477268573952</v>
      </c>
      <c r="AH465">
        <v>85.22475069549948</v>
      </c>
      <c r="AI465">
        <v>85.22475069549948</v>
      </c>
      <c r="AJ465">
        <v>11588.127576286781</v>
      </c>
      <c r="AK465">
        <v>854.70085470085473</v>
      </c>
      <c r="AL465" t="s">
        <v>69</v>
      </c>
      <c r="AM465">
        <v>6604.91817890121</v>
      </c>
      <c r="AN465">
        <v>678.08806656950674</v>
      </c>
      <c r="AO465">
        <v>14488.20761823491</v>
      </c>
      <c r="AP465">
        <v>19725.834676458351</v>
      </c>
      <c r="AQ465">
        <v>5237.6270582234392</v>
      </c>
      <c r="AR465">
        <v>1.1968201501804171E-2</v>
      </c>
      <c r="AS465">
        <v>259.79740792638279</v>
      </c>
      <c r="AT465">
        <v>148.07747076894219</v>
      </c>
      <c r="AU465">
        <v>15.20224219839144</v>
      </c>
      <c r="AV465">
        <v>324.81509717058299</v>
      </c>
      <c r="AW465">
        <v>442.23889359098422</v>
      </c>
      <c r="AX465">
        <v>117.4237964204011</v>
      </c>
      <c r="AY465">
        <v>1.9106770421799</v>
      </c>
      <c r="AZ465" t="str">
        <f>VLOOKUP(BA465,Sheet1!$A$1:$B$58,2,FALSE)</f>
        <v>Heptane</v>
      </c>
      <c r="BA465" t="s">
        <v>136</v>
      </c>
      <c r="BB465" t="s">
        <v>137</v>
      </c>
      <c r="BC465">
        <v>100.20034</v>
      </c>
      <c r="BD465">
        <v>6.2857142857142856</v>
      </c>
      <c r="BE465">
        <v>98</v>
      </c>
      <c r="BF465" t="s">
        <v>193</v>
      </c>
      <c r="BG465">
        <v>0.33444956218882599</v>
      </c>
      <c r="BH465">
        <v>0.25768339768339799</v>
      </c>
      <c r="BI465">
        <v>0.560481851395078</v>
      </c>
      <c r="BJ465">
        <v>90</v>
      </c>
      <c r="BK465">
        <v>876.70376339814879</v>
      </c>
      <c r="BL465">
        <v>232.78342480993049</v>
      </c>
      <c r="BM465">
        <v>3.4533171353889291</v>
      </c>
      <c r="BN465">
        <v>587.06391301611791</v>
      </c>
      <c r="BO465">
        <v>289.63985038203089</v>
      </c>
    </row>
    <row r="466" spans="1:67" x14ac:dyDescent="0.25">
      <c r="A466" s="1">
        <v>464</v>
      </c>
      <c r="B466" t="s">
        <v>193</v>
      </c>
      <c r="C466" t="s">
        <v>194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67</v>
      </c>
      <c r="J466">
        <v>1.145</v>
      </c>
      <c r="K466">
        <v>500</v>
      </c>
      <c r="L466">
        <v>100</v>
      </c>
      <c r="N466" t="s">
        <v>68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64887.295300205937</v>
      </c>
      <c r="Z466">
        <v>324436476.50102967</v>
      </c>
      <c r="AA466">
        <v>371479765.59367907</v>
      </c>
      <c r="AB466">
        <v>371479.7655936791</v>
      </c>
      <c r="AC466">
        <v>0</v>
      </c>
      <c r="AD466">
        <v>3362.547101716325</v>
      </c>
      <c r="AE466">
        <v>1008764.1305148971</v>
      </c>
      <c r="AF466">
        <v>1008764.1305148971</v>
      </c>
      <c r="AG466">
        <v>46.471181056647211</v>
      </c>
      <c r="AH466">
        <v>88.791418767921272</v>
      </c>
      <c r="AI466">
        <v>88.791418767921272</v>
      </c>
      <c r="AJ466">
        <v>12073.09238179457</v>
      </c>
      <c r="AK466">
        <v>854.70085470085473</v>
      </c>
      <c r="AL466" t="s">
        <v>69</v>
      </c>
      <c r="AM466">
        <v>6881.334954513899</v>
      </c>
      <c r="AN466">
        <v>706.46614966845095</v>
      </c>
      <c r="AO466">
        <v>15094.541190546621</v>
      </c>
      <c r="AP466">
        <v>20515.594340677781</v>
      </c>
      <c r="AQ466">
        <v>5421.0531501311616</v>
      </c>
      <c r="AR466">
        <v>1.1968201501804171E-2</v>
      </c>
      <c r="AS466">
        <v>259.79740792638279</v>
      </c>
      <c r="AT466">
        <v>148.07747076894219</v>
      </c>
      <c r="AU466">
        <v>15.20224219839144</v>
      </c>
      <c r="AV466">
        <v>324.81509717058287</v>
      </c>
      <c r="AW466">
        <v>441.46918314104772</v>
      </c>
      <c r="AX466">
        <v>116.65408597046481</v>
      </c>
      <c r="AY466">
        <v>1.9106770421799</v>
      </c>
      <c r="AZ466" t="str">
        <f>VLOOKUP(BA466,Sheet1!$A$1:$B$58,2,FALSE)</f>
        <v>Hexane</v>
      </c>
      <c r="BA466" t="s">
        <v>138</v>
      </c>
      <c r="BB466" t="s">
        <v>139</v>
      </c>
      <c r="BC466">
        <v>86.173959999999994</v>
      </c>
      <c r="BD466">
        <v>6.333333333333333</v>
      </c>
      <c r="BE466">
        <v>69</v>
      </c>
      <c r="BF466" t="s">
        <v>193</v>
      </c>
      <c r="BG466">
        <v>0.4873900047068086</v>
      </c>
      <c r="BH466">
        <v>0.28759036144578298</v>
      </c>
      <c r="BI466">
        <v>0.53796782073443805</v>
      </c>
      <c r="BJ466">
        <v>90</v>
      </c>
      <c r="BK466">
        <v>911.80419291901217</v>
      </c>
      <c r="BL466">
        <v>240.93569556138479</v>
      </c>
      <c r="BM466">
        <v>3.4588952738674701</v>
      </c>
      <c r="BN466">
        <v>588.01219655746991</v>
      </c>
      <c r="BO466">
        <v>323.79199636154232</v>
      </c>
    </row>
    <row r="467" spans="1:67" x14ac:dyDescent="0.25">
      <c r="A467" s="1">
        <v>465</v>
      </c>
      <c r="B467" t="s">
        <v>193</v>
      </c>
      <c r="C467" t="s">
        <v>194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67</v>
      </c>
      <c r="J467">
        <v>1.145</v>
      </c>
      <c r="K467">
        <v>500</v>
      </c>
      <c r="L467">
        <v>100</v>
      </c>
      <c r="N467" t="s">
        <v>68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40550.469839467907</v>
      </c>
      <c r="Z467">
        <v>202752349.19733959</v>
      </c>
      <c r="AA467">
        <v>232151439.83095381</v>
      </c>
      <c r="AB467">
        <v>232151.43983095381</v>
      </c>
      <c r="AC467">
        <v>0</v>
      </c>
      <c r="AD467">
        <v>2101.3800036061189</v>
      </c>
      <c r="AE467">
        <v>630414.00108183571</v>
      </c>
      <c r="AF467">
        <v>630414.00108183571</v>
      </c>
      <c r="AG467">
        <v>29.041559169997409</v>
      </c>
      <c r="AH467">
        <v>55.48904037522319</v>
      </c>
      <c r="AI467">
        <v>55.48904037522319</v>
      </c>
      <c r="AJ467">
        <v>7544.9217945059991</v>
      </c>
      <c r="AK467">
        <v>854.70085470085473</v>
      </c>
      <c r="AL467" t="s">
        <v>69</v>
      </c>
      <c r="AM467">
        <v>4300.400629079797</v>
      </c>
      <c r="AN467">
        <v>441.49681632121627</v>
      </c>
      <c r="AO467">
        <v>9433.1368637879423</v>
      </c>
      <c r="AP467">
        <v>13141.520094607869</v>
      </c>
      <c r="AQ467">
        <v>3708.3832308199248</v>
      </c>
      <c r="AR467">
        <v>1.1968201501804171E-2</v>
      </c>
      <c r="AS467">
        <v>259.79740792638279</v>
      </c>
      <c r="AT467">
        <v>148.07747076894219</v>
      </c>
      <c r="AU467">
        <v>15.20224219839143</v>
      </c>
      <c r="AV467">
        <v>324.81509717058299</v>
      </c>
      <c r="AW467">
        <v>452.50738838375668</v>
      </c>
      <c r="AX467">
        <v>127.6922912131737</v>
      </c>
      <c r="AY467">
        <v>1.9106770421799</v>
      </c>
      <c r="AZ467" t="str">
        <f>VLOOKUP(BA467,Sheet1!$A$1:$B$58,2,FALSE)</f>
        <v>Isobutanol</v>
      </c>
      <c r="BA467" t="s">
        <v>140</v>
      </c>
      <c r="BB467" t="s">
        <v>141</v>
      </c>
      <c r="BC467">
        <v>86.130899999999997</v>
      </c>
      <c r="BD467">
        <v>5.6</v>
      </c>
      <c r="BE467">
        <v>108</v>
      </c>
      <c r="BF467" t="s">
        <v>193</v>
      </c>
      <c r="BG467">
        <v>0.17569582468281389</v>
      </c>
      <c r="BH467">
        <v>0.46042105263158001</v>
      </c>
      <c r="BI467">
        <v>0.86083532408367702</v>
      </c>
      <c r="BJ467">
        <v>90</v>
      </c>
      <c r="BK467">
        <v>584.06755976034958</v>
      </c>
      <c r="BL467">
        <v>164.8170324808855</v>
      </c>
      <c r="BM467">
        <v>2.2904837475493278</v>
      </c>
      <c r="BN467">
        <v>389.38223708338569</v>
      </c>
      <c r="BO467">
        <v>194.68532267696381</v>
      </c>
    </row>
    <row r="468" spans="1:67" x14ac:dyDescent="0.25">
      <c r="A468" s="1">
        <v>466</v>
      </c>
      <c r="B468" t="s">
        <v>193</v>
      </c>
      <c r="C468" t="s">
        <v>194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67</v>
      </c>
      <c r="J468">
        <v>1.145</v>
      </c>
      <c r="K468">
        <v>500</v>
      </c>
      <c r="L468">
        <v>100</v>
      </c>
      <c r="N468" t="s">
        <v>68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34974.633954834513</v>
      </c>
      <c r="Z468">
        <v>174873169.77417251</v>
      </c>
      <c r="AA468">
        <v>200229779.39142761</v>
      </c>
      <c r="AB468">
        <v>200229.77939142761</v>
      </c>
      <c r="AC468">
        <v>0</v>
      </c>
      <c r="AD468">
        <v>1812.432672595075</v>
      </c>
      <c r="AE468">
        <v>543729.80177852255</v>
      </c>
      <c r="AF468">
        <v>543729.80177852255</v>
      </c>
      <c r="AG468">
        <v>25.048240019643981</v>
      </c>
      <c r="AH468">
        <v>47.859097152545573</v>
      </c>
      <c r="AI468">
        <v>47.859097152545573</v>
      </c>
      <c r="AJ468">
        <v>6507.467830221397</v>
      </c>
      <c r="AK468">
        <v>854.70085470085473</v>
      </c>
      <c r="AL468" t="s">
        <v>69</v>
      </c>
      <c r="AM468">
        <v>3709.080029322281</v>
      </c>
      <c r="AN468">
        <v>380.78941142206889</v>
      </c>
      <c r="AO468">
        <v>8136.0465159327459</v>
      </c>
      <c r="AP468">
        <v>11452.038125666601</v>
      </c>
      <c r="AQ468">
        <v>3315.991609733856</v>
      </c>
      <c r="AR468">
        <v>1.1968201501804171E-2</v>
      </c>
      <c r="AS468">
        <v>259.79740792638279</v>
      </c>
      <c r="AT468">
        <v>148.07747076894219</v>
      </c>
      <c r="AU468">
        <v>15.20224219839144</v>
      </c>
      <c r="AV468">
        <v>324.81509717058299</v>
      </c>
      <c r="AW468">
        <v>457.19931287329513</v>
      </c>
      <c r="AX468">
        <v>132.38421570271211</v>
      </c>
      <c r="AY468">
        <v>1.9106770421799</v>
      </c>
      <c r="AZ468" t="str">
        <f>VLOOKUP(BA468,Sheet1!$A$1:$B$58,2,FALSE)</f>
        <v>Isobutyrate</v>
      </c>
      <c r="BA468" t="s">
        <v>142</v>
      </c>
      <c r="BB468" t="s">
        <v>114</v>
      </c>
      <c r="BC468">
        <v>87.095680000000002</v>
      </c>
      <c r="BD468">
        <v>4.75</v>
      </c>
      <c r="BE468">
        <v>155</v>
      </c>
      <c r="BF468" t="s">
        <v>193</v>
      </c>
      <c r="BG468">
        <v>-0.1068615064779226</v>
      </c>
      <c r="BH468">
        <v>0.527910447761194</v>
      </c>
      <c r="BI468">
        <v>0.99807411540267299</v>
      </c>
      <c r="BJ468">
        <v>90</v>
      </c>
      <c r="BK468">
        <v>508.97947225184902</v>
      </c>
      <c r="BL468">
        <v>147.3774048770602</v>
      </c>
      <c r="BM468">
        <v>2.2339324910355032</v>
      </c>
      <c r="BN468">
        <v>379.76852347603551</v>
      </c>
      <c r="BO468">
        <v>129.21094877581339</v>
      </c>
    </row>
    <row r="469" spans="1:67" x14ac:dyDescent="0.25">
      <c r="A469" s="1">
        <v>467</v>
      </c>
      <c r="B469" t="s">
        <v>193</v>
      </c>
      <c r="C469" t="s">
        <v>194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67</v>
      </c>
      <c r="J469">
        <v>1.145</v>
      </c>
      <c r="K469">
        <v>500</v>
      </c>
      <c r="L469">
        <v>100</v>
      </c>
      <c r="N469" t="s">
        <v>68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65354.009976085217</v>
      </c>
      <c r="Z469">
        <v>326770049.88042611</v>
      </c>
      <c r="AA469">
        <v>374151707.11308789</v>
      </c>
      <c r="AB469">
        <v>374151.70711308788</v>
      </c>
      <c r="AC469">
        <v>66773.504273504266</v>
      </c>
      <c r="AD469">
        <v>3386.732885288372</v>
      </c>
      <c r="AE469">
        <v>1016019.865586512</v>
      </c>
      <c r="AF469">
        <v>1016019.865586512</v>
      </c>
      <c r="AG469">
        <v>46.8054341967147</v>
      </c>
      <c r="AH469">
        <v>89.430068568924767</v>
      </c>
      <c r="AI469">
        <v>89.430068568924767</v>
      </c>
      <c r="AJ469">
        <v>12159.930481175359</v>
      </c>
      <c r="AK469">
        <v>2170.1388888888891</v>
      </c>
      <c r="AL469" t="s">
        <v>107</v>
      </c>
      <c r="AM469">
        <v>6930.8303140916696</v>
      </c>
      <c r="AN469">
        <v>711.54754685932983</v>
      </c>
      <c r="AO469">
        <v>15203.11165671721</v>
      </c>
      <c r="AP469">
        <v>21972.447231015241</v>
      </c>
      <c r="AQ469">
        <v>6769.3355742980311</v>
      </c>
      <c r="AR469">
        <v>1.1968201501804171E-2</v>
      </c>
      <c r="AS469">
        <v>259.79740792638279</v>
      </c>
      <c r="AT469">
        <v>148.07747076894219</v>
      </c>
      <c r="AU469">
        <v>15.20224219839144</v>
      </c>
      <c r="AV469">
        <v>324.81509717058287</v>
      </c>
      <c r="AW469">
        <v>469.44222627374961</v>
      </c>
      <c r="AX469">
        <v>144.62712910316671</v>
      </c>
      <c r="AY469">
        <v>1.9106770421799</v>
      </c>
      <c r="AZ469" t="str">
        <f>VLOOKUP(BA469,Sheet1!$A$1:$B$58,2,FALSE)</f>
        <v>Isoprene</v>
      </c>
      <c r="BA469" t="s">
        <v>143</v>
      </c>
      <c r="BB469" t="s">
        <v>144</v>
      </c>
      <c r="BC469">
        <v>68.116219999999998</v>
      </c>
      <c r="BD469">
        <v>5.6</v>
      </c>
      <c r="BE469">
        <v>34.07</v>
      </c>
      <c r="BF469" t="s">
        <v>193</v>
      </c>
      <c r="BG469">
        <v>0.34669464938364342</v>
      </c>
      <c r="BH469">
        <v>0.36123287671232901</v>
      </c>
      <c r="BI469">
        <v>0.53412601397798298</v>
      </c>
      <c r="BJ469">
        <v>90</v>
      </c>
      <c r="BK469">
        <v>976.55321026734396</v>
      </c>
      <c r="BL469">
        <v>300.85935885769021</v>
      </c>
      <c r="BM469">
        <v>3.6279750647907911</v>
      </c>
      <c r="BN469">
        <v>616.75576101443437</v>
      </c>
      <c r="BO469">
        <v>359.79744925290959</v>
      </c>
    </row>
    <row r="470" spans="1:67" x14ac:dyDescent="0.25">
      <c r="A470" s="1">
        <v>468</v>
      </c>
      <c r="B470" t="s">
        <v>193</v>
      </c>
      <c r="C470" t="s">
        <v>194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67</v>
      </c>
      <c r="J470">
        <v>1.145</v>
      </c>
      <c r="K470">
        <v>500</v>
      </c>
      <c r="L470">
        <v>100</v>
      </c>
      <c r="N470" t="s">
        <v>68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45393.788306760012</v>
      </c>
      <c r="Z470">
        <v>226968941.53380001</v>
      </c>
      <c r="AA470">
        <v>259879438.05620101</v>
      </c>
      <c r="AB470">
        <v>259879.438056201</v>
      </c>
      <c r="AC470">
        <v>0</v>
      </c>
      <c r="AD470">
        <v>2352.3672947165642</v>
      </c>
      <c r="AE470">
        <v>705710.18841496925</v>
      </c>
      <c r="AF470">
        <v>705710.18841496925</v>
      </c>
      <c r="AG470">
        <v>32.510261762195292</v>
      </c>
      <c r="AH470">
        <v>62.116610784285591</v>
      </c>
      <c r="AI470">
        <v>62.116610784285591</v>
      </c>
      <c r="AJ470">
        <v>8446.0817368265343</v>
      </c>
      <c r="AK470">
        <v>854.70085470085473</v>
      </c>
      <c r="AL470" t="s">
        <v>69</v>
      </c>
      <c r="AM470">
        <v>4814.0373357821336</v>
      </c>
      <c r="AN470">
        <v>494.22887324199661</v>
      </c>
      <c r="AO470">
        <v>10559.82383332855</v>
      </c>
      <c r="AP470">
        <v>14609.04880055152</v>
      </c>
      <c r="AQ470">
        <v>4049.22496722297</v>
      </c>
      <c r="AR470">
        <v>1.196820150180416E-2</v>
      </c>
      <c r="AS470">
        <v>259.79740792638268</v>
      </c>
      <c r="AT470">
        <v>148.07747076894219</v>
      </c>
      <c r="AU470">
        <v>15.20224219839143</v>
      </c>
      <c r="AV470">
        <v>324.81509717058287</v>
      </c>
      <c r="AW470">
        <v>449.36730769543408</v>
      </c>
      <c r="AX470">
        <v>124.5522105248513</v>
      </c>
      <c r="AY470">
        <v>1.9106770421799</v>
      </c>
      <c r="AZ470" t="str">
        <f>VLOOKUP(BA470,Sheet1!$A$1:$B$58,2,FALSE)</f>
        <v>Isopropanol</v>
      </c>
      <c r="BA470" t="s">
        <v>145</v>
      </c>
      <c r="BB470" t="s">
        <v>79</v>
      </c>
      <c r="BC470">
        <v>60.093820000000001</v>
      </c>
      <c r="BD470">
        <v>6</v>
      </c>
      <c r="BE470">
        <v>82.5</v>
      </c>
      <c r="BF470" t="s">
        <v>193</v>
      </c>
      <c r="BG470">
        <v>0.28759990793124218</v>
      </c>
      <c r="BH470">
        <v>0.58950000000000002</v>
      </c>
      <c r="BI470">
        <v>0.76898796395024305</v>
      </c>
      <c r="BJ470">
        <v>90</v>
      </c>
      <c r="BK470">
        <v>649.29105780228974</v>
      </c>
      <c r="BL470">
        <v>179.96555409879869</v>
      </c>
      <c r="BM470">
        <v>2.473138349148118</v>
      </c>
      <c r="BN470">
        <v>420.43351935518001</v>
      </c>
      <c r="BO470">
        <v>228.8575384471097</v>
      </c>
    </row>
    <row r="471" spans="1:67" x14ac:dyDescent="0.25">
      <c r="A471" s="1">
        <v>469</v>
      </c>
      <c r="B471" t="s">
        <v>193</v>
      </c>
      <c r="C471" t="s">
        <v>194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67</v>
      </c>
      <c r="J471">
        <v>1.145</v>
      </c>
      <c r="K471">
        <v>500</v>
      </c>
      <c r="L471">
        <v>100</v>
      </c>
      <c r="N471" t="s">
        <v>68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23782.940925345061</v>
      </c>
      <c r="Z471">
        <v>118914704.6267253</v>
      </c>
      <c r="AA471">
        <v>136157336.79760051</v>
      </c>
      <c r="AB471">
        <v>136157.3367976005</v>
      </c>
      <c r="AC471">
        <v>0</v>
      </c>
      <c r="AD471">
        <v>1232.4640549250289</v>
      </c>
      <c r="AE471">
        <v>369739.21647750877</v>
      </c>
      <c r="AF471">
        <v>369739.21647750877</v>
      </c>
      <c r="AG471">
        <v>17.032939170724649</v>
      </c>
      <c r="AH471">
        <v>32.544445834350327</v>
      </c>
      <c r="AI471">
        <v>32.544445834350327</v>
      </c>
      <c r="AJ471">
        <v>4425.1134459220166</v>
      </c>
      <c r="AK471">
        <v>854.70085470085473</v>
      </c>
      <c r="AL471" t="s">
        <v>69</v>
      </c>
      <c r="AM471">
        <v>2522.194552162151</v>
      </c>
      <c r="AN471">
        <v>258.93886662382471</v>
      </c>
      <c r="AO471">
        <v>5532.5557918395552</v>
      </c>
      <c r="AP471">
        <v>8060.9477194088458</v>
      </c>
      <c r="AQ471">
        <v>2528.3919275692911</v>
      </c>
      <c r="AR471">
        <v>1.1968201501804171E-2</v>
      </c>
      <c r="AS471">
        <v>259.79740792638279</v>
      </c>
      <c r="AT471">
        <v>148.07747076894219</v>
      </c>
      <c r="AU471">
        <v>15.20224219839143</v>
      </c>
      <c r="AV471">
        <v>324.81509717058287</v>
      </c>
      <c r="AW471">
        <v>473.25641444569908</v>
      </c>
      <c r="AX471">
        <v>148.44131727511609</v>
      </c>
      <c r="AY471">
        <v>1.9106770421799</v>
      </c>
      <c r="AZ471" t="str">
        <f>VLOOKUP(BA471,Sheet1!$A$1:$B$58,2,FALSE)</f>
        <v>Itaconate</v>
      </c>
      <c r="BA471" t="s">
        <v>146</v>
      </c>
      <c r="BB471" t="s">
        <v>147</v>
      </c>
      <c r="BC471">
        <v>128.08086</v>
      </c>
      <c r="BD471">
        <v>3.2</v>
      </c>
      <c r="BE471">
        <v>381</v>
      </c>
      <c r="BF471" t="s">
        <v>193</v>
      </c>
      <c r="BG471">
        <v>-0.41627746388116688</v>
      </c>
      <c r="BH471">
        <v>0.527910447761195</v>
      </c>
      <c r="BI471">
        <v>1.4677443363954901</v>
      </c>
      <c r="BJ471">
        <v>90</v>
      </c>
      <c r="BK471">
        <v>358.26434308483772</v>
      </c>
      <c r="BL471">
        <v>112.37297455863521</v>
      </c>
      <c r="BM471">
        <v>1.862697278741182</v>
      </c>
      <c r="BN471">
        <v>316.65853738600077</v>
      </c>
      <c r="BO471">
        <v>41.605805698836832</v>
      </c>
    </row>
    <row r="472" spans="1:67" x14ac:dyDescent="0.25">
      <c r="A472" s="1">
        <v>470</v>
      </c>
      <c r="B472" t="s">
        <v>193</v>
      </c>
      <c r="C472" t="s">
        <v>194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67</v>
      </c>
      <c r="J472">
        <v>1.145</v>
      </c>
      <c r="K472">
        <v>500</v>
      </c>
      <c r="L472">
        <v>100</v>
      </c>
      <c r="N472" t="s">
        <v>68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65130.194873427499</v>
      </c>
      <c r="Z472">
        <v>325650974.36713749</v>
      </c>
      <c r="AA472">
        <v>372870365.65037239</v>
      </c>
      <c r="AB472">
        <v>372870.36565037252</v>
      </c>
      <c r="AC472">
        <v>0</v>
      </c>
      <c r="AD472">
        <v>3375.1344849962938</v>
      </c>
      <c r="AE472">
        <v>1012540.3454988881</v>
      </c>
      <c r="AF472">
        <v>1012540.3454988881</v>
      </c>
      <c r="AG472">
        <v>46.645141613849312</v>
      </c>
      <c r="AH472">
        <v>89.123801210812161</v>
      </c>
      <c r="AI472">
        <v>89.123801210812161</v>
      </c>
      <c r="AJ472">
        <v>12118.286883637111</v>
      </c>
      <c r="AK472">
        <v>854.70085470085473</v>
      </c>
      <c r="AL472" t="s">
        <v>69</v>
      </c>
      <c r="AM472">
        <v>6907.0945938379427</v>
      </c>
      <c r="AN472">
        <v>709.11074019200441</v>
      </c>
      <c r="AO472">
        <v>15151.046205838071</v>
      </c>
      <c r="AP472">
        <v>20589.193072367911</v>
      </c>
      <c r="AQ472">
        <v>5438.1468665298426</v>
      </c>
      <c r="AR472">
        <v>1.1968201501804171E-2</v>
      </c>
      <c r="AS472">
        <v>259.79740792638279</v>
      </c>
      <c r="AT472">
        <v>148.07747076894219</v>
      </c>
      <c r="AU472">
        <v>15.20224219839144</v>
      </c>
      <c r="AV472">
        <v>324.81509717058287</v>
      </c>
      <c r="AW472">
        <v>441.40059093002759</v>
      </c>
      <c r="AX472">
        <v>116.5854937594447</v>
      </c>
      <c r="AY472">
        <v>1.9106770421799</v>
      </c>
      <c r="AZ472" t="str">
        <f>VLOOKUP(BA472,Sheet1!$A$1:$B$58,2,FALSE)</f>
        <v>Limonene</v>
      </c>
      <c r="BA472" t="s">
        <v>148</v>
      </c>
      <c r="BB472" t="s">
        <v>149</v>
      </c>
      <c r="BC472">
        <v>136.23244</v>
      </c>
      <c r="BD472">
        <v>5.6</v>
      </c>
      <c r="BE472">
        <v>176</v>
      </c>
      <c r="BF472" t="s">
        <v>193</v>
      </c>
      <c r="BG472">
        <v>0.33444395505912888</v>
      </c>
      <c r="BH472">
        <v>0.181237113402062</v>
      </c>
      <c r="BI472">
        <v>0.53596149856209896</v>
      </c>
      <c r="BJ472">
        <v>90</v>
      </c>
      <c r="BK472">
        <v>915.07524766079587</v>
      </c>
      <c r="BL472">
        <v>241.69541629021529</v>
      </c>
      <c r="BM472">
        <v>3.6266138765325229</v>
      </c>
      <c r="BN472">
        <v>616.52435901052888</v>
      </c>
      <c r="BO472">
        <v>298.55088865026698</v>
      </c>
    </row>
    <row r="473" spans="1:67" x14ac:dyDescent="0.25">
      <c r="A473" s="1">
        <v>471</v>
      </c>
      <c r="B473" t="s">
        <v>193</v>
      </c>
      <c r="C473" t="s">
        <v>194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67</v>
      </c>
      <c r="J473">
        <v>1.145</v>
      </c>
      <c r="K473">
        <v>500</v>
      </c>
      <c r="L473">
        <v>100</v>
      </c>
      <c r="N473" t="s">
        <v>68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32495.874733251901</v>
      </c>
      <c r="Z473">
        <v>162479373.6662595</v>
      </c>
      <c r="AA473">
        <v>186038882.8478671</v>
      </c>
      <c r="AB473">
        <v>186038.88284786709</v>
      </c>
      <c r="AC473">
        <v>0</v>
      </c>
      <c r="AD473">
        <v>1683.980028701953</v>
      </c>
      <c r="AE473">
        <v>505194.00861058588</v>
      </c>
      <c r="AF473">
        <v>505194.00861058588</v>
      </c>
      <c r="AG473">
        <v>23.272994680027651</v>
      </c>
      <c r="AH473">
        <v>44.467176637903783</v>
      </c>
      <c r="AI473">
        <v>44.467176637903783</v>
      </c>
      <c r="AJ473">
        <v>6046.2636925556817</v>
      </c>
      <c r="AK473">
        <v>854.70085470085473</v>
      </c>
      <c r="AL473" t="s">
        <v>69</v>
      </c>
      <c r="AM473">
        <v>3446.2061894375429</v>
      </c>
      <c r="AN473">
        <v>353.80170180765577</v>
      </c>
      <c r="AO473">
        <v>7559.420028443642</v>
      </c>
      <c r="AP473">
        <v>10700.972438501731</v>
      </c>
      <c r="AQ473">
        <v>3141.5524100580919</v>
      </c>
      <c r="AR473">
        <v>1.1968201501804171E-2</v>
      </c>
      <c r="AS473">
        <v>259.79740792638279</v>
      </c>
      <c r="AT473">
        <v>148.07747076894219</v>
      </c>
      <c r="AU473">
        <v>15.20224219839144</v>
      </c>
      <c r="AV473">
        <v>324.81509717058287</v>
      </c>
      <c r="AW473">
        <v>459.80212626805007</v>
      </c>
      <c r="AX473">
        <v>134.9870290974672</v>
      </c>
      <c r="AY473">
        <v>1.9106770421799</v>
      </c>
      <c r="AZ473" t="str">
        <f>VLOOKUP(BA473,Sheet1!$A$1:$B$58,2,FALSE)</f>
        <v>L-Lysine</v>
      </c>
      <c r="BA473" t="s">
        <v>150</v>
      </c>
      <c r="BB473" t="s">
        <v>151</v>
      </c>
      <c r="BC473">
        <v>147.19319999999999</v>
      </c>
      <c r="BD473">
        <v>4.833333333333333</v>
      </c>
      <c r="BF473" t="s">
        <v>193</v>
      </c>
      <c r="BG473">
        <v>-1.5281677605138931E-2</v>
      </c>
      <c r="BH473">
        <v>0.33619718309859098</v>
      </c>
      <c r="BI473">
        <v>1.0742064071992601</v>
      </c>
      <c r="BJ473">
        <v>90</v>
      </c>
      <c r="BK473">
        <v>475.59877504452152</v>
      </c>
      <c r="BL473">
        <v>139.6245515581374</v>
      </c>
      <c r="BM473">
        <v>1.991600639289751</v>
      </c>
      <c r="BN473">
        <v>338.57210867925772</v>
      </c>
      <c r="BO473">
        <v>137.02666636526379</v>
      </c>
    </row>
    <row r="474" spans="1:67" x14ac:dyDescent="0.25">
      <c r="A474" s="1">
        <v>472</v>
      </c>
      <c r="B474" t="s">
        <v>193</v>
      </c>
      <c r="C474" t="s">
        <v>194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67</v>
      </c>
      <c r="J474">
        <v>1.145</v>
      </c>
      <c r="K474">
        <v>500</v>
      </c>
      <c r="L474">
        <v>100</v>
      </c>
      <c r="N474" t="s">
        <v>68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15813.132445512791</v>
      </c>
      <c r="Z474">
        <v>79065662.227563947</v>
      </c>
      <c r="AA474">
        <v>90530183.250560716</v>
      </c>
      <c r="AB474">
        <v>90530.183250560716</v>
      </c>
      <c r="AC474">
        <v>0</v>
      </c>
      <c r="AD474">
        <v>819.45783728092374</v>
      </c>
      <c r="AE474">
        <v>245837.3511842771</v>
      </c>
      <c r="AF474">
        <v>245837.3511842771</v>
      </c>
      <c r="AG474">
        <v>11.325097425440619</v>
      </c>
      <c r="AH474">
        <v>21.638603651240071</v>
      </c>
      <c r="AI474">
        <v>21.638603651240071</v>
      </c>
      <c r="AJ474">
        <v>2942.2309556432228</v>
      </c>
      <c r="AK474">
        <v>854.70085470085473</v>
      </c>
      <c r="AL474" t="s">
        <v>69</v>
      </c>
      <c r="AM474">
        <v>1676.991782971106</v>
      </c>
      <c r="AN474">
        <v>172.16687398192749</v>
      </c>
      <c r="AO474">
        <v>3678.5626207108121</v>
      </c>
      <c r="AP474">
        <v>5646.090467297111</v>
      </c>
      <c r="AQ474">
        <v>1967.5278465862989</v>
      </c>
      <c r="AR474">
        <v>1.196820150180416E-2</v>
      </c>
      <c r="AS474">
        <v>259.79740792638268</v>
      </c>
      <c r="AT474">
        <v>148.07747076894219</v>
      </c>
      <c r="AU474">
        <v>15.20224219839143</v>
      </c>
      <c r="AV474">
        <v>324.81509717058287</v>
      </c>
      <c r="AW474">
        <v>498.54674579785728</v>
      </c>
      <c r="AX474">
        <v>173.73164862727441</v>
      </c>
      <c r="AY474">
        <v>1.9106770421798991</v>
      </c>
      <c r="AZ474" t="str">
        <f>VLOOKUP(BA474,Sheet1!$A$1:$B$58,2,FALSE)</f>
        <v>L-Malate</v>
      </c>
      <c r="BA474" t="s">
        <v>152</v>
      </c>
      <c r="BB474" t="s">
        <v>153</v>
      </c>
      <c r="BC474">
        <v>132.06916000000001</v>
      </c>
      <c r="BD474">
        <v>2.5</v>
      </c>
      <c r="BF474" t="s">
        <v>193</v>
      </c>
      <c r="BG474">
        <v>-0.46739383886678521</v>
      </c>
      <c r="BH474">
        <v>0.77</v>
      </c>
      <c r="BI474">
        <v>2.20748652844612</v>
      </c>
      <c r="BJ474">
        <v>90</v>
      </c>
      <c r="BK474">
        <v>250.93735410209379</v>
      </c>
      <c r="BL474">
        <v>87.445682070502201</v>
      </c>
      <c r="BM474">
        <v>1.429109556699677</v>
      </c>
      <c r="BN474">
        <v>242.9486246389452</v>
      </c>
      <c r="BO474">
        <v>7.9887294631486441</v>
      </c>
    </row>
    <row r="475" spans="1:67" x14ac:dyDescent="0.25">
      <c r="A475" s="1">
        <v>473</v>
      </c>
      <c r="B475" t="s">
        <v>193</v>
      </c>
      <c r="C475" t="s">
        <v>194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67</v>
      </c>
      <c r="J475">
        <v>1.145</v>
      </c>
      <c r="K475">
        <v>500</v>
      </c>
      <c r="L475">
        <v>100</v>
      </c>
      <c r="N475" t="s">
        <v>68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14925.650181948389</v>
      </c>
      <c r="Z475">
        <v>74628250.909741953</v>
      </c>
      <c r="AA475">
        <v>85449347.291654542</v>
      </c>
      <c r="AB475">
        <v>85449.347291654543</v>
      </c>
      <c r="AC475">
        <v>0</v>
      </c>
      <c r="AD475">
        <v>773.46731017748243</v>
      </c>
      <c r="AE475">
        <v>232040.1930532447</v>
      </c>
      <c r="AF475">
        <v>232040.1930532447</v>
      </c>
      <c r="AG475">
        <v>10.68949767106877</v>
      </c>
      <c r="AH475">
        <v>20.424177792546601</v>
      </c>
      <c r="AI475">
        <v>20.424177792546601</v>
      </c>
      <c r="AJ475">
        <v>2777.1037869787729</v>
      </c>
      <c r="AK475">
        <v>854.70085470085473</v>
      </c>
      <c r="AL475" t="s">
        <v>69</v>
      </c>
      <c r="AM475">
        <v>1582.8737789223619</v>
      </c>
      <c r="AN475">
        <v>162.50433257472861</v>
      </c>
      <c r="AO475">
        <v>3472.1102247329231</v>
      </c>
      <c r="AP475">
        <v>5377.1827531767176</v>
      </c>
      <c r="AQ475">
        <v>1905.0725284437949</v>
      </c>
      <c r="AR475">
        <v>1.1968201501804171E-2</v>
      </c>
      <c r="AS475">
        <v>259.79740792638279</v>
      </c>
      <c r="AT475">
        <v>148.07747076894219</v>
      </c>
      <c r="AU475">
        <v>15.20224219839144</v>
      </c>
      <c r="AV475">
        <v>324.81509717058287</v>
      </c>
      <c r="AW475">
        <v>503.03418538834762</v>
      </c>
      <c r="AX475">
        <v>178.21908821776461</v>
      </c>
      <c r="AY475">
        <v>1.9106770421799</v>
      </c>
      <c r="AZ475" t="str">
        <f>VLOOKUP(BA475,Sheet1!$A$1:$B$58,2,FALSE)</f>
        <v>Malonate</v>
      </c>
      <c r="BA475" t="s">
        <v>154</v>
      </c>
      <c r="BB475" t="s">
        <v>155</v>
      </c>
      <c r="BC475">
        <v>102.04378</v>
      </c>
      <c r="BD475">
        <v>2</v>
      </c>
      <c r="BE475">
        <v>199</v>
      </c>
      <c r="BF475" t="s">
        <v>193</v>
      </c>
      <c r="BG475">
        <v>-0.47688930953223901</v>
      </c>
      <c r="BH475">
        <v>1.05582089552239</v>
      </c>
      <c r="BI475">
        <v>2.3387441364679602</v>
      </c>
      <c r="BJ475">
        <v>90</v>
      </c>
      <c r="BK475">
        <v>238.98590014118739</v>
      </c>
      <c r="BL475">
        <v>84.669890153057537</v>
      </c>
      <c r="BM475">
        <v>1.3846305447565319</v>
      </c>
      <c r="BN475">
        <v>235.38719260861049</v>
      </c>
      <c r="BO475">
        <v>3.598707532576896</v>
      </c>
    </row>
    <row r="476" spans="1:67" x14ac:dyDescent="0.25">
      <c r="A476" s="1">
        <v>474</v>
      </c>
      <c r="B476" t="s">
        <v>193</v>
      </c>
      <c r="C476" t="s">
        <v>194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67</v>
      </c>
      <c r="J476">
        <v>1.145</v>
      </c>
      <c r="K476">
        <v>500</v>
      </c>
      <c r="L476">
        <v>100</v>
      </c>
      <c r="N476" t="s">
        <v>68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61433.283519968652</v>
      </c>
      <c r="Z476">
        <v>307166417.59984332</v>
      </c>
      <c r="AA476">
        <v>351705548.15182048</v>
      </c>
      <c r="AB476">
        <v>351705.54815182049</v>
      </c>
      <c r="AC476">
        <v>0</v>
      </c>
      <c r="AD476">
        <v>3183.555555725748</v>
      </c>
      <c r="AE476">
        <v>955066.66671772441</v>
      </c>
      <c r="AF476">
        <v>955066.66671772441</v>
      </c>
      <c r="AG476">
        <v>43.99747636501877</v>
      </c>
      <c r="AH476">
        <v>84.064968004494119</v>
      </c>
      <c r="AI476">
        <v>84.064968004494119</v>
      </c>
      <c r="AJ476">
        <v>11430.43031493417</v>
      </c>
      <c r="AK476">
        <v>854.70085470085473</v>
      </c>
      <c r="AL476" t="s">
        <v>69</v>
      </c>
      <c r="AM476">
        <v>6515.035020348294</v>
      </c>
      <c r="AN476">
        <v>668.86029181901813</v>
      </c>
      <c r="AO476">
        <v>14291.044560763999</v>
      </c>
      <c r="AP476">
        <v>19469.026481802339</v>
      </c>
      <c r="AQ476">
        <v>5177.9819210383357</v>
      </c>
      <c r="AR476">
        <v>1.1968201501804171E-2</v>
      </c>
      <c r="AS476">
        <v>259.79740792638279</v>
      </c>
      <c r="AT476">
        <v>148.07747076894219</v>
      </c>
      <c r="AU476">
        <v>15.20224219839143</v>
      </c>
      <c r="AV476">
        <v>324.81509717058287</v>
      </c>
      <c r="AW476">
        <v>442.50325451124382</v>
      </c>
      <c r="AX476">
        <v>117.68815734066089</v>
      </c>
      <c r="AY476">
        <v>1.9106770421799</v>
      </c>
      <c r="AZ476" t="str">
        <f>VLOOKUP(BA476,Sheet1!$A$1:$B$58,2,FALSE)</f>
        <v>Nonane</v>
      </c>
      <c r="BA476" t="s">
        <v>156</v>
      </c>
      <c r="BB476" t="s">
        <v>157</v>
      </c>
      <c r="BC476">
        <v>128.25309999999999</v>
      </c>
      <c r="BD476">
        <v>6.2222222222222223</v>
      </c>
      <c r="BE476">
        <v>151</v>
      </c>
      <c r="BF476" t="s">
        <v>193</v>
      </c>
      <c r="BG476">
        <v>0.27425231763668001</v>
      </c>
      <c r="BH476">
        <v>0.204097859327218</v>
      </c>
      <c r="BI476">
        <v>0.568214408312674</v>
      </c>
      <c r="BJ476">
        <v>90</v>
      </c>
      <c r="BK476">
        <v>865.29006585788159</v>
      </c>
      <c r="BL476">
        <v>230.13252982392609</v>
      </c>
      <c r="BM476">
        <v>3.461968482563059</v>
      </c>
      <c r="BN476">
        <v>588.53464203571991</v>
      </c>
      <c r="BO476">
        <v>276.75542382216167</v>
      </c>
    </row>
    <row r="477" spans="1:67" x14ac:dyDescent="0.25">
      <c r="A477" s="1">
        <v>475</v>
      </c>
      <c r="B477" t="s">
        <v>193</v>
      </c>
      <c r="C477" t="s">
        <v>194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67</v>
      </c>
      <c r="J477">
        <v>1.145</v>
      </c>
      <c r="K477">
        <v>500</v>
      </c>
      <c r="L477">
        <v>100</v>
      </c>
      <c r="N477" t="s">
        <v>68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63401.332892367063</v>
      </c>
      <c r="Z477">
        <v>317006664.46183532</v>
      </c>
      <c r="AA477">
        <v>362972630.80880141</v>
      </c>
      <c r="AB477">
        <v>362972.63080880139</v>
      </c>
      <c r="AC477">
        <v>0</v>
      </c>
      <c r="AD477">
        <v>3285.542526866644</v>
      </c>
      <c r="AE477">
        <v>985662.75805999304</v>
      </c>
      <c r="AF477">
        <v>985662.75805999304</v>
      </c>
      <c r="AG477">
        <v>45.406959967163253</v>
      </c>
      <c r="AH477">
        <v>86.758035964440595</v>
      </c>
      <c r="AI477">
        <v>86.758035964440595</v>
      </c>
      <c r="AJ477">
        <v>11796.61050128605</v>
      </c>
      <c r="AK477">
        <v>854.70085470085473</v>
      </c>
      <c r="AL477" t="s">
        <v>69</v>
      </c>
      <c r="AM477">
        <v>6723.7477872441459</v>
      </c>
      <c r="AN477">
        <v>690.28760291347976</v>
      </c>
      <c r="AO477">
        <v>14748.8661139549</v>
      </c>
      <c r="AP477">
        <v>20065.346746144529</v>
      </c>
      <c r="AQ477">
        <v>5316.4806321896249</v>
      </c>
      <c r="AR477">
        <v>1.1968201501804171E-2</v>
      </c>
      <c r="AS477">
        <v>259.79740792638279</v>
      </c>
      <c r="AT477">
        <v>148.07747076894219</v>
      </c>
      <c r="AU477">
        <v>15.20224219839144</v>
      </c>
      <c r="AV477">
        <v>324.81509717058287</v>
      </c>
      <c r="AW477">
        <v>441.90024526317319</v>
      </c>
      <c r="AX477">
        <v>117.0851480925903</v>
      </c>
      <c r="AY477">
        <v>1.9106770421799</v>
      </c>
      <c r="AZ477" t="str">
        <f>VLOOKUP(BA477,Sheet1!$A$1:$B$58,2,FALSE)</f>
        <v>Octane</v>
      </c>
      <c r="BA477" t="s">
        <v>158</v>
      </c>
      <c r="BB477" t="s">
        <v>159</v>
      </c>
      <c r="BC477">
        <v>114.22672</v>
      </c>
      <c r="BD477">
        <v>6.25</v>
      </c>
      <c r="BE477">
        <v>126</v>
      </c>
      <c r="BF477" t="s">
        <v>193</v>
      </c>
      <c r="BG477">
        <v>0.38803035992281809</v>
      </c>
      <c r="BH477">
        <v>0.22204651162790701</v>
      </c>
      <c r="BI477">
        <v>0.550576387806608</v>
      </c>
      <c r="BJ477">
        <v>90</v>
      </c>
      <c r="BK477">
        <v>891.79318871753458</v>
      </c>
      <c r="BL477">
        <v>236.28802809731681</v>
      </c>
      <c r="BM477">
        <v>3.467882349607875</v>
      </c>
      <c r="BN477">
        <v>589.53999943333883</v>
      </c>
      <c r="BO477">
        <v>302.25318928419568</v>
      </c>
    </row>
    <row r="478" spans="1:67" x14ac:dyDescent="0.25">
      <c r="A478" s="1">
        <v>476</v>
      </c>
      <c r="B478" t="s">
        <v>193</v>
      </c>
      <c r="C478" t="s">
        <v>194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67</v>
      </c>
      <c r="J478">
        <v>1.145</v>
      </c>
      <c r="K478">
        <v>500</v>
      </c>
      <c r="L478">
        <v>100</v>
      </c>
      <c r="N478" t="s">
        <v>68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64121.445949171553</v>
      </c>
      <c r="Z478">
        <v>320607229.74585778</v>
      </c>
      <c r="AA478">
        <v>367095278.05900723</v>
      </c>
      <c r="AB478">
        <v>367095.27805900719</v>
      </c>
      <c r="AC478">
        <v>66773.504273504266</v>
      </c>
      <c r="AD478">
        <v>3322.859756084832</v>
      </c>
      <c r="AE478">
        <v>996857.92682544969</v>
      </c>
      <c r="AF478">
        <v>996857.92682544969</v>
      </c>
      <c r="AG478">
        <v>45.922692732555802</v>
      </c>
      <c r="AH478">
        <v>87.743434719176065</v>
      </c>
      <c r="AI478">
        <v>87.743434719176065</v>
      </c>
      <c r="AJ478">
        <v>11930.59653691773</v>
      </c>
      <c r="AK478">
        <v>2170.1388888888891</v>
      </c>
      <c r="AL478" t="s">
        <v>107</v>
      </c>
      <c r="AM478">
        <v>6800.1161907361447</v>
      </c>
      <c r="AN478">
        <v>698.12789732262343</v>
      </c>
      <c r="AO478">
        <v>14916.38390225993</v>
      </c>
      <c r="AP478">
        <v>21598.97951386539</v>
      </c>
      <c r="AQ478">
        <v>6682.5956116054549</v>
      </c>
      <c r="AR478">
        <v>1.1968201501804171E-2</v>
      </c>
      <c r="AS478">
        <v>259.79740792638279</v>
      </c>
      <c r="AT478">
        <v>148.07747076894219</v>
      </c>
      <c r="AU478">
        <v>15.20224219839143</v>
      </c>
      <c r="AV478">
        <v>324.81509717058287</v>
      </c>
      <c r="AW478">
        <v>470.3334719428006</v>
      </c>
      <c r="AX478">
        <v>145.5183747722177</v>
      </c>
      <c r="AY478">
        <v>1.9106770421798991</v>
      </c>
      <c r="AZ478" t="str">
        <f>VLOOKUP(BA478,Sheet1!$A$1:$B$58,2,FALSE)</f>
        <v>Pentane</v>
      </c>
      <c r="BA478" t="s">
        <v>160</v>
      </c>
      <c r="BB478" t="s">
        <v>161</v>
      </c>
      <c r="BC478">
        <v>72.147580000000005</v>
      </c>
      <c r="BD478">
        <v>6.4</v>
      </c>
      <c r="BE478">
        <v>36.1</v>
      </c>
      <c r="BF478" t="s">
        <v>193</v>
      </c>
      <c r="BG478">
        <v>0.45973903816401662</v>
      </c>
      <c r="BH478">
        <v>0.34760416666666699</v>
      </c>
      <c r="BI478">
        <v>0.54439316408545102</v>
      </c>
      <c r="BJ478">
        <v>90</v>
      </c>
      <c r="BK478">
        <v>959.9546450606839</v>
      </c>
      <c r="BL478">
        <v>297.00424940468679</v>
      </c>
      <c r="BM478">
        <v>3.439969171577141</v>
      </c>
      <c r="BN478">
        <v>584.79475916811407</v>
      </c>
      <c r="BO478">
        <v>375.15988589256978</v>
      </c>
    </row>
    <row r="479" spans="1:67" x14ac:dyDescent="0.25">
      <c r="A479" s="1">
        <v>477</v>
      </c>
      <c r="B479" t="s">
        <v>193</v>
      </c>
      <c r="C479" t="s">
        <v>194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67</v>
      </c>
      <c r="J479">
        <v>1.145</v>
      </c>
      <c r="K479">
        <v>500</v>
      </c>
      <c r="L479">
        <v>100</v>
      </c>
      <c r="N479" t="s">
        <v>68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51588.860624930981</v>
      </c>
      <c r="Z479">
        <v>257944303.12465489</v>
      </c>
      <c r="AA479">
        <v>295346227.07772988</v>
      </c>
      <c r="AB479">
        <v>295346.22707772988</v>
      </c>
      <c r="AC479">
        <v>0</v>
      </c>
      <c r="AD479">
        <v>2673.4042923601178</v>
      </c>
      <c r="AE479">
        <v>802021.28770803544</v>
      </c>
      <c r="AF479">
        <v>802021.28770803544</v>
      </c>
      <c r="AG479">
        <v>36.947067550212672</v>
      </c>
      <c r="AH479">
        <v>70.593913744061283</v>
      </c>
      <c r="AI479">
        <v>70.593913744061283</v>
      </c>
      <c r="AJ479">
        <v>9598.7523800262225</v>
      </c>
      <c r="AK479">
        <v>854.70085470085473</v>
      </c>
      <c r="AL479" t="s">
        <v>69</v>
      </c>
      <c r="AM479">
        <v>5471.0283151647491</v>
      </c>
      <c r="AN479">
        <v>561.67826941866178</v>
      </c>
      <c r="AO479">
        <v>12000.965336490421</v>
      </c>
      <c r="AP479">
        <v>16486.159819310491</v>
      </c>
      <c r="AQ479">
        <v>4485.1944828200694</v>
      </c>
      <c r="AR479">
        <v>1.1968201501804171E-2</v>
      </c>
      <c r="AS479">
        <v>259.79740792638279</v>
      </c>
      <c r="AT479">
        <v>148.07747076894219</v>
      </c>
      <c r="AU479">
        <v>15.20224219839143</v>
      </c>
      <c r="AV479">
        <v>324.81509717058287</v>
      </c>
      <c r="AW479">
        <v>446.21023838779848</v>
      </c>
      <c r="AX479">
        <v>121.3951412172156</v>
      </c>
      <c r="AY479">
        <v>1.9106770421799</v>
      </c>
      <c r="AZ479" t="str">
        <f>VLOOKUP(BA479,Sheet1!$A$1:$B$58,2,FALSE)</f>
        <v>Pentanol (PW1)</v>
      </c>
      <c r="BA479" t="s">
        <v>162</v>
      </c>
      <c r="BB479" t="s">
        <v>83</v>
      </c>
      <c r="BC479">
        <v>88.14658</v>
      </c>
      <c r="BD479">
        <v>6</v>
      </c>
      <c r="BE479">
        <v>138</v>
      </c>
      <c r="BF479" t="s">
        <v>193</v>
      </c>
      <c r="BG479">
        <v>0.32734659262061011</v>
      </c>
      <c r="BH479">
        <v>0.35362962962963002</v>
      </c>
      <c r="BI479">
        <v>0.67664368670189901</v>
      </c>
      <c r="BJ479">
        <v>90</v>
      </c>
      <c r="BK479">
        <v>732.71821419157732</v>
      </c>
      <c r="BL479">
        <v>199.34197701422539</v>
      </c>
      <c r="BM479">
        <v>2.810160684893225</v>
      </c>
      <c r="BN479">
        <v>477.72731643184818</v>
      </c>
      <c r="BO479">
        <v>254.99089775972911</v>
      </c>
    </row>
    <row r="480" spans="1:67" x14ac:dyDescent="0.25">
      <c r="A480" s="1">
        <v>478</v>
      </c>
      <c r="B480" t="s">
        <v>193</v>
      </c>
      <c r="C480" t="s">
        <v>194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67</v>
      </c>
      <c r="J480">
        <v>1.145</v>
      </c>
      <c r="K480">
        <v>500</v>
      </c>
      <c r="L480">
        <v>100</v>
      </c>
      <c r="N480" t="s">
        <v>68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56938.816541590539</v>
      </c>
      <c r="Z480">
        <v>284694082.70795268</v>
      </c>
      <c r="AA480">
        <v>325974724.70060581</v>
      </c>
      <c r="AB480">
        <v>325974.72470060579</v>
      </c>
      <c r="AC480">
        <v>0</v>
      </c>
      <c r="AD480">
        <v>2950.6462189752442</v>
      </c>
      <c r="AE480">
        <v>885193.86569257313</v>
      </c>
      <c r="AF480">
        <v>885193.86569257313</v>
      </c>
      <c r="AG480">
        <v>40.778615296160673</v>
      </c>
      <c r="AH480">
        <v>77.914764058260289</v>
      </c>
      <c r="AI480">
        <v>77.914764058260289</v>
      </c>
      <c r="AJ480">
        <v>10594.17855276969</v>
      </c>
      <c r="AK480">
        <v>854.70085470085473</v>
      </c>
      <c r="AL480" t="s">
        <v>69</v>
      </c>
      <c r="AM480">
        <v>6038.3942145151723</v>
      </c>
      <c r="AN480">
        <v>619.9263862472643</v>
      </c>
      <c r="AO480">
        <v>13245.50988990425</v>
      </c>
      <c r="AP480">
        <v>18107.20000823298</v>
      </c>
      <c r="AQ480">
        <v>4861.69011832873</v>
      </c>
      <c r="AR480">
        <v>1.1968201501804171E-2</v>
      </c>
      <c r="AS480">
        <v>259.79740792638279</v>
      </c>
      <c r="AT480">
        <v>148.07747076894219</v>
      </c>
      <c r="AU480">
        <v>15.20224219839144</v>
      </c>
      <c r="AV480">
        <v>324.81509717058287</v>
      </c>
      <c r="AW480">
        <v>444.03665687828737</v>
      </c>
      <c r="AX480">
        <v>119.2215597077044</v>
      </c>
      <c r="AY480">
        <v>1.9106770421799</v>
      </c>
      <c r="AZ480" t="str">
        <f>VLOOKUP(BA480,Sheet1!$A$1:$B$58,2,FALSE)</f>
        <v>Pentanol (PW2)</v>
      </c>
      <c r="BA480" t="s">
        <v>163</v>
      </c>
      <c r="BB480" t="s">
        <v>83</v>
      </c>
      <c r="BC480">
        <v>88.14658</v>
      </c>
      <c r="BD480">
        <v>6</v>
      </c>
      <c r="BE480">
        <v>138</v>
      </c>
      <c r="BF480" t="s">
        <v>193</v>
      </c>
      <c r="BG480">
        <v>0.62018060518856744</v>
      </c>
      <c r="BH480">
        <v>0.32040268456375798</v>
      </c>
      <c r="BI480">
        <v>0.6130664275487</v>
      </c>
      <c r="BJ480">
        <v>90</v>
      </c>
      <c r="BK480">
        <v>804.76444481035458</v>
      </c>
      <c r="BL480">
        <v>216.07511637016569</v>
      </c>
      <c r="BM480">
        <v>2.842697797400779</v>
      </c>
      <c r="BN480">
        <v>483.25862555813251</v>
      </c>
      <c r="BO480">
        <v>321.50581925222212</v>
      </c>
    </row>
    <row r="481" spans="1:67" x14ac:dyDescent="0.25">
      <c r="A481" s="1">
        <v>479</v>
      </c>
      <c r="B481" t="s">
        <v>193</v>
      </c>
      <c r="C481" t="s">
        <v>194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67</v>
      </c>
      <c r="J481">
        <v>1.145</v>
      </c>
      <c r="K481">
        <v>500</v>
      </c>
      <c r="L481">
        <v>100</v>
      </c>
      <c r="N481" t="s">
        <v>68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58077.51070922186</v>
      </c>
      <c r="Z481">
        <v>290387553.54610932</v>
      </c>
      <c r="AA481">
        <v>332493748.81029522</v>
      </c>
      <c r="AB481">
        <v>332493.74881029519</v>
      </c>
      <c r="AC481">
        <v>0</v>
      </c>
      <c r="AD481">
        <v>3009.654885546955</v>
      </c>
      <c r="AE481">
        <v>902896.46566408651</v>
      </c>
      <c r="AF481">
        <v>902896.46566408651</v>
      </c>
      <c r="AG481">
        <v>41.594128758192369</v>
      </c>
      <c r="AH481">
        <v>79.472946907752885</v>
      </c>
      <c r="AI481">
        <v>79.472946907752885</v>
      </c>
      <c r="AJ481">
        <v>10806.04683633459</v>
      </c>
      <c r="AK481">
        <v>854.70085470085473</v>
      </c>
      <c r="AL481" t="s">
        <v>69</v>
      </c>
      <c r="AM481">
        <v>6159.1533853508481</v>
      </c>
      <c r="AN481">
        <v>632.32401941311878</v>
      </c>
      <c r="AO481">
        <v>13510.40097431799</v>
      </c>
      <c r="AP481">
        <v>18452.225095799411</v>
      </c>
      <c r="AQ481">
        <v>4941.8241214814243</v>
      </c>
      <c r="AR481">
        <v>1.1968201501804171E-2</v>
      </c>
      <c r="AS481">
        <v>259.79740792638279</v>
      </c>
      <c r="AT481">
        <v>148.07747076894219</v>
      </c>
      <c r="AU481">
        <v>15.20224219839143</v>
      </c>
      <c r="AV481">
        <v>324.81509717058287</v>
      </c>
      <c r="AW481">
        <v>443.6257146548615</v>
      </c>
      <c r="AX481">
        <v>118.81061748427859</v>
      </c>
      <c r="AY481">
        <v>1.9106770421798991</v>
      </c>
      <c r="AZ481" t="str">
        <f>VLOOKUP(BA481,Sheet1!$A$1:$B$58,2,FALSE)</f>
        <v>Phenol</v>
      </c>
      <c r="BA481" t="s">
        <v>164</v>
      </c>
      <c r="BB481" t="s">
        <v>165</v>
      </c>
      <c r="BC481">
        <v>94.11023999999999</v>
      </c>
      <c r="BD481">
        <v>4.666666666666667</v>
      </c>
      <c r="BE481">
        <v>181.7</v>
      </c>
      <c r="BF481" t="s">
        <v>193</v>
      </c>
      <c r="BG481">
        <v>0.37305955526024848</v>
      </c>
      <c r="BH481">
        <v>0.29421524663677101</v>
      </c>
      <c r="BI481">
        <v>0.60104636751349205</v>
      </c>
      <c r="BJ481">
        <v>90</v>
      </c>
      <c r="BK481">
        <v>820.09889314664076</v>
      </c>
      <c r="BL481">
        <v>219.63662762139671</v>
      </c>
      <c r="BM481">
        <v>3.1590714184176578</v>
      </c>
      <c r="BN481">
        <v>537.04214113100181</v>
      </c>
      <c r="BO481">
        <v>283.05675201563889</v>
      </c>
    </row>
    <row r="482" spans="1:67" x14ac:dyDescent="0.25">
      <c r="A482" s="1">
        <v>480</v>
      </c>
      <c r="B482" t="s">
        <v>193</v>
      </c>
      <c r="C482" t="s">
        <v>194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67</v>
      </c>
      <c r="J482">
        <v>1.145</v>
      </c>
      <c r="K482">
        <v>500</v>
      </c>
      <c r="L482">
        <v>100</v>
      </c>
      <c r="N482" t="s">
        <v>68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67757.591146448438</v>
      </c>
      <c r="Z482">
        <v>338787955.73224223</v>
      </c>
      <c r="AA482">
        <v>387912209.31341732</v>
      </c>
      <c r="AB482">
        <v>387912.20931341732</v>
      </c>
      <c r="AC482">
        <v>66773.504273504266</v>
      </c>
      <c r="AD482">
        <v>3511.2897012375051</v>
      </c>
      <c r="AE482">
        <v>1053386.9103712509</v>
      </c>
      <c r="AF482">
        <v>1053386.9103712509</v>
      </c>
      <c r="AG482">
        <v>48.526838290313009</v>
      </c>
      <c r="AH482">
        <v>92.719115850877571</v>
      </c>
      <c r="AI482">
        <v>92.719115850877571</v>
      </c>
      <c r="AJ482">
        <v>12607.14680268606</v>
      </c>
      <c r="AK482">
        <v>2170.1388888888891</v>
      </c>
      <c r="AL482" t="s">
        <v>107</v>
      </c>
      <c r="AM482">
        <v>7185.7314784430118</v>
      </c>
      <c r="AN482">
        <v>737.71674881151387</v>
      </c>
      <c r="AO482">
        <v>15762.24969464919</v>
      </c>
      <c r="AP482">
        <v>22700.733918829479</v>
      </c>
      <c r="AQ482">
        <v>6938.4842241802926</v>
      </c>
      <c r="AR482">
        <v>1.1968201501804171E-2</v>
      </c>
      <c r="AS482">
        <v>259.79740792638279</v>
      </c>
      <c r="AT482">
        <v>148.07747076894219</v>
      </c>
      <c r="AU482">
        <v>15.20224219839144</v>
      </c>
      <c r="AV482">
        <v>324.81509717058299</v>
      </c>
      <c r="AW482">
        <v>467.79750584659519</v>
      </c>
      <c r="AX482">
        <v>142.9824086760122</v>
      </c>
      <c r="AY482">
        <v>1.9106770421799</v>
      </c>
      <c r="AZ482" t="str">
        <f>VLOOKUP(BA482,Sheet1!$A$1:$B$58,2,FALSE)</f>
        <v>Propane (PW1)</v>
      </c>
      <c r="BA482" t="s">
        <v>166</v>
      </c>
      <c r="BB482" t="s">
        <v>167</v>
      </c>
      <c r="BC482">
        <v>44.094819999999999</v>
      </c>
      <c r="BD482">
        <v>6.666666666666667</v>
      </c>
      <c r="BE482">
        <v>-42</v>
      </c>
      <c r="BF482" t="s">
        <v>193</v>
      </c>
      <c r="BG482">
        <v>0.71453537989595628</v>
      </c>
      <c r="BH482">
        <v>0.538225806451613</v>
      </c>
      <c r="BI482">
        <v>0.51517883465716197</v>
      </c>
      <c r="BJ482">
        <v>90</v>
      </c>
      <c r="BK482">
        <v>1008.921507503532</v>
      </c>
      <c r="BL482">
        <v>308.37707663023519</v>
      </c>
      <c r="BM482">
        <v>3.4063142134763811</v>
      </c>
      <c r="BN482">
        <v>579.07341629098471</v>
      </c>
      <c r="BO482">
        <v>429.8480912125475</v>
      </c>
    </row>
    <row r="483" spans="1:67" x14ac:dyDescent="0.25">
      <c r="A483" s="1">
        <v>481</v>
      </c>
      <c r="B483" t="s">
        <v>193</v>
      </c>
      <c r="C483" t="s">
        <v>194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67</v>
      </c>
      <c r="J483">
        <v>1.145</v>
      </c>
      <c r="K483">
        <v>500</v>
      </c>
      <c r="L483">
        <v>100</v>
      </c>
      <c r="N483" t="s">
        <v>68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85044.037084536409</v>
      </c>
      <c r="Z483">
        <v>425220185.42268199</v>
      </c>
      <c r="AA483">
        <v>486877112.30897093</v>
      </c>
      <c r="AB483">
        <v>486877.11230897089</v>
      </c>
      <c r="AC483">
        <v>66773.504273504266</v>
      </c>
      <c r="AD483">
        <v>4407.096629530125</v>
      </c>
      <c r="AE483">
        <v>1322128.9888590369</v>
      </c>
      <c r="AF483">
        <v>1322128.9888590369</v>
      </c>
      <c r="AG483">
        <v>60.907097866524381</v>
      </c>
      <c r="AH483">
        <v>116.3737935993725</v>
      </c>
      <c r="AI483">
        <v>116.3737935993725</v>
      </c>
      <c r="AJ483">
        <v>15823.50615004156</v>
      </c>
      <c r="AK483">
        <v>2170.1388888888891</v>
      </c>
      <c r="AL483" t="s">
        <v>107</v>
      </c>
      <c r="AM483">
        <v>9018.969003951368</v>
      </c>
      <c r="AN483">
        <v>925.92445336803394</v>
      </c>
      <c r="AO483">
        <v>19783.544911893321</v>
      </c>
      <c r="AP483">
        <v>27938.53849624985</v>
      </c>
      <c r="AQ483">
        <v>8154.9935843565254</v>
      </c>
      <c r="AR483">
        <v>1.1968201501804171E-2</v>
      </c>
      <c r="AS483">
        <v>259.79740792638279</v>
      </c>
      <c r="AT483">
        <v>148.07747076894219</v>
      </c>
      <c r="AU483">
        <v>15.20224219839144</v>
      </c>
      <c r="AV483">
        <v>324.81509717058299</v>
      </c>
      <c r="AW483">
        <v>458.70743271130908</v>
      </c>
      <c r="AX483">
        <v>133.89233554072609</v>
      </c>
      <c r="AY483">
        <v>1.9106770421799</v>
      </c>
      <c r="AZ483" t="str">
        <f>VLOOKUP(BA483,Sheet1!$A$1:$B$58,2,FALSE)</f>
        <v>Propane (PW2)</v>
      </c>
      <c r="BA483" t="s">
        <v>168</v>
      </c>
      <c r="BB483" t="s">
        <v>167</v>
      </c>
      <c r="BC483">
        <v>44.094819999999999</v>
      </c>
      <c r="BD483">
        <v>6.666666666666667</v>
      </c>
      <c r="BE483">
        <v>-42</v>
      </c>
      <c r="BF483" t="s">
        <v>193</v>
      </c>
      <c r="BG483">
        <v>1.6607224898357491</v>
      </c>
      <c r="BH483">
        <v>0.42882352941176399</v>
      </c>
      <c r="BI483">
        <v>0.410461192138666</v>
      </c>
      <c r="BJ483">
        <v>90</v>
      </c>
      <c r="BK483">
        <v>1241.7128220555489</v>
      </c>
      <c r="BL483">
        <v>362.44415930473451</v>
      </c>
      <c r="BM483">
        <v>3.511446114580806</v>
      </c>
      <c r="BN483">
        <v>596.94583947873696</v>
      </c>
      <c r="BO483">
        <v>644.76698257681198</v>
      </c>
    </row>
    <row r="484" spans="1:67" x14ac:dyDescent="0.25">
      <c r="A484" s="1">
        <v>482</v>
      </c>
      <c r="B484" t="s">
        <v>193</v>
      </c>
      <c r="C484" t="s">
        <v>194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67</v>
      </c>
      <c r="J484">
        <v>1.145</v>
      </c>
      <c r="K484">
        <v>500</v>
      </c>
      <c r="L484">
        <v>100</v>
      </c>
      <c r="N484" t="s">
        <v>68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28807.519067859481</v>
      </c>
      <c r="Z484">
        <v>144037595.33929741</v>
      </c>
      <c r="AA484">
        <v>164923046.66349551</v>
      </c>
      <c r="AB484">
        <v>164923.04666349551</v>
      </c>
      <c r="AC484">
        <v>0</v>
      </c>
      <c r="AD484">
        <v>1492.844466718914</v>
      </c>
      <c r="AE484">
        <v>447853.34001567413</v>
      </c>
      <c r="AF484">
        <v>447853.34001567413</v>
      </c>
      <c r="AG484">
        <v>20.631456869971672</v>
      </c>
      <c r="AH484">
        <v>39.420050988179653</v>
      </c>
      <c r="AI484">
        <v>39.420050988179653</v>
      </c>
      <c r="AJ484">
        <v>5359.9990165636054</v>
      </c>
      <c r="AK484">
        <v>854.70085470085473</v>
      </c>
      <c r="AL484" t="s">
        <v>69</v>
      </c>
      <c r="AM484">
        <v>3055.0539515839232</v>
      </c>
      <c r="AN484">
        <v>313.64440424297629</v>
      </c>
      <c r="AO484">
        <v>6701.4086679905413</v>
      </c>
      <c r="AP484">
        <v>9583.3982270913584</v>
      </c>
      <c r="AQ484">
        <v>2881.9895591008171</v>
      </c>
      <c r="AR484">
        <v>1.1968201501804171E-2</v>
      </c>
      <c r="AS484">
        <v>259.79740792638279</v>
      </c>
      <c r="AT484">
        <v>148.07747076894231</v>
      </c>
      <c r="AU484">
        <v>15.20224219839144</v>
      </c>
      <c r="AV484">
        <v>324.81509717058299</v>
      </c>
      <c r="AW484">
        <v>464.504193159507</v>
      </c>
      <c r="AX484">
        <v>139.68909598892401</v>
      </c>
      <c r="AY484">
        <v>1.9106770421799</v>
      </c>
      <c r="AZ484" t="str">
        <f>VLOOKUP(BA484,Sheet1!$A$1:$B$58,2,FALSE)</f>
        <v>Shikimate</v>
      </c>
      <c r="BA484" t="s">
        <v>169</v>
      </c>
      <c r="BB484" t="s">
        <v>170</v>
      </c>
      <c r="BC484">
        <v>173.14045999999999</v>
      </c>
      <c r="BD484">
        <v>3.8571428571428572</v>
      </c>
      <c r="BE484">
        <v>400.5</v>
      </c>
      <c r="BF484" t="s">
        <v>193</v>
      </c>
      <c r="BG484">
        <v>-0.2025047729879243</v>
      </c>
      <c r="BH484">
        <v>0.32240786240786301</v>
      </c>
      <c r="BI484">
        <v>1.21174186377437</v>
      </c>
      <c r="BJ484">
        <v>90</v>
      </c>
      <c r="BK484">
        <v>425.92881009294922</v>
      </c>
      <c r="BL484">
        <v>128.0884248489252</v>
      </c>
      <c r="BM484">
        <v>1.9545070391292421</v>
      </c>
      <c r="BN484">
        <v>332.26619665197109</v>
      </c>
      <c r="BO484">
        <v>93.662613440978078</v>
      </c>
    </row>
    <row r="485" spans="1:67" x14ac:dyDescent="0.25">
      <c r="A485" s="1">
        <v>483</v>
      </c>
      <c r="B485" t="s">
        <v>193</v>
      </c>
      <c r="C485" t="s">
        <v>194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67</v>
      </c>
      <c r="J485">
        <v>1.145</v>
      </c>
      <c r="K485">
        <v>500</v>
      </c>
      <c r="L485">
        <v>100</v>
      </c>
      <c r="N485" t="s">
        <v>68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69071.016627686316</v>
      </c>
      <c r="Z485">
        <v>345355083.13843161</v>
      </c>
      <c r="AA485">
        <v>395431570.19350421</v>
      </c>
      <c r="AB485">
        <v>395431.57019350422</v>
      </c>
      <c r="AC485">
        <v>0</v>
      </c>
      <c r="AD485">
        <v>3579.353179994383</v>
      </c>
      <c r="AE485">
        <v>1073805.9539983149</v>
      </c>
      <c r="AF485">
        <v>1073805.9539983149</v>
      </c>
      <c r="AG485">
        <v>49.46749135746014</v>
      </c>
      <c r="AH485">
        <v>94.516400070931667</v>
      </c>
      <c r="AI485">
        <v>94.516400070931667</v>
      </c>
      <c r="AJ485">
        <v>12851.526031288889</v>
      </c>
      <c r="AK485">
        <v>854.70085470085473</v>
      </c>
      <c r="AL485" t="s">
        <v>69</v>
      </c>
      <c r="AM485">
        <v>7325.021005497204</v>
      </c>
      <c r="AN485">
        <v>752.01678456294405</v>
      </c>
      <c r="AO485">
        <v>16067.78801205838</v>
      </c>
      <c r="AP485">
        <v>21783.26467604989</v>
      </c>
      <c r="AQ485">
        <v>5715.4766639915069</v>
      </c>
      <c r="AR485">
        <v>1.1968201501804171E-2</v>
      </c>
      <c r="AS485">
        <v>259.79740792638279</v>
      </c>
      <c r="AT485">
        <v>148.07747076894219</v>
      </c>
      <c r="AU485">
        <v>15.20224219839143</v>
      </c>
      <c r="AV485">
        <v>324.81509717058287</v>
      </c>
      <c r="AW485">
        <v>440.35515200559649</v>
      </c>
      <c r="AX485">
        <v>115.54005483501361</v>
      </c>
      <c r="AY485">
        <v>1.9106770421798991</v>
      </c>
      <c r="AZ485" t="str">
        <f>VLOOKUP(BA485,Sheet1!$A$1:$B$58,2,FALSE)</f>
        <v>Styrene</v>
      </c>
      <c r="BA485" t="s">
        <v>171</v>
      </c>
      <c r="BB485" t="s">
        <v>172</v>
      </c>
      <c r="BC485">
        <v>104.14832</v>
      </c>
      <c r="BD485">
        <v>5</v>
      </c>
      <c r="BE485">
        <v>145</v>
      </c>
      <c r="BF485" t="s">
        <v>193</v>
      </c>
      <c r="BG485">
        <v>0.40009259096464822</v>
      </c>
      <c r="BH485">
        <v>0.22354344122657499</v>
      </c>
      <c r="BI485">
        <v>0.50538241002249196</v>
      </c>
      <c r="BJ485">
        <v>90</v>
      </c>
      <c r="BK485">
        <v>968.1450967133286</v>
      </c>
      <c r="BL485">
        <v>254.02118506628921</v>
      </c>
      <c r="BM485">
        <v>3.800636301076759</v>
      </c>
      <c r="BN485">
        <v>646.10817118304908</v>
      </c>
      <c r="BO485">
        <v>322.03692553027952</v>
      </c>
    </row>
    <row r="486" spans="1:67" x14ac:dyDescent="0.25">
      <c r="A486" s="1">
        <v>484</v>
      </c>
      <c r="B486" t="s">
        <v>193</v>
      </c>
      <c r="C486" t="s">
        <v>194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67</v>
      </c>
      <c r="J486">
        <v>1.145</v>
      </c>
      <c r="K486">
        <v>500</v>
      </c>
      <c r="L486">
        <v>100</v>
      </c>
      <c r="N486" t="s">
        <v>68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19153.625294688609</v>
      </c>
      <c r="Z486">
        <v>95768126.473443061</v>
      </c>
      <c r="AA486">
        <v>109654504.8120923</v>
      </c>
      <c r="AB486">
        <v>109654.5048120923</v>
      </c>
      <c r="AC486">
        <v>0</v>
      </c>
      <c r="AD486">
        <v>992.56667925579666</v>
      </c>
      <c r="AE486">
        <v>297770.003776739</v>
      </c>
      <c r="AF486">
        <v>297770.003776739</v>
      </c>
      <c r="AG486">
        <v>13.7175017827847</v>
      </c>
      <c r="AH486">
        <v>26.20971573242857</v>
      </c>
      <c r="AI486">
        <v>26.20971573242857</v>
      </c>
      <c r="AJ486">
        <v>3563.7714063929998</v>
      </c>
      <c r="AK486">
        <v>854.70085470085473</v>
      </c>
      <c r="AL486" t="s">
        <v>69</v>
      </c>
      <c r="AM486">
        <v>2031.252969263214</v>
      </c>
      <c r="AN486">
        <v>208.53678445875931</v>
      </c>
      <c r="AO486">
        <v>4455.6516745128574</v>
      </c>
      <c r="AP486">
        <v>6658.2620148158276</v>
      </c>
      <c r="AQ486">
        <v>2202.6103403029711</v>
      </c>
      <c r="AR486">
        <v>1.1968201501804171E-2</v>
      </c>
      <c r="AS486">
        <v>259.79740792638279</v>
      </c>
      <c r="AT486">
        <v>148.07747076894219</v>
      </c>
      <c r="AU486">
        <v>15.20224219839144</v>
      </c>
      <c r="AV486">
        <v>324.81509717058287</v>
      </c>
      <c r="AW486">
        <v>485.38444683651272</v>
      </c>
      <c r="AX486">
        <v>160.56934966592971</v>
      </c>
      <c r="AY486">
        <v>1.9106770421799</v>
      </c>
      <c r="AZ486" t="str">
        <f>VLOOKUP(BA486,Sheet1!$A$1:$B$58,2,FALSE)</f>
        <v>Succinate</v>
      </c>
      <c r="BA486" t="s">
        <v>173</v>
      </c>
      <c r="BB486" t="s">
        <v>174</v>
      </c>
      <c r="BC486">
        <v>116.07016</v>
      </c>
      <c r="BD486">
        <v>3</v>
      </c>
      <c r="BE486">
        <v>235</v>
      </c>
      <c r="BF486" t="s">
        <v>193</v>
      </c>
      <c r="BG486">
        <v>-0.46828025441939142</v>
      </c>
      <c r="BH486">
        <v>0.72333333333333405</v>
      </c>
      <c r="BI486">
        <v>1.8224892838267901</v>
      </c>
      <c r="BJ486">
        <v>90</v>
      </c>
      <c r="BK486">
        <v>295.92275621403672</v>
      </c>
      <c r="BL486">
        <v>97.893792902354235</v>
      </c>
      <c r="BM486">
        <v>1.633156509193995</v>
      </c>
      <c r="BN486">
        <v>277.63660656297913</v>
      </c>
      <c r="BO486">
        <v>18.286149651057659</v>
      </c>
    </row>
    <row r="487" spans="1:67" x14ac:dyDescent="0.25">
      <c r="A487" s="1">
        <v>485</v>
      </c>
      <c r="B487" t="s">
        <v>180</v>
      </c>
      <c r="C487" t="s">
        <v>195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67</v>
      </c>
      <c r="J487">
        <v>1.4</v>
      </c>
      <c r="K487">
        <v>500</v>
      </c>
      <c r="L487">
        <v>100</v>
      </c>
      <c r="N487" t="s">
        <v>179</v>
      </c>
      <c r="O487">
        <v>0</v>
      </c>
      <c r="P487">
        <v>0.5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33450.531238358773</v>
      </c>
      <c r="Z487">
        <v>167252656.1917938</v>
      </c>
      <c r="AA487">
        <v>234153718.66851139</v>
      </c>
      <c r="AB487">
        <v>234153.7186685114</v>
      </c>
      <c r="AC487">
        <v>0</v>
      </c>
      <c r="AD487">
        <v>1733.451615543878</v>
      </c>
      <c r="AE487">
        <v>3120212.9079789789</v>
      </c>
      <c r="AF487">
        <v>3120212.9079789789</v>
      </c>
      <c r="AG487">
        <v>140.461189180552</v>
      </c>
      <c r="AH487">
        <v>137.32057008015491</v>
      </c>
      <c r="AI487">
        <v>137.32057008015491</v>
      </c>
      <c r="AJ487">
        <v>7609.9958567266194</v>
      </c>
      <c r="AK487">
        <v>854.70085470085473</v>
      </c>
      <c r="AL487" t="s">
        <v>69</v>
      </c>
      <c r="AM487">
        <v>10642.344181212</v>
      </c>
      <c r="AN487">
        <v>364.19560869341012</v>
      </c>
      <c r="AO487">
        <v>23344.496913626332</v>
      </c>
      <c r="AP487">
        <v>19471.236501332889</v>
      </c>
      <c r="AQ487">
        <v>-3873.260412293439</v>
      </c>
      <c r="AR487">
        <v>2.4389348038611112E-3</v>
      </c>
      <c r="AS487">
        <v>54.178637537694172</v>
      </c>
      <c r="AT487">
        <v>75.767151362588066</v>
      </c>
      <c r="AU487">
        <v>2.592855797520444</v>
      </c>
      <c r="AV487">
        <v>166.1989126663222</v>
      </c>
      <c r="AW487">
        <v>138.62360567305259</v>
      </c>
      <c r="AX487">
        <v>-27.57530699326955</v>
      </c>
      <c r="AY487">
        <v>0.97764066274307193</v>
      </c>
      <c r="AZ487" t="str">
        <f>VLOOKUP(BA487,Sheet1!$A$1:$B$58,2,FALSE)</f>
        <v>1,3-Butanediol (PW1)</v>
      </c>
      <c r="BA487" t="s">
        <v>70</v>
      </c>
      <c r="BB487" t="s">
        <v>71</v>
      </c>
      <c r="BC487">
        <v>90.119200000000006</v>
      </c>
      <c r="BD487">
        <v>5.5</v>
      </c>
      <c r="BE487">
        <v>207</v>
      </c>
      <c r="BF487" t="s">
        <v>196</v>
      </c>
      <c r="BG487">
        <v>3.4184724231906172</v>
      </c>
      <c r="BH487">
        <v>9.0909090909090995E-2</v>
      </c>
      <c r="BI487">
        <v>0.17798510852606</v>
      </c>
      <c r="BJ487">
        <v>90</v>
      </c>
      <c r="BK487">
        <v>865.38828894812843</v>
      </c>
      <c r="BL487">
        <v>-172.14490721304151</v>
      </c>
      <c r="BM487">
        <v>2.684664024816267</v>
      </c>
      <c r="BN487">
        <v>456.39288421876552</v>
      </c>
      <c r="BO487">
        <v>408.99540472936297</v>
      </c>
    </row>
    <row r="488" spans="1:67" x14ac:dyDescent="0.25">
      <c r="A488" s="1">
        <v>486</v>
      </c>
      <c r="B488" t="s">
        <v>180</v>
      </c>
      <c r="C488" t="s">
        <v>195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67</v>
      </c>
      <c r="J488">
        <v>1.4</v>
      </c>
      <c r="K488">
        <v>500</v>
      </c>
      <c r="L488">
        <v>100</v>
      </c>
      <c r="N488" t="s">
        <v>179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33450.240553751042</v>
      </c>
      <c r="Z488">
        <v>167251202.7687552</v>
      </c>
      <c r="AA488">
        <v>234151683.8762573</v>
      </c>
      <c r="AB488">
        <v>234151.6838762573</v>
      </c>
      <c r="AC488">
        <v>0</v>
      </c>
      <c r="AD488">
        <v>1733.436551875702</v>
      </c>
      <c r="AE488">
        <v>3120185.7933762642</v>
      </c>
      <c r="AF488">
        <v>3120185.7933762642</v>
      </c>
      <c r="AG488">
        <v>140.4599685749543</v>
      </c>
      <c r="AH488">
        <v>137.3193767664894</v>
      </c>
      <c r="AI488">
        <v>137.3193767664894</v>
      </c>
      <c r="AJ488">
        <v>7609.9297259783634</v>
      </c>
      <c r="AK488">
        <v>854.70085470085473</v>
      </c>
      <c r="AL488" t="s">
        <v>69</v>
      </c>
      <c r="AM488">
        <v>10642.25169940293</v>
      </c>
      <c r="AN488">
        <v>364.1924438391095</v>
      </c>
      <c r="AO488">
        <v>23344.29405030319</v>
      </c>
      <c r="AP488">
        <v>19471.074723921251</v>
      </c>
      <c r="AQ488">
        <v>-3873.219326381939</v>
      </c>
      <c r="AR488">
        <v>2.4389348038611112E-3</v>
      </c>
      <c r="AS488">
        <v>54.178637537694158</v>
      </c>
      <c r="AT488">
        <v>75.767151362588066</v>
      </c>
      <c r="AU488">
        <v>2.5928557975204432</v>
      </c>
      <c r="AV488">
        <v>166.1989126663222</v>
      </c>
      <c r="AW488">
        <v>138.62365855173039</v>
      </c>
      <c r="AX488">
        <v>-27.575254114591761</v>
      </c>
      <c r="AY488">
        <v>0.97764066274307182</v>
      </c>
      <c r="AZ488" t="str">
        <f>VLOOKUP(BA488,Sheet1!$A$1:$B$58,2,FALSE)</f>
        <v>1,3-Butanediol (PW2)</v>
      </c>
      <c r="BA488" t="s">
        <v>72</v>
      </c>
      <c r="BB488" t="s">
        <v>71</v>
      </c>
      <c r="BC488">
        <v>90.119200000000006</v>
      </c>
      <c r="BD488">
        <v>5.5</v>
      </c>
      <c r="BE488">
        <v>207</v>
      </c>
      <c r="BF488" t="s">
        <v>196</v>
      </c>
      <c r="BG488">
        <v>3.4184724231906172</v>
      </c>
      <c r="BH488">
        <v>9.0909090909090995E-2</v>
      </c>
      <c r="BI488">
        <v>0.17798665522738699</v>
      </c>
      <c r="BJ488">
        <v>90</v>
      </c>
      <c r="BK488">
        <v>865.38109884094445</v>
      </c>
      <c r="BL488">
        <v>-172.14308117253049</v>
      </c>
      <c r="BM488">
        <v>2.684610988653354</v>
      </c>
      <c r="BN488">
        <v>456.38386807107031</v>
      </c>
      <c r="BO488">
        <v>408.99723076987419</v>
      </c>
    </row>
    <row r="489" spans="1:67" x14ac:dyDescent="0.25">
      <c r="A489" s="1">
        <v>487</v>
      </c>
      <c r="B489" t="s">
        <v>180</v>
      </c>
      <c r="C489" t="s">
        <v>195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67</v>
      </c>
      <c r="J489">
        <v>1.4</v>
      </c>
      <c r="K489">
        <v>500</v>
      </c>
      <c r="L489">
        <v>100</v>
      </c>
      <c r="N489" t="s">
        <v>179</v>
      </c>
      <c r="O489">
        <v>0</v>
      </c>
      <c r="P489">
        <v>0.5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43729.346348196603</v>
      </c>
      <c r="Z489">
        <v>218646731.74098301</v>
      </c>
      <c r="AA489">
        <v>306105424.4373762</v>
      </c>
      <c r="AB489">
        <v>306105.4244373762</v>
      </c>
      <c r="AC489">
        <v>0</v>
      </c>
      <c r="AD489">
        <v>2266.1136689821492</v>
      </c>
      <c r="AE489">
        <v>4079004.604167867</v>
      </c>
      <c r="AF489">
        <v>4079004.604167867</v>
      </c>
      <c r="AG489">
        <v>183.622673923707</v>
      </c>
      <c r="AH489">
        <v>179.51699262942779</v>
      </c>
      <c r="AI489">
        <v>179.51699262942779</v>
      </c>
      <c r="AJ489">
        <v>9948.426294214727</v>
      </c>
      <c r="AK489">
        <v>854.70085470085473</v>
      </c>
      <c r="AL489" t="s">
        <v>69</v>
      </c>
      <c r="AM489">
        <v>13912.56692878066</v>
      </c>
      <c r="AN489">
        <v>476.10711463928959</v>
      </c>
      <c r="AO489">
        <v>30517.888747002729</v>
      </c>
      <c r="AP489">
        <v>25191.80119233553</v>
      </c>
      <c r="AQ489">
        <v>-5326.0875546672032</v>
      </c>
      <c r="AR489">
        <v>2.4389348038611112E-3</v>
      </c>
      <c r="AS489">
        <v>54.178637537694172</v>
      </c>
      <c r="AT489">
        <v>75.767151362588066</v>
      </c>
      <c r="AU489">
        <v>2.592855797520444</v>
      </c>
      <c r="AV489">
        <v>166.1989126663222</v>
      </c>
      <c r="AW489">
        <v>137.19330327801691</v>
      </c>
      <c r="AX489">
        <v>-29.00560938830532</v>
      </c>
      <c r="AY489">
        <v>0.97764066274307182</v>
      </c>
      <c r="AZ489" t="str">
        <f>VLOOKUP(BA489,Sheet1!$A$1:$B$58,2,FALSE)</f>
        <v>1,3-Diaminopropane</v>
      </c>
      <c r="BA489" t="s">
        <v>73</v>
      </c>
      <c r="BB489" t="s">
        <v>74</v>
      </c>
      <c r="BC489">
        <v>76.139580000000009</v>
      </c>
      <c r="BD489">
        <v>6</v>
      </c>
      <c r="BE489">
        <v>139.30000000000001</v>
      </c>
      <c r="BF489" t="s">
        <v>196</v>
      </c>
      <c r="BG489">
        <v>4.0893378619860972</v>
      </c>
      <c r="BH489">
        <v>8.2307692307691999E-2</v>
      </c>
      <c r="BI489">
        <v>0.13614876347126501</v>
      </c>
      <c r="BJ489">
        <v>90</v>
      </c>
      <c r="BK489">
        <v>1119.635608548246</v>
      </c>
      <c r="BL489">
        <v>-236.71500242965331</v>
      </c>
      <c r="BM489">
        <v>3.8891951437662522</v>
      </c>
      <c r="BN489">
        <v>661.16317444026288</v>
      </c>
      <c r="BO489">
        <v>458.47243410798308</v>
      </c>
    </row>
    <row r="490" spans="1:67" x14ac:dyDescent="0.25">
      <c r="A490" s="1">
        <v>488</v>
      </c>
      <c r="B490" t="s">
        <v>180</v>
      </c>
      <c r="C490" t="s">
        <v>195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67</v>
      </c>
      <c r="J490">
        <v>1.4</v>
      </c>
      <c r="K490">
        <v>500</v>
      </c>
      <c r="L490">
        <v>100</v>
      </c>
      <c r="N490" t="s">
        <v>179</v>
      </c>
      <c r="O490">
        <v>0</v>
      </c>
      <c r="P490">
        <v>0.5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28811.787006367838</v>
      </c>
      <c r="Z490">
        <v>144058935.03183919</v>
      </c>
      <c r="AA490">
        <v>201682509.04457489</v>
      </c>
      <c r="AB490">
        <v>201682.50904457489</v>
      </c>
      <c r="AC490">
        <v>0</v>
      </c>
      <c r="AD490">
        <v>1493.065637045019</v>
      </c>
      <c r="AE490">
        <v>2687518.146681034</v>
      </c>
      <c r="AF490">
        <v>2687518.146681034</v>
      </c>
      <c r="AG490">
        <v>120.98276815079259</v>
      </c>
      <c r="AH490">
        <v>118.27767363543229</v>
      </c>
      <c r="AI490">
        <v>118.27767363543229</v>
      </c>
      <c r="AJ490">
        <v>6554.6815439486836</v>
      </c>
      <c r="AK490">
        <v>854.70085470085473</v>
      </c>
      <c r="AL490" t="s">
        <v>69</v>
      </c>
      <c r="AM490">
        <v>9166.5197067460031</v>
      </c>
      <c r="AN490">
        <v>313.69087179985428</v>
      </c>
      <c r="AO490">
        <v>20107.204518023489</v>
      </c>
      <c r="AP490">
        <v>16889.5929771954</v>
      </c>
      <c r="AQ490">
        <v>-3217.611540828093</v>
      </c>
      <c r="AR490">
        <v>2.4389348038611112E-3</v>
      </c>
      <c r="AS490">
        <v>54.178637537694172</v>
      </c>
      <c r="AT490">
        <v>75.767151362588066</v>
      </c>
      <c r="AU490">
        <v>2.592855797520444</v>
      </c>
      <c r="AV490">
        <v>166.1989126663222</v>
      </c>
      <c r="AW490">
        <v>139.6032942157866</v>
      </c>
      <c r="AX490">
        <v>-26.595618450535621</v>
      </c>
      <c r="AY490">
        <v>0.97764066274307182</v>
      </c>
      <c r="AZ490" t="str">
        <f>VLOOKUP(BA490,Sheet1!$A$1:$B$58,2,FALSE)</f>
        <v>1,3-Propanediol</v>
      </c>
      <c r="BA490" t="s">
        <v>75</v>
      </c>
      <c r="BB490" t="s">
        <v>76</v>
      </c>
      <c r="BC490">
        <v>76.092820000000003</v>
      </c>
      <c r="BD490">
        <v>5.333333333333333</v>
      </c>
      <c r="BE490">
        <v>213</v>
      </c>
      <c r="BF490" t="s">
        <v>196</v>
      </c>
      <c r="BG490">
        <v>2.891862859071328</v>
      </c>
      <c r="BH490">
        <v>0.125</v>
      </c>
      <c r="BI490">
        <v>0.20664099840102901</v>
      </c>
      <c r="BJ490">
        <v>90</v>
      </c>
      <c r="BK490">
        <v>750.64857676423969</v>
      </c>
      <c r="BL490">
        <v>-143.0049573701375</v>
      </c>
      <c r="BM490">
        <v>2.364922635836773</v>
      </c>
      <c r="BN490">
        <v>402.03684809225149</v>
      </c>
      <c r="BO490">
        <v>348.6117286719882</v>
      </c>
    </row>
    <row r="491" spans="1:67" x14ac:dyDescent="0.25">
      <c r="A491" s="1">
        <v>489</v>
      </c>
      <c r="B491" t="s">
        <v>180</v>
      </c>
      <c r="C491" t="s">
        <v>195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67</v>
      </c>
      <c r="J491">
        <v>1.4</v>
      </c>
      <c r="K491">
        <v>500</v>
      </c>
      <c r="L491">
        <v>100</v>
      </c>
      <c r="N491" t="s">
        <v>179</v>
      </c>
      <c r="O491">
        <v>0</v>
      </c>
      <c r="P491">
        <v>0.5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56129.333129700921</v>
      </c>
      <c r="Z491">
        <v>280646665.64850461</v>
      </c>
      <c r="AA491">
        <v>392905331.90790641</v>
      </c>
      <c r="AB491">
        <v>392905.33190790639</v>
      </c>
      <c r="AC491">
        <v>0</v>
      </c>
      <c r="AD491">
        <v>2908.6976974974459</v>
      </c>
      <c r="AE491">
        <v>5235655.8554954045</v>
      </c>
      <c r="AF491">
        <v>5235655.8554954045</v>
      </c>
      <c r="AG491">
        <v>235.69111124514299</v>
      </c>
      <c r="AH491">
        <v>230.42121420035269</v>
      </c>
      <c r="AI491">
        <v>230.42121420035269</v>
      </c>
      <c r="AJ491">
        <v>12769.423287006961</v>
      </c>
      <c r="AK491">
        <v>854.70085470085473</v>
      </c>
      <c r="AL491" t="s">
        <v>69</v>
      </c>
      <c r="AM491">
        <v>17857.64410052733</v>
      </c>
      <c r="AN491">
        <v>611.11306421600489</v>
      </c>
      <c r="AO491">
        <v>39171.606414059963</v>
      </c>
      <c r="AP491">
        <v>32092.881306451149</v>
      </c>
      <c r="AQ491">
        <v>-7078.7251076088032</v>
      </c>
      <c r="AR491">
        <v>2.4389348038611112E-3</v>
      </c>
      <c r="AS491">
        <v>54.178637537694172</v>
      </c>
      <c r="AT491">
        <v>75.767151362588052</v>
      </c>
      <c r="AU491">
        <v>2.592855797520444</v>
      </c>
      <c r="AV491">
        <v>166.1989126663222</v>
      </c>
      <c r="AW491">
        <v>136.16500485277629</v>
      </c>
      <c r="AX491">
        <v>-30.03390781354582</v>
      </c>
      <c r="AY491">
        <v>0.97764066274307171</v>
      </c>
      <c r="AZ491" t="str">
        <f>VLOOKUP(BA491,Sheet1!$A$1:$B$58,2,FALSE)</f>
        <v>1,4-Butanediol</v>
      </c>
      <c r="BA491" t="s">
        <v>77</v>
      </c>
      <c r="BB491" t="s">
        <v>71</v>
      </c>
      <c r="BC491">
        <v>90.119200000000006</v>
      </c>
      <c r="BD491">
        <v>5.5</v>
      </c>
      <c r="BE491">
        <v>230</v>
      </c>
      <c r="BF491" t="s">
        <v>196</v>
      </c>
      <c r="BG491">
        <v>5.2395278261987057</v>
      </c>
      <c r="BH491">
        <v>5.4177215189873E-2</v>
      </c>
      <c r="BI491">
        <v>0.10607103453298</v>
      </c>
      <c r="BJ491">
        <v>90</v>
      </c>
      <c r="BK491">
        <v>1426.3502802867181</v>
      </c>
      <c r="BL491">
        <v>-314.61000478261332</v>
      </c>
      <c r="BM491">
        <v>5.0014150271503039</v>
      </c>
      <c r="BN491">
        <v>850.24055461555167</v>
      </c>
      <c r="BO491">
        <v>576.10972567116619</v>
      </c>
    </row>
    <row r="492" spans="1:67" x14ac:dyDescent="0.25">
      <c r="A492" s="1">
        <v>490</v>
      </c>
      <c r="B492" t="s">
        <v>180</v>
      </c>
      <c r="C492" t="s">
        <v>195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67</v>
      </c>
      <c r="J492">
        <v>1.4</v>
      </c>
      <c r="K492">
        <v>500</v>
      </c>
      <c r="L492">
        <v>100</v>
      </c>
      <c r="N492" t="s">
        <v>179</v>
      </c>
      <c r="O492">
        <v>0</v>
      </c>
      <c r="P492">
        <v>0.5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56471.090802166284</v>
      </c>
      <c r="Z492">
        <v>282355454.01083142</v>
      </c>
      <c r="AA492">
        <v>395297635.61516398</v>
      </c>
      <c r="AB492">
        <v>395297.63561516401</v>
      </c>
      <c r="AC492">
        <v>0</v>
      </c>
      <c r="AD492">
        <v>2926.4080407275192</v>
      </c>
      <c r="AE492">
        <v>5267534.4733095346</v>
      </c>
      <c r="AF492">
        <v>5267534.4733095346</v>
      </c>
      <c r="AG492">
        <v>237.1261763191176</v>
      </c>
      <c r="AH492">
        <v>231.8241921703526</v>
      </c>
      <c r="AI492">
        <v>231.8241921703526</v>
      </c>
      <c r="AJ492">
        <v>12847.173157492831</v>
      </c>
      <c r="AK492">
        <v>854.70085470085473</v>
      </c>
      <c r="AL492" t="s">
        <v>69</v>
      </c>
      <c r="AM492">
        <v>17966.37489320233</v>
      </c>
      <c r="AN492">
        <v>614.83398101287889</v>
      </c>
      <c r="AO492">
        <v>39410.11266895994</v>
      </c>
      <c r="AP492">
        <v>32283.082886408891</v>
      </c>
      <c r="AQ492">
        <v>-7127.0297825510497</v>
      </c>
      <c r="AR492">
        <v>2.4389348038611112E-3</v>
      </c>
      <c r="AS492">
        <v>54.178637537694172</v>
      </c>
      <c r="AT492">
        <v>75.767151362588052</v>
      </c>
      <c r="AU492">
        <v>2.592855797520444</v>
      </c>
      <c r="AV492">
        <v>166.1989126663222</v>
      </c>
      <c r="AW492">
        <v>136.1430584658998</v>
      </c>
      <c r="AX492">
        <v>-30.05585420042237</v>
      </c>
      <c r="AY492">
        <v>0.9776406627430716</v>
      </c>
      <c r="AZ492" t="str">
        <f>VLOOKUP(BA492,Sheet1!$A$1:$B$58,2,FALSE)</f>
        <v>1-Propanol (PW1)</v>
      </c>
      <c r="BA492" t="s">
        <v>78</v>
      </c>
      <c r="BB492" t="s">
        <v>79</v>
      </c>
      <c r="BC492">
        <v>60.093820000000001</v>
      </c>
      <c r="BD492">
        <v>6</v>
      </c>
      <c r="BE492">
        <v>97</v>
      </c>
      <c r="BF492" t="s">
        <v>196</v>
      </c>
      <c r="BG492">
        <v>5.6329722828388409</v>
      </c>
      <c r="BH492">
        <v>8.0754716981131999E-2</v>
      </c>
      <c r="BI492">
        <v>0.105429102716841</v>
      </c>
      <c r="BJ492">
        <v>90</v>
      </c>
      <c r="BK492">
        <v>1434.803683840395</v>
      </c>
      <c r="BL492">
        <v>-316.75687922449089</v>
      </c>
      <c r="BM492">
        <v>4.6703251469546094</v>
      </c>
      <c r="BN492">
        <v>793.95527498228341</v>
      </c>
      <c r="BO492">
        <v>640.84840885811184</v>
      </c>
    </row>
    <row r="493" spans="1:67" x14ac:dyDescent="0.25">
      <c r="A493" s="1">
        <v>491</v>
      </c>
      <c r="B493" t="s">
        <v>180</v>
      </c>
      <c r="C493" t="s">
        <v>195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67</v>
      </c>
      <c r="J493">
        <v>1.4</v>
      </c>
      <c r="K493">
        <v>500</v>
      </c>
      <c r="L493">
        <v>100</v>
      </c>
      <c r="N493" t="s">
        <v>179</v>
      </c>
      <c r="O493">
        <v>0</v>
      </c>
      <c r="P493">
        <v>0.5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41042.762598102832</v>
      </c>
      <c r="Z493">
        <v>205213812.99051419</v>
      </c>
      <c r="AA493">
        <v>287299338.18671978</v>
      </c>
      <c r="AB493">
        <v>287299.3381867198</v>
      </c>
      <c r="AC493">
        <v>0</v>
      </c>
      <c r="AD493">
        <v>2126.8912779023449</v>
      </c>
      <c r="AE493">
        <v>3828404.3002242199</v>
      </c>
      <c r="AF493">
        <v>3828404.3002242199</v>
      </c>
      <c r="AG493">
        <v>172.3415153172156</v>
      </c>
      <c r="AH493">
        <v>168.48807325286791</v>
      </c>
      <c r="AI493">
        <v>168.48807325286791</v>
      </c>
      <c r="AJ493">
        <v>9337.2284910683939</v>
      </c>
      <c r="AK493">
        <v>854.70085470085473</v>
      </c>
      <c r="AL493" t="s">
        <v>69</v>
      </c>
      <c r="AM493">
        <v>13057.825677097269</v>
      </c>
      <c r="AN493">
        <v>446.8566971437009</v>
      </c>
      <c r="AO493">
        <v>28642.972452987549</v>
      </c>
      <c r="AP493">
        <v>23696.61172001022</v>
      </c>
      <c r="AQ493">
        <v>-4946.3607329773331</v>
      </c>
      <c r="AR493">
        <v>2.4389348038611112E-3</v>
      </c>
      <c r="AS493">
        <v>54.178637537694172</v>
      </c>
      <c r="AT493">
        <v>75.767151362588066</v>
      </c>
      <c r="AU493">
        <v>2.592855797520444</v>
      </c>
      <c r="AV493">
        <v>166.1989126663222</v>
      </c>
      <c r="AW493">
        <v>137.4979886674067</v>
      </c>
      <c r="AX493">
        <v>-28.700923998915471</v>
      </c>
      <c r="AY493">
        <v>0.97764066274307171</v>
      </c>
      <c r="AZ493" t="str">
        <f>VLOOKUP(BA493,Sheet1!$A$1:$B$58,2,FALSE)</f>
        <v>1-Propanol (PW2)</v>
      </c>
      <c r="BA493" t="s">
        <v>80</v>
      </c>
      <c r="BB493" t="s">
        <v>79</v>
      </c>
      <c r="BC493">
        <v>60.093820000000001</v>
      </c>
      <c r="BD493">
        <v>6</v>
      </c>
      <c r="BE493">
        <v>97</v>
      </c>
      <c r="BF493" t="s">
        <v>196</v>
      </c>
      <c r="BG493">
        <v>4.3941290468803667</v>
      </c>
      <c r="BH493">
        <v>0.11111111111111099</v>
      </c>
      <c r="BI493">
        <v>0.14506081111091801</v>
      </c>
      <c r="BJ493">
        <v>90</v>
      </c>
      <c r="BK493">
        <v>1053.1827431115651</v>
      </c>
      <c r="BL493">
        <v>-219.83825479899261</v>
      </c>
      <c r="BM493">
        <v>3.0942297643582091</v>
      </c>
      <c r="BN493">
        <v>526.01905994089554</v>
      </c>
      <c r="BO493">
        <v>527.16368317066974</v>
      </c>
    </row>
    <row r="494" spans="1:67" x14ac:dyDescent="0.25">
      <c r="A494" s="1">
        <v>492</v>
      </c>
      <c r="B494" t="s">
        <v>180</v>
      </c>
      <c r="C494" t="s">
        <v>195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67</v>
      </c>
      <c r="J494">
        <v>1.4</v>
      </c>
      <c r="K494">
        <v>500</v>
      </c>
      <c r="L494">
        <v>100</v>
      </c>
      <c r="N494" t="s">
        <v>179</v>
      </c>
      <c r="O494">
        <v>0</v>
      </c>
      <c r="P494">
        <v>0.5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33450.240553751042</v>
      </c>
      <c r="Z494">
        <v>167251202.7687552</v>
      </c>
      <c r="AA494">
        <v>234151683.8762573</v>
      </c>
      <c r="AB494">
        <v>234151.6838762573</v>
      </c>
      <c r="AC494">
        <v>0</v>
      </c>
      <c r="AD494">
        <v>1733.436551875702</v>
      </c>
      <c r="AE494">
        <v>3120185.7933762642</v>
      </c>
      <c r="AF494">
        <v>3120185.7933762642</v>
      </c>
      <c r="AG494">
        <v>140.4599685749543</v>
      </c>
      <c r="AH494">
        <v>137.3193767664894</v>
      </c>
      <c r="AI494">
        <v>137.3193767664894</v>
      </c>
      <c r="AJ494">
        <v>7609.9297259783634</v>
      </c>
      <c r="AK494">
        <v>854.70085470085473</v>
      </c>
      <c r="AL494" t="s">
        <v>69</v>
      </c>
      <c r="AM494">
        <v>10642.25169940293</v>
      </c>
      <c r="AN494">
        <v>364.1924438391095</v>
      </c>
      <c r="AO494">
        <v>23344.29405030319</v>
      </c>
      <c r="AP494">
        <v>19471.074723921251</v>
      </c>
      <c r="AQ494">
        <v>-3873.219326381939</v>
      </c>
      <c r="AR494">
        <v>2.4389348038611112E-3</v>
      </c>
      <c r="AS494">
        <v>54.178637537694158</v>
      </c>
      <c r="AT494">
        <v>75.767151362588066</v>
      </c>
      <c r="AU494">
        <v>2.5928557975204432</v>
      </c>
      <c r="AV494">
        <v>166.1989126663222</v>
      </c>
      <c r="AW494">
        <v>138.62365855173039</v>
      </c>
      <c r="AX494">
        <v>-27.575254114591761</v>
      </c>
      <c r="AY494">
        <v>0.97764066274307182</v>
      </c>
      <c r="AZ494" t="str">
        <f>VLOOKUP(BA494,Sheet1!$A$1:$B$58,2,FALSE)</f>
        <v>2,3-Butanediol</v>
      </c>
      <c r="BA494" t="s">
        <v>81</v>
      </c>
      <c r="BB494" t="s">
        <v>71</v>
      </c>
      <c r="BC494">
        <v>90.119200000000006</v>
      </c>
      <c r="BD494">
        <v>5.5</v>
      </c>
      <c r="BE494">
        <v>177</v>
      </c>
      <c r="BF494" t="s">
        <v>196</v>
      </c>
      <c r="BG494">
        <v>3.4184724231906172</v>
      </c>
      <c r="BH494">
        <v>9.0909090909090995E-2</v>
      </c>
      <c r="BI494">
        <v>0.17798665522738699</v>
      </c>
      <c r="BJ494">
        <v>90</v>
      </c>
      <c r="BK494">
        <v>865.38109884094445</v>
      </c>
      <c r="BL494">
        <v>-172.14308117253049</v>
      </c>
      <c r="BM494">
        <v>2.684610988653354</v>
      </c>
      <c r="BN494">
        <v>456.38386807107031</v>
      </c>
      <c r="BO494">
        <v>408.99723076987419</v>
      </c>
    </row>
    <row r="495" spans="1:67" x14ac:dyDescent="0.25">
      <c r="A495" s="1">
        <v>493</v>
      </c>
      <c r="B495" t="s">
        <v>180</v>
      </c>
      <c r="C495" t="s">
        <v>195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67</v>
      </c>
      <c r="J495">
        <v>1.4</v>
      </c>
      <c r="K495">
        <v>500</v>
      </c>
      <c r="L495">
        <v>100</v>
      </c>
      <c r="N495" t="s">
        <v>179</v>
      </c>
      <c r="O495">
        <v>0</v>
      </c>
      <c r="P495">
        <v>0.5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46634.752928457667</v>
      </c>
      <c r="Z495">
        <v>233173764.6422883</v>
      </c>
      <c r="AA495">
        <v>326443270.49920362</v>
      </c>
      <c r="AB495">
        <v>326443.27049920359</v>
      </c>
      <c r="AC495">
        <v>0</v>
      </c>
      <c r="AD495">
        <v>2416.6757540646709</v>
      </c>
      <c r="AE495">
        <v>4350016.3573164083</v>
      </c>
      <c r="AF495">
        <v>4350016.3573164083</v>
      </c>
      <c r="AG495">
        <v>195.8226853497884</v>
      </c>
      <c r="AH495">
        <v>191.4442198854951</v>
      </c>
      <c r="AI495">
        <v>191.4442198854951</v>
      </c>
      <c r="AJ495">
        <v>10609.406291224121</v>
      </c>
      <c r="AK495">
        <v>854.70085470085473</v>
      </c>
      <c r="AL495" t="s">
        <v>69</v>
      </c>
      <c r="AM495">
        <v>14836.927041125869</v>
      </c>
      <c r="AN495">
        <v>507.73998499522042</v>
      </c>
      <c r="AO495">
        <v>32545.517380534169</v>
      </c>
      <c r="AP495">
        <v>26808.774172046069</v>
      </c>
      <c r="AQ495">
        <v>-5736.7432084881066</v>
      </c>
      <c r="AR495">
        <v>2.4389348038611112E-3</v>
      </c>
      <c r="AS495">
        <v>54.178637537694172</v>
      </c>
      <c r="AT495">
        <v>75.767151362588066</v>
      </c>
      <c r="AU495">
        <v>2.592855797520444</v>
      </c>
      <c r="AV495">
        <v>166.1989126663222</v>
      </c>
      <c r="AW495">
        <v>136.9033119128097</v>
      </c>
      <c r="AX495">
        <v>-29.295600753512499</v>
      </c>
      <c r="AY495">
        <v>0.97764066274307171</v>
      </c>
      <c r="AZ495" t="str">
        <f>VLOOKUP(BA495,Sheet1!$A$1:$B$58,2,FALSE)</f>
        <v>2-Methyl-1-Butanol</v>
      </c>
      <c r="BA495" t="s">
        <v>82</v>
      </c>
      <c r="BB495" t="s">
        <v>83</v>
      </c>
      <c r="BC495">
        <v>88.14658</v>
      </c>
      <c r="BD495">
        <v>6</v>
      </c>
      <c r="BE495">
        <v>129</v>
      </c>
      <c r="BF495" t="s">
        <v>196</v>
      </c>
      <c r="BG495">
        <v>4.992819914283678</v>
      </c>
      <c r="BH495">
        <v>6.6666666666666999E-2</v>
      </c>
      <c r="BI495">
        <v>0.12766651603895501</v>
      </c>
      <c r="BJ495">
        <v>90</v>
      </c>
      <c r="BK495">
        <v>1191.5010743131591</v>
      </c>
      <c r="BL495">
        <v>-254.96636482169339</v>
      </c>
      <c r="BM495">
        <v>3.5158120806272151</v>
      </c>
      <c r="BN495">
        <v>597.68805370662653</v>
      </c>
      <c r="BO495">
        <v>593.81302060653206</v>
      </c>
    </row>
    <row r="496" spans="1:67" x14ac:dyDescent="0.25">
      <c r="A496" s="1">
        <v>494</v>
      </c>
      <c r="B496" t="s">
        <v>180</v>
      </c>
      <c r="C496" t="s">
        <v>195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67</v>
      </c>
      <c r="J496">
        <v>1.4</v>
      </c>
      <c r="K496">
        <v>500</v>
      </c>
      <c r="L496">
        <v>100</v>
      </c>
      <c r="N496" t="s">
        <v>179</v>
      </c>
      <c r="O496">
        <v>0</v>
      </c>
      <c r="P496">
        <v>0.5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48880.849658650863</v>
      </c>
      <c r="Z496">
        <v>244404248.29325429</v>
      </c>
      <c r="AA496">
        <v>342165947.61055601</v>
      </c>
      <c r="AB496">
        <v>342165.94761055597</v>
      </c>
      <c r="AC496">
        <v>0</v>
      </c>
      <c r="AD496">
        <v>2533.0715140565612</v>
      </c>
      <c r="AE496">
        <v>4559528.7253018105</v>
      </c>
      <c r="AF496">
        <v>4559528.7253018105</v>
      </c>
      <c r="AG496">
        <v>205.254207243698</v>
      </c>
      <c r="AH496">
        <v>200.6648592005327</v>
      </c>
      <c r="AI496">
        <v>200.6648592005327</v>
      </c>
      <c r="AJ496">
        <v>11120.393297343069</v>
      </c>
      <c r="AK496">
        <v>854.70085470085473</v>
      </c>
      <c r="AL496" t="s">
        <v>69</v>
      </c>
      <c r="AM496">
        <v>15551.526588041281</v>
      </c>
      <c r="AN496">
        <v>532.1945612172849</v>
      </c>
      <c r="AO496">
        <v>34113.026064090547</v>
      </c>
      <c r="AP496">
        <v>28058.8153013025</v>
      </c>
      <c r="AQ496">
        <v>-6054.2107627880578</v>
      </c>
      <c r="AR496">
        <v>2.4389348038611112E-3</v>
      </c>
      <c r="AS496">
        <v>54.178637537694158</v>
      </c>
      <c r="AT496">
        <v>75.767151362588066</v>
      </c>
      <c r="AU496">
        <v>2.592855797520444</v>
      </c>
      <c r="AV496">
        <v>166.1989126663222</v>
      </c>
      <c r="AW496">
        <v>136.7027535176822</v>
      </c>
      <c r="AX496">
        <v>-29.49615914864</v>
      </c>
      <c r="AY496">
        <v>0.97764066274307171</v>
      </c>
      <c r="AZ496" t="str">
        <f>VLOOKUP(BA496,Sheet1!$A$1:$B$58,2,FALSE)</f>
        <v>3-Methyl-1-Pentanol</v>
      </c>
      <c r="BA496" t="s">
        <v>87</v>
      </c>
      <c r="BB496" t="s">
        <v>88</v>
      </c>
      <c r="BC496">
        <v>102.17296</v>
      </c>
      <c r="BD496">
        <v>6</v>
      </c>
      <c r="BE496">
        <v>153</v>
      </c>
      <c r="BF496" t="s">
        <v>196</v>
      </c>
      <c r="BG496">
        <v>5.2171895669321859</v>
      </c>
      <c r="BH496">
        <v>5.4871794871794999E-2</v>
      </c>
      <c r="BI496">
        <v>0.12180018298147501</v>
      </c>
      <c r="BJ496">
        <v>90</v>
      </c>
      <c r="BK496">
        <v>1247.058457835667</v>
      </c>
      <c r="BL496">
        <v>-269.07603390169118</v>
      </c>
      <c r="BM496">
        <v>3.701248619758152</v>
      </c>
      <c r="BN496">
        <v>629.21226535888582</v>
      </c>
      <c r="BO496">
        <v>617.84619247678074</v>
      </c>
    </row>
    <row r="497" spans="1:67" x14ac:dyDescent="0.25">
      <c r="A497" s="1">
        <v>495</v>
      </c>
      <c r="B497" t="s">
        <v>180</v>
      </c>
      <c r="C497" t="s">
        <v>195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67</v>
      </c>
      <c r="J497">
        <v>1.4</v>
      </c>
      <c r="K497">
        <v>500</v>
      </c>
      <c r="L497">
        <v>100</v>
      </c>
      <c r="N497" t="s">
        <v>179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112447.1587234192</v>
      </c>
      <c r="Z497">
        <v>562235793.61709607</v>
      </c>
      <c r="AA497">
        <v>787130111.06393445</v>
      </c>
      <c r="AB497">
        <v>787130.1110639344</v>
      </c>
      <c r="AC497">
        <v>0</v>
      </c>
      <c r="AD497">
        <v>5827.1633285425096</v>
      </c>
      <c r="AE497">
        <v>10488893.991376519</v>
      </c>
      <c r="AF497">
        <v>10488893.991376519</v>
      </c>
      <c r="AG497">
        <v>472.17371591856062</v>
      </c>
      <c r="AH497">
        <v>461.61622456048048</v>
      </c>
      <c r="AI497">
        <v>461.61622456048048</v>
      </c>
      <c r="AJ497">
        <v>25581.728609577869</v>
      </c>
      <c r="AK497">
        <v>854.70085470085473</v>
      </c>
      <c r="AL497" t="s">
        <v>69</v>
      </c>
      <c r="AM497">
        <v>35775.257403437237</v>
      </c>
      <c r="AN497">
        <v>1224.278356756211</v>
      </c>
      <c r="AO497">
        <v>78474.758175281691</v>
      </c>
      <c r="AP497">
        <v>63435.965224472173</v>
      </c>
      <c r="AQ497">
        <v>-15038.79295080952</v>
      </c>
      <c r="AR497">
        <v>2.4389348038611112E-3</v>
      </c>
      <c r="AS497">
        <v>54.178637537694158</v>
      </c>
      <c r="AT497">
        <v>75.767151362588066</v>
      </c>
      <c r="AU497">
        <v>2.592855797520444</v>
      </c>
      <c r="AV497">
        <v>166.1989126663222</v>
      </c>
      <c r="AW497">
        <v>134.34878538519379</v>
      </c>
      <c r="AX497">
        <v>-31.85012728112838</v>
      </c>
      <c r="AY497">
        <v>0.97764066274307182</v>
      </c>
      <c r="AZ497" t="str">
        <f>VLOOKUP(BA497,Sheet1!$A$1:$B$58,2,FALSE)</f>
        <v>4-Hydroxystyrene</v>
      </c>
      <c r="BA497" t="s">
        <v>89</v>
      </c>
      <c r="BB497" t="s">
        <v>90</v>
      </c>
      <c r="BC497">
        <v>120.14731999999999</v>
      </c>
      <c r="BD497">
        <v>4.75</v>
      </c>
      <c r="BE497">
        <v>229</v>
      </c>
      <c r="BF497" t="s">
        <v>196</v>
      </c>
      <c r="BG497">
        <v>9.5785818158860021</v>
      </c>
      <c r="BH497">
        <v>2.0284360189574E-2</v>
      </c>
      <c r="BI497">
        <v>5.2946615106191003E-2</v>
      </c>
      <c r="BJ497">
        <v>90</v>
      </c>
      <c r="BK497">
        <v>2819.3762321987629</v>
      </c>
      <c r="BL497">
        <v>-668.39079781375597</v>
      </c>
      <c r="BM497">
        <v>10.937694831246461</v>
      </c>
      <c r="BN497">
        <v>1859.4081213118991</v>
      </c>
      <c r="BO497">
        <v>959.96811088686422</v>
      </c>
    </row>
    <row r="498" spans="1:67" x14ac:dyDescent="0.25">
      <c r="A498" s="1">
        <v>496</v>
      </c>
      <c r="B498" t="s">
        <v>180</v>
      </c>
      <c r="C498" t="s">
        <v>195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67</v>
      </c>
      <c r="J498">
        <v>1.4</v>
      </c>
      <c r="K498">
        <v>500</v>
      </c>
      <c r="L498">
        <v>100</v>
      </c>
      <c r="N498" t="s">
        <v>179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37748.628357483343</v>
      </c>
      <c r="Z498">
        <v>188743141.7874167</v>
      </c>
      <c r="AA498">
        <v>264240398.50238341</v>
      </c>
      <c r="AB498">
        <v>264240.39850238338</v>
      </c>
      <c r="AC498">
        <v>0</v>
      </c>
      <c r="AD498">
        <v>1956.1848015079679</v>
      </c>
      <c r="AE498">
        <v>3521132.642714343</v>
      </c>
      <c r="AF498">
        <v>3521132.642714343</v>
      </c>
      <c r="AG498">
        <v>158.50920845605589</v>
      </c>
      <c r="AH498">
        <v>154.96504760585819</v>
      </c>
      <c r="AI498">
        <v>154.96504760585819</v>
      </c>
      <c r="AJ498">
        <v>8587.8129513274616</v>
      </c>
      <c r="AK498">
        <v>854.70085470085473</v>
      </c>
      <c r="AL498" t="s">
        <v>69</v>
      </c>
      <c r="AM498">
        <v>12009.79118945401</v>
      </c>
      <c r="AN498">
        <v>410.9915201056611</v>
      </c>
      <c r="AO498">
        <v>26344.0580929959</v>
      </c>
      <c r="AP498">
        <v>21863.29651558799</v>
      </c>
      <c r="AQ498">
        <v>-4480.7615774079059</v>
      </c>
      <c r="AR498">
        <v>2.4389348038611112E-3</v>
      </c>
      <c r="AS498">
        <v>54.178637537694172</v>
      </c>
      <c r="AT498">
        <v>75.767151362588066</v>
      </c>
      <c r="AU498">
        <v>2.592855797520444</v>
      </c>
      <c r="AV498">
        <v>166.1989126663222</v>
      </c>
      <c r="AW498">
        <v>137.93076584348239</v>
      </c>
      <c r="AX498">
        <v>-28.268146822839778</v>
      </c>
      <c r="AY498">
        <v>0.97764066274307171</v>
      </c>
      <c r="AZ498" t="str">
        <f>VLOOKUP(BA498,Sheet1!$A$1:$B$58,2,FALSE)</f>
        <v>Acetone</v>
      </c>
      <c r="BA498" t="s">
        <v>93</v>
      </c>
      <c r="BB498" t="s">
        <v>94</v>
      </c>
      <c r="BC498">
        <v>58.078139999999998</v>
      </c>
      <c r="BD498">
        <v>5.333333333333333</v>
      </c>
      <c r="BE498">
        <v>56</v>
      </c>
      <c r="BF498" t="s">
        <v>196</v>
      </c>
      <c r="BG498">
        <v>3.7888610069124109</v>
      </c>
      <c r="BH498">
        <v>0.125</v>
      </c>
      <c r="BI498">
        <v>0.15771954351113199</v>
      </c>
      <c r="BJ498">
        <v>90</v>
      </c>
      <c r="BK498">
        <v>971.70206735946624</v>
      </c>
      <c r="BL498">
        <v>-199.1449589959069</v>
      </c>
      <c r="BM498">
        <v>3.0984744422368422</v>
      </c>
      <c r="BN498">
        <v>526.74065518026316</v>
      </c>
      <c r="BO498">
        <v>444.96141217920308</v>
      </c>
    </row>
    <row r="499" spans="1:67" x14ac:dyDescent="0.25">
      <c r="A499" s="1">
        <v>497</v>
      </c>
      <c r="B499" t="s">
        <v>180</v>
      </c>
      <c r="C499" t="s">
        <v>195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67</v>
      </c>
      <c r="J499">
        <v>1.4</v>
      </c>
      <c r="K499">
        <v>500</v>
      </c>
      <c r="L499">
        <v>100</v>
      </c>
      <c r="N499" t="s">
        <v>179</v>
      </c>
      <c r="O499">
        <v>0</v>
      </c>
      <c r="P499">
        <v>0.5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77498.333045970634</v>
      </c>
      <c r="Z499">
        <v>387491665.22985321</v>
      </c>
      <c r="AA499">
        <v>542488331.32179439</v>
      </c>
      <c r="AB499">
        <v>542488.33132179442</v>
      </c>
      <c r="AC499">
        <v>0</v>
      </c>
      <c r="AD499">
        <v>4016.0680756676252</v>
      </c>
      <c r="AE499">
        <v>7228922.5362017257</v>
      </c>
      <c r="AF499">
        <v>7228922.5362017257</v>
      </c>
      <c r="AG499">
        <v>325.42108050782639</v>
      </c>
      <c r="AH499">
        <v>318.14488081823788</v>
      </c>
      <c r="AI499">
        <v>318.14488081823788</v>
      </c>
      <c r="AJ499">
        <v>17630.87076795832</v>
      </c>
      <c r="AK499">
        <v>854.70085470085473</v>
      </c>
      <c r="AL499" t="s">
        <v>69</v>
      </c>
      <c r="AM499">
        <v>24656.228263413439</v>
      </c>
      <c r="AN499">
        <v>843.76993523008446</v>
      </c>
      <c r="AO499">
        <v>54084.629739100441</v>
      </c>
      <c r="AP499">
        <v>43985.569821302692</v>
      </c>
      <c r="AQ499">
        <v>-10099.059917797749</v>
      </c>
      <c r="AR499">
        <v>2.4389348038611112E-3</v>
      </c>
      <c r="AS499">
        <v>54.178637537694158</v>
      </c>
      <c r="AT499">
        <v>75.767151362588038</v>
      </c>
      <c r="AU499">
        <v>2.5928557975204432</v>
      </c>
      <c r="AV499">
        <v>166.19891266632209</v>
      </c>
      <c r="AW499">
        <v>135.16509057330359</v>
      </c>
      <c r="AX499">
        <v>-31.033822093018529</v>
      </c>
      <c r="AY499">
        <v>0.97764066274307149</v>
      </c>
      <c r="AZ499" t="str">
        <f>VLOOKUP(BA499,Sheet1!$A$1:$B$58,2,FALSE)</f>
        <v>Acrylate (PW1)</v>
      </c>
      <c r="BA499" t="s">
        <v>95</v>
      </c>
      <c r="BB499" t="s">
        <v>96</v>
      </c>
      <c r="BC499">
        <v>71.053619999999995</v>
      </c>
      <c r="BD499">
        <v>3.666666666666667</v>
      </c>
      <c r="BE499">
        <v>80</v>
      </c>
      <c r="BF499" t="s">
        <v>196</v>
      </c>
      <c r="BG499">
        <v>6.222857358373493</v>
      </c>
      <c r="BH499">
        <v>4.9767441860465202E-2</v>
      </c>
      <c r="BI499">
        <v>7.6823541858403802E-2</v>
      </c>
      <c r="BJ499">
        <v>90</v>
      </c>
      <c r="BK499">
        <v>1954.9142142801199</v>
      </c>
      <c r="BL499">
        <v>-448.84710745767762</v>
      </c>
      <c r="BM499">
        <v>7.9169151224370777</v>
      </c>
      <c r="BN499">
        <v>1345.875570814303</v>
      </c>
      <c r="BO499">
        <v>609.03864346581645</v>
      </c>
    </row>
    <row r="500" spans="1:67" x14ac:dyDescent="0.25">
      <c r="A500" s="1">
        <v>498</v>
      </c>
      <c r="B500" t="s">
        <v>180</v>
      </c>
      <c r="C500" t="s">
        <v>195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67</v>
      </c>
      <c r="J500">
        <v>1.4</v>
      </c>
      <c r="K500">
        <v>500</v>
      </c>
      <c r="L500">
        <v>100</v>
      </c>
      <c r="N500" t="s">
        <v>179</v>
      </c>
      <c r="O500">
        <v>0</v>
      </c>
      <c r="P500">
        <v>0.5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30638.875855383809</v>
      </c>
      <c r="Z500">
        <v>153194379.27691901</v>
      </c>
      <c r="AA500">
        <v>214472130.9876866</v>
      </c>
      <c r="AB500">
        <v>214472.1309876866</v>
      </c>
      <c r="AC500">
        <v>0</v>
      </c>
      <c r="AD500">
        <v>1587.7478438685989</v>
      </c>
      <c r="AE500">
        <v>2857946.1189634791</v>
      </c>
      <c r="AF500">
        <v>2857946.1189634791</v>
      </c>
      <c r="AG500">
        <v>128.65484578216419</v>
      </c>
      <c r="AH500">
        <v>125.77820869558271</v>
      </c>
      <c r="AI500">
        <v>125.77820869558271</v>
      </c>
      <c r="AJ500">
        <v>6970.3442570998159</v>
      </c>
      <c r="AK500">
        <v>854.70085470085473</v>
      </c>
      <c r="AL500" t="s">
        <v>69</v>
      </c>
      <c r="AM500">
        <v>9747.8111739076594</v>
      </c>
      <c r="AN500">
        <v>333.58346276538299</v>
      </c>
      <c r="AO500">
        <v>21382.29547824906</v>
      </c>
      <c r="AP500">
        <v>17906.439748473709</v>
      </c>
      <c r="AQ500">
        <v>-3475.8557297753468</v>
      </c>
      <c r="AR500">
        <v>2.4389348038611112E-3</v>
      </c>
      <c r="AS500">
        <v>54.178637537694158</v>
      </c>
      <c r="AT500">
        <v>75.767151362588052</v>
      </c>
      <c r="AU500">
        <v>2.592855797520444</v>
      </c>
      <c r="AV500">
        <v>166.1989126663222</v>
      </c>
      <c r="AW500">
        <v>139.18200779465809</v>
      </c>
      <c r="AX500">
        <v>-27.016904871664082</v>
      </c>
      <c r="AY500">
        <v>0.97764066274307171</v>
      </c>
      <c r="AZ500" t="str">
        <f>VLOOKUP(BA500,Sheet1!$A$1:$B$58,2,FALSE)</f>
        <v>Acrylate (PW2)</v>
      </c>
      <c r="BA500" t="s">
        <v>97</v>
      </c>
      <c r="BB500" t="s">
        <v>96</v>
      </c>
      <c r="BC500">
        <v>71.053619999999995</v>
      </c>
      <c r="BD500">
        <v>3.666666666666667</v>
      </c>
      <c r="BE500">
        <v>80</v>
      </c>
      <c r="BF500" t="s">
        <v>196</v>
      </c>
      <c r="BG500">
        <v>2.4601994207523048</v>
      </c>
      <c r="BH500">
        <v>0.125882352941177</v>
      </c>
      <c r="BI500">
        <v>0.19431837058302101</v>
      </c>
      <c r="BJ500">
        <v>90</v>
      </c>
      <c r="BK500">
        <v>795.84176659883167</v>
      </c>
      <c r="BL500">
        <v>-154.48247687890409</v>
      </c>
      <c r="BM500">
        <v>3.1299431879402602</v>
      </c>
      <c r="BN500">
        <v>532.09034194984417</v>
      </c>
      <c r="BO500">
        <v>263.75142464898749</v>
      </c>
    </row>
    <row r="501" spans="1:67" x14ac:dyDescent="0.25">
      <c r="A501" s="1">
        <v>499</v>
      </c>
      <c r="B501" t="s">
        <v>180</v>
      </c>
      <c r="C501" t="s">
        <v>195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67</v>
      </c>
      <c r="J501">
        <v>1.4</v>
      </c>
      <c r="K501">
        <v>500</v>
      </c>
      <c r="L501">
        <v>100</v>
      </c>
      <c r="N501" t="s">
        <v>179</v>
      </c>
      <c r="O501">
        <v>0</v>
      </c>
      <c r="P501">
        <v>0.5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113666.122271883</v>
      </c>
      <c r="Z501">
        <v>568330611.35941505</v>
      </c>
      <c r="AA501">
        <v>795662855.90318108</v>
      </c>
      <c r="AB501">
        <v>795662.85590318113</v>
      </c>
      <c r="AC501">
        <v>0</v>
      </c>
      <c r="AD501">
        <v>5890.3316626211808</v>
      </c>
      <c r="AE501">
        <v>10602596.992718119</v>
      </c>
      <c r="AF501">
        <v>10602596.992718119</v>
      </c>
      <c r="AG501">
        <v>477.29223162657519</v>
      </c>
      <c r="AH501">
        <v>466.62029364952463</v>
      </c>
      <c r="AI501">
        <v>466.62029364952463</v>
      </c>
      <c r="AJ501">
        <v>25859.042816853391</v>
      </c>
      <c r="AK501">
        <v>854.70085470085473</v>
      </c>
      <c r="AL501" t="s">
        <v>69</v>
      </c>
      <c r="AM501">
        <v>36163.072757838163</v>
      </c>
      <c r="AN501">
        <v>1237.5499298844361</v>
      </c>
      <c r="AO501">
        <v>79325.449920419182</v>
      </c>
      <c r="AP501">
        <v>64114.366359276843</v>
      </c>
      <c r="AQ501">
        <v>-15211.08356114235</v>
      </c>
      <c r="AR501">
        <v>2.4389348038611112E-3</v>
      </c>
      <c r="AS501">
        <v>54.178637537694172</v>
      </c>
      <c r="AT501">
        <v>75.767151362588052</v>
      </c>
      <c r="AU501">
        <v>2.5928557975204432</v>
      </c>
      <c r="AV501">
        <v>166.1989126663222</v>
      </c>
      <c r="AW501">
        <v>134.32937330821409</v>
      </c>
      <c r="AX501">
        <v>-31.869539358108032</v>
      </c>
      <c r="AY501">
        <v>0.9776406627430716</v>
      </c>
      <c r="AZ501" t="str">
        <f>VLOOKUP(BA501,Sheet1!$A$1:$B$58,2,FALSE)</f>
        <v>Benzoate (PW1)</v>
      </c>
      <c r="BA501" t="s">
        <v>100</v>
      </c>
      <c r="BB501" t="s">
        <v>101</v>
      </c>
      <c r="BC501">
        <v>121.1121</v>
      </c>
      <c r="BD501">
        <v>4.1428571428571432</v>
      </c>
      <c r="BE501">
        <v>249.2</v>
      </c>
      <c r="BF501" t="s">
        <v>196</v>
      </c>
      <c r="BG501">
        <v>9.3087012374501281</v>
      </c>
      <c r="BH501">
        <v>1.9906976744186001E-2</v>
      </c>
      <c r="BI501">
        <v>5.2378811854536002E-2</v>
      </c>
      <c r="BJ501">
        <v>90</v>
      </c>
      <c r="BK501">
        <v>2849.5273937456368</v>
      </c>
      <c r="BL501">
        <v>-676.04815827299342</v>
      </c>
      <c r="BM501">
        <v>11.42997848030652</v>
      </c>
      <c r="BN501">
        <v>1943.096341652109</v>
      </c>
      <c r="BO501">
        <v>906.43105209352848</v>
      </c>
    </row>
    <row r="502" spans="1:67" x14ac:dyDescent="0.25">
      <c r="A502" s="1">
        <v>500</v>
      </c>
      <c r="B502" t="s">
        <v>180</v>
      </c>
      <c r="C502" t="s">
        <v>195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67</v>
      </c>
      <c r="J502">
        <v>1.4</v>
      </c>
      <c r="K502">
        <v>500</v>
      </c>
      <c r="L502">
        <v>100</v>
      </c>
      <c r="N502" t="s">
        <v>179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122124.99648746441</v>
      </c>
      <c r="Z502">
        <v>610624982.43732214</v>
      </c>
      <c r="AA502">
        <v>854874975.412251</v>
      </c>
      <c r="AB502">
        <v>854874.97541225096</v>
      </c>
      <c r="AC502">
        <v>0</v>
      </c>
      <c r="AD502">
        <v>6328.6819258859823</v>
      </c>
      <c r="AE502">
        <v>11391627.466594771</v>
      </c>
      <c r="AF502">
        <v>11391627.466594771</v>
      </c>
      <c r="AG502">
        <v>512.81165351506206</v>
      </c>
      <c r="AH502">
        <v>501.34552480483569</v>
      </c>
      <c r="AI502">
        <v>501.34552480483569</v>
      </c>
      <c r="AJ502">
        <v>27783.436700898161</v>
      </c>
      <c r="AK502">
        <v>854.70085470085473</v>
      </c>
      <c r="AL502" t="s">
        <v>69</v>
      </c>
      <c r="AM502">
        <v>38854.278172374768</v>
      </c>
      <c r="AN502">
        <v>1329.6466688525729</v>
      </c>
      <c r="AO502">
        <v>85228.739216822083</v>
      </c>
      <c r="AP502">
        <v>68822.062396826354</v>
      </c>
      <c r="AQ502">
        <v>-16406.67681999573</v>
      </c>
      <c r="AR502">
        <v>2.4389348038611112E-3</v>
      </c>
      <c r="AS502">
        <v>54.178637537694172</v>
      </c>
      <c r="AT502">
        <v>75.767151362588052</v>
      </c>
      <c r="AU502">
        <v>2.5928557975204432</v>
      </c>
      <c r="AV502">
        <v>166.1989126663222</v>
      </c>
      <c r="AW502">
        <v>134.20534015770949</v>
      </c>
      <c r="AX502">
        <v>-31.993572508612711</v>
      </c>
      <c r="AY502">
        <v>0.97764066274307171</v>
      </c>
      <c r="AZ502" t="str">
        <f>VLOOKUP(BA502,Sheet1!$A$1:$B$58,2,FALSE)</f>
        <v>Benzoate (PW2)</v>
      </c>
      <c r="BA502" t="s">
        <v>102</v>
      </c>
      <c r="BB502" t="s">
        <v>101</v>
      </c>
      <c r="BC502">
        <v>121.1121</v>
      </c>
      <c r="BD502">
        <v>4.1428571428571432</v>
      </c>
      <c r="BE502">
        <v>249.2</v>
      </c>
      <c r="BF502" t="s">
        <v>196</v>
      </c>
      <c r="BG502">
        <v>9.9879205907847446</v>
      </c>
      <c r="BH502">
        <v>1.8528138528139001E-2</v>
      </c>
      <c r="BI502">
        <v>4.8750842202273999E-2</v>
      </c>
      <c r="BJ502">
        <v>90</v>
      </c>
      <c r="BK502">
        <v>3058.7583287478392</v>
      </c>
      <c r="BL502">
        <v>-729.1856364442541</v>
      </c>
      <c r="BM502">
        <v>12.29410273387462</v>
      </c>
      <c r="BN502">
        <v>2089.997464758686</v>
      </c>
      <c r="BO502">
        <v>968.76086398915277</v>
      </c>
    </row>
    <row r="503" spans="1:67" x14ac:dyDescent="0.25">
      <c r="A503" s="1">
        <v>501</v>
      </c>
      <c r="B503" t="s">
        <v>180</v>
      </c>
      <c r="C503" t="s">
        <v>195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67</v>
      </c>
      <c r="J503">
        <v>1.4</v>
      </c>
      <c r="K503">
        <v>500</v>
      </c>
      <c r="L503">
        <v>100</v>
      </c>
      <c r="N503" t="s">
        <v>179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80420.803264992413</v>
      </c>
      <c r="Z503">
        <v>402104016.32496208</v>
      </c>
      <c r="AA503">
        <v>562945622.85494685</v>
      </c>
      <c r="AB503">
        <v>562945.62285494688</v>
      </c>
      <c r="AC503">
        <v>66773.504273504266</v>
      </c>
      <c r="AD503">
        <v>4167.5144215101946</v>
      </c>
      <c r="AE503">
        <v>7501525.958718352</v>
      </c>
      <c r="AF503">
        <v>7501525.958718352</v>
      </c>
      <c r="AG503">
        <v>337.69274338168299</v>
      </c>
      <c r="AH503">
        <v>330.14215744319461</v>
      </c>
      <c r="AI503">
        <v>330.14215744319461</v>
      </c>
      <c r="AJ503">
        <v>18295.732742785771</v>
      </c>
      <c r="AK503">
        <v>2170.1388888888891</v>
      </c>
      <c r="AL503" t="s">
        <v>107</v>
      </c>
      <c r="AM503">
        <v>25586.017201847579</v>
      </c>
      <c r="AN503">
        <v>875.58858745778014</v>
      </c>
      <c r="AO503">
        <v>56124.166765343078</v>
      </c>
      <c r="AP503">
        <v>46927.477420980023</v>
      </c>
      <c r="AQ503">
        <v>-9196.6893443630615</v>
      </c>
      <c r="AR503">
        <v>2.4389348038611112E-3</v>
      </c>
      <c r="AS503">
        <v>54.178637537694158</v>
      </c>
      <c r="AT503">
        <v>75.767151362588052</v>
      </c>
      <c r="AU503">
        <v>2.5928557975204432</v>
      </c>
      <c r="AV503">
        <v>166.1989126663222</v>
      </c>
      <c r="AW503">
        <v>138.96501580414309</v>
      </c>
      <c r="AX503">
        <v>-27.23389686217908</v>
      </c>
      <c r="AY503">
        <v>0.9776406627430716</v>
      </c>
      <c r="AZ503" t="str">
        <f>VLOOKUP(BA503,Sheet1!$A$1:$B$58,2,FALSE)</f>
        <v>Butane</v>
      </c>
      <c r="BA503" t="s">
        <v>108</v>
      </c>
      <c r="BB503" t="s">
        <v>109</v>
      </c>
      <c r="BC503">
        <v>58.121200000000002</v>
      </c>
      <c r="BD503">
        <v>6.5</v>
      </c>
      <c r="BE503">
        <v>-1</v>
      </c>
      <c r="BF503" t="s">
        <v>196</v>
      </c>
      <c r="BG503">
        <v>8.3505489431333864</v>
      </c>
      <c r="BH503">
        <v>5.8630136986301998E-2</v>
      </c>
      <c r="BI503">
        <v>7.4031795145042004E-2</v>
      </c>
      <c r="BJ503">
        <v>90</v>
      </c>
      <c r="BK503">
        <v>2085.665663154668</v>
      </c>
      <c r="BL503">
        <v>-408.74174863835839</v>
      </c>
      <c r="BM503">
        <v>6.3224358321197087</v>
      </c>
      <c r="BN503">
        <v>1074.81409146035</v>
      </c>
      <c r="BO503">
        <v>1010.851571694317</v>
      </c>
    </row>
    <row r="504" spans="1:67" x14ac:dyDescent="0.25">
      <c r="A504" s="1">
        <v>502</v>
      </c>
      <c r="B504" t="s">
        <v>180</v>
      </c>
      <c r="C504" t="s">
        <v>195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67</v>
      </c>
      <c r="J504">
        <v>1.4</v>
      </c>
      <c r="K504">
        <v>500</v>
      </c>
      <c r="L504">
        <v>100</v>
      </c>
      <c r="N504" t="s">
        <v>179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44367.86711086626</v>
      </c>
      <c r="Z504">
        <v>221839335.5543313</v>
      </c>
      <c r="AA504">
        <v>310575069.7760638</v>
      </c>
      <c r="AB504">
        <v>310575.06977606378</v>
      </c>
      <c r="AC504">
        <v>0</v>
      </c>
      <c r="AD504">
        <v>2299.2026755429411</v>
      </c>
      <c r="AE504">
        <v>4138564.8159772931</v>
      </c>
      <c r="AF504">
        <v>4138564.8159772931</v>
      </c>
      <c r="AG504">
        <v>186.30386858103449</v>
      </c>
      <c r="AH504">
        <v>182.1382375511607</v>
      </c>
      <c r="AI504">
        <v>182.1382375511607</v>
      </c>
      <c r="AJ504">
        <v>10093.68976772207</v>
      </c>
      <c r="AK504">
        <v>854.70085470085473</v>
      </c>
      <c r="AL504" t="s">
        <v>69</v>
      </c>
      <c r="AM504">
        <v>14115.71341021495</v>
      </c>
      <c r="AN504">
        <v>483.05906575082201</v>
      </c>
      <c r="AO504">
        <v>30963.500383697319</v>
      </c>
      <c r="AP504">
        <v>25547.163098388701</v>
      </c>
      <c r="AQ504">
        <v>-5416.3372853086112</v>
      </c>
      <c r="AR504">
        <v>2.4389348038611112E-3</v>
      </c>
      <c r="AS504">
        <v>54.178637537694158</v>
      </c>
      <c r="AT504">
        <v>75.767151362588066</v>
      </c>
      <c r="AU504">
        <v>2.592855797520444</v>
      </c>
      <c r="AV504">
        <v>166.1989126663222</v>
      </c>
      <c r="AW504">
        <v>137.1263156957836</v>
      </c>
      <c r="AX504">
        <v>-29.072596970538651</v>
      </c>
      <c r="AY504">
        <v>0.97764066274307171</v>
      </c>
      <c r="AZ504" t="str">
        <f>VLOOKUP(BA504,Sheet1!$A$1:$B$58,2,FALSE)</f>
        <v>Butanol (PW1)</v>
      </c>
      <c r="BA504" t="s">
        <v>110</v>
      </c>
      <c r="BB504" t="s">
        <v>111</v>
      </c>
      <c r="BC504">
        <v>74.120199999999997</v>
      </c>
      <c r="BD504">
        <v>6</v>
      </c>
      <c r="BE504">
        <v>117.7</v>
      </c>
      <c r="BF504" t="s">
        <v>196</v>
      </c>
      <c r="BG504">
        <v>4.7501220989689763</v>
      </c>
      <c r="BH504">
        <v>8.3333333333332996E-2</v>
      </c>
      <c r="BI504">
        <v>0.134189376690941</v>
      </c>
      <c r="BJ504">
        <v>90</v>
      </c>
      <c r="BK504">
        <v>1135.4294710394979</v>
      </c>
      <c r="BL504">
        <v>-240.72610156927169</v>
      </c>
      <c r="BM504">
        <v>3.344910681082609</v>
      </c>
      <c r="BN504">
        <v>568.63481578404367</v>
      </c>
      <c r="BO504">
        <v>566.79465525545424</v>
      </c>
    </row>
    <row r="505" spans="1:67" x14ac:dyDescent="0.25">
      <c r="A505" s="1">
        <v>503</v>
      </c>
      <c r="B505" t="s">
        <v>180</v>
      </c>
      <c r="C505" t="s">
        <v>195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67</v>
      </c>
      <c r="J505">
        <v>1.4</v>
      </c>
      <c r="K505">
        <v>500</v>
      </c>
      <c r="L505">
        <v>100</v>
      </c>
      <c r="N505" t="s">
        <v>179</v>
      </c>
      <c r="O505">
        <v>0</v>
      </c>
      <c r="P505">
        <v>0.5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44367.86711086626</v>
      </c>
      <c r="Z505">
        <v>221839335.5543313</v>
      </c>
      <c r="AA505">
        <v>310575069.7760638</v>
      </c>
      <c r="AB505">
        <v>310575.06977606378</v>
      </c>
      <c r="AC505">
        <v>0</v>
      </c>
      <c r="AD505">
        <v>2299.2026755429411</v>
      </c>
      <c r="AE505">
        <v>4138564.8159772931</v>
      </c>
      <c r="AF505">
        <v>4138564.8159772931</v>
      </c>
      <c r="AG505">
        <v>186.30386858103449</v>
      </c>
      <c r="AH505">
        <v>182.1382375511607</v>
      </c>
      <c r="AI505">
        <v>182.1382375511607</v>
      </c>
      <c r="AJ505">
        <v>10093.68976772207</v>
      </c>
      <c r="AK505">
        <v>854.70085470085473</v>
      </c>
      <c r="AL505" t="s">
        <v>69</v>
      </c>
      <c r="AM505">
        <v>14115.71341021495</v>
      </c>
      <c r="AN505">
        <v>483.05906575082201</v>
      </c>
      <c r="AO505">
        <v>30963.500383697319</v>
      </c>
      <c r="AP505">
        <v>25547.163098388701</v>
      </c>
      <c r="AQ505">
        <v>-5416.3372853086112</v>
      </c>
      <c r="AR505">
        <v>2.4389348038611112E-3</v>
      </c>
      <c r="AS505">
        <v>54.178637537694158</v>
      </c>
      <c r="AT505">
        <v>75.767151362588066</v>
      </c>
      <c r="AU505">
        <v>2.592855797520444</v>
      </c>
      <c r="AV505">
        <v>166.1989126663222</v>
      </c>
      <c r="AW505">
        <v>137.1263156957836</v>
      </c>
      <c r="AX505">
        <v>-29.072596970538651</v>
      </c>
      <c r="AY505">
        <v>0.97764066274307171</v>
      </c>
      <c r="AZ505" t="str">
        <f>VLOOKUP(BA505,Sheet1!$A$1:$B$58,2,FALSE)</f>
        <v>Butanol (PW2)</v>
      </c>
      <c r="BA505" t="s">
        <v>112</v>
      </c>
      <c r="BB505" t="s">
        <v>111</v>
      </c>
      <c r="BC505">
        <v>74.120199999999997</v>
      </c>
      <c r="BD505">
        <v>6</v>
      </c>
      <c r="BE505">
        <v>117.7</v>
      </c>
      <c r="BF505" t="s">
        <v>196</v>
      </c>
      <c r="BG505">
        <v>4.7501220989689763</v>
      </c>
      <c r="BH505">
        <v>8.3333333333333301E-2</v>
      </c>
      <c r="BI505">
        <v>0.134189376690941</v>
      </c>
      <c r="BJ505">
        <v>90</v>
      </c>
      <c r="BK505">
        <v>1135.4294710394979</v>
      </c>
      <c r="BL505">
        <v>-240.72610156927169</v>
      </c>
      <c r="BM505">
        <v>3.344910681082609</v>
      </c>
      <c r="BN505">
        <v>568.63481578404367</v>
      </c>
      <c r="BO505">
        <v>566.79465525545424</v>
      </c>
    </row>
    <row r="506" spans="1:67" x14ac:dyDescent="0.25">
      <c r="A506" s="1">
        <v>504</v>
      </c>
      <c r="B506" t="s">
        <v>180</v>
      </c>
      <c r="C506" t="s">
        <v>195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67</v>
      </c>
      <c r="J506">
        <v>1.4</v>
      </c>
      <c r="K506">
        <v>500</v>
      </c>
      <c r="L506">
        <v>100</v>
      </c>
      <c r="N506" t="s">
        <v>179</v>
      </c>
      <c r="O506">
        <v>0</v>
      </c>
      <c r="P506">
        <v>0.5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31464.966496528421</v>
      </c>
      <c r="Z506">
        <v>157324832.48264211</v>
      </c>
      <c r="AA506">
        <v>220254765.47569889</v>
      </c>
      <c r="AB506">
        <v>220254.76547569901</v>
      </c>
      <c r="AC506">
        <v>0</v>
      </c>
      <c r="AD506">
        <v>1630.5569743506801</v>
      </c>
      <c r="AE506">
        <v>2935002.5538312239</v>
      </c>
      <c r="AF506">
        <v>2935002.5538312239</v>
      </c>
      <c r="AG506">
        <v>132.1236598646455</v>
      </c>
      <c r="AH506">
        <v>129.16946239411209</v>
      </c>
      <c r="AI506">
        <v>129.16946239411209</v>
      </c>
      <c r="AJ506">
        <v>7158.2798779602163</v>
      </c>
      <c r="AK506">
        <v>854.70085470085473</v>
      </c>
      <c r="AL506" t="s">
        <v>69</v>
      </c>
      <c r="AM506">
        <v>10010.633335543689</v>
      </c>
      <c r="AN506">
        <v>342.57759746966508</v>
      </c>
      <c r="AO506">
        <v>21958.80860699906</v>
      </c>
      <c r="AP506">
        <v>18366.191665674429</v>
      </c>
      <c r="AQ506">
        <v>-3592.6169413246348</v>
      </c>
      <c r="AR506">
        <v>2.4389348038611112E-3</v>
      </c>
      <c r="AS506">
        <v>54.178637537694158</v>
      </c>
      <c r="AT506">
        <v>75.767151362588038</v>
      </c>
      <c r="AU506">
        <v>2.592855797520444</v>
      </c>
      <c r="AV506">
        <v>166.19891266632209</v>
      </c>
      <c r="AW506">
        <v>139.0075909529734</v>
      </c>
      <c r="AX506">
        <v>-27.19132171334871</v>
      </c>
      <c r="AY506">
        <v>0.97764066274307138</v>
      </c>
      <c r="AZ506" t="str">
        <f>VLOOKUP(BA506,Sheet1!$A$1:$B$58,2,FALSE)</f>
        <v>Butyrate</v>
      </c>
      <c r="BA506" t="s">
        <v>113</v>
      </c>
      <c r="BB506" t="s">
        <v>114</v>
      </c>
      <c r="BC506">
        <v>87.095680000000002</v>
      </c>
      <c r="BD506">
        <v>4.75</v>
      </c>
      <c r="BE506">
        <v>163.5</v>
      </c>
      <c r="BF506" t="s">
        <v>196</v>
      </c>
      <c r="BG506">
        <v>3.0318380888696201</v>
      </c>
      <c r="BH506">
        <v>0.1</v>
      </c>
      <c r="BI506">
        <v>0.189216677963745</v>
      </c>
      <c r="BJ506">
        <v>90</v>
      </c>
      <c r="BK506">
        <v>816.27518514108579</v>
      </c>
      <c r="BL506">
        <v>-159.67186405887259</v>
      </c>
      <c r="BM506">
        <v>2.7090269064242518</v>
      </c>
      <c r="BN506">
        <v>460.53457409212291</v>
      </c>
      <c r="BO506">
        <v>355.74061104896288</v>
      </c>
    </row>
    <row r="507" spans="1:67" x14ac:dyDescent="0.25">
      <c r="A507" s="1">
        <v>505</v>
      </c>
      <c r="B507" t="s">
        <v>180</v>
      </c>
      <c r="C507" t="s">
        <v>195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67</v>
      </c>
      <c r="J507">
        <v>1.4</v>
      </c>
      <c r="K507">
        <v>500</v>
      </c>
      <c r="L507">
        <v>100</v>
      </c>
      <c r="N507" t="s">
        <v>179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79666.717073565</v>
      </c>
      <c r="Z507">
        <v>398333585.36782497</v>
      </c>
      <c r="AA507">
        <v>557667019.51495504</v>
      </c>
      <c r="AB507">
        <v>557667.019514955</v>
      </c>
      <c r="AC507">
        <v>0</v>
      </c>
      <c r="AD507">
        <v>4128.4366586646775</v>
      </c>
      <c r="AE507">
        <v>7431185.9855964193</v>
      </c>
      <c r="AF507">
        <v>7431185.9855964193</v>
      </c>
      <c r="AG507">
        <v>334.52628116804061</v>
      </c>
      <c r="AH507">
        <v>327.04649522609839</v>
      </c>
      <c r="AI507">
        <v>327.04649522609839</v>
      </c>
      <c r="AJ507">
        <v>18124.178134236041</v>
      </c>
      <c r="AK507">
        <v>854.70085470085473</v>
      </c>
      <c r="AL507" t="s">
        <v>69</v>
      </c>
      <c r="AM507">
        <v>25346.103380022629</v>
      </c>
      <c r="AN507">
        <v>867.3784075495081</v>
      </c>
      <c r="AO507">
        <v>55597.904188436733</v>
      </c>
      <c r="AP507">
        <v>45192.36077650902</v>
      </c>
      <c r="AQ507">
        <v>-10405.543411927711</v>
      </c>
      <c r="AR507">
        <v>2.4389348038611112E-3</v>
      </c>
      <c r="AS507">
        <v>54.178637537694158</v>
      </c>
      <c r="AT507">
        <v>75.767151362588066</v>
      </c>
      <c r="AU507">
        <v>2.592855797520444</v>
      </c>
      <c r="AV507">
        <v>166.1989126663222</v>
      </c>
      <c r="AW507">
        <v>135.09360346432041</v>
      </c>
      <c r="AX507">
        <v>-31.10530920200182</v>
      </c>
      <c r="AY507">
        <v>0.97764066274307193</v>
      </c>
      <c r="AZ507" t="str">
        <f>VLOOKUP(BA507,Sheet1!$A$1:$B$58,2,FALSE)</f>
        <v>Catechol</v>
      </c>
      <c r="BA507" t="s">
        <v>115</v>
      </c>
      <c r="BB507" t="s">
        <v>116</v>
      </c>
      <c r="BC507">
        <v>110.10924</v>
      </c>
      <c r="BD507">
        <v>4.333333333333333</v>
      </c>
      <c r="BE507">
        <v>245</v>
      </c>
      <c r="BF507" t="s">
        <v>196</v>
      </c>
      <c r="BG507">
        <v>6.596818343361611</v>
      </c>
      <c r="BH507">
        <v>3.1240875912408799E-2</v>
      </c>
      <c r="BI507">
        <v>7.4732543920643102E-2</v>
      </c>
      <c r="BJ507">
        <v>90</v>
      </c>
      <c r="BK507">
        <v>2008.5493678448461</v>
      </c>
      <c r="BL507">
        <v>-462.46859608567559</v>
      </c>
      <c r="BM507">
        <v>7.9385814444649876</v>
      </c>
      <c r="BN507">
        <v>1349.558845559048</v>
      </c>
      <c r="BO507">
        <v>658.99052228579762</v>
      </c>
    </row>
    <row r="508" spans="1:67" x14ac:dyDescent="0.25">
      <c r="A508" s="1">
        <v>506</v>
      </c>
      <c r="B508" t="s">
        <v>180</v>
      </c>
      <c r="C508" t="s">
        <v>195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67</v>
      </c>
      <c r="J508">
        <v>1.4</v>
      </c>
      <c r="K508">
        <v>500</v>
      </c>
      <c r="L508">
        <v>100</v>
      </c>
      <c r="N508" t="s">
        <v>179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23363.93281815006</v>
      </c>
      <c r="Z508">
        <v>116819664.09075031</v>
      </c>
      <c r="AA508">
        <v>163547529.72705039</v>
      </c>
      <c r="AB508">
        <v>163547.52972705039</v>
      </c>
      <c r="AC508">
        <v>0</v>
      </c>
      <c r="AD508">
        <v>1210.7504900441741</v>
      </c>
      <c r="AE508">
        <v>2179350.8820795142</v>
      </c>
      <c r="AF508">
        <v>2179350.8820795142</v>
      </c>
      <c r="AG508">
        <v>98.10683615716772</v>
      </c>
      <c r="AH508">
        <v>95.913232320319395</v>
      </c>
      <c r="AI508">
        <v>95.913232320319395</v>
      </c>
      <c r="AJ508">
        <v>5315.2947161291368</v>
      </c>
      <c r="AK508">
        <v>854.70085470085473</v>
      </c>
      <c r="AL508" t="s">
        <v>69</v>
      </c>
      <c r="AM508">
        <v>7433.2755048247527</v>
      </c>
      <c r="AN508">
        <v>254.37687890650059</v>
      </c>
      <c r="AO508">
        <v>16305.2494944543</v>
      </c>
      <c r="AP508">
        <v>13857.647954561249</v>
      </c>
      <c r="AQ508">
        <v>-2447.6015398930522</v>
      </c>
      <c r="AR508">
        <v>2.4389348038611099E-3</v>
      </c>
      <c r="AS508">
        <v>54.178637537694158</v>
      </c>
      <c r="AT508">
        <v>75.767151362588052</v>
      </c>
      <c r="AU508">
        <v>2.592855797520444</v>
      </c>
      <c r="AV508">
        <v>166.1989126663222</v>
      </c>
      <c r="AW508">
        <v>141.2505845399113</v>
      </c>
      <c r="AX508">
        <v>-24.9483281264109</v>
      </c>
      <c r="AY508">
        <v>0.9776406627430716</v>
      </c>
      <c r="AZ508" t="str">
        <f>VLOOKUP(BA508,Sheet1!$A$1:$B$58,2,FALSE)</f>
        <v>Citrate</v>
      </c>
      <c r="BA508" t="s">
        <v>119</v>
      </c>
      <c r="BB508" t="s">
        <v>120</v>
      </c>
      <c r="BC508">
        <v>189.09639999999999</v>
      </c>
      <c r="BD508">
        <v>2.5</v>
      </c>
      <c r="BF508" t="s">
        <v>196</v>
      </c>
      <c r="BG508">
        <v>1.526938136701157</v>
      </c>
      <c r="BH508">
        <v>6.2028985507246399E-2</v>
      </c>
      <c r="BI508">
        <v>0.254824240381678</v>
      </c>
      <c r="BJ508">
        <v>90</v>
      </c>
      <c r="BK508">
        <v>615.89546464716625</v>
      </c>
      <c r="BL508">
        <v>-108.78229066191339</v>
      </c>
      <c r="BM508">
        <v>2.7358721886463702</v>
      </c>
      <c r="BN508">
        <v>465.09827206988291</v>
      </c>
      <c r="BO508">
        <v>150.79719257728331</v>
      </c>
    </row>
    <row r="509" spans="1:67" x14ac:dyDescent="0.25">
      <c r="A509" s="1">
        <v>507</v>
      </c>
      <c r="B509" t="s">
        <v>180</v>
      </c>
      <c r="C509" t="s">
        <v>195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67</v>
      </c>
      <c r="J509">
        <v>1.4</v>
      </c>
      <c r="K509">
        <v>500</v>
      </c>
      <c r="L509">
        <v>100</v>
      </c>
      <c r="N509" t="s">
        <v>179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84379.38300754939</v>
      </c>
      <c r="Z509">
        <v>421896915.03774703</v>
      </c>
      <c r="AA509">
        <v>590655681.05284572</v>
      </c>
      <c r="AB509">
        <v>590655.68105284567</v>
      </c>
      <c r="AC509">
        <v>0</v>
      </c>
      <c r="AD509">
        <v>4372.6533593972499</v>
      </c>
      <c r="AE509">
        <v>7870776.0469150497</v>
      </c>
      <c r="AF509">
        <v>7870776.0469150497</v>
      </c>
      <c r="AG509">
        <v>354.3151047469932</v>
      </c>
      <c r="AH509">
        <v>346.39285382473128</v>
      </c>
      <c r="AI509">
        <v>346.39285382473128</v>
      </c>
      <c r="AJ509">
        <v>19196.30963421749</v>
      </c>
      <c r="AK509">
        <v>854.70085470085473</v>
      </c>
      <c r="AL509" t="s">
        <v>69</v>
      </c>
      <c r="AM509">
        <v>26845.446171416679</v>
      </c>
      <c r="AN509">
        <v>918.68797349230454</v>
      </c>
      <c r="AO509">
        <v>58886.78515020432</v>
      </c>
      <c r="AP509">
        <v>47815.144633827324</v>
      </c>
      <c r="AQ509">
        <v>-11071.640516377</v>
      </c>
      <c r="AR509">
        <v>2.4389348038611112E-3</v>
      </c>
      <c r="AS509">
        <v>54.178637537694158</v>
      </c>
      <c r="AT509">
        <v>75.767151362588052</v>
      </c>
      <c r="AU509">
        <v>2.592855797520444</v>
      </c>
      <c r="AV509">
        <v>166.1989126663222</v>
      </c>
      <c r="AW509">
        <v>134.95090667379489</v>
      </c>
      <c r="AX509">
        <v>-31.248005992527311</v>
      </c>
      <c r="AY509">
        <v>0.9776406627430716</v>
      </c>
      <c r="AZ509" t="str">
        <f>VLOOKUP(BA509,Sheet1!$A$1:$B$58,2,FALSE)</f>
        <v>Coumaric Acid</v>
      </c>
      <c r="BA509" t="s">
        <v>121</v>
      </c>
      <c r="BB509" t="s">
        <v>122</v>
      </c>
      <c r="BC509">
        <v>163.14818</v>
      </c>
      <c r="BD509">
        <v>4.1111111111111107</v>
      </c>
      <c r="BE509">
        <v>346</v>
      </c>
      <c r="BF509" t="s">
        <v>196</v>
      </c>
      <c r="BG509">
        <v>6.9102600785383537</v>
      </c>
      <c r="BH509">
        <v>1.9906976744186001E-2</v>
      </c>
      <c r="BI509">
        <v>7.0558662797770996E-2</v>
      </c>
      <c r="BJ509">
        <v>90</v>
      </c>
      <c r="BK509">
        <v>2125.1175392812152</v>
      </c>
      <c r="BL509">
        <v>-492.07291183897701</v>
      </c>
      <c r="BM509">
        <v>8.4849778692274782</v>
      </c>
      <c r="BN509">
        <v>1442.4462377686709</v>
      </c>
      <c r="BO509">
        <v>682.67130151254332</v>
      </c>
    </row>
    <row r="510" spans="1:67" x14ac:dyDescent="0.25">
      <c r="A510" s="1">
        <v>508</v>
      </c>
      <c r="B510" t="s">
        <v>180</v>
      </c>
      <c r="C510" t="s">
        <v>195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67</v>
      </c>
      <c r="J510">
        <v>1.4</v>
      </c>
      <c r="K510">
        <v>500</v>
      </c>
      <c r="L510">
        <v>100</v>
      </c>
      <c r="N510" t="s">
        <v>179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31105.030232530611</v>
      </c>
      <c r="Z510">
        <v>155525151.16265309</v>
      </c>
      <c r="AA510">
        <v>217735211.62771431</v>
      </c>
      <c r="AB510">
        <v>217735.21162771431</v>
      </c>
      <c r="AC510">
        <v>0</v>
      </c>
      <c r="AD510">
        <v>1611.904592005124</v>
      </c>
      <c r="AE510">
        <v>2901428.2656092229</v>
      </c>
      <c r="AF510">
        <v>2901428.2656092229</v>
      </c>
      <c r="AG510">
        <v>130.61226157592819</v>
      </c>
      <c r="AH510">
        <v>127.69185796946191</v>
      </c>
      <c r="AI510">
        <v>127.69185796946191</v>
      </c>
      <c r="AJ510">
        <v>7076.3943779007141</v>
      </c>
      <c r="AK510">
        <v>854.70085470085473</v>
      </c>
      <c r="AL510" t="s">
        <v>69</v>
      </c>
      <c r="AM510">
        <v>9896.1189926332991</v>
      </c>
      <c r="AN510">
        <v>338.65875965440199</v>
      </c>
      <c r="AO510">
        <v>21707.61585480853</v>
      </c>
      <c r="AP510">
        <v>18165.872984889269</v>
      </c>
      <c r="AQ510">
        <v>-3541.7428699192569</v>
      </c>
      <c r="AR510">
        <v>2.4389348038611112E-3</v>
      </c>
      <c r="AS510">
        <v>54.178637537694172</v>
      </c>
      <c r="AT510">
        <v>75.767151362588066</v>
      </c>
      <c r="AU510">
        <v>2.5928557975204432</v>
      </c>
      <c r="AV510">
        <v>166.1989126663222</v>
      </c>
      <c r="AW510">
        <v>139.08244728102341</v>
      </c>
      <c r="AX510">
        <v>-27.116465385298849</v>
      </c>
      <c r="AY510">
        <v>0.97764066274307182</v>
      </c>
      <c r="AZ510" t="str">
        <f>VLOOKUP(BA510,Sheet1!$A$1:$B$58,2,FALSE)</f>
        <v>Ethyl Acetate</v>
      </c>
      <c r="BA510" t="s">
        <v>123</v>
      </c>
      <c r="BB510" t="s">
        <v>124</v>
      </c>
      <c r="BC510">
        <v>88.103520000000003</v>
      </c>
      <c r="BD510">
        <v>5</v>
      </c>
      <c r="BE510">
        <v>77.099999999999994</v>
      </c>
      <c r="BF510" t="s">
        <v>196</v>
      </c>
      <c r="BG510">
        <v>2.9971560727653102</v>
      </c>
      <c r="BH510">
        <v>0.1</v>
      </c>
      <c r="BI510">
        <v>0.191406225559205</v>
      </c>
      <c r="BJ510">
        <v>90</v>
      </c>
      <c r="BK510">
        <v>807.37213266174535</v>
      </c>
      <c r="BL510">
        <v>-157.41079421863361</v>
      </c>
      <c r="BM510">
        <v>2.678037614766331</v>
      </c>
      <c r="BN510">
        <v>455.2663945102762</v>
      </c>
      <c r="BO510">
        <v>352.10573815146921</v>
      </c>
    </row>
    <row r="511" spans="1:67" x14ac:dyDescent="0.25">
      <c r="A511" s="1">
        <v>509</v>
      </c>
      <c r="B511" t="s">
        <v>180</v>
      </c>
      <c r="C511" t="s">
        <v>195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67</v>
      </c>
      <c r="J511">
        <v>1.4</v>
      </c>
      <c r="K511">
        <v>500</v>
      </c>
      <c r="L511">
        <v>100</v>
      </c>
      <c r="N511" t="s">
        <v>179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90867.027757439253</v>
      </c>
      <c r="Z511">
        <v>454335138.78719628</v>
      </c>
      <c r="AA511">
        <v>636069194.30207479</v>
      </c>
      <c r="AB511">
        <v>636069.19430207484</v>
      </c>
      <c r="AC511">
        <v>0</v>
      </c>
      <c r="AD511">
        <v>4708.8518548003713</v>
      </c>
      <c r="AE511">
        <v>8475933.3386406675</v>
      </c>
      <c r="AF511">
        <v>8475933.3386406675</v>
      </c>
      <c r="AG511">
        <v>381.55719217625119</v>
      </c>
      <c r="AH511">
        <v>373.02582623357569</v>
      </c>
      <c r="AI511">
        <v>373.02582623357569</v>
      </c>
      <c r="AJ511">
        <v>20672.248814817431</v>
      </c>
      <c r="AK511">
        <v>1835.336538461539</v>
      </c>
      <c r="AL511" t="s">
        <v>84</v>
      </c>
      <c r="AM511">
        <v>28909.50153310212</v>
      </c>
      <c r="AN511">
        <v>989.32277781981486</v>
      </c>
      <c r="AO511">
        <v>63414.390459707873</v>
      </c>
      <c r="AP511">
        <v>52406.40966420091</v>
      </c>
      <c r="AQ511">
        <v>-11007.980795506959</v>
      </c>
      <c r="AR511">
        <v>2.438934803861112E-3</v>
      </c>
      <c r="AS511">
        <v>54.178637537694179</v>
      </c>
      <c r="AT511">
        <v>75.767151362588052</v>
      </c>
      <c r="AU511">
        <v>2.592855797520444</v>
      </c>
      <c r="AV511">
        <v>166.1989126663222</v>
      </c>
      <c r="AW511">
        <v>137.3487664202986</v>
      </c>
      <c r="AX511">
        <v>-28.850146246023542</v>
      </c>
      <c r="AY511">
        <v>0.9776406627430716</v>
      </c>
      <c r="AZ511" t="str">
        <f>VLOOKUP(BA511,Sheet1!$A$1:$B$58,2,FALSE)</f>
        <v>Farnesene</v>
      </c>
      <c r="BA511" t="s">
        <v>125</v>
      </c>
      <c r="BB511" t="s">
        <v>126</v>
      </c>
      <c r="BC511">
        <v>204.34866</v>
      </c>
      <c r="BD511">
        <v>5.6</v>
      </c>
      <c r="BE511" t="s">
        <v>127</v>
      </c>
      <c r="BF511" t="s">
        <v>196</v>
      </c>
      <c r="BG511">
        <v>8.5885221398280862</v>
      </c>
      <c r="BH511">
        <v>1.4758620689655199E-2</v>
      </c>
      <c r="BI511">
        <v>6.5520976966545699E-2</v>
      </c>
      <c r="BJ511">
        <v>90</v>
      </c>
      <c r="BK511">
        <v>2329.1737628533738</v>
      </c>
      <c r="BL511">
        <v>-489.24359091142009</v>
      </c>
      <c r="BM511">
        <v>7.9904034705530549</v>
      </c>
      <c r="BN511">
        <v>1358.368589994019</v>
      </c>
      <c r="BO511">
        <v>970.80517285935434</v>
      </c>
    </row>
    <row r="512" spans="1:67" x14ac:dyDescent="0.25">
      <c r="A512" s="1">
        <v>510</v>
      </c>
      <c r="B512" t="s">
        <v>180</v>
      </c>
      <c r="C512" t="s">
        <v>195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67</v>
      </c>
      <c r="J512">
        <v>1.4</v>
      </c>
      <c r="K512">
        <v>500</v>
      </c>
      <c r="L512">
        <v>100</v>
      </c>
      <c r="N512" t="s">
        <v>179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63220.399136963257</v>
      </c>
      <c r="Z512">
        <v>316101995.6848163</v>
      </c>
      <c r="AA512">
        <v>442542793.9587428</v>
      </c>
      <c r="AB512">
        <v>442542.79395874281</v>
      </c>
      <c r="AC512">
        <v>0</v>
      </c>
      <c r="AD512">
        <v>3276.1662957874951</v>
      </c>
      <c r="AE512">
        <v>5897099.3324174909</v>
      </c>
      <c r="AF512">
        <v>5897099.3324174909</v>
      </c>
      <c r="AG512">
        <v>265.46700798174533</v>
      </c>
      <c r="AH512">
        <v>259.53134161969382</v>
      </c>
      <c r="AI512">
        <v>259.53134161969382</v>
      </c>
      <c r="AJ512">
        <v>14382.64080365914</v>
      </c>
      <c r="AK512">
        <v>1835.336538461539</v>
      </c>
      <c r="AL512" t="s">
        <v>84</v>
      </c>
      <c r="AM512">
        <v>20113.678975526269</v>
      </c>
      <c r="AN512">
        <v>688.31767069587397</v>
      </c>
      <c r="AO512">
        <v>44120.328075347941</v>
      </c>
      <c r="AP512">
        <v>37019.973988342819</v>
      </c>
      <c r="AQ512">
        <v>-7100.354087005122</v>
      </c>
      <c r="AR512">
        <v>2.4389348038611112E-3</v>
      </c>
      <c r="AS512">
        <v>54.178637537694172</v>
      </c>
      <c r="AT512">
        <v>75.767151362588052</v>
      </c>
      <c r="AU512">
        <v>2.5928557975204432</v>
      </c>
      <c r="AV512">
        <v>166.1989126663222</v>
      </c>
      <c r="AW512">
        <v>139.45225913303881</v>
      </c>
      <c r="AX512">
        <v>-26.746653533283421</v>
      </c>
      <c r="AY512">
        <v>0.97764066274307171</v>
      </c>
      <c r="AZ512" t="str">
        <f>VLOOKUP(BA512,Sheet1!$A$1:$B$58,2,FALSE)</f>
        <v>Gamma Butyrolactone</v>
      </c>
      <c r="BA512" t="s">
        <v>128</v>
      </c>
      <c r="BB512" t="s">
        <v>129</v>
      </c>
      <c r="BC512">
        <v>86.08784</v>
      </c>
      <c r="BD512">
        <v>4.5</v>
      </c>
      <c r="BE512">
        <v>204</v>
      </c>
      <c r="BF512" t="s">
        <v>196</v>
      </c>
      <c r="BG512">
        <v>5.3319979559934074</v>
      </c>
      <c r="BH512">
        <v>5.03529411764706E-2</v>
      </c>
      <c r="BI512">
        <v>9.4173660938383405E-2</v>
      </c>
      <c r="BJ512">
        <v>90</v>
      </c>
      <c r="BK512">
        <v>1645.332177259681</v>
      </c>
      <c r="BL512">
        <v>-315.57129275578342</v>
      </c>
      <c r="BM512">
        <v>6.2027283382152039</v>
      </c>
      <c r="BN512">
        <v>1054.4638174965851</v>
      </c>
      <c r="BO512">
        <v>590.8683597630959</v>
      </c>
    </row>
    <row r="513" spans="1:67" x14ac:dyDescent="0.25">
      <c r="A513" s="1">
        <v>511</v>
      </c>
      <c r="B513" t="s">
        <v>180</v>
      </c>
      <c r="C513" t="s">
        <v>195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67</v>
      </c>
      <c r="J513">
        <v>1.4</v>
      </c>
      <c r="K513">
        <v>500</v>
      </c>
      <c r="L513">
        <v>100</v>
      </c>
      <c r="N513" t="s">
        <v>179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26730.279527192961</v>
      </c>
      <c r="Z513">
        <v>133651397.6359648</v>
      </c>
      <c r="AA513">
        <v>187111956.69035071</v>
      </c>
      <c r="AB513">
        <v>187111.95669035081</v>
      </c>
      <c r="AC513">
        <v>0</v>
      </c>
      <c r="AD513">
        <v>1385.1991138848509</v>
      </c>
      <c r="AE513">
        <v>2493358.4049927308</v>
      </c>
      <c r="AF513">
        <v>2493358.4049927308</v>
      </c>
      <c r="AG513">
        <v>112.2423683726915</v>
      </c>
      <c r="AH513">
        <v>109.7327034037301</v>
      </c>
      <c r="AI513">
        <v>109.7327034037301</v>
      </c>
      <c r="AJ513">
        <v>6081.1385924363994</v>
      </c>
      <c r="AK513">
        <v>854.70085470085473</v>
      </c>
      <c r="AL513" t="s">
        <v>69</v>
      </c>
      <c r="AM513">
        <v>8504.2845137890836</v>
      </c>
      <c r="AN513">
        <v>291.02827556255829</v>
      </c>
      <c r="AO513">
        <v>18654.559578634118</v>
      </c>
      <c r="AP513">
        <v>15731.152236488901</v>
      </c>
      <c r="AQ513">
        <v>-2923.4073421452208</v>
      </c>
      <c r="AR513">
        <v>2.4389348038611112E-3</v>
      </c>
      <c r="AS513">
        <v>54.178637537694158</v>
      </c>
      <c r="AT513">
        <v>75.767151362588066</v>
      </c>
      <c r="AU513">
        <v>2.5928557975204432</v>
      </c>
      <c r="AV513">
        <v>166.1989126663222</v>
      </c>
      <c r="AW513">
        <v>140.15342392148131</v>
      </c>
      <c r="AX513">
        <v>-26.045488744840899</v>
      </c>
      <c r="AY513">
        <v>0.97764066274307171</v>
      </c>
      <c r="AZ513" t="str">
        <f>VLOOKUP(BA513,Sheet1!$A$1:$B$58,2,FALSE)</f>
        <v>L-Glutamate</v>
      </c>
      <c r="BA513" t="s">
        <v>130</v>
      </c>
      <c r="BB513" t="s">
        <v>131</v>
      </c>
      <c r="BC513">
        <v>146.11892</v>
      </c>
      <c r="BD513">
        <v>3.4</v>
      </c>
      <c r="BE513">
        <v>333.8</v>
      </c>
      <c r="BF513" t="s">
        <v>196</v>
      </c>
      <c r="BG513">
        <v>1.995755673196882</v>
      </c>
      <c r="BH513">
        <v>7.0163934426229604E-2</v>
      </c>
      <c r="BI513">
        <v>0.2227322922926</v>
      </c>
      <c r="BJ513">
        <v>90</v>
      </c>
      <c r="BK513">
        <v>699.16232162172867</v>
      </c>
      <c r="BL513">
        <v>-129.9292152064543</v>
      </c>
      <c r="BM513">
        <v>2.8812533669689011</v>
      </c>
      <c r="BN513">
        <v>489.81307238471311</v>
      </c>
      <c r="BO513">
        <v>209.34924923701561</v>
      </c>
    </row>
    <row r="514" spans="1:67" x14ac:dyDescent="0.25">
      <c r="A514" s="1">
        <v>512</v>
      </c>
      <c r="B514" t="s">
        <v>180</v>
      </c>
      <c r="C514" t="s">
        <v>195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67</v>
      </c>
      <c r="J514">
        <v>1.4</v>
      </c>
      <c r="K514">
        <v>500</v>
      </c>
      <c r="L514">
        <v>100</v>
      </c>
      <c r="N514" t="s">
        <v>179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49488.486862850943</v>
      </c>
      <c r="Z514">
        <v>247442434.3142547</v>
      </c>
      <c r="AA514">
        <v>346419408.03995663</v>
      </c>
      <c r="AB514">
        <v>346419.40803995659</v>
      </c>
      <c r="AC514">
        <v>0</v>
      </c>
      <c r="AD514">
        <v>2564.5600929906182</v>
      </c>
      <c r="AE514">
        <v>4616208.167383112</v>
      </c>
      <c r="AF514">
        <v>4616208.167383112</v>
      </c>
      <c r="AG514">
        <v>207.80571961532851</v>
      </c>
      <c r="AH514">
        <v>203.15932144653081</v>
      </c>
      <c r="AI514">
        <v>203.15932144653081</v>
      </c>
      <c r="AJ514">
        <v>11258.630761298589</v>
      </c>
      <c r="AK514">
        <v>854.70085470085473</v>
      </c>
      <c r="AL514" t="s">
        <v>69</v>
      </c>
      <c r="AM514">
        <v>15744.84741210613</v>
      </c>
      <c r="AN514">
        <v>538.81026486251244</v>
      </c>
      <c r="AO514">
        <v>34537.084645910218</v>
      </c>
      <c r="AP514">
        <v>28396.98929296809</v>
      </c>
      <c r="AQ514">
        <v>-6140.0953529421349</v>
      </c>
      <c r="AR514">
        <v>2.4389348038611112E-3</v>
      </c>
      <c r="AS514">
        <v>54.178637537694172</v>
      </c>
      <c r="AT514">
        <v>75.767151362588066</v>
      </c>
      <c r="AU514">
        <v>2.592855797520444</v>
      </c>
      <c r="AV514">
        <v>166.1989126663222</v>
      </c>
      <c r="AW514">
        <v>136.6516251118307</v>
      </c>
      <c r="AX514">
        <v>-29.547287554491451</v>
      </c>
      <c r="AY514">
        <v>0.97764066274307182</v>
      </c>
      <c r="AZ514" t="str">
        <f>VLOOKUP(BA514,Sheet1!$A$1:$B$58,2,FALSE)</f>
        <v>Glycolate</v>
      </c>
      <c r="BA514" t="s">
        <v>134</v>
      </c>
      <c r="BB514" t="s">
        <v>135</v>
      </c>
      <c r="BC514">
        <v>75.041920000000005</v>
      </c>
      <c r="BD514">
        <v>2.5</v>
      </c>
      <c r="BE514">
        <v>112</v>
      </c>
      <c r="BF514" t="s">
        <v>196</v>
      </c>
      <c r="BG514">
        <v>3.387288040215934</v>
      </c>
      <c r="BH514">
        <v>7.3793103448275901E-2</v>
      </c>
      <c r="BI514">
        <v>0.120304677110321</v>
      </c>
      <c r="BJ514">
        <v>90</v>
      </c>
      <c r="BK514">
        <v>1262.088413020804</v>
      </c>
      <c r="BL514">
        <v>-272.89312679742829</v>
      </c>
      <c r="BM514">
        <v>5.6420151351854333</v>
      </c>
      <c r="BN514">
        <v>959.1425729815237</v>
      </c>
      <c r="BO514">
        <v>302.94584003927997</v>
      </c>
    </row>
    <row r="515" spans="1:67" x14ac:dyDescent="0.25">
      <c r="A515" s="1">
        <v>513</v>
      </c>
      <c r="B515" t="s">
        <v>180</v>
      </c>
      <c r="C515" t="s">
        <v>195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67</v>
      </c>
      <c r="J515">
        <v>1.4</v>
      </c>
      <c r="K515">
        <v>500</v>
      </c>
      <c r="L515">
        <v>100</v>
      </c>
      <c r="N515" t="s">
        <v>179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60169.634524425703</v>
      </c>
      <c r="Z515">
        <v>300848172.62212849</v>
      </c>
      <c r="AA515">
        <v>421187441.67097992</v>
      </c>
      <c r="AB515">
        <v>421187.44167097978</v>
      </c>
      <c r="AC515">
        <v>0</v>
      </c>
      <c r="AD515">
        <v>3118.0715615495219</v>
      </c>
      <c r="AE515">
        <v>5612528.8107891399</v>
      </c>
      <c r="AF515">
        <v>5612528.8107891399</v>
      </c>
      <c r="AG515">
        <v>252.65662771204171</v>
      </c>
      <c r="AH515">
        <v>247.0073929628301</v>
      </c>
      <c r="AI515">
        <v>247.0073929628301</v>
      </c>
      <c r="AJ515">
        <v>13688.591854306849</v>
      </c>
      <c r="AK515">
        <v>854.70085470085473</v>
      </c>
      <c r="AL515" t="s">
        <v>69</v>
      </c>
      <c r="AM515">
        <v>19143.072954619329</v>
      </c>
      <c r="AN515">
        <v>655.10220194513181</v>
      </c>
      <c r="AO515">
        <v>41991.256803681114</v>
      </c>
      <c r="AP515">
        <v>34341.467865572158</v>
      </c>
      <c r="AQ515">
        <v>-7649.7889381089553</v>
      </c>
      <c r="AR515">
        <v>2.4389348038611112E-3</v>
      </c>
      <c r="AS515">
        <v>54.178637537694172</v>
      </c>
      <c r="AT515">
        <v>75.767151362588066</v>
      </c>
      <c r="AU515">
        <v>2.592855797520444</v>
      </c>
      <c r="AV515">
        <v>166.1989126663222</v>
      </c>
      <c r="AW515">
        <v>135.92150016627261</v>
      </c>
      <c r="AX515">
        <v>-30.277412500049621</v>
      </c>
      <c r="AY515">
        <v>0.97764066274307193</v>
      </c>
      <c r="AZ515" t="str">
        <f>VLOOKUP(BA515,Sheet1!$A$1:$B$58,2,FALSE)</f>
        <v>Heptane</v>
      </c>
      <c r="BA515" t="s">
        <v>136</v>
      </c>
      <c r="BB515" t="s">
        <v>137</v>
      </c>
      <c r="BC515">
        <v>100.20034</v>
      </c>
      <c r="BD515">
        <v>6.2857142857142856</v>
      </c>
      <c r="BE515">
        <v>98</v>
      </c>
      <c r="BF515" t="s">
        <v>196</v>
      </c>
      <c r="BG515">
        <v>6.5883009977810554</v>
      </c>
      <c r="BH515">
        <v>4.54545454545454E-2</v>
      </c>
      <c r="BI515">
        <v>9.8948522452745796E-2</v>
      </c>
      <c r="BJ515">
        <v>90</v>
      </c>
      <c r="BK515">
        <v>1526.2874606920959</v>
      </c>
      <c r="BL515">
        <v>-339.99061947150909</v>
      </c>
      <c r="BM515">
        <v>4.3898053561225057</v>
      </c>
      <c r="BN515">
        <v>746.26691054082596</v>
      </c>
      <c r="BO515">
        <v>780.02055015127019</v>
      </c>
    </row>
    <row r="516" spans="1:67" x14ac:dyDescent="0.25">
      <c r="A516" s="1">
        <v>514</v>
      </c>
      <c r="B516" t="s">
        <v>180</v>
      </c>
      <c r="C516" t="s">
        <v>195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67</v>
      </c>
      <c r="J516">
        <v>1.4</v>
      </c>
      <c r="K516">
        <v>500</v>
      </c>
      <c r="L516">
        <v>100</v>
      </c>
      <c r="N516" t="s">
        <v>179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60422.882284456733</v>
      </c>
      <c r="Z516">
        <v>302114411.42228359</v>
      </c>
      <c r="AA516">
        <v>422960175.99119711</v>
      </c>
      <c r="AB516">
        <v>422960.17599119712</v>
      </c>
      <c r="AC516">
        <v>0</v>
      </c>
      <c r="AD516">
        <v>3131.195201817909</v>
      </c>
      <c r="AE516">
        <v>5636151.3632722367</v>
      </c>
      <c r="AF516">
        <v>5636151.3632722367</v>
      </c>
      <c r="AG516">
        <v>253.72003329079919</v>
      </c>
      <c r="AH516">
        <v>248.0470214976111</v>
      </c>
      <c r="AI516">
        <v>248.0470214976111</v>
      </c>
      <c r="AJ516">
        <v>13746.205719713909</v>
      </c>
      <c r="AK516">
        <v>854.70085470085473</v>
      </c>
      <c r="AL516" t="s">
        <v>69</v>
      </c>
      <c r="AM516">
        <v>19223.64416606486</v>
      </c>
      <c r="AN516">
        <v>657.85945926512841</v>
      </c>
      <c r="AO516">
        <v>42167.993654593891</v>
      </c>
      <c r="AP516">
        <v>34482.410199744751</v>
      </c>
      <c r="AQ516">
        <v>-7685.5834548491403</v>
      </c>
      <c r="AR516">
        <v>2.4389348038611112E-3</v>
      </c>
      <c r="AS516">
        <v>54.178637537694172</v>
      </c>
      <c r="AT516">
        <v>75.767151362588066</v>
      </c>
      <c r="AU516">
        <v>2.5928557975204432</v>
      </c>
      <c r="AV516">
        <v>166.1989126663222</v>
      </c>
      <c r="AW516">
        <v>135.9073217534345</v>
      </c>
      <c r="AX516">
        <v>-30.291590912887731</v>
      </c>
      <c r="AY516">
        <v>0.97764066274307171</v>
      </c>
      <c r="AZ516" t="str">
        <f>VLOOKUP(BA516,Sheet1!$A$1:$B$58,2,FALSE)</f>
        <v>Hexane</v>
      </c>
      <c r="BA516" t="s">
        <v>138</v>
      </c>
      <c r="BB516" t="s">
        <v>139</v>
      </c>
      <c r="BC516">
        <v>86.173959999999994</v>
      </c>
      <c r="BD516">
        <v>6.333333333333333</v>
      </c>
      <c r="BE516">
        <v>69</v>
      </c>
      <c r="BF516" t="s">
        <v>196</v>
      </c>
      <c r="BG516">
        <v>6.6392446163551124</v>
      </c>
      <c r="BH516">
        <v>5.2631578947368397E-2</v>
      </c>
      <c r="BI516">
        <v>9.85338038772305E-2</v>
      </c>
      <c r="BJ516">
        <v>90</v>
      </c>
      <c r="BK516">
        <v>1532.5515644331001</v>
      </c>
      <c r="BL516">
        <v>-341.58148688218421</v>
      </c>
      <c r="BM516">
        <v>4.3850674502053844</v>
      </c>
      <c r="BN516">
        <v>745.4614665349153</v>
      </c>
      <c r="BO516">
        <v>787.09009789818458</v>
      </c>
    </row>
    <row r="517" spans="1:67" x14ac:dyDescent="0.25">
      <c r="A517" s="1">
        <v>515</v>
      </c>
      <c r="B517" t="s">
        <v>180</v>
      </c>
      <c r="C517" t="s">
        <v>195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67</v>
      </c>
      <c r="J517">
        <v>1.4</v>
      </c>
      <c r="K517">
        <v>500</v>
      </c>
      <c r="L517">
        <v>100</v>
      </c>
      <c r="N517" t="s">
        <v>179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38180.898885659401</v>
      </c>
      <c r="Z517">
        <v>190904494.42829701</v>
      </c>
      <c r="AA517">
        <v>267266292.19961581</v>
      </c>
      <c r="AB517">
        <v>267266.2921996158</v>
      </c>
      <c r="AC517">
        <v>0</v>
      </c>
      <c r="AD517">
        <v>1978.585642920003</v>
      </c>
      <c r="AE517">
        <v>3561454.1572560049</v>
      </c>
      <c r="AF517">
        <v>3561454.1572560049</v>
      </c>
      <c r="AG517">
        <v>160.32434352828119</v>
      </c>
      <c r="AH517">
        <v>156.73959746083679</v>
      </c>
      <c r="AI517">
        <v>156.73959746083679</v>
      </c>
      <c r="AJ517">
        <v>8686.1544964875138</v>
      </c>
      <c r="AK517">
        <v>854.70085470085473</v>
      </c>
      <c r="AL517" t="s">
        <v>69</v>
      </c>
      <c r="AM517">
        <v>12147.31880321485</v>
      </c>
      <c r="AN517">
        <v>415.69790360096329</v>
      </c>
      <c r="AO517">
        <v>26645.731568342249</v>
      </c>
      <c r="AP517">
        <v>22103.872058004181</v>
      </c>
      <c r="AQ517">
        <v>-4541.8595103380694</v>
      </c>
      <c r="AR517">
        <v>2.4389348038611112E-3</v>
      </c>
      <c r="AS517">
        <v>54.178637537694172</v>
      </c>
      <c r="AT517">
        <v>75.767151362588066</v>
      </c>
      <c r="AU517">
        <v>2.592855797520444</v>
      </c>
      <c r="AV517">
        <v>166.1989126663222</v>
      </c>
      <c r="AW517">
        <v>137.86971816981151</v>
      </c>
      <c r="AX517">
        <v>-28.329194496510642</v>
      </c>
      <c r="AY517">
        <v>0.97764066274307182</v>
      </c>
      <c r="AZ517" t="str">
        <f>VLOOKUP(BA517,Sheet1!$A$1:$B$58,2,FALSE)</f>
        <v>Isobutanol</v>
      </c>
      <c r="BA517" t="s">
        <v>140</v>
      </c>
      <c r="BB517" t="s">
        <v>141</v>
      </c>
      <c r="BC517">
        <v>86.130899999999997</v>
      </c>
      <c r="BD517">
        <v>5.6</v>
      </c>
      <c r="BE517">
        <v>108</v>
      </c>
      <c r="BF517" t="s">
        <v>196</v>
      </c>
      <c r="BG517">
        <v>4.0877315806522372</v>
      </c>
      <c r="BH517">
        <v>8.3333333333333301E-2</v>
      </c>
      <c r="BI517">
        <v>0.15593389905625901</v>
      </c>
      <c r="BJ517">
        <v>90</v>
      </c>
      <c r="BK517">
        <v>982.39431368907481</v>
      </c>
      <c r="BL517">
        <v>-201.8604226816918</v>
      </c>
      <c r="BM517">
        <v>2.8784727509405079</v>
      </c>
      <c r="BN517">
        <v>489.3403676598864</v>
      </c>
      <c r="BO517">
        <v>493.05394602918841</v>
      </c>
    </row>
    <row r="518" spans="1:67" x14ac:dyDescent="0.25">
      <c r="A518" s="1">
        <v>516</v>
      </c>
      <c r="B518" t="s">
        <v>180</v>
      </c>
      <c r="C518" t="s">
        <v>195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67</v>
      </c>
      <c r="J518">
        <v>1.4</v>
      </c>
      <c r="K518">
        <v>500</v>
      </c>
      <c r="L518">
        <v>100</v>
      </c>
      <c r="N518" t="s">
        <v>179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31464.966496528421</v>
      </c>
      <c r="Z518">
        <v>157324832.48264211</v>
      </c>
      <c r="AA518">
        <v>220254765.47569889</v>
      </c>
      <c r="AB518">
        <v>220254.76547569901</v>
      </c>
      <c r="AC518">
        <v>0</v>
      </c>
      <c r="AD518">
        <v>1630.5569743506801</v>
      </c>
      <c r="AE518">
        <v>2935002.5538312239</v>
      </c>
      <c r="AF518">
        <v>2935002.5538312239</v>
      </c>
      <c r="AG518">
        <v>132.1236598646455</v>
      </c>
      <c r="AH518">
        <v>129.16946239411209</v>
      </c>
      <c r="AI518">
        <v>129.16946239411209</v>
      </c>
      <c r="AJ518">
        <v>7158.2798779602163</v>
      </c>
      <c r="AK518">
        <v>854.70085470085473</v>
      </c>
      <c r="AL518" t="s">
        <v>69</v>
      </c>
      <c r="AM518">
        <v>10010.633335543689</v>
      </c>
      <c r="AN518">
        <v>342.57759746966508</v>
      </c>
      <c r="AO518">
        <v>21958.80860699906</v>
      </c>
      <c r="AP518">
        <v>18366.191665674429</v>
      </c>
      <c r="AQ518">
        <v>-3592.6169413246348</v>
      </c>
      <c r="AR518">
        <v>2.4389348038611112E-3</v>
      </c>
      <c r="AS518">
        <v>54.178637537694158</v>
      </c>
      <c r="AT518">
        <v>75.767151362588038</v>
      </c>
      <c r="AU518">
        <v>2.592855797520444</v>
      </c>
      <c r="AV518">
        <v>166.19891266632209</v>
      </c>
      <c r="AW518">
        <v>139.0075909529734</v>
      </c>
      <c r="AX518">
        <v>-27.19132171334871</v>
      </c>
      <c r="AY518">
        <v>0.97764066274307138</v>
      </c>
      <c r="AZ518" t="str">
        <f>VLOOKUP(BA518,Sheet1!$A$1:$B$58,2,FALSE)</f>
        <v>Isobutyrate</v>
      </c>
      <c r="BA518" t="s">
        <v>142</v>
      </c>
      <c r="BB518" t="s">
        <v>114</v>
      </c>
      <c r="BC518">
        <v>87.095680000000002</v>
      </c>
      <c r="BD518">
        <v>4.75</v>
      </c>
      <c r="BE518">
        <v>155</v>
      </c>
      <c r="BF518" t="s">
        <v>196</v>
      </c>
      <c r="BG518">
        <v>3.0318380888696201</v>
      </c>
      <c r="BH518">
        <v>0.1</v>
      </c>
      <c r="BI518">
        <v>0.189216677963745</v>
      </c>
      <c r="BJ518">
        <v>90</v>
      </c>
      <c r="BK518">
        <v>816.27518514108579</v>
      </c>
      <c r="BL518">
        <v>-159.67186405887259</v>
      </c>
      <c r="BM518">
        <v>2.7090269064242518</v>
      </c>
      <c r="BN518">
        <v>460.53457409212291</v>
      </c>
      <c r="BO518">
        <v>355.74061104896288</v>
      </c>
    </row>
    <row r="519" spans="1:67" x14ac:dyDescent="0.25">
      <c r="A519" s="1">
        <v>517</v>
      </c>
      <c r="B519" t="s">
        <v>180</v>
      </c>
      <c r="C519" t="s">
        <v>195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67</v>
      </c>
      <c r="J519">
        <v>1.4</v>
      </c>
      <c r="K519">
        <v>500</v>
      </c>
      <c r="L519">
        <v>100</v>
      </c>
      <c r="N519" t="s">
        <v>179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92120.366071334938</v>
      </c>
      <c r="Z519">
        <v>460601830.35667467</v>
      </c>
      <c r="AA519">
        <v>644842562.49934447</v>
      </c>
      <c r="AB519">
        <v>644842.56249934447</v>
      </c>
      <c r="AC519">
        <v>66773.504273504266</v>
      </c>
      <c r="AD519">
        <v>4773.8015355562366</v>
      </c>
      <c r="AE519">
        <v>8592842.7640012261</v>
      </c>
      <c r="AF519">
        <v>8592842.7640012261</v>
      </c>
      <c r="AG519">
        <v>386.82004999937169</v>
      </c>
      <c r="AH519">
        <v>378.17101004369403</v>
      </c>
      <c r="AI519">
        <v>378.17101004369403</v>
      </c>
      <c r="AJ519">
        <v>20957.3832812287</v>
      </c>
      <c r="AK519">
        <v>2170.1388888888891</v>
      </c>
      <c r="AL519" t="s">
        <v>107</v>
      </c>
      <c r="AM519">
        <v>29308.253278386281</v>
      </c>
      <c r="AN519">
        <v>1002.968609238019</v>
      </c>
      <c r="AO519">
        <v>64289.071707427967</v>
      </c>
      <c r="AP519">
        <v>53438.744057741897</v>
      </c>
      <c r="AQ519">
        <v>-10850.32764968608</v>
      </c>
      <c r="AR519">
        <v>2.4389348038611112E-3</v>
      </c>
      <c r="AS519">
        <v>54.178637537694158</v>
      </c>
      <c r="AT519">
        <v>75.767151362588066</v>
      </c>
      <c r="AU519">
        <v>2.592855797520444</v>
      </c>
      <c r="AV519">
        <v>166.1989126663222</v>
      </c>
      <c r="AW519">
        <v>138.14884739772069</v>
      </c>
      <c r="AX519">
        <v>-28.050065268601511</v>
      </c>
      <c r="AY519">
        <v>0.97764066274307182</v>
      </c>
      <c r="AZ519" t="str">
        <f>VLOOKUP(BA519,Sheet1!$A$1:$B$58,2,FALSE)</f>
        <v>Isoprene</v>
      </c>
      <c r="BA519" t="s">
        <v>143</v>
      </c>
      <c r="BB519" t="s">
        <v>144</v>
      </c>
      <c r="BC519">
        <v>68.116219999999998</v>
      </c>
      <c r="BD519">
        <v>5.6</v>
      </c>
      <c r="BE519">
        <v>34.07</v>
      </c>
      <c r="BF519" t="s">
        <v>196</v>
      </c>
      <c r="BG519">
        <v>8.6891610212415955</v>
      </c>
      <c r="BH519">
        <v>4.3673469387755202E-2</v>
      </c>
      <c r="BI519">
        <v>6.4629535103055302E-2</v>
      </c>
      <c r="BJ519">
        <v>90</v>
      </c>
      <c r="BK519">
        <v>2375.0552914551949</v>
      </c>
      <c r="BL519">
        <v>-482.23678443049232</v>
      </c>
      <c r="BM519">
        <v>8.1184394251447998</v>
      </c>
      <c r="BN519">
        <v>1380.1347022746161</v>
      </c>
      <c r="BO519">
        <v>994.9205891805791</v>
      </c>
    </row>
    <row r="520" spans="1:67" x14ac:dyDescent="0.25">
      <c r="A520" s="1">
        <v>518</v>
      </c>
      <c r="B520" t="s">
        <v>180</v>
      </c>
      <c r="C520" t="s">
        <v>195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67</v>
      </c>
      <c r="J520">
        <v>1.4</v>
      </c>
      <c r="K520">
        <v>500</v>
      </c>
      <c r="L520">
        <v>100</v>
      </c>
      <c r="N520" t="s">
        <v>179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41042.762598102832</v>
      </c>
      <c r="Z520">
        <v>205213812.99051419</v>
      </c>
      <c r="AA520">
        <v>287299338.18671978</v>
      </c>
      <c r="AB520">
        <v>287299.3381867198</v>
      </c>
      <c r="AC520">
        <v>0</v>
      </c>
      <c r="AD520">
        <v>2126.8912779023449</v>
      </c>
      <c r="AE520">
        <v>3828404.3002242199</v>
      </c>
      <c r="AF520">
        <v>3828404.3002242199</v>
      </c>
      <c r="AG520">
        <v>172.3415153172156</v>
      </c>
      <c r="AH520">
        <v>168.48807325286791</v>
      </c>
      <c r="AI520">
        <v>168.48807325286791</v>
      </c>
      <c r="AJ520">
        <v>9337.2284910683939</v>
      </c>
      <c r="AK520">
        <v>854.70085470085473</v>
      </c>
      <c r="AL520" t="s">
        <v>69</v>
      </c>
      <c r="AM520">
        <v>13057.825677097269</v>
      </c>
      <c r="AN520">
        <v>446.8566971437009</v>
      </c>
      <c r="AO520">
        <v>28642.972452987549</v>
      </c>
      <c r="AP520">
        <v>23696.61172001022</v>
      </c>
      <c r="AQ520">
        <v>-4946.3607329773331</v>
      </c>
      <c r="AR520">
        <v>2.4389348038611112E-3</v>
      </c>
      <c r="AS520">
        <v>54.178637537694172</v>
      </c>
      <c r="AT520">
        <v>75.767151362588066</v>
      </c>
      <c r="AU520">
        <v>2.592855797520444</v>
      </c>
      <c r="AV520">
        <v>166.1989126663222</v>
      </c>
      <c r="AW520">
        <v>137.4979886674067</v>
      </c>
      <c r="AX520">
        <v>-28.700923998915471</v>
      </c>
      <c r="AY520">
        <v>0.97764066274307171</v>
      </c>
      <c r="AZ520" t="str">
        <f>VLOOKUP(BA520,Sheet1!$A$1:$B$58,2,FALSE)</f>
        <v>Isopropanol</v>
      </c>
      <c r="BA520" t="s">
        <v>145</v>
      </c>
      <c r="BB520" t="s">
        <v>79</v>
      </c>
      <c r="BC520">
        <v>60.093820000000001</v>
      </c>
      <c r="BD520">
        <v>6</v>
      </c>
      <c r="BE520">
        <v>82.5</v>
      </c>
      <c r="BF520" t="s">
        <v>196</v>
      </c>
      <c r="BG520">
        <v>4.3941290468803667</v>
      </c>
      <c r="BH520">
        <v>0.11111111111111099</v>
      </c>
      <c r="BI520">
        <v>0.14506081111091801</v>
      </c>
      <c r="BJ520">
        <v>90</v>
      </c>
      <c r="BK520">
        <v>1053.1827431115651</v>
      </c>
      <c r="BL520">
        <v>-219.83825479899261</v>
      </c>
      <c r="BM520">
        <v>3.0942297643582091</v>
      </c>
      <c r="BN520">
        <v>526.01905994089554</v>
      </c>
      <c r="BO520">
        <v>527.16368317066974</v>
      </c>
    </row>
    <row r="521" spans="1:67" x14ac:dyDescent="0.25">
      <c r="A521" s="1">
        <v>519</v>
      </c>
      <c r="B521" t="s">
        <v>180</v>
      </c>
      <c r="C521" t="s">
        <v>195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67</v>
      </c>
      <c r="J521">
        <v>1.4</v>
      </c>
      <c r="K521">
        <v>500</v>
      </c>
      <c r="L521">
        <v>100</v>
      </c>
      <c r="N521" t="s">
        <v>179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28495.136360267279</v>
      </c>
      <c r="Z521">
        <v>142475681.80133641</v>
      </c>
      <c r="AA521">
        <v>199465954.521871</v>
      </c>
      <c r="AB521">
        <v>199465.954521871</v>
      </c>
      <c r="AC521">
        <v>0</v>
      </c>
      <c r="AD521">
        <v>1476.6563737620311</v>
      </c>
      <c r="AE521">
        <v>2657981.4727716558</v>
      </c>
      <c r="AF521">
        <v>2657981.4727716558</v>
      </c>
      <c r="AG521">
        <v>119.65312928828421</v>
      </c>
      <c r="AH521">
        <v>116.9777646166806</v>
      </c>
      <c r="AI521">
        <v>116.9777646166806</v>
      </c>
      <c r="AJ521">
        <v>6482.6435219608074</v>
      </c>
      <c r="AK521">
        <v>854.70085470085473</v>
      </c>
      <c r="AL521" t="s">
        <v>69</v>
      </c>
      <c r="AM521">
        <v>9065.7767577927461</v>
      </c>
      <c r="AN521">
        <v>310.2433099665908</v>
      </c>
      <c r="AO521">
        <v>19886.219984835701</v>
      </c>
      <c r="AP521">
        <v>16713.364444421</v>
      </c>
      <c r="AQ521">
        <v>-3172.855540414705</v>
      </c>
      <c r="AR521">
        <v>2.4389348038611112E-3</v>
      </c>
      <c r="AS521">
        <v>54.178637537694172</v>
      </c>
      <c r="AT521">
        <v>75.767151362588066</v>
      </c>
      <c r="AU521">
        <v>2.592855797520444</v>
      </c>
      <c r="AV521">
        <v>166.1989126663222</v>
      </c>
      <c r="AW521">
        <v>139.68179974761</v>
      </c>
      <c r="AX521">
        <v>-26.517112918712201</v>
      </c>
      <c r="AY521">
        <v>0.97764066274307193</v>
      </c>
      <c r="AZ521" t="str">
        <f>VLOOKUP(BA521,Sheet1!$A$1:$B$58,2,FALSE)</f>
        <v>Itaconate</v>
      </c>
      <c r="BA521" t="s">
        <v>146</v>
      </c>
      <c r="BB521" t="s">
        <v>147</v>
      </c>
      <c r="BC521">
        <v>128.08086</v>
      </c>
      <c r="BD521">
        <v>3.2</v>
      </c>
      <c r="BE521">
        <v>381</v>
      </c>
      <c r="BF521" t="s">
        <v>196</v>
      </c>
      <c r="BG521">
        <v>2.1162587680208751</v>
      </c>
      <c r="BH521">
        <v>7.5087719298245606E-2</v>
      </c>
      <c r="BI521">
        <v>0.208937285206864</v>
      </c>
      <c r="BJ521">
        <v>90</v>
      </c>
      <c r="BK521">
        <v>742.81619752982215</v>
      </c>
      <c r="BL521">
        <v>-141.0158017962089</v>
      </c>
      <c r="BM521">
        <v>3.082752992720486</v>
      </c>
      <c r="BN521">
        <v>524.06800876248258</v>
      </c>
      <c r="BO521">
        <v>218.7481887673396</v>
      </c>
    </row>
    <row r="522" spans="1:67" x14ac:dyDescent="0.25">
      <c r="A522" s="1">
        <v>520</v>
      </c>
      <c r="B522" t="s">
        <v>180</v>
      </c>
      <c r="C522" t="s">
        <v>195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67</v>
      </c>
      <c r="J522">
        <v>1.4</v>
      </c>
      <c r="K522">
        <v>500</v>
      </c>
      <c r="L522">
        <v>100</v>
      </c>
      <c r="N522" t="s">
        <v>179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90240.358600491367</v>
      </c>
      <c r="Z522">
        <v>451201793.00245678</v>
      </c>
      <c r="AA522">
        <v>631682510.20343959</v>
      </c>
      <c r="AB522">
        <v>631682.51020343963</v>
      </c>
      <c r="AC522">
        <v>0</v>
      </c>
      <c r="AD522">
        <v>4676.3770144224363</v>
      </c>
      <c r="AE522">
        <v>8417478.6259603854</v>
      </c>
      <c r="AF522">
        <v>8417478.6259603854</v>
      </c>
      <c r="AG522">
        <v>378.92576326469072</v>
      </c>
      <c r="AH522">
        <v>370.45323432851649</v>
      </c>
      <c r="AI522">
        <v>370.45323432851649</v>
      </c>
      <c r="AJ522">
        <v>20529.681581611789</v>
      </c>
      <c r="AK522">
        <v>854.70085470085473</v>
      </c>
      <c r="AL522" t="s">
        <v>69</v>
      </c>
      <c r="AM522">
        <v>28710.125660460031</v>
      </c>
      <c r="AN522">
        <v>982.49986211071234</v>
      </c>
      <c r="AO522">
        <v>62977.049835847807</v>
      </c>
      <c r="AP522">
        <v>51077.007958883391</v>
      </c>
      <c r="AQ522">
        <v>-11900.04187696442</v>
      </c>
      <c r="AR522">
        <v>2.4389348038611112E-3</v>
      </c>
      <c r="AS522">
        <v>54.178637537694172</v>
      </c>
      <c r="AT522">
        <v>75.767151362588052</v>
      </c>
      <c r="AU522">
        <v>2.592855797520444</v>
      </c>
      <c r="AV522">
        <v>166.1989126663222</v>
      </c>
      <c r="AW522">
        <v>134.7942338858723</v>
      </c>
      <c r="AX522">
        <v>-31.404678780449899</v>
      </c>
      <c r="AY522">
        <v>0.97764066274307171</v>
      </c>
      <c r="AZ522" t="str">
        <f>VLOOKUP(BA522,Sheet1!$A$1:$B$58,2,FALSE)</f>
        <v>Limonene</v>
      </c>
      <c r="BA522" t="s">
        <v>148</v>
      </c>
      <c r="BB522" t="s">
        <v>149</v>
      </c>
      <c r="BC522">
        <v>136.23244</v>
      </c>
      <c r="BD522">
        <v>5.6</v>
      </c>
      <c r="BE522">
        <v>176</v>
      </c>
      <c r="BF522" t="s">
        <v>196</v>
      </c>
      <c r="BG522">
        <v>8.5382026991213458</v>
      </c>
      <c r="BH522">
        <v>2.2291666666666699E-2</v>
      </c>
      <c r="BI522">
        <v>6.5975983751035597E-2</v>
      </c>
      <c r="BJ522">
        <v>90</v>
      </c>
      <c r="BK522">
        <v>2270.0892426170399</v>
      </c>
      <c r="BL522">
        <v>-528.89075008730731</v>
      </c>
      <c r="BM522">
        <v>7.9263854932571682</v>
      </c>
      <c r="BN522">
        <v>1347.4855338537191</v>
      </c>
      <c r="BO522">
        <v>922.60370876332172</v>
      </c>
    </row>
    <row r="523" spans="1:67" x14ac:dyDescent="0.25">
      <c r="A523" s="1">
        <v>521</v>
      </c>
      <c r="B523" t="s">
        <v>180</v>
      </c>
      <c r="C523" t="s">
        <v>195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67</v>
      </c>
      <c r="J523">
        <v>1.4</v>
      </c>
      <c r="K523">
        <v>500</v>
      </c>
      <c r="L523">
        <v>100</v>
      </c>
      <c r="N523" t="s">
        <v>179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33930.243360014952</v>
      </c>
      <c r="Z523">
        <v>169651216.8000747</v>
      </c>
      <c r="AA523">
        <v>237511703.52010459</v>
      </c>
      <c r="AB523">
        <v>237511.70352010461</v>
      </c>
      <c r="AC523">
        <v>0</v>
      </c>
      <c r="AD523">
        <v>1758.310944274876</v>
      </c>
      <c r="AE523">
        <v>3164959.699694776</v>
      </c>
      <c r="AF523">
        <v>3164959.699694776</v>
      </c>
      <c r="AG523">
        <v>142.47553491969791</v>
      </c>
      <c r="AH523">
        <v>139.2898763835671</v>
      </c>
      <c r="AI523">
        <v>139.2898763835671</v>
      </c>
      <c r="AJ523">
        <v>7719.1303644033987</v>
      </c>
      <c r="AK523">
        <v>854.70085470085473</v>
      </c>
      <c r="AL523" t="s">
        <v>69</v>
      </c>
      <c r="AM523">
        <v>10794.96541972645</v>
      </c>
      <c r="AN523">
        <v>369.41851672136511</v>
      </c>
      <c r="AO523">
        <v>23679.278985206409</v>
      </c>
      <c r="AP523">
        <v>19738.215155552069</v>
      </c>
      <c r="AQ523">
        <v>-3941.0638296543402</v>
      </c>
      <c r="AR523">
        <v>2.4389348038611099E-3</v>
      </c>
      <c r="AS523">
        <v>54.178637537694158</v>
      </c>
      <c r="AT523">
        <v>75.767151362588052</v>
      </c>
      <c r="AU523">
        <v>2.592855797520444</v>
      </c>
      <c r="AV523">
        <v>166.1989126663222</v>
      </c>
      <c r="AW523">
        <v>138.53757535760039</v>
      </c>
      <c r="AX523">
        <v>-27.661337308721841</v>
      </c>
      <c r="AY523">
        <v>0.97764066274307182</v>
      </c>
      <c r="AZ523" t="str">
        <f>VLOOKUP(BA523,Sheet1!$A$1:$B$58,2,FALSE)</f>
        <v>L-Lysine</v>
      </c>
      <c r="BA523" t="s">
        <v>150</v>
      </c>
      <c r="BB523" t="s">
        <v>151</v>
      </c>
      <c r="BC523">
        <v>147.19319999999999</v>
      </c>
      <c r="BD523">
        <v>4.833333333333333</v>
      </c>
      <c r="BF523" t="s">
        <v>196</v>
      </c>
      <c r="BG523">
        <v>3.023480031241792</v>
      </c>
      <c r="BH523">
        <v>5.4871794871794902E-2</v>
      </c>
      <c r="BI523">
        <v>0.17546872179908299</v>
      </c>
      <c r="BJ523">
        <v>90</v>
      </c>
      <c r="BK523">
        <v>877.2540069134252</v>
      </c>
      <c r="BL523">
        <v>-175.1583924290818</v>
      </c>
      <c r="BM523">
        <v>3.1671811413611901</v>
      </c>
      <c r="BN523">
        <v>538.42079403140235</v>
      </c>
      <c r="BO523">
        <v>338.83321288202279</v>
      </c>
    </row>
    <row r="524" spans="1:67" x14ac:dyDescent="0.25">
      <c r="A524" s="1">
        <v>522</v>
      </c>
      <c r="B524" t="s">
        <v>180</v>
      </c>
      <c r="C524" t="s">
        <v>195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67</v>
      </c>
      <c r="J524">
        <v>1.4</v>
      </c>
      <c r="K524">
        <v>500</v>
      </c>
      <c r="L524">
        <v>100</v>
      </c>
      <c r="N524" t="s">
        <v>179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22301.6263385741</v>
      </c>
      <c r="Z524">
        <v>111508131.6928705</v>
      </c>
      <c r="AA524">
        <v>156111384.37001869</v>
      </c>
      <c r="AB524">
        <v>156111.3843700187</v>
      </c>
      <c r="AC524">
        <v>0</v>
      </c>
      <c r="AD524">
        <v>1155.70033642772</v>
      </c>
      <c r="AE524">
        <v>2080260.6055698949</v>
      </c>
      <c r="AF524">
        <v>2080260.6055698949</v>
      </c>
      <c r="AG524">
        <v>93.646134761061404</v>
      </c>
      <c r="AH524">
        <v>91.552269251131094</v>
      </c>
      <c r="AI524">
        <v>91.552269251131094</v>
      </c>
      <c r="AJ524">
        <v>5073.6199920256086</v>
      </c>
      <c r="AK524">
        <v>854.70085470085473</v>
      </c>
      <c r="AL524" t="s">
        <v>69</v>
      </c>
      <c r="AM524">
        <v>7095.3008669626597</v>
      </c>
      <c r="AN524">
        <v>242.81092343059879</v>
      </c>
      <c r="AO524">
        <v>15563.885772692291</v>
      </c>
      <c r="AP524">
        <v>13266.43263711972</v>
      </c>
      <c r="AQ524">
        <v>-2297.4531355725612</v>
      </c>
      <c r="AR524">
        <v>2.4389348038611112E-3</v>
      </c>
      <c r="AS524">
        <v>54.178637537694172</v>
      </c>
      <c r="AT524">
        <v>75.767151362588066</v>
      </c>
      <c r="AU524">
        <v>2.592855797520444</v>
      </c>
      <c r="AV524">
        <v>166.1989126663222</v>
      </c>
      <c r="AW524">
        <v>141.66556549257581</v>
      </c>
      <c r="AX524">
        <v>-24.533347173746389</v>
      </c>
      <c r="AY524">
        <v>0.97764066274307193</v>
      </c>
      <c r="AZ524" t="str">
        <f>VLOOKUP(BA524,Sheet1!$A$1:$B$58,2,FALSE)</f>
        <v>L-Malate</v>
      </c>
      <c r="BA524" t="s">
        <v>152</v>
      </c>
      <c r="BB524" t="s">
        <v>153</v>
      </c>
      <c r="BC524">
        <v>132.06916000000001</v>
      </c>
      <c r="BD524">
        <v>2.5</v>
      </c>
      <c r="BF524" t="s">
        <v>196</v>
      </c>
      <c r="BG524">
        <v>1.457511628366515</v>
      </c>
      <c r="BH524">
        <v>9.3043478260869603E-2</v>
      </c>
      <c r="BI524">
        <v>0.266962433247113</v>
      </c>
      <c r="BJ524">
        <v>90</v>
      </c>
      <c r="BK524">
        <v>589.6192283164321</v>
      </c>
      <c r="BL524">
        <v>-102.1090282476693</v>
      </c>
      <c r="BM524">
        <v>2.611478116128199</v>
      </c>
      <c r="BN524">
        <v>443.95127974179388</v>
      </c>
      <c r="BO524">
        <v>145.66794857463819</v>
      </c>
    </row>
    <row r="525" spans="1:67" x14ac:dyDescent="0.25">
      <c r="A525" s="1">
        <v>523</v>
      </c>
      <c r="B525" t="s">
        <v>180</v>
      </c>
      <c r="C525" t="s">
        <v>195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67</v>
      </c>
      <c r="J525">
        <v>1.4</v>
      </c>
      <c r="K525">
        <v>500</v>
      </c>
      <c r="L525">
        <v>100</v>
      </c>
      <c r="N525" t="s">
        <v>179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25098.835516603609</v>
      </c>
      <c r="Z525">
        <v>125494177.58301809</v>
      </c>
      <c r="AA525">
        <v>175691848.6162253</v>
      </c>
      <c r="AB525">
        <v>175691.8486162253</v>
      </c>
      <c r="AC525">
        <v>0</v>
      </c>
      <c r="AD525">
        <v>1300.655486291203</v>
      </c>
      <c r="AE525">
        <v>2341179.875324165</v>
      </c>
      <c r="AF525">
        <v>2341179.875324165</v>
      </c>
      <c r="AG525">
        <v>105.3918175047253</v>
      </c>
      <c r="AH525">
        <v>103.0353263130165</v>
      </c>
      <c r="AI525">
        <v>103.0353263130165</v>
      </c>
      <c r="AJ525">
        <v>5709.9850800273216</v>
      </c>
      <c r="AK525">
        <v>854.70085470085473</v>
      </c>
      <c r="AL525" t="s">
        <v>69</v>
      </c>
      <c r="AM525">
        <v>7985.2377892587774</v>
      </c>
      <c r="AN525">
        <v>273.26578502834349</v>
      </c>
      <c r="AO525">
        <v>17516.005473212801</v>
      </c>
      <c r="AP525">
        <v>14823.189509015299</v>
      </c>
      <c r="AQ525">
        <v>-2692.815964197503</v>
      </c>
      <c r="AR525">
        <v>2.4389348038611112E-3</v>
      </c>
      <c r="AS525">
        <v>54.178637537694172</v>
      </c>
      <c r="AT525">
        <v>75.767151362588066</v>
      </c>
      <c r="AU525">
        <v>2.592855797520444</v>
      </c>
      <c r="AV525">
        <v>166.1989126663222</v>
      </c>
      <c r="AW525">
        <v>140.6483905484474</v>
      </c>
      <c r="AX525">
        <v>-25.550522117874781</v>
      </c>
      <c r="AY525">
        <v>0.97764066274307182</v>
      </c>
      <c r="AZ525" t="str">
        <f>VLOOKUP(BA525,Sheet1!$A$1:$B$58,2,FALSE)</f>
        <v>Malonate</v>
      </c>
      <c r="BA525" t="s">
        <v>154</v>
      </c>
      <c r="BB525" t="s">
        <v>155</v>
      </c>
      <c r="BC525">
        <v>102.04378</v>
      </c>
      <c r="BD525">
        <v>2</v>
      </c>
      <c r="BE525">
        <v>199</v>
      </c>
      <c r="BF525" t="s">
        <v>196</v>
      </c>
      <c r="BG525">
        <v>1.5840672073053019</v>
      </c>
      <c r="BH525">
        <v>0.107</v>
      </c>
      <c r="BI525">
        <v>0.237210066131359</v>
      </c>
      <c r="BJ525">
        <v>90</v>
      </c>
      <c r="BK525">
        <v>658.80842262290207</v>
      </c>
      <c r="BL525">
        <v>-119.68070951988911</v>
      </c>
      <c r="BM525">
        <v>2.9952806288287639</v>
      </c>
      <c r="BN525">
        <v>509.19770690089001</v>
      </c>
      <c r="BO525">
        <v>149.61071572201209</v>
      </c>
    </row>
    <row r="526" spans="1:67" x14ac:dyDescent="0.25">
      <c r="A526" s="1">
        <v>524</v>
      </c>
      <c r="B526" t="s">
        <v>180</v>
      </c>
      <c r="C526" t="s">
        <v>195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67</v>
      </c>
      <c r="J526">
        <v>1.4</v>
      </c>
      <c r="K526">
        <v>500</v>
      </c>
      <c r="L526">
        <v>100</v>
      </c>
      <c r="N526" t="s">
        <v>179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59829.317411732023</v>
      </c>
      <c r="Z526">
        <v>299146587.05866009</v>
      </c>
      <c r="AA526">
        <v>418805221.88212413</v>
      </c>
      <c r="AB526">
        <v>418805.22188212408</v>
      </c>
      <c r="AC526">
        <v>0</v>
      </c>
      <c r="AD526">
        <v>3100.435870068497</v>
      </c>
      <c r="AE526">
        <v>5580784.5661232956</v>
      </c>
      <c r="AF526">
        <v>5580784.5661232956</v>
      </c>
      <c r="AG526">
        <v>251.227611652272</v>
      </c>
      <c r="AH526">
        <v>245.61032875508619</v>
      </c>
      <c r="AI526">
        <v>245.61032875508619</v>
      </c>
      <c r="AJ526">
        <v>13611.169711169039</v>
      </c>
      <c r="AK526">
        <v>854.70085470085473</v>
      </c>
      <c r="AL526" t="s">
        <v>69</v>
      </c>
      <c r="AM526">
        <v>19034.800478519181</v>
      </c>
      <c r="AN526">
        <v>651.39696936980772</v>
      </c>
      <c r="AO526">
        <v>41753.755888364649</v>
      </c>
      <c r="AP526">
        <v>34152.068013758879</v>
      </c>
      <c r="AQ526">
        <v>-7601.68787460577</v>
      </c>
      <c r="AR526">
        <v>2.4389348038611112E-3</v>
      </c>
      <c r="AS526">
        <v>54.178637537694172</v>
      </c>
      <c r="AT526">
        <v>75.767151362588052</v>
      </c>
      <c r="AU526">
        <v>2.5928557975204432</v>
      </c>
      <c r="AV526">
        <v>166.19891266632209</v>
      </c>
      <c r="AW526">
        <v>135.9407422979815</v>
      </c>
      <c r="AX526">
        <v>-30.25817036834064</v>
      </c>
      <c r="AY526">
        <v>0.9776406627430716</v>
      </c>
      <c r="AZ526" t="str">
        <f>VLOOKUP(BA526,Sheet1!$A$1:$B$58,2,FALSE)</f>
        <v>Nonane</v>
      </c>
      <c r="BA526" t="s">
        <v>156</v>
      </c>
      <c r="BB526" t="s">
        <v>157</v>
      </c>
      <c r="BC526">
        <v>128.25309999999999</v>
      </c>
      <c r="BD526">
        <v>6.2222222222222223</v>
      </c>
      <c r="BE526">
        <v>151</v>
      </c>
      <c r="BF526" t="s">
        <v>196</v>
      </c>
      <c r="BG526">
        <v>6.5198424053687667</v>
      </c>
      <c r="BH526">
        <v>3.5714285714285698E-2</v>
      </c>
      <c r="BI526">
        <v>9.9511354805230906E-2</v>
      </c>
      <c r="BJ526">
        <v>90</v>
      </c>
      <c r="BK526">
        <v>1517.869689500395</v>
      </c>
      <c r="BL526">
        <v>-337.85279442692303</v>
      </c>
      <c r="BM526">
        <v>4.3961722059683979</v>
      </c>
      <c r="BN526">
        <v>747.34927501462766</v>
      </c>
      <c r="BO526">
        <v>770.52041448576688</v>
      </c>
    </row>
    <row r="527" spans="1:67" x14ac:dyDescent="0.25">
      <c r="A527" s="1">
        <v>525</v>
      </c>
      <c r="B527" t="s">
        <v>180</v>
      </c>
      <c r="C527" t="s">
        <v>195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67</v>
      </c>
      <c r="J527">
        <v>1.4</v>
      </c>
      <c r="K527">
        <v>500</v>
      </c>
      <c r="L527">
        <v>100</v>
      </c>
      <c r="N527" t="s">
        <v>179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59978.581482344031</v>
      </c>
      <c r="Z527">
        <v>299892907.41172022</v>
      </c>
      <c r="AA527">
        <v>419850070.37640822</v>
      </c>
      <c r="AB527">
        <v>419850.07037640823</v>
      </c>
      <c r="AC527">
        <v>0</v>
      </c>
      <c r="AD527">
        <v>3108.1709353953029</v>
      </c>
      <c r="AE527">
        <v>5594707.6837115455</v>
      </c>
      <c r="AF527">
        <v>5594707.6837115455</v>
      </c>
      <c r="AG527">
        <v>251.85438223210821</v>
      </c>
      <c r="AH527">
        <v>246.2230851601451</v>
      </c>
      <c r="AI527">
        <v>246.2230851601451</v>
      </c>
      <c r="AJ527">
        <v>13645.12728723327</v>
      </c>
      <c r="AK527">
        <v>854.70085470085473</v>
      </c>
      <c r="AL527" t="s">
        <v>69</v>
      </c>
      <c r="AM527">
        <v>19082.289099911239</v>
      </c>
      <c r="AN527">
        <v>653.02209510145121</v>
      </c>
      <c r="AO527">
        <v>41857.92447722466</v>
      </c>
      <c r="AP527">
        <v>34235.139336946813</v>
      </c>
      <c r="AQ527">
        <v>-7622.7851402778469</v>
      </c>
      <c r="AR527">
        <v>2.4389348038611112E-3</v>
      </c>
      <c r="AS527">
        <v>54.178637537694158</v>
      </c>
      <c r="AT527">
        <v>75.767151362588038</v>
      </c>
      <c r="AU527">
        <v>2.5928557975204432</v>
      </c>
      <c r="AV527">
        <v>166.19891266632209</v>
      </c>
      <c r="AW527">
        <v>135.9322757600296</v>
      </c>
      <c r="AX527">
        <v>-30.266636906292579</v>
      </c>
      <c r="AY527">
        <v>0.9776406627430716</v>
      </c>
      <c r="AZ527" t="str">
        <f>VLOOKUP(BA527,Sheet1!$A$1:$B$58,2,FALSE)</f>
        <v>Octane</v>
      </c>
      <c r="BA527" t="s">
        <v>158</v>
      </c>
      <c r="BB527" t="s">
        <v>159</v>
      </c>
      <c r="BC527">
        <v>114.22672</v>
      </c>
      <c r="BD527">
        <v>6.25</v>
      </c>
      <c r="BE527">
        <v>126</v>
      </c>
      <c r="BF527" t="s">
        <v>196</v>
      </c>
      <c r="BG527">
        <v>6.5498685421414526</v>
      </c>
      <c r="BH527">
        <v>0.04</v>
      </c>
      <c r="BI527">
        <v>9.9263708570137499E-2</v>
      </c>
      <c r="BJ527">
        <v>90</v>
      </c>
      <c r="BK527">
        <v>1521.5617483087469</v>
      </c>
      <c r="BL527">
        <v>-338.79045067901518</v>
      </c>
      <c r="BM527">
        <v>4.3933796871983306</v>
      </c>
      <c r="BN527">
        <v>746.87454682371617</v>
      </c>
      <c r="BO527">
        <v>774.68720148503121</v>
      </c>
    </row>
    <row r="528" spans="1:67" x14ac:dyDescent="0.25">
      <c r="A528" s="1">
        <v>526</v>
      </c>
      <c r="B528" t="s">
        <v>180</v>
      </c>
      <c r="C528" t="s">
        <v>195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67</v>
      </c>
      <c r="J528">
        <v>1.4</v>
      </c>
      <c r="K528">
        <v>500</v>
      </c>
      <c r="L528">
        <v>100</v>
      </c>
      <c r="N528" t="s">
        <v>179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60774.599024773612</v>
      </c>
      <c r="Z528">
        <v>303872995.12386799</v>
      </c>
      <c r="AA528">
        <v>425422193.17341518</v>
      </c>
      <c r="AB528">
        <v>425422.19317341532</v>
      </c>
      <c r="AC528">
        <v>66773.504273504266</v>
      </c>
      <c r="AD528">
        <v>3149.4216373675181</v>
      </c>
      <c r="AE528">
        <v>5668958.9472615328</v>
      </c>
      <c r="AF528">
        <v>5668958.9472615328</v>
      </c>
      <c r="AG528">
        <v>255.19691720775671</v>
      </c>
      <c r="AH528">
        <v>249.49088326898001</v>
      </c>
      <c r="AI528">
        <v>249.49088326898001</v>
      </c>
      <c r="AJ528">
        <v>13826.221278135999</v>
      </c>
      <c r="AK528">
        <v>2170.1388888888891</v>
      </c>
      <c r="AL528" t="s">
        <v>107</v>
      </c>
      <c r="AM528">
        <v>19335.543453345948</v>
      </c>
      <c r="AN528">
        <v>661.68880629147645</v>
      </c>
      <c r="AO528">
        <v>42413.450155726598</v>
      </c>
      <c r="AP528">
        <v>35993.592426662311</v>
      </c>
      <c r="AQ528">
        <v>-6419.8577290642934</v>
      </c>
      <c r="AR528">
        <v>2.4389348038611112E-3</v>
      </c>
      <c r="AS528">
        <v>54.178637537694158</v>
      </c>
      <c r="AT528">
        <v>75.767151362588052</v>
      </c>
      <c r="AU528">
        <v>2.592855797520444</v>
      </c>
      <c r="AV528">
        <v>166.1989126663222</v>
      </c>
      <c r="AW528">
        <v>141.04242645439089</v>
      </c>
      <c r="AX528">
        <v>-25.156486211931249</v>
      </c>
      <c r="AY528">
        <v>0.97764066274307182</v>
      </c>
      <c r="AZ528" t="str">
        <f>VLOOKUP(BA528,Sheet1!$A$1:$B$58,2,FALSE)</f>
        <v>Pentane</v>
      </c>
      <c r="BA528" t="s">
        <v>160</v>
      </c>
      <c r="BB528" t="s">
        <v>161</v>
      </c>
      <c r="BC528">
        <v>72.147580000000005</v>
      </c>
      <c r="BD528">
        <v>6.4</v>
      </c>
      <c r="BE528">
        <v>36.1</v>
      </c>
      <c r="BF528" t="s">
        <v>196</v>
      </c>
      <c r="BG528">
        <v>6.7099963713266604</v>
      </c>
      <c r="BH528">
        <v>6.25E-2</v>
      </c>
      <c r="BI528">
        <v>9.7963565835896896E-2</v>
      </c>
      <c r="BJ528">
        <v>90</v>
      </c>
      <c r="BK528">
        <v>1599.7152189627691</v>
      </c>
      <c r="BL528">
        <v>-285.32701018063523</v>
      </c>
      <c r="BM528">
        <v>4.3784873295168989</v>
      </c>
      <c r="BN528">
        <v>744.34284601787283</v>
      </c>
      <c r="BO528">
        <v>855.37237294489648</v>
      </c>
    </row>
    <row r="529" spans="1:67" x14ac:dyDescent="0.25">
      <c r="A529" s="1">
        <v>527</v>
      </c>
      <c r="B529" t="s">
        <v>180</v>
      </c>
      <c r="C529" t="s">
        <v>195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67</v>
      </c>
      <c r="J529">
        <v>1.4</v>
      </c>
      <c r="K529">
        <v>500</v>
      </c>
      <c r="L529">
        <v>100</v>
      </c>
      <c r="N529" t="s">
        <v>179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51574.259469166449</v>
      </c>
      <c r="Z529">
        <v>257871297.3458322</v>
      </c>
      <c r="AA529">
        <v>361019816.28416508</v>
      </c>
      <c r="AB529">
        <v>361019.81628416508</v>
      </c>
      <c r="AC529">
        <v>0</v>
      </c>
      <c r="AD529">
        <v>2672.647640788025</v>
      </c>
      <c r="AE529">
        <v>4810765.7534184456</v>
      </c>
      <c r="AF529">
        <v>4810765.7534184456</v>
      </c>
      <c r="AG529">
        <v>216.56402896939159</v>
      </c>
      <c r="AH529">
        <v>211.72180080794581</v>
      </c>
      <c r="AI529">
        <v>211.72180080794581</v>
      </c>
      <c r="AJ529">
        <v>11733.144029235371</v>
      </c>
      <c r="AK529">
        <v>854.70085470085473</v>
      </c>
      <c r="AL529" t="s">
        <v>69</v>
      </c>
      <c r="AM529">
        <v>16408.4395626158</v>
      </c>
      <c r="AN529">
        <v>561.51929804767212</v>
      </c>
      <c r="AO529">
        <v>35992.706137350782</v>
      </c>
      <c r="AP529">
        <v>29557.803744599689</v>
      </c>
      <c r="AQ529">
        <v>-6434.9023927510934</v>
      </c>
      <c r="AR529">
        <v>2.4389348038611112E-3</v>
      </c>
      <c r="AS529">
        <v>54.178637537694158</v>
      </c>
      <c r="AT529">
        <v>75.767151362588052</v>
      </c>
      <c r="AU529">
        <v>2.5928557975204432</v>
      </c>
      <c r="AV529">
        <v>166.1989126663222</v>
      </c>
      <c r="AW529">
        <v>136.48528744714699</v>
      </c>
      <c r="AX529">
        <v>-29.713625219175189</v>
      </c>
      <c r="AY529">
        <v>0.97764066274307182</v>
      </c>
      <c r="AZ529" t="str">
        <f>VLOOKUP(BA529,Sheet1!$A$1:$B$58,2,FALSE)</f>
        <v>Pentanol (PW1)</v>
      </c>
      <c r="BA529" t="s">
        <v>162</v>
      </c>
      <c r="BB529" t="s">
        <v>83</v>
      </c>
      <c r="BC529">
        <v>88.14658</v>
      </c>
      <c r="BD529">
        <v>6</v>
      </c>
      <c r="BE529">
        <v>138</v>
      </c>
      <c r="BF529" t="s">
        <v>196</v>
      </c>
      <c r="BG529">
        <v>5.389445795324912</v>
      </c>
      <c r="BH529">
        <v>6.0281690140845202E-2</v>
      </c>
      <c r="BI529">
        <v>0.115439300418323</v>
      </c>
      <c r="BJ529">
        <v>90</v>
      </c>
      <c r="BK529">
        <v>1313.6801664266529</v>
      </c>
      <c r="BL529">
        <v>-285.9956619000489</v>
      </c>
      <c r="BM529">
        <v>4.0204120183615668</v>
      </c>
      <c r="BN529">
        <v>683.47004312146635</v>
      </c>
      <c r="BO529">
        <v>630.21012330518636</v>
      </c>
    </row>
    <row r="530" spans="1:67" x14ac:dyDescent="0.25">
      <c r="A530" s="1">
        <v>528</v>
      </c>
      <c r="B530" t="s">
        <v>180</v>
      </c>
      <c r="C530" t="s">
        <v>195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67</v>
      </c>
      <c r="J530">
        <v>1.4</v>
      </c>
      <c r="K530">
        <v>500</v>
      </c>
      <c r="L530">
        <v>100</v>
      </c>
      <c r="N530" t="s">
        <v>179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51574.259469166893</v>
      </c>
      <c r="Z530">
        <v>257871297.34583449</v>
      </c>
      <c r="AA530">
        <v>361019816.28416818</v>
      </c>
      <c r="AB530">
        <v>361019.81628416822</v>
      </c>
      <c r="AC530">
        <v>0</v>
      </c>
      <c r="AD530">
        <v>2672.6476407880491</v>
      </c>
      <c r="AE530">
        <v>4810765.7534184866</v>
      </c>
      <c r="AF530">
        <v>4810765.7534184866</v>
      </c>
      <c r="AG530">
        <v>216.56402896939349</v>
      </c>
      <c r="AH530">
        <v>211.7218008079476</v>
      </c>
      <c r="AI530">
        <v>211.7218008079476</v>
      </c>
      <c r="AJ530">
        <v>11733.144029235469</v>
      </c>
      <c r="AK530">
        <v>854.70085470085473</v>
      </c>
      <c r="AL530" t="s">
        <v>69</v>
      </c>
      <c r="AM530">
        <v>16408.439562615938</v>
      </c>
      <c r="AN530">
        <v>561.51929804767724</v>
      </c>
      <c r="AO530">
        <v>35992.706137351102</v>
      </c>
      <c r="AP530">
        <v>29557.80374459994</v>
      </c>
      <c r="AQ530">
        <v>-6434.9023927511516</v>
      </c>
      <c r="AR530">
        <v>2.4389348038611112E-3</v>
      </c>
      <c r="AS530">
        <v>54.178637537694158</v>
      </c>
      <c r="AT530">
        <v>75.767151362588066</v>
      </c>
      <c r="AU530">
        <v>2.592855797520444</v>
      </c>
      <c r="AV530">
        <v>166.1989126663222</v>
      </c>
      <c r="AW530">
        <v>136.48528744714699</v>
      </c>
      <c r="AX530">
        <v>-29.71362521917516</v>
      </c>
      <c r="AY530">
        <v>0.97764066274307182</v>
      </c>
      <c r="AZ530" t="str">
        <f>VLOOKUP(BA530,Sheet1!$A$1:$B$58,2,FALSE)</f>
        <v>Pentanol (PW2)</v>
      </c>
      <c r="BA530" t="s">
        <v>163</v>
      </c>
      <c r="BB530" t="s">
        <v>83</v>
      </c>
      <c r="BC530">
        <v>88.14658</v>
      </c>
      <c r="BD530">
        <v>6</v>
      </c>
      <c r="BE530">
        <v>138</v>
      </c>
      <c r="BF530" t="s">
        <v>196</v>
      </c>
      <c r="BG530">
        <v>5.389445795324912</v>
      </c>
      <c r="BH530">
        <v>6.0281690140845098E-2</v>
      </c>
      <c r="BI530">
        <v>0.115439300418322</v>
      </c>
      <c r="BJ530">
        <v>90</v>
      </c>
      <c r="BK530">
        <v>1313.6801664266641</v>
      </c>
      <c r="BL530">
        <v>-285.995661900051</v>
      </c>
      <c r="BM530">
        <v>4.0204120183616494</v>
      </c>
      <c r="BN530">
        <v>683.47004312148022</v>
      </c>
      <c r="BO530">
        <v>630.21012330518386</v>
      </c>
    </row>
    <row r="531" spans="1:67" x14ac:dyDescent="0.25">
      <c r="A531" s="1">
        <v>529</v>
      </c>
      <c r="B531" t="s">
        <v>180</v>
      </c>
      <c r="C531" t="s">
        <v>195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67</v>
      </c>
      <c r="J531">
        <v>1.4</v>
      </c>
      <c r="K531">
        <v>500</v>
      </c>
      <c r="L531">
        <v>100</v>
      </c>
      <c r="N531" t="s">
        <v>179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129269.7291616119</v>
      </c>
      <c r="Z531">
        <v>646348645.80805945</v>
      </c>
      <c r="AA531">
        <v>904888104.13128316</v>
      </c>
      <c r="AB531">
        <v>904888.10413128312</v>
      </c>
      <c r="AC531">
        <v>0</v>
      </c>
      <c r="AD531">
        <v>6698.931603189395</v>
      </c>
      <c r="AE531">
        <v>12058076.88574091</v>
      </c>
      <c r="AF531">
        <v>12058076.88574091</v>
      </c>
      <c r="AG531">
        <v>542.81290045003118</v>
      </c>
      <c r="AH531">
        <v>530.67596374145751</v>
      </c>
      <c r="AI531">
        <v>530.67596374145751</v>
      </c>
      <c r="AJ531">
        <v>29408.8633842667</v>
      </c>
      <c r="AK531">
        <v>854.70085470085473</v>
      </c>
      <c r="AL531" t="s">
        <v>69</v>
      </c>
      <c r="AM531">
        <v>41127.387189962959</v>
      </c>
      <c r="AN531">
        <v>1407.435575900751</v>
      </c>
      <c r="AO531">
        <v>90214.913836047781</v>
      </c>
      <c r="AP531">
        <v>72798.387004831267</v>
      </c>
      <c r="AQ531">
        <v>-17416.52683121651</v>
      </c>
      <c r="AR531">
        <v>2.4389348038611112E-3</v>
      </c>
      <c r="AS531">
        <v>54.178637537694158</v>
      </c>
      <c r="AT531">
        <v>75.767151362588066</v>
      </c>
      <c r="AU531">
        <v>2.592855797520444</v>
      </c>
      <c r="AV531">
        <v>166.1989126663222</v>
      </c>
      <c r="AW531">
        <v>134.1132219674148</v>
      </c>
      <c r="AX531">
        <v>-32.085690698907399</v>
      </c>
      <c r="AY531">
        <v>0.97764066274307171</v>
      </c>
      <c r="AZ531" t="str">
        <f>VLOOKUP(BA531,Sheet1!$A$1:$B$58,2,FALSE)</f>
        <v>Phenol</v>
      </c>
      <c r="BA531" t="s">
        <v>164</v>
      </c>
      <c r="BB531" t="s">
        <v>165</v>
      </c>
      <c r="BC531">
        <v>94.11023999999999</v>
      </c>
      <c r="BD531">
        <v>4.666666666666667</v>
      </c>
      <c r="BE531">
        <v>181.7</v>
      </c>
      <c r="BF531" t="s">
        <v>196</v>
      </c>
      <c r="BG531">
        <v>10.847570643061941</v>
      </c>
      <c r="BH531">
        <v>2.25263157894737E-2</v>
      </c>
      <c r="BI531">
        <v>4.6056385136155002E-2</v>
      </c>
      <c r="BJ531">
        <v>90</v>
      </c>
      <c r="BK531">
        <v>3235.4838668813891</v>
      </c>
      <c r="BL531">
        <v>-774.06785916517833</v>
      </c>
      <c r="BM531">
        <v>12.73802774544728</v>
      </c>
      <c r="BN531">
        <v>2165.4647167260368</v>
      </c>
      <c r="BO531">
        <v>1070.019150155352</v>
      </c>
    </row>
    <row r="532" spans="1:67" x14ac:dyDescent="0.25">
      <c r="A532" s="1">
        <v>530</v>
      </c>
      <c r="B532" t="s">
        <v>180</v>
      </c>
      <c r="C532" t="s">
        <v>195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67</v>
      </c>
      <c r="J532">
        <v>1.4</v>
      </c>
      <c r="K532">
        <v>500</v>
      </c>
      <c r="L532">
        <v>100</v>
      </c>
      <c r="N532" t="s">
        <v>179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62149.310354194873</v>
      </c>
      <c r="Z532">
        <v>310746551.77097428</v>
      </c>
      <c r="AA532">
        <v>435045172.47936398</v>
      </c>
      <c r="AB532">
        <v>435045.17247936397</v>
      </c>
      <c r="AC532">
        <v>66773.504273504266</v>
      </c>
      <c r="AD532">
        <v>3220.6610313822571</v>
      </c>
      <c r="AE532">
        <v>5797189.8564880621</v>
      </c>
      <c r="AF532">
        <v>5797189.8564880621</v>
      </c>
      <c r="AG532">
        <v>260.96942906218908</v>
      </c>
      <c r="AH532">
        <v>255.1343255840396</v>
      </c>
      <c r="AI532">
        <v>255.1343255840396</v>
      </c>
      <c r="AJ532">
        <v>14138.96810557933</v>
      </c>
      <c r="AK532">
        <v>2170.1388888888891</v>
      </c>
      <c r="AL532" t="s">
        <v>107</v>
      </c>
      <c r="AM532">
        <v>19772.910232763072</v>
      </c>
      <c r="AN532">
        <v>676.65609711949708</v>
      </c>
      <c r="AO532">
        <v>43372.835349286717</v>
      </c>
      <c r="AP532">
        <v>36758.673324350792</v>
      </c>
      <c r="AQ532">
        <v>-6614.162024935933</v>
      </c>
      <c r="AR532">
        <v>2.4389348038611112E-3</v>
      </c>
      <c r="AS532">
        <v>54.178637537694158</v>
      </c>
      <c r="AT532">
        <v>75.767151362588052</v>
      </c>
      <c r="AU532">
        <v>2.592855797520444</v>
      </c>
      <c r="AV532">
        <v>166.19891266632209</v>
      </c>
      <c r="AW532">
        <v>140.85432710047891</v>
      </c>
      <c r="AX532">
        <v>-25.344585565843289</v>
      </c>
      <c r="AY532">
        <v>0.97764066274307171</v>
      </c>
      <c r="AZ532" t="str">
        <f>VLOOKUP(BA532,Sheet1!$A$1:$B$58,2,FALSE)</f>
        <v>Propane (PW1)</v>
      </c>
      <c r="BA532" t="s">
        <v>166</v>
      </c>
      <c r="BB532" t="s">
        <v>167</v>
      </c>
      <c r="BC532">
        <v>44.094819999999999</v>
      </c>
      <c r="BD532">
        <v>6.666666666666667</v>
      </c>
      <c r="BE532">
        <v>-42</v>
      </c>
      <c r="BF532" t="s">
        <v>196</v>
      </c>
      <c r="BG532">
        <v>6.986534926324679</v>
      </c>
      <c r="BH532">
        <v>0.1</v>
      </c>
      <c r="BI532">
        <v>9.5796661278829298E-2</v>
      </c>
      <c r="BJ532">
        <v>90</v>
      </c>
      <c r="BK532">
        <v>1633.7188144155909</v>
      </c>
      <c r="BL532">
        <v>-293.96275666381882</v>
      </c>
      <c r="BM532">
        <v>4.352768432965969</v>
      </c>
      <c r="BN532">
        <v>739.97063360421475</v>
      </c>
      <c r="BO532">
        <v>893.74818081137619</v>
      </c>
    </row>
    <row r="533" spans="1:67" x14ac:dyDescent="0.25">
      <c r="A533" s="1">
        <v>531</v>
      </c>
      <c r="B533" t="s">
        <v>180</v>
      </c>
      <c r="C533" t="s">
        <v>195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67</v>
      </c>
      <c r="J533">
        <v>1.4</v>
      </c>
      <c r="K533">
        <v>500</v>
      </c>
      <c r="L533">
        <v>100</v>
      </c>
      <c r="N533" t="s">
        <v>179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62149.310354194873</v>
      </c>
      <c r="Z533">
        <v>310746551.77097428</v>
      </c>
      <c r="AA533">
        <v>435045172.47936398</v>
      </c>
      <c r="AB533">
        <v>435045.17247936397</v>
      </c>
      <c r="AC533">
        <v>66773.504273504266</v>
      </c>
      <c r="AD533">
        <v>3220.6610313822571</v>
      </c>
      <c r="AE533">
        <v>5797189.8564880621</v>
      </c>
      <c r="AF533">
        <v>5797189.8564880621</v>
      </c>
      <c r="AG533">
        <v>260.96942906218908</v>
      </c>
      <c r="AH533">
        <v>255.1343255840396</v>
      </c>
      <c r="AI533">
        <v>255.1343255840396</v>
      </c>
      <c r="AJ533">
        <v>14138.96810557933</v>
      </c>
      <c r="AK533">
        <v>2170.1388888888891</v>
      </c>
      <c r="AL533" t="s">
        <v>107</v>
      </c>
      <c r="AM533">
        <v>19772.910232763072</v>
      </c>
      <c r="AN533">
        <v>676.65609711949708</v>
      </c>
      <c r="AO533">
        <v>43372.835349286717</v>
      </c>
      <c r="AP533">
        <v>36758.673324350792</v>
      </c>
      <c r="AQ533">
        <v>-6614.162024935933</v>
      </c>
      <c r="AR533">
        <v>2.4389348038611112E-3</v>
      </c>
      <c r="AS533">
        <v>54.178637537694158</v>
      </c>
      <c r="AT533">
        <v>75.767151362588052</v>
      </c>
      <c r="AU533">
        <v>2.592855797520444</v>
      </c>
      <c r="AV533">
        <v>166.19891266632209</v>
      </c>
      <c r="AW533">
        <v>140.85432710047891</v>
      </c>
      <c r="AX533">
        <v>-25.344585565843289</v>
      </c>
      <c r="AY533">
        <v>0.97764066274307171</v>
      </c>
      <c r="AZ533" t="str">
        <f>VLOOKUP(BA533,Sheet1!$A$1:$B$58,2,FALSE)</f>
        <v>Propane (PW2)</v>
      </c>
      <c r="BA533" t="s">
        <v>168</v>
      </c>
      <c r="BB533" t="s">
        <v>167</v>
      </c>
      <c r="BC533">
        <v>44.094819999999999</v>
      </c>
      <c r="BD533">
        <v>6.666666666666667</v>
      </c>
      <c r="BE533">
        <v>-42</v>
      </c>
      <c r="BF533" t="s">
        <v>196</v>
      </c>
      <c r="BG533">
        <v>6.986534926324679</v>
      </c>
      <c r="BH533">
        <v>0.1</v>
      </c>
      <c r="BI533">
        <v>9.5796661278829298E-2</v>
      </c>
      <c r="BJ533">
        <v>90</v>
      </c>
      <c r="BK533">
        <v>1633.7188144155909</v>
      </c>
      <c r="BL533">
        <v>-293.96275666381882</v>
      </c>
      <c r="BM533">
        <v>4.352768432965969</v>
      </c>
      <c r="BN533">
        <v>739.97063360421475</v>
      </c>
      <c r="BO533">
        <v>893.74818081137619</v>
      </c>
    </row>
    <row r="534" spans="1:67" x14ac:dyDescent="0.25">
      <c r="A534" s="1">
        <v>532</v>
      </c>
      <c r="B534" t="s">
        <v>180</v>
      </c>
      <c r="C534" t="s">
        <v>195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67</v>
      </c>
      <c r="J534">
        <v>1.4</v>
      </c>
      <c r="K534">
        <v>500</v>
      </c>
      <c r="L534">
        <v>100</v>
      </c>
      <c r="N534" t="s">
        <v>179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52513.370800096804</v>
      </c>
      <c r="Z534">
        <v>262566854.00048399</v>
      </c>
      <c r="AA534">
        <v>367593595.60067749</v>
      </c>
      <c r="AB534">
        <v>367593.59560067748</v>
      </c>
      <c r="AC534">
        <v>0</v>
      </c>
      <c r="AD534">
        <v>2721.313655751339</v>
      </c>
      <c r="AE534">
        <v>4898364.5803524107</v>
      </c>
      <c r="AF534">
        <v>4898364.5803524107</v>
      </c>
      <c r="AG534">
        <v>220.5074250660175</v>
      </c>
      <c r="AH534">
        <v>215.57702518130961</v>
      </c>
      <c r="AI534">
        <v>215.57702518130961</v>
      </c>
      <c r="AJ534">
        <v>11946.791857022021</v>
      </c>
      <c r="AK534">
        <v>854.70085470085473</v>
      </c>
      <c r="AL534" t="s">
        <v>69</v>
      </c>
      <c r="AM534">
        <v>16707.219451551489</v>
      </c>
      <c r="AN534">
        <v>571.74395547872825</v>
      </c>
      <c r="AO534">
        <v>36648.094280822632</v>
      </c>
      <c r="AP534">
        <v>30080.4561187531</v>
      </c>
      <c r="AQ534">
        <v>-6567.6381620695356</v>
      </c>
      <c r="AR534">
        <v>2.4389348038611112E-3</v>
      </c>
      <c r="AS534">
        <v>54.178637537694172</v>
      </c>
      <c r="AT534">
        <v>75.767151362588066</v>
      </c>
      <c r="AU534">
        <v>2.592855797520444</v>
      </c>
      <c r="AV534">
        <v>166.1989126663222</v>
      </c>
      <c r="AW534">
        <v>136.41470852851029</v>
      </c>
      <c r="AX534">
        <v>-29.78420413781194</v>
      </c>
      <c r="AY534">
        <v>0.97764066274307171</v>
      </c>
      <c r="AZ534" t="str">
        <f>VLOOKUP(BA534,Sheet1!$A$1:$B$58,2,FALSE)</f>
        <v>Shikimate</v>
      </c>
      <c r="BA534" t="s">
        <v>169</v>
      </c>
      <c r="BB534" t="s">
        <v>170</v>
      </c>
      <c r="BC534">
        <v>173.14045999999999</v>
      </c>
      <c r="BD534">
        <v>3.8571428571428572</v>
      </c>
      <c r="BE534">
        <v>400.5</v>
      </c>
      <c r="BF534" t="s">
        <v>196</v>
      </c>
      <c r="BG534">
        <v>4.2166483207133698</v>
      </c>
      <c r="BH534">
        <v>3.0140845070422601E-2</v>
      </c>
      <c r="BI534">
        <v>0.11337486704819701</v>
      </c>
      <c r="BJ534">
        <v>90</v>
      </c>
      <c r="BK534">
        <v>1336.9091608334711</v>
      </c>
      <c r="BL534">
        <v>-291.89502942531271</v>
      </c>
      <c r="BM534">
        <v>5.3645527984559447</v>
      </c>
      <c r="BN534">
        <v>911.97397573751061</v>
      </c>
      <c r="BO534">
        <v>424.93518509596032</v>
      </c>
    </row>
    <row r="535" spans="1:67" x14ac:dyDescent="0.25">
      <c r="A535" s="1">
        <v>533</v>
      </c>
      <c r="B535" t="s">
        <v>180</v>
      </c>
      <c r="C535" t="s">
        <v>195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67</v>
      </c>
      <c r="J535">
        <v>1.4</v>
      </c>
      <c r="K535">
        <v>500</v>
      </c>
      <c r="L535">
        <v>100</v>
      </c>
      <c r="N535" t="s">
        <v>179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127876.6307368656</v>
      </c>
      <c r="Z535">
        <v>639383153.68432784</v>
      </c>
      <c r="AA535">
        <v>895136415.15805888</v>
      </c>
      <c r="AB535">
        <v>895136.41515805887</v>
      </c>
      <c r="AC535">
        <v>0</v>
      </c>
      <c r="AD535">
        <v>6626.7393651116054</v>
      </c>
      <c r="AE535">
        <v>11928130.857200891</v>
      </c>
      <c r="AF535">
        <v>11928130.857200891</v>
      </c>
      <c r="AG535">
        <v>536.96317985841813</v>
      </c>
      <c r="AH535">
        <v>524.95703902541106</v>
      </c>
      <c r="AI535">
        <v>524.95703902541106</v>
      </c>
      <c r="AJ535">
        <v>29091.933492636919</v>
      </c>
      <c r="AK535">
        <v>854.70085470085473</v>
      </c>
      <c r="AL535" t="s">
        <v>69</v>
      </c>
      <c r="AM535">
        <v>40684.170524469358</v>
      </c>
      <c r="AN535">
        <v>1392.2680939509121</v>
      </c>
      <c r="AO535">
        <v>89242.696634319887</v>
      </c>
      <c r="AP535">
        <v>72023.072965758052</v>
      </c>
      <c r="AQ535">
        <v>-17219.623668561839</v>
      </c>
      <c r="AR535">
        <v>2.4389348038611112E-3</v>
      </c>
      <c r="AS535">
        <v>54.178637537694172</v>
      </c>
      <c r="AT535">
        <v>75.767151362588052</v>
      </c>
      <c r="AU535">
        <v>2.592855797520444</v>
      </c>
      <c r="AV535">
        <v>166.1989126663222</v>
      </c>
      <c r="AW535">
        <v>134.13037554036481</v>
      </c>
      <c r="AX535">
        <v>-32.06853712595742</v>
      </c>
      <c r="AY535">
        <v>0.9776406627430716</v>
      </c>
      <c r="AZ535" t="str">
        <f>VLOOKUP(BA535,Sheet1!$A$1:$B$58,2,FALSE)</f>
        <v>Styrene</v>
      </c>
      <c r="BA535" t="s">
        <v>171</v>
      </c>
      <c r="BB535" t="s">
        <v>172</v>
      </c>
      <c r="BC535">
        <v>104.14832</v>
      </c>
      <c r="BD535">
        <v>5</v>
      </c>
      <c r="BE535">
        <v>145</v>
      </c>
      <c r="BF535" t="s">
        <v>196</v>
      </c>
      <c r="BG535">
        <v>11.11320729089895</v>
      </c>
      <c r="BH535">
        <v>2.05769230769231E-2</v>
      </c>
      <c r="BI535">
        <v>4.6558127144940897E-2</v>
      </c>
      <c r="BJ535">
        <v>90</v>
      </c>
      <c r="BK535">
        <v>3201.0254651448031</v>
      </c>
      <c r="BL535">
        <v>-765.31660749163711</v>
      </c>
      <c r="BM535">
        <v>12.21821666578599</v>
      </c>
      <c r="BN535">
        <v>2077.0968331836179</v>
      </c>
      <c r="BO535">
        <v>1123.9286319611849</v>
      </c>
    </row>
    <row r="536" spans="1:67" x14ac:dyDescent="0.25">
      <c r="A536" s="1">
        <v>534</v>
      </c>
      <c r="B536" t="s">
        <v>180</v>
      </c>
      <c r="C536" t="s">
        <v>195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67</v>
      </c>
      <c r="J536">
        <v>1.4</v>
      </c>
      <c r="K536">
        <v>500</v>
      </c>
      <c r="L536">
        <v>100</v>
      </c>
      <c r="N536" t="s">
        <v>179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22617.437168651271</v>
      </c>
      <c r="Z536">
        <v>113087185.8432564</v>
      </c>
      <c r="AA536">
        <v>158322060.18055889</v>
      </c>
      <c r="AB536">
        <v>158322.06018055891</v>
      </c>
      <c r="AC536">
        <v>0</v>
      </c>
      <c r="AD536">
        <v>1172.0660793124171</v>
      </c>
      <c r="AE536">
        <v>2109718.9427623511</v>
      </c>
      <c r="AF536">
        <v>2109718.9427623511</v>
      </c>
      <c r="AG536">
        <v>94.97224717561906</v>
      </c>
      <c r="AH536">
        <v>92.848730670971051</v>
      </c>
      <c r="AI536">
        <v>92.848730670971051</v>
      </c>
      <c r="AJ536">
        <v>5145.4669558681626</v>
      </c>
      <c r="AK536">
        <v>854.70085470085473</v>
      </c>
      <c r="AL536" t="s">
        <v>69</v>
      </c>
      <c r="AM536">
        <v>7195.7766270002567</v>
      </c>
      <c r="AN536">
        <v>246.2493416928485</v>
      </c>
      <c r="AO536">
        <v>15784.284214065079</v>
      </c>
      <c r="AP536">
        <v>13442.193779262119</v>
      </c>
      <c r="AQ536">
        <v>-2342.090434802954</v>
      </c>
      <c r="AR536">
        <v>2.4389348038611112E-3</v>
      </c>
      <c r="AS536">
        <v>54.178637537694158</v>
      </c>
      <c r="AT536">
        <v>75.767151362588066</v>
      </c>
      <c r="AU536">
        <v>2.592855797520444</v>
      </c>
      <c r="AV536">
        <v>166.1989126663222</v>
      </c>
      <c r="AW536">
        <v>141.53812486299631</v>
      </c>
      <c r="AX536">
        <v>-24.66078780332586</v>
      </c>
      <c r="AY536">
        <v>0.97764066274307182</v>
      </c>
      <c r="AZ536" t="str">
        <f>VLOOKUP(BA536,Sheet1!$A$1:$B$58,2,FALSE)</f>
        <v>Succinate</v>
      </c>
      <c r="BA536" t="s">
        <v>173</v>
      </c>
      <c r="BB536" t="s">
        <v>174</v>
      </c>
      <c r="BC536">
        <v>116.07016</v>
      </c>
      <c r="BD536">
        <v>3</v>
      </c>
      <c r="BE536">
        <v>235</v>
      </c>
      <c r="BF536" t="s">
        <v>196</v>
      </c>
      <c r="BG536">
        <v>1.6265210692193699</v>
      </c>
      <c r="BH536">
        <v>0.10439024390243901</v>
      </c>
      <c r="BI536">
        <v>0.26323479483191498</v>
      </c>
      <c r="BJ536">
        <v>90</v>
      </c>
      <c r="BK536">
        <v>597.43083463387211</v>
      </c>
      <c r="BL536">
        <v>-104.0929082134647</v>
      </c>
      <c r="BM536">
        <v>2.5000891828237868</v>
      </c>
      <c r="BN536">
        <v>425.01516108004381</v>
      </c>
      <c r="BO536">
        <v>172.4156735538283</v>
      </c>
    </row>
    <row r="537" spans="1:67" x14ac:dyDescent="0.25">
      <c r="A537" s="1">
        <v>535</v>
      </c>
      <c r="B537" t="s">
        <v>180</v>
      </c>
      <c r="C537" t="s">
        <v>195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67</v>
      </c>
      <c r="J537">
        <v>1.4</v>
      </c>
      <c r="K537">
        <v>500</v>
      </c>
      <c r="L537">
        <v>100</v>
      </c>
      <c r="N537" t="s">
        <v>179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61588.475127734469</v>
      </c>
      <c r="Z537">
        <v>307942375.63867241</v>
      </c>
      <c r="AA537">
        <v>431119325.89414132</v>
      </c>
      <c r="AB537">
        <v>431119.32589414128</v>
      </c>
      <c r="AC537">
        <v>0</v>
      </c>
      <c r="AD537">
        <v>3191.597794017378</v>
      </c>
      <c r="AE537">
        <v>5744876.029231281</v>
      </c>
      <c r="AF537">
        <v>5744876.029231281</v>
      </c>
      <c r="AG537">
        <v>258.6144415649311</v>
      </c>
      <c r="AH537">
        <v>252.83199404646871</v>
      </c>
      <c r="AI537">
        <v>252.83199404646871</v>
      </c>
      <c r="AJ537">
        <v>14011.378091559591</v>
      </c>
      <c r="AK537">
        <v>854.70085470085473</v>
      </c>
      <c r="AL537" t="s">
        <v>69</v>
      </c>
      <c r="AM537">
        <v>19594.479538601321</v>
      </c>
      <c r="AN537">
        <v>670.54995413414349</v>
      </c>
      <c r="AO537">
        <v>42981.438987899674</v>
      </c>
      <c r="AP537">
        <v>35131.108438995907</v>
      </c>
      <c r="AQ537">
        <v>-7850.3305489037666</v>
      </c>
      <c r="AR537">
        <v>2.4389348038611112E-3</v>
      </c>
      <c r="AS537">
        <v>54.178637537694172</v>
      </c>
      <c r="AT537">
        <v>75.767151362588052</v>
      </c>
      <c r="AU537">
        <v>2.5928557975204432</v>
      </c>
      <c r="AV537">
        <v>166.1989126663222</v>
      </c>
      <c r="AW537">
        <v>135.8435678472172</v>
      </c>
      <c r="AX537">
        <v>-30.355344819105031</v>
      </c>
      <c r="AY537">
        <v>0.97764066274307193</v>
      </c>
      <c r="AZ537" t="str">
        <f>VLOOKUP(BA537,Sheet1!$A$1:$B$58,2,FALSE)</f>
        <v>1,3-Butanediol (PW1)</v>
      </c>
      <c r="BA537" t="s">
        <v>70</v>
      </c>
      <c r="BB537" t="s">
        <v>71</v>
      </c>
      <c r="BC537">
        <v>90.119200000000006</v>
      </c>
      <c r="BD537">
        <v>5.5</v>
      </c>
      <c r="BE537">
        <v>207</v>
      </c>
      <c r="BF537" t="s">
        <v>197</v>
      </c>
      <c r="BG537">
        <v>7.9372849753647881</v>
      </c>
      <c r="BH537">
        <v>4.9375000000000301E-2</v>
      </c>
      <c r="BI537">
        <v>9.6669002120375297E-2</v>
      </c>
      <c r="BJ537">
        <v>90</v>
      </c>
      <c r="BK537">
        <v>1561.3825972887071</v>
      </c>
      <c r="BL537">
        <v>-348.90357995127869</v>
      </c>
      <c r="BM537">
        <v>3.2996925378115982</v>
      </c>
      <c r="BN537">
        <v>560.94773142797169</v>
      </c>
      <c r="BO537">
        <v>1000.434865860735</v>
      </c>
    </row>
    <row r="538" spans="1:67" x14ac:dyDescent="0.25">
      <c r="A538" s="1">
        <v>536</v>
      </c>
      <c r="B538" t="s">
        <v>180</v>
      </c>
      <c r="C538" t="s">
        <v>195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67</v>
      </c>
      <c r="J538">
        <v>1.4</v>
      </c>
      <c r="K538">
        <v>500</v>
      </c>
      <c r="L538">
        <v>100</v>
      </c>
      <c r="N538" t="s">
        <v>179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61588.47512773479</v>
      </c>
      <c r="Z538">
        <v>307942375.63867402</v>
      </c>
      <c r="AA538">
        <v>431119325.89414352</v>
      </c>
      <c r="AB538">
        <v>431119.32589414349</v>
      </c>
      <c r="AC538">
        <v>0</v>
      </c>
      <c r="AD538">
        <v>3191.5977940173948</v>
      </c>
      <c r="AE538">
        <v>5744876.0292313108</v>
      </c>
      <c r="AF538">
        <v>5744876.0292313108</v>
      </c>
      <c r="AG538">
        <v>258.61444156493252</v>
      </c>
      <c r="AH538">
        <v>252.83199404646999</v>
      </c>
      <c r="AI538">
        <v>252.83199404646999</v>
      </c>
      <c r="AJ538">
        <v>14011.378091559671</v>
      </c>
      <c r="AK538">
        <v>854.70085470085473</v>
      </c>
      <c r="AL538" t="s">
        <v>69</v>
      </c>
      <c r="AM538">
        <v>19594.479538601419</v>
      </c>
      <c r="AN538">
        <v>670.54995413414713</v>
      </c>
      <c r="AO538">
        <v>42981.438987899899</v>
      </c>
      <c r="AP538">
        <v>35131.108438996089</v>
      </c>
      <c r="AQ538">
        <v>-7850.3305489038103</v>
      </c>
      <c r="AR538">
        <v>2.4389348038611112E-3</v>
      </c>
      <c r="AS538">
        <v>54.178637537694172</v>
      </c>
      <c r="AT538">
        <v>75.767151362588066</v>
      </c>
      <c r="AU538">
        <v>2.592855797520444</v>
      </c>
      <c r="AV538">
        <v>166.1989126663222</v>
      </c>
      <c r="AW538">
        <v>135.8435678472172</v>
      </c>
      <c r="AX538">
        <v>-30.355344819105031</v>
      </c>
      <c r="AY538">
        <v>0.97764066274307182</v>
      </c>
      <c r="AZ538" t="str">
        <f>VLOOKUP(BA538,Sheet1!$A$1:$B$58,2,FALSE)</f>
        <v>1,3-Butanediol (PW2)</v>
      </c>
      <c r="BA538" t="s">
        <v>72</v>
      </c>
      <c r="BB538" t="s">
        <v>71</v>
      </c>
      <c r="BC538">
        <v>90.119200000000006</v>
      </c>
      <c r="BD538">
        <v>5.5</v>
      </c>
      <c r="BE538">
        <v>207</v>
      </c>
      <c r="BF538" t="s">
        <v>197</v>
      </c>
      <c r="BG538">
        <v>7.9372849753648351</v>
      </c>
      <c r="BH538">
        <v>4.9375000000000099E-2</v>
      </c>
      <c r="BI538">
        <v>9.6669002120374797E-2</v>
      </c>
      <c r="BJ538">
        <v>90</v>
      </c>
      <c r="BK538">
        <v>1561.382597288715</v>
      </c>
      <c r="BL538">
        <v>-348.90357995128062</v>
      </c>
      <c r="BM538">
        <v>3.2996925378116102</v>
      </c>
      <c r="BN538">
        <v>560.94773142797362</v>
      </c>
      <c r="BO538">
        <v>1000.434865860741</v>
      </c>
    </row>
    <row r="539" spans="1:67" x14ac:dyDescent="0.25">
      <c r="A539" s="1">
        <v>537</v>
      </c>
      <c r="B539" t="s">
        <v>180</v>
      </c>
      <c r="C539" t="s">
        <v>195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67</v>
      </c>
      <c r="J539">
        <v>1.4</v>
      </c>
      <c r="K539">
        <v>500</v>
      </c>
      <c r="L539">
        <v>100</v>
      </c>
      <c r="N539" t="s">
        <v>179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59481.467809445581</v>
      </c>
      <c r="Z539">
        <v>297407339.04722792</v>
      </c>
      <c r="AA539">
        <v>416370274.66611898</v>
      </c>
      <c r="AB539">
        <v>416370.27466611902</v>
      </c>
      <c r="AC539">
        <v>0</v>
      </c>
      <c r="AD539">
        <v>3082.4098348240032</v>
      </c>
      <c r="AE539">
        <v>5548337.7026832057</v>
      </c>
      <c r="AF539">
        <v>5548337.7026832057</v>
      </c>
      <c r="AG539">
        <v>249.7669661263466</v>
      </c>
      <c r="AH539">
        <v>244.18234229508789</v>
      </c>
      <c r="AI539">
        <v>244.18234229508789</v>
      </c>
      <c r="AJ539">
        <v>13532.03392664887</v>
      </c>
      <c r="AK539">
        <v>854.70085470085473</v>
      </c>
      <c r="AL539" t="s">
        <v>69</v>
      </c>
      <c r="AM539">
        <v>18924.131527869311</v>
      </c>
      <c r="AN539">
        <v>647.60972614979005</v>
      </c>
      <c r="AO539">
        <v>41510.998190164937</v>
      </c>
      <c r="AP539">
        <v>33958.476035368833</v>
      </c>
      <c r="AQ539">
        <v>-7552.5221547961119</v>
      </c>
      <c r="AR539">
        <v>2.4389348038611099E-3</v>
      </c>
      <c r="AS539">
        <v>54.178637537694158</v>
      </c>
      <c r="AT539">
        <v>75.767151362588066</v>
      </c>
      <c r="AU539">
        <v>2.592855797520444</v>
      </c>
      <c r="AV539">
        <v>166.1989126663222</v>
      </c>
      <c r="AW539">
        <v>135.96063787791161</v>
      </c>
      <c r="AX539">
        <v>-30.238274788410589</v>
      </c>
      <c r="AY539">
        <v>0.97764066274307171</v>
      </c>
      <c r="AZ539" t="str">
        <f>VLOOKUP(BA539,Sheet1!$A$1:$B$58,2,FALSE)</f>
        <v>1,3-Diaminopropane</v>
      </c>
      <c r="BA539" t="s">
        <v>73</v>
      </c>
      <c r="BB539" t="s">
        <v>74</v>
      </c>
      <c r="BC539">
        <v>76.139580000000009</v>
      </c>
      <c r="BD539">
        <v>6</v>
      </c>
      <c r="BE539">
        <v>139.30000000000001</v>
      </c>
      <c r="BF539" t="s">
        <v>197</v>
      </c>
      <c r="BG539">
        <v>7.8182743663975964</v>
      </c>
      <c r="BH539">
        <v>6.0510638297872198E-2</v>
      </c>
      <c r="BI539">
        <v>0.100093300518186</v>
      </c>
      <c r="BJ539">
        <v>90</v>
      </c>
      <c r="BK539">
        <v>1509.2656015719481</v>
      </c>
      <c r="BL539">
        <v>-335.66765132427162</v>
      </c>
      <c r="BM539">
        <v>3.034274180050752</v>
      </c>
      <c r="BN539">
        <v>515.82661060862779</v>
      </c>
      <c r="BO539">
        <v>993.43899096331984</v>
      </c>
    </row>
    <row r="540" spans="1:67" x14ac:dyDescent="0.25">
      <c r="A540" s="1">
        <v>538</v>
      </c>
      <c r="B540" t="s">
        <v>180</v>
      </c>
      <c r="C540" t="s">
        <v>195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67</v>
      </c>
      <c r="J540">
        <v>1.4</v>
      </c>
      <c r="K540">
        <v>500</v>
      </c>
      <c r="L540">
        <v>100</v>
      </c>
      <c r="N540" t="s">
        <v>179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56225.533714958168</v>
      </c>
      <c r="Z540">
        <v>281127668.57479078</v>
      </c>
      <c r="AA540">
        <v>393578736.00470722</v>
      </c>
      <c r="AB540">
        <v>393578.73600470723</v>
      </c>
      <c r="AC540">
        <v>0</v>
      </c>
      <c r="AD540">
        <v>2913.6829414907979</v>
      </c>
      <c r="AE540">
        <v>5244629.2946834359</v>
      </c>
      <c r="AF540">
        <v>5244629.2946834359</v>
      </c>
      <c r="AG540">
        <v>236.0950644292887</v>
      </c>
      <c r="AH540">
        <v>230.81613525901801</v>
      </c>
      <c r="AI540">
        <v>230.81613525901801</v>
      </c>
      <c r="AJ540">
        <v>12791.30892015298</v>
      </c>
      <c r="AK540">
        <v>854.70085470085473</v>
      </c>
      <c r="AL540" t="s">
        <v>69</v>
      </c>
      <c r="AM540">
        <v>17888.250482573891</v>
      </c>
      <c r="AN540">
        <v>612.16045657144389</v>
      </c>
      <c r="AO540">
        <v>39238.742994033062</v>
      </c>
      <c r="AP540">
        <v>32146.420713999181</v>
      </c>
      <c r="AQ540">
        <v>-7092.3222800338845</v>
      </c>
      <c r="AR540">
        <v>2.4389348038611112E-3</v>
      </c>
      <c r="AS540">
        <v>54.178637537694172</v>
      </c>
      <c r="AT540">
        <v>75.767151362588052</v>
      </c>
      <c r="AU540">
        <v>2.592855797520444</v>
      </c>
      <c r="AV540">
        <v>166.1989126663222</v>
      </c>
      <c r="AW540">
        <v>136.15880023458581</v>
      </c>
      <c r="AX540">
        <v>-30.040112431736421</v>
      </c>
      <c r="AY540">
        <v>0.97764066274307171</v>
      </c>
      <c r="AZ540" t="str">
        <f>VLOOKUP(BA540,Sheet1!$A$1:$B$58,2,FALSE)</f>
        <v>1,3-Propanediol</v>
      </c>
      <c r="BA540" t="s">
        <v>75</v>
      </c>
      <c r="BB540" t="s">
        <v>76</v>
      </c>
      <c r="BC540">
        <v>76.092820000000003</v>
      </c>
      <c r="BD540">
        <v>5.333333333333333</v>
      </c>
      <c r="BE540">
        <v>213</v>
      </c>
      <c r="BF540" t="s">
        <v>197</v>
      </c>
      <c r="BG540">
        <v>7.2943274985351989</v>
      </c>
      <c r="BH540">
        <v>6.4054054054053997E-2</v>
      </c>
      <c r="BI540">
        <v>0.10588954945090601</v>
      </c>
      <c r="BJ540">
        <v>90</v>
      </c>
      <c r="BK540">
        <v>1428.7298095110741</v>
      </c>
      <c r="BL540">
        <v>-315.21432355706162</v>
      </c>
      <c r="BM540">
        <v>2.964167401865601</v>
      </c>
      <c r="BN540">
        <v>503.90845831715222</v>
      </c>
      <c r="BO540">
        <v>924.82135119392217</v>
      </c>
    </row>
    <row r="541" spans="1:67" x14ac:dyDescent="0.25">
      <c r="A541" s="1">
        <v>539</v>
      </c>
      <c r="B541" t="s">
        <v>180</v>
      </c>
      <c r="C541" t="s">
        <v>195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67</v>
      </c>
      <c r="J541">
        <v>1.4</v>
      </c>
      <c r="K541">
        <v>500</v>
      </c>
      <c r="L541">
        <v>100</v>
      </c>
      <c r="N541" t="s">
        <v>179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66720.848055046561</v>
      </c>
      <c r="Z541">
        <v>333604240.27523279</v>
      </c>
      <c r="AA541">
        <v>467045936.38532591</v>
      </c>
      <c r="AB541">
        <v>467045.93638532591</v>
      </c>
      <c r="AC541">
        <v>0</v>
      </c>
      <c r="AD541">
        <v>3457.5642768522048</v>
      </c>
      <c r="AE541">
        <v>6223615.6983339693</v>
      </c>
      <c r="AF541">
        <v>6223615.6983339693</v>
      </c>
      <c r="AG541">
        <v>280.16564502867908</v>
      </c>
      <c r="AH541">
        <v>273.901326883678</v>
      </c>
      <c r="AI541">
        <v>273.901326883678</v>
      </c>
      <c r="AJ541">
        <v>15178.99293252309</v>
      </c>
      <c r="AK541">
        <v>854.70085470085473</v>
      </c>
      <c r="AL541" t="s">
        <v>69</v>
      </c>
      <c r="AM541">
        <v>21227.352833485049</v>
      </c>
      <c r="AN541">
        <v>726.42911697866509</v>
      </c>
      <c r="AO541">
        <v>46563.225570225259</v>
      </c>
      <c r="AP541">
        <v>37987.475737687659</v>
      </c>
      <c r="AQ541">
        <v>-8575.7498325376</v>
      </c>
      <c r="AR541">
        <v>2.438934803861112E-3</v>
      </c>
      <c r="AS541">
        <v>54.178637537694179</v>
      </c>
      <c r="AT541">
        <v>75.767151362588066</v>
      </c>
      <c r="AU541">
        <v>2.592855797520444</v>
      </c>
      <c r="AV541">
        <v>166.1989126663222</v>
      </c>
      <c r="AW541">
        <v>135.5893429895699</v>
      </c>
      <c r="AX541">
        <v>-30.609569676752269</v>
      </c>
      <c r="AY541">
        <v>0.97764066274307171</v>
      </c>
      <c r="AZ541" t="str">
        <f>VLOOKUP(BA541,Sheet1!$A$1:$B$58,2,FALSE)</f>
        <v>1,4-Butanediol</v>
      </c>
      <c r="BA541" t="s">
        <v>77</v>
      </c>
      <c r="BB541" t="s">
        <v>71</v>
      </c>
      <c r="BC541">
        <v>90.119200000000006</v>
      </c>
      <c r="BD541">
        <v>5.5</v>
      </c>
      <c r="BE541">
        <v>230</v>
      </c>
      <c r="BF541" t="s">
        <v>197</v>
      </c>
      <c r="BG541">
        <v>8.7615097910829505</v>
      </c>
      <c r="BH541">
        <v>4.5576923076922703E-2</v>
      </c>
      <c r="BI541">
        <v>8.9232925034191404E-2</v>
      </c>
      <c r="BJ541">
        <v>90</v>
      </c>
      <c r="BK541">
        <v>1688.332255008341</v>
      </c>
      <c r="BL541">
        <v>-381.14443700167101</v>
      </c>
      <c r="BM541">
        <v>3.4118825148582932</v>
      </c>
      <c r="BN541">
        <v>580.02002752590988</v>
      </c>
      <c r="BO541">
        <v>1108.3122274824309</v>
      </c>
    </row>
    <row r="542" spans="1:67" x14ac:dyDescent="0.25">
      <c r="A542" s="1">
        <v>540</v>
      </c>
      <c r="B542" t="s">
        <v>180</v>
      </c>
      <c r="C542" t="s">
        <v>195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67</v>
      </c>
      <c r="J542">
        <v>1.4</v>
      </c>
      <c r="K542">
        <v>500</v>
      </c>
      <c r="L542">
        <v>100</v>
      </c>
      <c r="N542" t="s">
        <v>179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81777.656372217243</v>
      </c>
      <c r="Z542">
        <v>408888281.86108619</v>
      </c>
      <c r="AA542">
        <v>572443594.60552073</v>
      </c>
      <c r="AB542">
        <v>572443.59460552072</v>
      </c>
      <c r="AC542">
        <v>0</v>
      </c>
      <c r="AD542">
        <v>4237.8283783802572</v>
      </c>
      <c r="AE542">
        <v>7628091.0810844628</v>
      </c>
      <c r="AF542">
        <v>7628091.0810844628</v>
      </c>
      <c r="AG542">
        <v>343.39026727528199</v>
      </c>
      <c r="AH542">
        <v>335.71228847852723</v>
      </c>
      <c r="AI542">
        <v>335.71228847852723</v>
      </c>
      <c r="AJ542">
        <v>18604.416824679429</v>
      </c>
      <c r="AK542">
        <v>854.70085470085473</v>
      </c>
      <c r="AL542" t="s">
        <v>69</v>
      </c>
      <c r="AM542">
        <v>26017.702357085851</v>
      </c>
      <c r="AN542">
        <v>890.3614453168093</v>
      </c>
      <c r="AO542">
        <v>57071.089041349624</v>
      </c>
      <c r="AP542">
        <v>46367.181481782944</v>
      </c>
      <c r="AQ542">
        <v>-10703.907559566671</v>
      </c>
      <c r="AR542">
        <v>2.4389348038611112E-3</v>
      </c>
      <c r="AS542">
        <v>54.178637537694172</v>
      </c>
      <c r="AT542">
        <v>75.767151362588052</v>
      </c>
      <c r="AU542">
        <v>2.5928557975204432</v>
      </c>
      <c r="AV542">
        <v>166.1989126663222</v>
      </c>
      <c r="AW542">
        <v>135.0276519183121</v>
      </c>
      <c r="AX542">
        <v>-31.171260748010042</v>
      </c>
      <c r="AY542">
        <v>0.9776406627430716</v>
      </c>
      <c r="AZ542" t="str">
        <f>VLOOKUP(BA542,Sheet1!$A$1:$B$58,2,FALSE)</f>
        <v>1-Propanol (PW1)</v>
      </c>
      <c r="BA542" t="s">
        <v>78</v>
      </c>
      <c r="BB542" t="s">
        <v>79</v>
      </c>
      <c r="BC542">
        <v>60.093820000000001</v>
      </c>
      <c r="BD542">
        <v>6</v>
      </c>
      <c r="BE542">
        <v>97</v>
      </c>
      <c r="BF542" t="s">
        <v>197</v>
      </c>
      <c r="BG542">
        <v>10.935880940161541</v>
      </c>
      <c r="BH542">
        <v>5.5764705882352203E-2</v>
      </c>
      <c r="BI542">
        <v>7.2803461199902095E-2</v>
      </c>
      <c r="BJ542">
        <v>90</v>
      </c>
      <c r="BK542">
        <v>2060.763621412575</v>
      </c>
      <c r="BL542">
        <v>-475.72922486962989</v>
      </c>
      <c r="BM542">
        <v>3.9846652144396688</v>
      </c>
      <c r="BN542">
        <v>677.39308645474375</v>
      </c>
      <c r="BO542">
        <v>1383.3705349578311</v>
      </c>
    </row>
    <row r="543" spans="1:67" x14ac:dyDescent="0.25">
      <c r="A543" s="1">
        <v>541</v>
      </c>
      <c r="B543" t="s">
        <v>180</v>
      </c>
      <c r="C543" t="s">
        <v>195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67</v>
      </c>
      <c r="J543">
        <v>1.4</v>
      </c>
      <c r="K543">
        <v>500</v>
      </c>
      <c r="L543">
        <v>100</v>
      </c>
      <c r="N543" t="s">
        <v>179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87550.196822019963</v>
      </c>
      <c r="Z543">
        <v>437750984.11009979</v>
      </c>
      <c r="AA543">
        <v>612851377.75413966</v>
      </c>
      <c r="AB543">
        <v>612851.37775413971</v>
      </c>
      <c r="AC543">
        <v>0</v>
      </c>
      <c r="AD543">
        <v>4536.9692050894073</v>
      </c>
      <c r="AE543">
        <v>8166544.5691609336</v>
      </c>
      <c r="AF543">
        <v>8166544.5691609336</v>
      </c>
      <c r="AG543">
        <v>367.62958025941589</v>
      </c>
      <c r="AH543">
        <v>359.40962648877269</v>
      </c>
      <c r="AI543">
        <v>359.40962648877269</v>
      </c>
      <c r="AJ543">
        <v>19917.669777009542</v>
      </c>
      <c r="AK543">
        <v>854.70085470085473</v>
      </c>
      <c r="AL543" t="s">
        <v>69</v>
      </c>
      <c r="AM543">
        <v>27854.24605287988</v>
      </c>
      <c r="AN543">
        <v>953.21048851563387</v>
      </c>
      <c r="AO543">
        <v>61099.636503091358</v>
      </c>
      <c r="AP543">
        <v>49579.827173105907</v>
      </c>
      <c r="AQ543">
        <v>-11519.809329985441</v>
      </c>
      <c r="AR543">
        <v>2.4389348038611112E-3</v>
      </c>
      <c r="AS543">
        <v>54.178637537694158</v>
      </c>
      <c r="AT543">
        <v>75.767151362588066</v>
      </c>
      <c r="AU543">
        <v>2.592855797520444</v>
      </c>
      <c r="AV543">
        <v>166.1989126663222</v>
      </c>
      <c r="AW543">
        <v>134.8635415521247</v>
      </c>
      <c r="AX543">
        <v>-31.335371114197471</v>
      </c>
      <c r="AY543">
        <v>0.97764066274307171</v>
      </c>
      <c r="AZ543" t="str">
        <f>VLOOKUP(BA543,Sheet1!$A$1:$B$58,2,FALSE)</f>
        <v>1-Propanol (PW2)</v>
      </c>
      <c r="BA543" t="s">
        <v>80</v>
      </c>
      <c r="BB543" t="s">
        <v>79</v>
      </c>
      <c r="BC543">
        <v>60.093820000000001</v>
      </c>
      <c r="BD543">
        <v>6</v>
      </c>
      <c r="BE543">
        <v>97</v>
      </c>
      <c r="BF543" t="s">
        <v>197</v>
      </c>
      <c r="BG543">
        <v>11.86291238465102</v>
      </c>
      <c r="BH543">
        <v>5.20879120879119E-2</v>
      </c>
      <c r="BI543">
        <v>6.8003232988920206E-2</v>
      </c>
      <c r="BJ543">
        <v>90</v>
      </c>
      <c r="BK543">
        <v>2203.547874360263</v>
      </c>
      <c r="BL543">
        <v>-511.99152577713068</v>
      </c>
      <c r="BM543">
        <v>4.1108487926277633</v>
      </c>
      <c r="BN543">
        <v>698.8442947467197</v>
      </c>
      <c r="BO543">
        <v>1504.7035796135431</v>
      </c>
    </row>
    <row r="544" spans="1:67" x14ac:dyDescent="0.25">
      <c r="A544" s="1">
        <v>542</v>
      </c>
      <c r="B544" t="s">
        <v>180</v>
      </c>
      <c r="C544" t="s">
        <v>195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67</v>
      </c>
      <c r="J544">
        <v>1.4</v>
      </c>
      <c r="K544">
        <v>500</v>
      </c>
      <c r="L544">
        <v>100</v>
      </c>
      <c r="N544" t="s">
        <v>179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61588.475127734862</v>
      </c>
      <c r="Z544">
        <v>307942375.63867432</v>
      </c>
      <c r="AA544">
        <v>431119325.89414388</v>
      </c>
      <c r="AB544">
        <v>431119.32589414401</v>
      </c>
      <c r="AC544">
        <v>0</v>
      </c>
      <c r="AD544">
        <v>3191.597794017398</v>
      </c>
      <c r="AE544">
        <v>5744876.0292313164</v>
      </c>
      <c r="AF544">
        <v>5744876.0292313164</v>
      </c>
      <c r="AG544">
        <v>258.61444156493269</v>
      </c>
      <c r="AH544">
        <v>252.83199404647019</v>
      </c>
      <c r="AI544">
        <v>252.83199404647019</v>
      </c>
      <c r="AJ544">
        <v>14011.37809155968</v>
      </c>
      <c r="AK544">
        <v>854.70085470085473</v>
      </c>
      <c r="AL544" t="s">
        <v>69</v>
      </c>
      <c r="AM544">
        <v>19594.479538601441</v>
      </c>
      <c r="AN544">
        <v>670.54995413414781</v>
      </c>
      <c r="AO544">
        <v>42981.438987899943</v>
      </c>
      <c r="AP544">
        <v>35131.108438996118</v>
      </c>
      <c r="AQ544">
        <v>-7850.3305489038185</v>
      </c>
      <c r="AR544">
        <v>2.4389348038611112E-3</v>
      </c>
      <c r="AS544">
        <v>54.178637537694172</v>
      </c>
      <c r="AT544">
        <v>75.767151362588052</v>
      </c>
      <c r="AU544">
        <v>2.592855797520444</v>
      </c>
      <c r="AV544">
        <v>166.1989126663222</v>
      </c>
      <c r="AW544">
        <v>135.8435678472172</v>
      </c>
      <c r="AX544">
        <v>-30.355344819104999</v>
      </c>
      <c r="AY544">
        <v>0.9776406627430716</v>
      </c>
      <c r="AZ544" t="str">
        <f>VLOOKUP(BA544,Sheet1!$A$1:$B$58,2,FALSE)</f>
        <v>2,3-Butanediol</v>
      </c>
      <c r="BA544" t="s">
        <v>81</v>
      </c>
      <c r="BB544" t="s">
        <v>71</v>
      </c>
      <c r="BC544">
        <v>90.119200000000006</v>
      </c>
      <c r="BD544">
        <v>5.5</v>
      </c>
      <c r="BE544">
        <v>177</v>
      </c>
      <c r="BF544" t="s">
        <v>197</v>
      </c>
      <c r="BG544">
        <v>7.9372849753648351</v>
      </c>
      <c r="BH544">
        <v>4.9375000000000002E-2</v>
      </c>
      <c r="BI544">
        <v>9.66690021203747E-2</v>
      </c>
      <c r="BJ544">
        <v>90</v>
      </c>
      <c r="BK544">
        <v>1561.3825972887159</v>
      </c>
      <c r="BL544">
        <v>-348.90357995128062</v>
      </c>
      <c r="BM544">
        <v>3.2996925378116191</v>
      </c>
      <c r="BN544">
        <v>560.94773142797521</v>
      </c>
      <c r="BO544">
        <v>1000.434865860741</v>
      </c>
    </row>
    <row r="545" spans="1:67" x14ac:dyDescent="0.25">
      <c r="A545" s="1">
        <v>543</v>
      </c>
      <c r="B545" t="s">
        <v>180</v>
      </c>
      <c r="C545" t="s">
        <v>195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67</v>
      </c>
      <c r="J545">
        <v>1.4</v>
      </c>
      <c r="K545">
        <v>500</v>
      </c>
      <c r="L545">
        <v>100</v>
      </c>
      <c r="N545" t="s">
        <v>179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94450.132513331875</v>
      </c>
      <c r="Z545">
        <v>472250662.56665939</v>
      </c>
      <c r="AA545">
        <v>661150927.59332311</v>
      </c>
      <c r="AB545">
        <v>661150.92759332317</v>
      </c>
      <c r="AC545">
        <v>0</v>
      </c>
      <c r="AD545">
        <v>4894.5331727892026</v>
      </c>
      <c r="AE545">
        <v>8810159.7110205647</v>
      </c>
      <c r="AF545">
        <v>8810159.7110205647</v>
      </c>
      <c r="AG545">
        <v>396.60290703754572</v>
      </c>
      <c r="AH545">
        <v>387.73512888201498</v>
      </c>
      <c r="AI545">
        <v>387.73512888201498</v>
      </c>
      <c r="AJ545">
        <v>21487.405146783</v>
      </c>
      <c r="AK545">
        <v>854.70085470085473</v>
      </c>
      <c r="AL545" t="s">
        <v>69</v>
      </c>
      <c r="AM545">
        <v>30049.472488356161</v>
      </c>
      <c r="AN545">
        <v>1028.334146825762</v>
      </c>
      <c r="AO545">
        <v>65914.971909942557</v>
      </c>
      <c r="AP545">
        <v>53419.912636665787</v>
      </c>
      <c r="AQ545">
        <v>-12495.059273276771</v>
      </c>
      <c r="AR545">
        <v>2.4389348038611112E-3</v>
      </c>
      <c r="AS545">
        <v>54.178637537694172</v>
      </c>
      <c r="AT545">
        <v>75.767151362588066</v>
      </c>
      <c r="AU545">
        <v>2.592855797520444</v>
      </c>
      <c r="AV545">
        <v>166.1989126663222</v>
      </c>
      <c r="AW545">
        <v>134.6936991352124</v>
      </c>
      <c r="AX545">
        <v>-31.505213531109799</v>
      </c>
      <c r="AY545">
        <v>0.97764066274307182</v>
      </c>
      <c r="AZ545" t="str">
        <f>VLOOKUP(BA545,Sheet1!$A$1:$B$58,2,FALSE)</f>
        <v>2-Methyl-1-Butanol</v>
      </c>
      <c r="BA545" t="s">
        <v>82</v>
      </c>
      <c r="BB545" t="s">
        <v>83</v>
      </c>
      <c r="BC545">
        <v>88.14658</v>
      </c>
      <c r="BD545">
        <v>6</v>
      </c>
      <c r="BE545">
        <v>129</v>
      </c>
      <c r="BF545" t="s">
        <v>197</v>
      </c>
      <c r="BG545">
        <v>12.671650541947789</v>
      </c>
      <c r="BH545">
        <v>3.2916666666666802E-2</v>
      </c>
      <c r="BI545">
        <v>6.3035342294234104E-2</v>
      </c>
      <c r="BJ545">
        <v>90</v>
      </c>
      <c r="BK545">
        <v>2374.2183394073681</v>
      </c>
      <c r="BL545">
        <v>-555.3359677011897</v>
      </c>
      <c r="BM545">
        <v>4.5610218528084427</v>
      </c>
      <c r="BN545">
        <v>775.37371497743527</v>
      </c>
      <c r="BO545">
        <v>1598.844624429933</v>
      </c>
    </row>
    <row r="546" spans="1:67" x14ac:dyDescent="0.25">
      <c r="A546" s="1">
        <v>544</v>
      </c>
      <c r="B546" t="s">
        <v>180</v>
      </c>
      <c r="C546" t="s">
        <v>195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67</v>
      </c>
      <c r="J546">
        <v>1.4</v>
      </c>
      <c r="K546">
        <v>500</v>
      </c>
      <c r="L546">
        <v>100</v>
      </c>
      <c r="N546" t="s">
        <v>179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38102.513319163081</v>
      </c>
      <c r="Z546">
        <v>190512566.59581539</v>
      </c>
      <c r="AA546">
        <v>266717593.23414159</v>
      </c>
      <c r="AB546">
        <v>266717.59323414147</v>
      </c>
      <c r="AC546">
        <v>0</v>
      </c>
      <c r="AD546">
        <v>1974.5235972110679</v>
      </c>
      <c r="AE546">
        <v>3554142.4749799231</v>
      </c>
      <c r="AF546">
        <v>3554142.4749799231</v>
      </c>
      <c r="AG546">
        <v>159.99519689063271</v>
      </c>
      <c r="AH546">
        <v>156.41781032386641</v>
      </c>
      <c r="AI546">
        <v>156.41781032386641</v>
      </c>
      <c r="AJ546">
        <v>8668.3217801095998</v>
      </c>
      <c r="AK546">
        <v>1835.336538461539</v>
      </c>
      <c r="AL546" t="s">
        <v>84</v>
      </c>
      <c r="AM546">
        <v>12122.38030009965</v>
      </c>
      <c r="AN546">
        <v>414.84447383330178</v>
      </c>
      <c r="AO546">
        <v>26591.02775505729</v>
      </c>
      <c r="AP546">
        <v>23040.883092504089</v>
      </c>
      <c r="AQ546">
        <v>-3550.1446625532039</v>
      </c>
      <c r="AR546">
        <v>2.4389348038611112E-3</v>
      </c>
      <c r="AS546">
        <v>54.178637537694158</v>
      </c>
      <c r="AT546">
        <v>75.767151362588066</v>
      </c>
      <c r="AU546">
        <v>2.592855797520444</v>
      </c>
      <c r="AV546">
        <v>166.1989126663222</v>
      </c>
      <c r="AW546">
        <v>144.0098424220451</v>
      </c>
      <c r="AX546">
        <v>-22.189070244277161</v>
      </c>
      <c r="AY546">
        <v>0.97764066274307182</v>
      </c>
      <c r="AZ546" t="str">
        <f>VLOOKUP(BA546,Sheet1!$A$1:$B$58,2,FALSE)</f>
        <v>2-Pyrone-4,6-Dicarboxylate</v>
      </c>
      <c r="BA546" t="s">
        <v>85</v>
      </c>
      <c r="BB546" t="s">
        <v>86</v>
      </c>
      <c r="BC546">
        <v>182.08457999999999</v>
      </c>
      <c r="BD546">
        <v>2.5714285714285721</v>
      </c>
      <c r="BE546">
        <v>355.5</v>
      </c>
      <c r="BF546" t="s">
        <v>197</v>
      </c>
      <c r="BG546">
        <v>4.4271031363000279</v>
      </c>
      <c r="BH546">
        <v>3.95E-2</v>
      </c>
      <c r="BI546">
        <v>0.15625469067730299</v>
      </c>
      <c r="BJ546">
        <v>90</v>
      </c>
      <c r="BK546">
        <v>1024.039248555737</v>
      </c>
      <c r="BL546">
        <v>-157.78420722458679</v>
      </c>
      <c r="BM546">
        <v>2.5247995447607008</v>
      </c>
      <c r="BN546">
        <v>429.21592260931919</v>
      </c>
      <c r="BO546">
        <v>594.82332594641798</v>
      </c>
    </row>
    <row r="547" spans="1:67" x14ac:dyDescent="0.25">
      <c r="A547" s="1">
        <v>545</v>
      </c>
      <c r="B547" t="s">
        <v>180</v>
      </c>
      <c r="C547" t="s">
        <v>195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67</v>
      </c>
      <c r="J547">
        <v>1.4</v>
      </c>
      <c r="K547">
        <v>500</v>
      </c>
      <c r="L547">
        <v>100</v>
      </c>
      <c r="N547" t="s">
        <v>179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96384.947772586529</v>
      </c>
      <c r="Z547">
        <v>481924738.86293262</v>
      </c>
      <c r="AA547">
        <v>674694634.40810561</v>
      </c>
      <c r="AB547">
        <v>674694.63440810563</v>
      </c>
      <c r="AC547">
        <v>0</v>
      </c>
      <c r="AD547">
        <v>4994.7979073919187</v>
      </c>
      <c r="AE547">
        <v>8990636.2333054543</v>
      </c>
      <c r="AF547">
        <v>8990636.2333054543</v>
      </c>
      <c r="AG547">
        <v>404.72733562204428</v>
      </c>
      <c r="AH547">
        <v>395.67790062777311</v>
      </c>
      <c r="AI547">
        <v>395.67790062777311</v>
      </c>
      <c r="AJ547">
        <v>21927.575618263429</v>
      </c>
      <c r="AK547">
        <v>854.70085470085473</v>
      </c>
      <c r="AL547" t="s">
        <v>69</v>
      </c>
      <c r="AM547">
        <v>30665.037298652409</v>
      </c>
      <c r="AN547">
        <v>1049.39961858262</v>
      </c>
      <c r="AO547">
        <v>67265.24310672142</v>
      </c>
      <c r="AP547">
        <v>54496.713390199307</v>
      </c>
      <c r="AQ547">
        <v>-12768.529716522111</v>
      </c>
      <c r="AR547">
        <v>2.4389348038611112E-3</v>
      </c>
      <c r="AS547">
        <v>54.178637537694158</v>
      </c>
      <c r="AT547">
        <v>75.767151362588066</v>
      </c>
      <c r="AU547">
        <v>2.5928557975204432</v>
      </c>
      <c r="AV547">
        <v>166.1989126663222</v>
      </c>
      <c r="AW547">
        <v>134.6504389342538</v>
      </c>
      <c r="AX547">
        <v>-31.548473732068398</v>
      </c>
      <c r="AY547">
        <v>0.97764066274307171</v>
      </c>
      <c r="AZ547" t="str">
        <f>VLOOKUP(BA547,Sheet1!$A$1:$B$58,2,FALSE)</f>
        <v>3-Methyl-1-Pentanol</v>
      </c>
      <c r="BA547" t="s">
        <v>87</v>
      </c>
      <c r="BB547" t="s">
        <v>88</v>
      </c>
      <c r="BC547">
        <v>102.17296</v>
      </c>
      <c r="BD547">
        <v>6</v>
      </c>
      <c r="BE547">
        <v>153</v>
      </c>
      <c r="BF547" t="s">
        <v>197</v>
      </c>
      <c r="BG547">
        <v>12.894337780053069</v>
      </c>
      <c r="BH547">
        <v>2.7827788649706399E-2</v>
      </c>
      <c r="BI547">
        <v>6.1769981416195503E-2</v>
      </c>
      <c r="BJ547">
        <v>90</v>
      </c>
      <c r="BK547">
        <v>2422.0761506755262</v>
      </c>
      <c r="BL547">
        <v>-567.49020962320435</v>
      </c>
      <c r="BM547">
        <v>4.6913466922924023</v>
      </c>
      <c r="BN547">
        <v>797.52893768970841</v>
      </c>
      <c r="BO547">
        <v>1624.5472129858169</v>
      </c>
    </row>
    <row r="548" spans="1:67" x14ac:dyDescent="0.25">
      <c r="A548" s="1">
        <v>546</v>
      </c>
      <c r="B548" t="s">
        <v>180</v>
      </c>
      <c r="C548" t="s">
        <v>195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67</v>
      </c>
      <c r="J548">
        <v>1.4</v>
      </c>
      <c r="K548">
        <v>500</v>
      </c>
      <c r="L548">
        <v>100</v>
      </c>
      <c r="N548" t="s">
        <v>179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90466.816440909854</v>
      </c>
      <c r="Z548">
        <v>452334082.20454931</v>
      </c>
      <c r="AA548">
        <v>633267715.08636892</v>
      </c>
      <c r="AB548">
        <v>633267.71508636896</v>
      </c>
      <c r="AC548">
        <v>0</v>
      </c>
      <c r="AD548">
        <v>4688.1123649473284</v>
      </c>
      <c r="AE548">
        <v>8438602.2569051906</v>
      </c>
      <c r="AF548">
        <v>8438602.2569051906</v>
      </c>
      <c r="AG548">
        <v>379.87667604206268</v>
      </c>
      <c r="AH548">
        <v>371.3828853263974</v>
      </c>
      <c r="AI548">
        <v>371.3828853263974</v>
      </c>
      <c r="AJ548">
        <v>20581.200740306991</v>
      </c>
      <c r="AK548">
        <v>854.70085470085473</v>
      </c>
      <c r="AL548" t="s">
        <v>69</v>
      </c>
      <c r="AM548">
        <v>28782.173612795799</v>
      </c>
      <c r="AN548">
        <v>984.96544181845786</v>
      </c>
      <c r="AO548">
        <v>63135.090505487547</v>
      </c>
      <c r="AP548">
        <v>51203.040649622097</v>
      </c>
      <c r="AQ548">
        <v>-11932.04985586546</v>
      </c>
      <c r="AR548">
        <v>2.4389348038611112E-3</v>
      </c>
      <c r="AS548">
        <v>54.178637537694172</v>
      </c>
      <c r="AT548">
        <v>75.767151362588052</v>
      </c>
      <c r="AU548">
        <v>2.592855797520444</v>
      </c>
      <c r="AV548">
        <v>166.1989126663222</v>
      </c>
      <c r="AW548">
        <v>134.7885876624668</v>
      </c>
      <c r="AX548">
        <v>-31.410325003855348</v>
      </c>
      <c r="AY548">
        <v>0.97764066274307182</v>
      </c>
      <c r="AZ548" t="str">
        <f>VLOOKUP(BA548,Sheet1!$A$1:$B$58,2,FALSE)</f>
        <v>4-Hydroxystyrene</v>
      </c>
      <c r="BA548" t="s">
        <v>89</v>
      </c>
      <c r="BB548" t="s">
        <v>90</v>
      </c>
      <c r="BC548">
        <v>120.14731999999999</v>
      </c>
      <c r="BD548">
        <v>4.75</v>
      </c>
      <c r="BE548">
        <v>229</v>
      </c>
      <c r="BF548" t="s">
        <v>197</v>
      </c>
      <c r="BG548">
        <v>11.597964097721601</v>
      </c>
      <c r="BH548">
        <v>2.52127659574468E-2</v>
      </c>
      <c r="BI548">
        <v>6.5810831716427404E-2</v>
      </c>
      <c r="BJ548">
        <v>90</v>
      </c>
      <c r="BK548">
        <v>2275.690695538759</v>
      </c>
      <c r="BL548">
        <v>-530.31332692735384</v>
      </c>
      <c r="BM548">
        <v>4.9079419167849512</v>
      </c>
      <c r="BN548">
        <v>834.35012585344168</v>
      </c>
      <c r="BO548">
        <v>1441.3405696853181</v>
      </c>
    </row>
    <row r="549" spans="1:67" x14ac:dyDescent="0.25">
      <c r="A549" s="1">
        <v>547</v>
      </c>
      <c r="B549" t="s">
        <v>180</v>
      </c>
      <c r="C549" t="s">
        <v>195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67</v>
      </c>
      <c r="J549">
        <v>1.4</v>
      </c>
      <c r="K549">
        <v>500</v>
      </c>
      <c r="L549">
        <v>100</v>
      </c>
      <c r="N549" t="s">
        <v>179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67121.673203492275</v>
      </c>
      <c r="Z549">
        <v>335608366.01746142</v>
      </c>
      <c r="AA549">
        <v>469851712.42444593</v>
      </c>
      <c r="AB549">
        <v>469851.71242444578</v>
      </c>
      <c r="AC549">
        <v>0</v>
      </c>
      <c r="AD549">
        <v>3478.3355763025129</v>
      </c>
      <c r="AE549">
        <v>6261004.0373445237</v>
      </c>
      <c r="AF549">
        <v>6261004.0373445237</v>
      </c>
      <c r="AG549">
        <v>281.84873868728118</v>
      </c>
      <c r="AH549">
        <v>275.54678768353261</v>
      </c>
      <c r="AI549">
        <v>275.54678768353261</v>
      </c>
      <c r="AJ549">
        <v>15270.18065379449</v>
      </c>
      <c r="AK549">
        <v>854.70085470085473</v>
      </c>
      <c r="AL549" t="s">
        <v>69</v>
      </c>
      <c r="AM549">
        <v>21354.876045473771</v>
      </c>
      <c r="AN549">
        <v>730.79313612914189</v>
      </c>
      <c r="AO549">
        <v>46842.953906200542</v>
      </c>
      <c r="AP549">
        <v>38210.550690098258</v>
      </c>
      <c r="AQ549">
        <v>-8632.4032161022769</v>
      </c>
      <c r="AR549">
        <v>2.4389348038611112E-3</v>
      </c>
      <c r="AS549">
        <v>54.178637537694172</v>
      </c>
      <c r="AT549">
        <v>75.767151362588095</v>
      </c>
      <c r="AU549">
        <v>2.592855797520444</v>
      </c>
      <c r="AV549">
        <v>166.1989126663222</v>
      </c>
      <c r="AW549">
        <v>135.57112537762279</v>
      </c>
      <c r="AX549">
        <v>-30.627787288699409</v>
      </c>
      <c r="AY549">
        <v>0.97764066274307204</v>
      </c>
      <c r="AZ549" t="str">
        <f>VLOOKUP(BA549,Sheet1!$A$1:$B$58,2,FALSE)</f>
        <v>5-Aminopentanoate</v>
      </c>
      <c r="BA549" t="s">
        <v>91</v>
      </c>
      <c r="BB549" t="s">
        <v>92</v>
      </c>
      <c r="BC549">
        <v>117.14444</v>
      </c>
      <c r="BD549">
        <v>4.8</v>
      </c>
      <c r="BE549">
        <v>247.5</v>
      </c>
      <c r="BF549" t="s">
        <v>197</v>
      </c>
      <c r="BG549">
        <v>8.9008422185055682</v>
      </c>
      <c r="BH549">
        <v>3.4852941176470503E-2</v>
      </c>
      <c r="BI549">
        <v>8.8700059884739002E-2</v>
      </c>
      <c r="BJ549">
        <v>90</v>
      </c>
      <c r="BK549">
        <v>1698.2466973377</v>
      </c>
      <c r="BL549">
        <v>-383.66236516010099</v>
      </c>
      <c r="BM549">
        <v>3.3456816785403229</v>
      </c>
      <c r="BN549">
        <v>568.76588535185499</v>
      </c>
      <c r="BO549">
        <v>1129.4808119858451</v>
      </c>
    </row>
    <row r="550" spans="1:67" x14ac:dyDescent="0.25">
      <c r="A550" s="1">
        <v>548</v>
      </c>
      <c r="B550" t="s">
        <v>180</v>
      </c>
      <c r="C550" t="s">
        <v>195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67</v>
      </c>
      <c r="J550">
        <v>1.4</v>
      </c>
      <c r="K550">
        <v>500</v>
      </c>
      <c r="L550">
        <v>100</v>
      </c>
      <c r="N550" t="s">
        <v>179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64706.245865939512</v>
      </c>
      <c r="Z550">
        <v>323531229.32969749</v>
      </c>
      <c r="AA550">
        <v>452943721.06157649</v>
      </c>
      <c r="AB550">
        <v>452943.72106157662</v>
      </c>
      <c r="AC550">
        <v>0</v>
      </c>
      <c r="AD550">
        <v>3353.1648760025951</v>
      </c>
      <c r="AE550">
        <v>6035696.7768046707</v>
      </c>
      <c r="AF550">
        <v>6035696.7768046707</v>
      </c>
      <c r="AG550">
        <v>271.70618538089849</v>
      </c>
      <c r="AH550">
        <v>265.63101514717351</v>
      </c>
      <c r="AI550">
        <v>265.63101514717351</v>
      </c>
      <c r="AJ550">
        <v>14720.67093450124</v>
      </c>
      <c r="AK550">
        <v>854.70085470085473</v>
      </c>
      <c r="AL550" t="s">
        <v>69</v>
      </c>
      <c r="AM550">
        <v>20586.403673905948</v>
      </c>
      <c r="AN550">
        <v>704.49495798702708</v>
      </c>
      <c r="AO550">
        <v>45157.272575019488</v>
      </c>
      <c r="AP550">
        <v>36866.270421095069</v>
      </c>
      <c r="AQ550">
        <v>-8291.0021539244262</v>
      </c>
      <c r="AR550">
        <v>2.4389348038611112E-3</v>
      </c>
      <c r="AS550">
        <v>54.178637537694158</v>
      </c>
      <c r="AT550">
        <v>75.767151362588052</v>
      </c>
      <c r="AU550">
        <v>2.592855797520444</v>
      </c>
      <c r="AV550">
        <v>166.19891266632209</v>
      </c>
      <c r="AW550">
        <v>135.68432521848229</v>
      </c>
      <c r="AX550">
        <v>-30.514587447839862</v>
      </c>
      <c r="AY550">
        <v>0.9776406627430716</v>
      </c>
      <c r="AZ550" t="str">
        <f>VLOOKUP(BA550,Sheet1!$A$1:$B$58,2,FALSE)</f>
        <v>Acetone</v>
      </c>
      <c r="BA550" t="s">
        <v>93</v>
      </c>
      <c r="BB550" t="s">
        <v>94</v>
      </c>
      <c r="BC550">
        <v>58.078139999999998</v>
      </c>
      <c r="BD550">
        <v>5.333333333333333</v>
      </c>
      <c r="BE550">
        <v>56</v>
      </c>
      <c r="BF550" t="s">
        <v>197</v>
      </c>
      <c r="BG550">
        <v>8.1180743430807176</v>
      </c>
      <c r="BH550">
        <v>7.2923076923076605E-2</v>
      </c>
      <c r="BI550">
        <v>9.2011155229878502E-2</v>
      </c>
      <c r="BJ550">
        <v>90</v>
      </c>
      <c r="BK550">
        <v>1638.5009076042249</v>
      </c>
      <c r="BL550">
        <v>-368.4889846188629</v>
      </c>
      <c r="BM550">
        <v>3.6877485523492162</v>
      </c>
      <c r="BN550">
        <v>626.91725389936676</v>
      </c>
      <c r="BO550">
        <v>1011.583653704859</v>
      </c>
    </row>
    <row r="551" spans="1:67" x14ac:dyDescent="0.25">
      <c r="A551" s="1">
        <v>549</v>
      </c>
      <c r="B551" t="s">
        <v>180</v>
      </c>
      <c r="C551" t="s">
        <v>195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67</v>
      </c>
      <c r="J551">
        <v>1.4</v>
      </c>
      <c r="K551">
        <v>500</v>
      </c>
      <c r="L551">
        <v>100</v>
      </c>
      <c r="N551" t="s">
        <v>179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52889.893664480856</v>
      </c>
      <c r="Z551">
        <v>264449468.3224043</v>
      </c>
      <c r="AA551">
        <v>370229255.65136611</v>
      </c>
      <c r="AB551">
        <v>370229.25565136608</v>
      </c>
      <c r="AC551">
        <v>0</v>
      </c>
      <c r="AD551">
        <v>2740.825578085396</v>
      </c>
      <c r="AE551">
        <v>4933486.0405537123</v>
      </c>
      <c r="AF551">
        <v>4933486.0405537123</v>
      </c>
      <c r="AG551">
        <v>222.08847168402781</v>
      </c>
      <c r="AH551">
        <v>217.12272064476889</v>
      </c>
      <c r="AI551">
        <v>217.12272064476889</v>
      </c>
      <c r="AJ551">
        <v>12032.4508086694</v>
      </c>
      <c r="AK551">
        <v>854.70085470085473</v>
      </c>
      <c r="AL551" t="s">
        <v>69</v>
      </c>
      <c r="AM551">
        <v>16827.010849969589</v>
      </c>
      <c r="AN551">
        <v>575.8433813683863</v>
      </c>
      <c r="AO551">
        <v>36910.862509610713</v>
      </c>
      <c r="AP551">
        <v>30290.005894708229</v>
      </c>
      <c r="AQ551">
        <v>-6620.8566149024809</v>
      </c>
      <c r="AR551">
        <v>2.4389348038611112E-3</v>
      </c>
      <c r="AS551">
        <v>54.178637537694172</v>
      </c>
      <c r="AT551">
        <v>75.767151362588052</v>
      </c>
      <c r="AU551">
        <v>2.592855797520444</v>
      </c>
      <c r="AV551">
        <v>166.1989126663222</v>
      </c>
      <c r="AW551">
        <v>136.3871148512506</v>
      </c>
      <c r="AX551">
        <v>-29.811797815071539</v>
      </c>
      <c r="AY551">
        <v>0.97764066274307171</v>
      </c>
      <c r="AZ551" t="str">
        <f>VLOOKUP(BA551,Sheet1!$A$1:$B$58,2,FALSE)</f>
        <v>Acrylate (PW1)</v>
      </c>
      <c r="BA551" t="s">
        <v>95</v>
      </c>
      <c r="BB551" t="s">
        <v>96</v>
      </c>
      <c r="BC551">
        <v>71.053619999999995</v>
      </c>
      <c r="BD551">
        <v>3.666666666666667</v>
      </c>
      <c r="BE551">
        <v>80</v>
      </c>
      <c r="BF551" t="s">
        <v>197</v>
      </c>
      <c r="BG551">
        <v>6.6355895481165916</v>
      </c>
      <c r="BH551">
        <v>7.2923076923076896E-2</v>
      </c>
      <c r="BI551">
        <v>0.112567751988353</v>
      </c>
      <c r="BJ551">
        <v>90</v>
      </c>
      <c r="BK551">
        <v>1346.2224842092539</v>
      </c>
      <c r="BL551">
        <v>-294.26029399566568</v>
      </c>
      <c r="BM551">
        <v>3.0143091472064678</v>
      </c>
      <c r="BN551">
        <v>512.43255502509965</v>
      </c>
      <c r="BO551">
        <v>833.78992918415474</v>
      </c>
    </row>
    <row r="552" spans="1:67" x14ac:dyDescent="0.25">
      <c r="A552" s="1">
        <v>550</v>
      </c>
      <c r="B552" t="s">
        <v>180</v>
      </c>
      <c r="C552" t="s">
        <v>195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67</v>
      </c>
      <c r="J552">
        <v>1.4</v>
      </c>
      <c r="K552">
        <v>500</v>
      </c>
      <c r="L552">
        <v>100</v>
      </c>
      <c r="N552" t="s">
        <v>179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46380.368290391067</v>
      </c>
      <c r="Z552">
        <v>231901841.45195529</v>
      </c>
      <c r="AA552">
        <v>324662578.03273749</v>
      </c>
      <c r="AB552">
        <v>324662.57803273748</v>
      </c>
      <c r="AC552">
        <v>0</v>
      </c>
      <c r="AD552">
        <v>2403.4931992441238</v>
      </c>
      <c r="AE552">
        <v>4326287.7586394241</v>
      </c>
      <c r="AF552">
        <v>4326287.7586394241</v>
      </c>
      <c r="AG552">
        <v>194.754505938302</v>
      </c>
      <c r="AH552">
        <v>190.39992425772101</v>
      </c>
      <c r="AI552">
        <v>190.39992425772101</v>
      </c>
      <c r="AJ552">
        <v>10551.53378606397</v>
      </c>
      <c r="AK552">
        <v>854.70085470085473</v>
      </c>
      <c r="AL552" t="s">
        <v>69</v>
      </c>
      <c r="AM552">
        <v>14755.99412997338</v>
      </c>
      <c r="AN552">
        <v>504.97034981535592</v>
      </c>
      <c r="AO552">
        <v>32367.987123812582</v>
      </c>
      <c r="AP552">
        <v>26667.19912055356</v>
      </c>
      <c r="AQ552">
        <v>-5700.7880032590183</v>
      </c>
      <c r="AR552">
        <v>2.4389348038611112E-3</v>
      </c>
      <c r="AS552">
        <v>54.178637537694158</v>
      </c>
      <c r="AT552">
        <v>75.767151362588052</v>
      </c>
      <c r="AU552">
        <v>2.5928557975204432</v>
      </c>
      <c r="AV552">
        <v>166.1989126663222</v>
      </c>
      <c r="AW552">
        <v>136.92725101313809</v>
      </c>
      <c r="AX552">
        <v>-29.27166165318414</v>
      </c>
      <c r="AY552">
        <v>0.97764066274307171</v>
      </c>
      <c r="AZ552" t="str">
        <f>VLOOKUP(BA552,Sheet1!$A$1:$B$58,2,FALSE)</f>
        <v>Acrylate (PW2)</v>
      </c>
      <c r="BA552" t="s">
        <v>97</v>
      </c>
      <c r="BB552" t="s">
        <v>96</v>
      </c>
      <c r="BC552">
        <v>71.053619999999995</v>
      </c>
      <c r="BD552">
        <v>3.666666666666667</v>
      </c>
      <c r="BE552">
        <v>80</v>
      </c>
      <c r="BF552" t="s">
        <v>197</v>
      </c>
      <c r="BG552">
        <v>5.5902032467197191</v>
      </c>
      <c r="BH552">
        <v>8.3157894736842305E-2</v>
      </c>
      <c r="BI552">
        <v>0.12836673472356</v>
      </c>
      <c r="BJ552">
        <v>90</v>
      </c>
      <c r="BK552">
        <v>1185.20884980238</v>
      </c>
      <c r="BL552">
        <v>-253.36835570040071</v>
      </c>
      <c r="BM552">
        <v>2.872015609178995</v>
      </c>
      <c r="BN552">
        <v>488.24265356042912</v>
      </c>
      <c r="BO552">
        <v>696.96619624195137</v>
      </c>
    </row>
    <row r="553" spans="1:67" x14ac:dyDescent="0.25">
      <c r="A553" s="1">
        <v>551</v>
      </c>
      <c r="B553" t="s">
        <v>180</v>
      </c>
      <c r="C553" t="s">
        <v>195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67</v>
      </c>
      <c r="J553">
        <v>1.4</v>
      </c>
      <c r="K553">
        <v>500</v>
      </c>
      <c r="L553">
        <v>100</v>
      </c>
      <c r="N553" t="s">
        <v>179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58969.823571182322</v>
      </c>
      <c r="Z553">
        <v>294849117.85591161</v>
      </c>
      <c r="AA553">
        <v>412788764.99827617</v>
      </c>
      <c r="AB553">
        <v>412788.76499827631</v>
      </c>
      <c r="AC553">
        <v>0</v>
      </c>
      <c r="AD553">
        <v>3055.8957407702701</v>
      </c>
      <c r="AE553">
        <v>5500612.3333864864</v>
      </c>
      <c r="AF553">
        <v>5500612.3333864864</v>
      </c>
      <c r="AG553">
        <v>247.61853513038611</v>
      </c>
      <c r="AH553">
        <v>242.08194879233929</v>
      </c>
      <c r="AI553">
        <v>242.08194879233929</v>
      </c>
      <c r="AJ553">
        <v>13415.63486244398</v>
      </c>
      <c r="AK553">
        <v>854.70085470085473</v>
      </c>
      <c r="AL553" t="s">
        <v>69</v>
      </c>
      <c r="AM553">
        <v>18761.351031406291</v>
      </c>
      <c r="AN553">
        <v>642.03915438634112</v>
      </c>
      <c r="AO553">
        <v>41153.931294697672</v>
      </c>
      <c r="AP553">
        <v>33673.725902937462</v>
      </c>
      <c r="AQ553">
        <v>-7480.2053917602097</v>
      </c>
      <c r="AR553">
        <v>2.4389348038611112E-3</v>
      </c>
      <c r="AS553">
        <v>54.178637537694158</v>
      </c>
      <c r="AT553">
        <v>75.767151362588052</v>
      </c>
      <c r="AU553">
        <v>2.592855797520444</v>
      </c>
      <c r="AV553">
        <v>166.1989126663222</v>
      </c>
      <c r="AW553">
        <v>135.9903283702337</v>
      </c>
      <c r="AX553">
        <v>-30.20858429608845</v>
      </c>
      <c r="AY553">
        <v>0.97764066274307182</v>
      </c>
      <c r="AZ553" t="str">
        <f>VLOOKUP(BA553,Sheet1!$A$1:$B$58,2,FALSE)</f>
        <v>Adipate</v>
      </c>
      <c r="BA553" t="s">
        <v>98</v>
      </c>
      <c r="BB553" t="s">
        <v>99</v>
      </c>
      <c r="BC553">
        <v>144.12291999999999</v>
      </c>
      <c r="BD553">
        <v>4</v>
      </c>
      <c r="BE553">
        <v>337.5</v>
      </c>
      <c r="BF553" t="s">
        <v>197</v>
      </c>
      <c r="BG553">
        <v>7.6379738115741356</v>
      </c>
      <c r="BH553">
        <v>3.2244897959183699E-2</v>
      </c>
      <c r="BI553">
        <v>0.100961747418609</v>
      </c>
      <c r="BJ553">
        <v>90</v>
      </c>
      <c r="BK553">
        <v>1496.6100401305539</v>
      </c>
      <c r="BL553">
        <v>-332.45357296712029</v>
      </c>
      <c r="BM553">
        <v>3.1212239125298331</v>
      </c>
      <c r="BN553">
        <v>530.60806513007151</v>
      </c>
      <c r="BO553">
        <v>966.00197500048239</v>
      </c>
    </row>
    <row r="554" spans="1:67" x14ac:dyDescent="0.25">
      <c r="A554" s="1">
        <v>552</v>
      </c>
      <c r="B554" t="s">
        <v>180</v>
      </c>
      <c r="C554" t="s">
        <v>195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67</v>
      </c>
      <c r="J554">
        <v>1.4</v>
      </c>
      <c r="K554">
        <v>500</v>
      </c>
      <c r="L554">
        <v>100</v>
      </c>
      <c r="N554" t="s">
        <v>179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75424.961755606462</v>
      </c>
      <c r="Z554">
        <v>377124808.7780323</v>
      </c>
      <c r="AA554">
        <v>527974732.28924519</v>
      </c>
      <c r="AB554">
        <v>527974.73228924524</v>
      </c>
      <c r="AC554">
        <v>0</v>
      </c>
      <c r="AD554">
        <v>3908.6231807781051</v>
      </c>
      <c r="AE554">
        <v>7035521.7254005875</v>
      </c>
      <c r="AF554">
        <v>7035521.7254005875</v>
      </c>
      <c r="AG554">
        <v>316.71484517236462</v>
      </c>
      <c r="AH554">
        <v>309.63331113487988</v>
      </c>
      <c r="AI554">
        <v>309.63331113487988</v>
      </c>
      <c r="AJ554">
        <v>17159.17879940047</v>
      </c>
      <c r="AK554">
        <v>854.70085470085473</v>
      </c>
      <c r="AL554" t="s">
        <v>69</v>
      </c>
      <c r="AM554">
        <v>23996.581612953189</v>
      </c>
      <c r="AN554">
        <v>821.19592246595539</v>
      </c>
      <c r="AO554">
        <v>52637.662892929577</v>
      </c>
      <c r="AP554">
        <v>42831.657189520469</v>
      </c>
      <c r="AQ554">
        <v>-9806.0057034091078</v>
      </c>
      <c r="AR554">
        <v>2.4389348038611112E-3</v>
      </c>
      <c r="AS554">
        <v>54.178637537694172</v>
      </c>
      <c r="AT554">
        <v>75.767151362588052</v>
      </c>
      <c r="AU554">
        <v>2.592855797520444</v>
      </c>
      <c r="AV554">
        <v>166.1989126663222</v>
      </c>
      <c r="AW554">
        <v>135.23728944947419</v>
      </c>
      <c r="AX554">
        <v>-30.961623216848011</v>
      </c>
      <c r="AY554">
        <v>0.97764066274307171</v>
      </c>
      <c r="AZ554" t="str">
        <f>VLOOKUP(BA554,Sheet1!$A$1:$B$58,2,FALSE)</f>
        <v>Benzoate (PW1)</v>
      </c>
      <c r="BA554" t="s">
        <v>100</v>
      </c>
      <c r="BB554" t="s">
        <v>101</v>
      </c>
      <c r="BC554">
        <v>121.1121</v>
      </c>
      <c r="BD554">
        <v>4.1428571428571432</v>
      </c>
      <c r="BE554">
        <v>249.2</v>
      </c>
      <c r="BF554" t="s">
        <v>197</v>
      </c>
      <c r="BG554">
        <v>9.5690686562284046</v>
      </c>
      <c r="BH554">
        <v>0.03</v>
      </c>
      <c r="BI554">
        <v>7.8935358986391493E-2</v>
      </c>
      <c r="BJ554">
        <v>90</v>
      </c>
      <c r="BK554">
        <v>1903.629208423132</v>
      </c>
      <c r="BL554">
        <v>-435.82247570707142</v>
      </c>
      <c r="BM554">
        <v>4.1924118386551434</v>
      </c>
      <c r="BN554">
        <v>712.71001257137436</v>
      </c>
      <c r="BO554">
        <v>1190.919195851757</v>
      </c>
    </row>
    <row r="555" spans="1:67" x14ac:dyDescent="0.25">
      <c r="A555" s="1">
        <v>553</v>
      </c>
      <c r="B555" t="s">
        <v>180</v>
      </c>
      <c r="C555" t="s">
        <v>195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67</v>
      </c>
      <c r="J555">
        <v>1.4</v>
      </c>
      <c r="K555">
        <v>500</v>
      </c>
      <c r="L555">
        <v>100</v>
      </c>
      <c r="N555" t="s">
        <v>179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75424.961755606462</v>
      </c>
      <c r="Z555">
        <v>377124808.7780323</v>
      </c>
      <c r="AA555">
        <v>527974732.28924519</v>
      </c>
      <c r="AB555">
        <v>527974.73228924524</v>
      </c>
      <c r="AC555">
        <v>0</v>
      </c>
      <c r="AD555">
        <v>3908.6231807781051</v>
      </c>
      <c r="AE555">
        <v>7035521.7254005875</v>
      </c>
      <c r="AF555">
        <v>7035521.7254005875</v>
      </c>
      <c r="AG555">
        <v>316.71484517236462</v>
      </c>
      <c r="AH555">
        <v>309.63331113487988</v>
      </c>
      <c r="AI555">
        <v>309.63331113487988</v>
      </c>
      <c r="AJ555">
        <v>17159.17879940047</v>
      </c>
      <c r="AK555">
        <v>854.70085470085473</v>
      </c>
      <c r="AL555" t="s">
        <v>69</v>
      </c>
      <c r="AM555">
        <v>23996.581612953189</v>
      </c>
      <c r="AN555">
        <v>821.19592246595539</v>
      </c>
      <c r="AO555">
        <v>52637.662892929577</v>
      </c>
      <c r="AP555">
        <v>42831.657189520469</v>
      </c>
      <c r="AQ555">
        <v>-9806.0057034091078</v>
      </c>
      <c r="AR555">
        <v>2.4389348038611112E-3</v>
      </c>
      <c r="AS555">
        <v>54.178637537694172</v>
      </c>
      <c r="AT555">
        <v>75.767151362588052</v>
      </c>
      <c r="AU555">
        <v>2.592855797520444</v>
      </c>
      <c r="AV555">
        <v>166.1989126663222</v>
      </c>
      <c r="AW555">
        <v>135.23728944947419</v>
      </c>
      <c r="AX555">
        <v>-30.961623216848011</v>
      </c>
      <c r="AY555">
        <v>0.97764066274307171</v>
      </c>
      <c r="AZ555" t="str">
        <f>VLOOKUP(BA555,Sheet1!$A$1:$B$58,2,FALSE)</f>
        <v>Benzoate (PW2)</v>
      </c>
      <c r="BA555" t="s">
        <v>102</v>
      </c>
      <c r="BB555" t="s">
        <v>101</v>
      </c>
      <c r="BC555">
        <v>121.1121</v>
      </c>
      <c r="BD555">
        <v>4.1428571428571432</v>
      </c>
      <c r="BE555">
        <v>249.2</v>
      </c>
      <c r="BF555" t="s">
        <v>197</v>
      </c>
      <c r="BG555">
        <v>9.5690686562284046</v>
      </c>
      <c r="BH555">
        <v>0.03</v>
      </c>
      <c r="BI555">
        <v>7.8935358986391493E-2</v>
      </c>
      <c r="BJ555">
        <v>90</v>
      </c>
      <c r="BK555">
        <v>1903.629208423132</v>
      </c>
      <c r="BL555">
        <v>-435.82247570707142</v>
      </c>
      <c r="BM555">
        <v>4.1924118386551434</v>
      </c>
      <c r="BN555">
        <v>712.71001257137436</v>
      </c>
      <c r="BO555">
        <v>1190.919195851757</v>
      </c>
    </row>
    <row r="556" spans="1:67" x14ac:dyDescent="0.25">
      <c r="A556" s="1">
        <v>554</v>
      </c>
      <c r="B556" t="s">
        <v>180</v>
      </c>
      <c r="C556" t="s">
        <v>195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67</v>
      </c>
      <c r="J556">
        <v>1.4</v>
      </c>
      <c r="K556">
        <v>500</v>
      </c>
      <c r="L556">
        <v>100</v>
      </c>
      <c r="N556" t="s">
        <v>179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100514.9369779385</v>
      </c>
      <c r="Z556">
        <v>502574684.8896926</v>
      </c>
      <c r="AA556">
        <v>703604558.84556961</v>
      </c>
      <c r="AB556">
        <v>703604.55884556961</v>
      </c>
      <c r="AC556">
        <v>0</v>
      </c>
      <c r="AD556">
        <v>5208.8195146776816</v>
      </c>
      <c r="AE556">
        <v>9375875.1264198292</v>
      </c>
      <c r="AF556">
        <v>9375875.1264198292</v>
      </c>
      <c r="AG556">
        <v>422.06945766348332</v>
      </c>
      <c r="AH556">
        <v>412.63226431373658</v>
      </c>
      <c r="AI556">
        <v>412.63226431373658</v>
      </c>
      <c r="AJ556">
        <v>22867.148162481011</v>
      </c>
      <c r="AK556">
        <v>854.70085470085473</v>
      </c>
      <c r="AL556" t="s">
        <v>69</v>
      </c>
      <c r="AM556">
        <v>31979.000484314591</v>
      </c>
      <c r="AN556">
        <v>1094.3652402590719</v>
      </c>
      <c r="AO556">
        <v>70147.484933335218</v>
      </c>
      <c r="AP556">
        <v>56795.214741755517</v>
      </c>
      <c r="AQ556">
        <v>-13352.27019157969</v>
      </c>
      <c r="AR556">
        <v>2.4389348038611112E-3</v>
      </c>
      <c r="AS556">
        <v>54.178637537694158</v>
      </c>
      <c r="AT556">
        <v>75.767151362588052</v>
      </c>
      <c r="AU556">
        <v>2.5928557975204432</v>
      </c>
      <c r="AV556">
        <v>166.19891266632209</v>
      </c>
      <c r="AW556">
        <v>134.56366887138859</v>
      </c>
      <c r="AX556">
        <v>-31.635243794933562</v>
      </c>
      <c r="AY556">
        <v>0.9776406627430716</v>
      </c>
      <c r="AZ556" t="str">
        <f>VLOOKUP(BA556,Sheet1!$A$1:$B$58,2,FALSE)</f>
        <v>Benzyl Alcohol</v>
      </c>
      <c r="BA556" t="s">
        <v>103</v>
      </c>
      <c r="BB556" t="s">
        <v>104</v>
      </c>
      <c r="BC556">
        <v>108.13661999999999</v>
      </c>
      <c r="BD556">
        <v>4.8571428571428568</v>
      </c>
      <c r="BE556">
        <v>205</v>
      </c>
      <c r="BF556" t="s">
        <v>197</v>
      </c>
      <c r="BG556">
        <v>13.293131446104701</v>
      </c>
      <c r="BH556">
        <v>2.52127659574467E-2</v>
      </c>
      <c r="BI556">
        <v>5.9231957077388299E-2</v>
      </c>
      <c r="BJ556">
        <v>90</v>
      </c>
      <c r="BK556">
        <v>2524.231766300245</v>
      </c>
      <c r="BL556">
        <v>-593.43423073687484</v>
      </c>
      <c r="BM556">
        <v>5.0460803011724842</v>
      </c>
      <c r="BN556">
        <v>857.83365119932228</v>
      </c>
      <c r="BO556">
        <v>1666.398115100923</v>
      </c>
    </row>
    <row r="557" spans="1:67" x14ac:dyDescent="0.25">
      <c r="A557" s="1">
        <v>555</v>
      </c>
      <c r="B557" t="s">
        <v>180</v>
      </c>
      <c r="C557" t="s">
        <v>195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67</v>
      </c>
      <c r="J557">
        <v>1.4</v>
      </c>
      <c r="K557">
        <v>500</v>
      </c>
      <c r="L557">
        <v>100</v>
      </c>
      <c r="N557" t="s">
        <v>179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116306.117827569</v>
      </c>
      <c r="Z557">
        <v>581530589.13784516</v>
      </c>
      <c r="AA557">
        <v>814142824.79298317</v>
      </c>
      <c r="AB557">
        <v>814142.82479298313</v>
      </c>
      <c r="AC557">
        <v>0</v>
      </c>
      <c r="AD557">
        <v>6027.1397906722177</v>
      </c>
      <c r="AE557">
        <v>10848851.623209991</v>
      </c>
      <c r="AF557">
        <v>10848851.623209991</v>
      </c>
      <c r="AG557">
        <v>488.37776305029757</v>
      </c>
      <c r="AH557">
        <v>477.45795993747168</v>
      </c>
      <c r="AI557">
        <v>477.45795993747168</v>
      </c>
      <c r="AJ557">
        <v>26459.641805771949</v>
      </c>
      <c r="AK557">
        <v>854.70085470085473</v>
      </c>
      <c r="AL557" t="s">
        <v>69</v>
      </c>
      <c r="AM557">
        <v>37002.99189515406</v>
      </c>
      <c r="AN557">
        <v>1266.2931143050289</v>
      </c>
      <c r="AO557">
        <v>81167.853189370202</v>
      </c>
      <c r="AP557">
        <v>65583.627669931899</v>
      </c>
      <c r="AQ557">
        <v>-15584.2255194383</v>
      </c>
      <c r="AR557">
        <v>2.4389348038611099E-3</v>
      </c>
      <c r="AS557">
        <v>54.178637537694158</v>
      </c>
      <c r="AT557">
        <v>75.767151362588066</v>
      </c>
      <c r="AU557">
        <v>2.5928557975204432</v>
      </c>
      <c r="AV557">
        <v>166.1989126663222</v>
      </c>
      <c r="AW557">
        <v>134.28872612936209</v>
      </c>
      <c r="AX557">
        <v>-31.910186536960111</v>
      </c>
      <c r="AY557">
        <v>0.97764066274307171</v>
      </c>
      <c r="AZ557" t="str">
        <f>VLOOKUP(BA557,Sheet1!$A$1:$B$58,2,FALSE)</f>
        <v>Beta Carotene</v>
      </c>
      <c r="BA557" t="s">
        <v>105</v>
      </c>
      <c r="BB557" t="s">
        <v>106</v>
      </c>
      <c r="BC557">
        <v>536.86703999999997</v>
      </c>
      <c r="BD557">
        <v>5.4</v>
      </c>
      <c r="BE557">
        <v>633</v>
      </c>
      <c r="BF557" t="s">
        <v>197</v>
      </c>
      <c r="BG557">
        <v>15.398961606413611</v>
      </c>
      <c r="BH557">
        <v>4.3888888888888597E-3</v>
      </c>
      <c r="BI557">
        <v>5.1189881873113199E-2</v>
      </c>
      <c r="BJ557">
        <v>90</v>
      </c>
      <c r="BK557">
        <v>2914.827896441418</v>
      </c>
      <c r="BL557">
        <v>-692.63224530836885</v>
      </c>
      <c r="BM557">
        <v>5.8213921685851311</v>
      </c>
      <c r="BN557">
        <v>989.63666865947232</v>
      </c>
      <c r="BO557">
        <v>1925.1912277819449</v>
      </c>
    </row>
    <row r="558" spans="1:67" x14ac:dyDescent="0.25">
      <c r="A558" s="1">
        <v>556</v>
      </c>
      <c r="B558" t="s">
        <v>180</v>
      </c>
      <c r="C558" t="s">
        <v>195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67</v>
      </c>
      <c r="J558">
        <v>1.4</v>
      </c>
      <c r="K558">
        <v>500</v>
      </c>
      <c r="L558">
        <v>100</v>
      </c>
      <c r="N558" t="s">
        <v>179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124342.89852254459</v>
      </c>
      <c r="Z558">
        <v>621714492.61272275</v>
      </c>
      <c r="AA558">
        <v>870400289.65781176</v>
      </c>
      <c r="AB558">
        <v>870400.28965781175</v>
      </c>
      <c r="AC558">
        <v>66773.504273504266</v>
      </c>
      <c r="AD558">
        <v>6443.6165987744926</v>
      </c>
      <c r="AE558">
        <v>11598509.877794091</v>
      </c>
      <c r="AF558">
        <v>11598509.877794091</v>
      </c>
      <c r="AG558">
        <v>522.12478385411271</v>
      </c>
      <c r="AH558">
        <v>510.45041972171782</v>
      </c>
      <c r="AI558">
        <v>510.45041972171782</v>
      </c>
      <c r="AJ558">
        <v>28288.009413878881</v>
      </c>
      <c r="AK558">
        <v>2170.1388888888891</v>
      </c>
      <c r="AL558" t="s">
        <v>107</v>
      </c>
      <c r="AM558">
        <v>39559.907528433127</v>
      </c>
      <c r="AN558">
        <v>1353.794272845244</v>
      </c>
      <c r="AO558">
        <v>86776.57135269203</v>
      </c>
      <c r="AP558">
        <v>71371.850104046156</v>
      </c>
      <c r="AQ558">
        <v>-15404.72124864587</v>
      </c>
      <c r="AR558">
        <v>2.4389348038611112E-3</v>
      </c>
      <c r="AS558">
        <v>54.178637537694172</v>
      </c>
      <c r="AT558">
        <v>75.767151362588066</v>
      </c>
      <c r="AU558">
        <v>2.592855797520444</v>
      </c>
      <c r="AV558">
        <v>166.1989126663222</v>
      </c>
      <c r="AW558">
        <v>136.69500531502871</v>
      </c>
      <c r="AX558">
        <v>-29.503907351293488</v>
      </c>
      <c r="AY558">
        <v>0.97764066274307171</v>
      </c>
      <c r="AZ558" t="str">
        <f>VLOOKUP(BA558,Sheet1!$A$1:$B$58,2,FALSE)</f>
        <v>Butane</v>
      </c>
      <c r="BA558" t="s">
        <v>108</v>
      </c>
      <c r="BB558" t="s">
        <v>109</v>
      </c>
      <c r="BC558">
        <v>58.121200000000002</v>
      </c>
      <c r="BD558">
        <v>6.5</v>
      </c>
      <c r="BE558">
        <v>-1</v>
      </c>
      <c r="BF558" t="s">
        <v>197</v>
      </c>
      <c r="BG558">
        <v>16.939795906188809</v>
      </c>
      <c r="BH558">
        <v>3.7920000000000197E-2</v>
      </c>
      <c r="BI558">
        <v>4.7881274310443901E-2</v>
      </c>
      <c r="BJ558">
        <v>90</v>
      </c>
      <c r="BK558">
        <v>3172.0822268464949</v>
      </c>
      <c r="BL558">
        <v>-684.65427771759471</v>
      </c>
      <c r="BM558">
        <v>5.7468894147764296</v>
      </c>
      <c r="BN558">
        <v>976.97120051199306</v>
      </c>
      <c r="BO558">
        <v>2195.1110263345022</v>
      </c>
    </row>
    <row r="559" spans="1:67" x14ac:dyDescent="0.25">
      <c r="A559" s="1">
        <v>557</v>
      </c>
      <c r="B559" t="s">
        <v>180</v>
      </c>
      <c r="C559" t="s">
        <v>195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67</v>
      </c>
      <c r="J559">
        <v>1.4</v>
      </c>
      <c r="K559">
        <v>500</v>
      </c>
      <c r="L559">
        <v>100</v>
      </c>
      <c r="N559" t="s">
        <v>179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81902.708274278368</v>
      </c>
      <c r="Z559">
        <v>409513541.37139177</v>
      </c>
      <c r="AA559">
        <v>573318957.91994858</v>
      </c>
      <c r="AB559">
        <v>573318.95791994862</v>
      </c>
      <c r="AC559">
        <v>0</v>
      </c>
      <c r="AD559">
        <v>4244.3087364980411</v>
      </c>
      <c r="AE559">
        <v>7639755.7256964734</v>
      </c>
      <c r="AF559">
        <v>7639755.7256964734</v>
      </c>
      <c r="AG559">
        <v>343.91536921604433</v>
      </c>
      <c r="AH559">
        <v>336.22564948790182</v>
      </c>
      <c r="AI559">
        <v>336.22564948790182</v>
      </c>
      <c r="AJ559">
        <v>18632.866132398329</v>
      </c>
      <c r="AK559">
        <v>854.70085470085473</v>
      </c>
      <c r="AL559" t="s">
        <v>69</v>
      </c>
      <c r="AM559">
        <v>26057.48783531239</v>
      </c>
      <c r="AN559">
        <v>891.72295892820432</v>
      </c>
      <c r="AO559">
        <v>57158.360412943308</v>
      </c>
      <c r="AP559">
        <v>46436.777781339777</v>
      </c>
      <c r="AQ559">
        <v>-10721.582631603531</v>
      </c>
      <c r="AR559">
        <v>2.438934803861112E-3</v>
      </c>
      <c r="AS559">
        <v>54.178637537694179</v>
      </c>
      <c r="AT559">
        <v>75.767151362588066</v>
      </c>
      <c r="AU559">
        <v>2.592855797520444</v>
      </c>
      <c r="AV559">
        <v>166.1989126663222</v>
      </c>
      <c r="AW559">
        <v>135.02385161556609</v>
      </c>
      <c r="AX559">
        <v>-31.175061050756138</v>
      </c>
      <c r="AY559">
        <v>0.97764066274307182</v>
      </c>
      <c r="AZ559" t="str">
        <f>VLOOKUP(BA559,Sheet1!$A$1:$B$58,2,FALSE)</f>
        <v>Butanol (PW1)</v>
      </c>
      <c r="BA559" t="s">
        <v>110</v>
      </c>
      <c r="BB559" t="s">
        <v>111</v>
      </c>
      <c r="BC559">
        <v>74.120199999999997</v>
      </c>
      <c r="BD559">
        <v>6</v>
      </c>
      <c r="BE559">
        <v>117.7</v>
      </c>
      <c r="BF559" t="s">
        <v>197</v>
      </c>
      <c r="BG559">
        <v>10.777966914432771</v>
      </c>
      <c r="BH559">
        <v>4.51428571428572E-2</v>
      </c>
      <c r="BI559">
        <v>7.2692302344578394E-2</v>
      </c>
      <c r="BJ559">
        <v>90</v>
      </c>
      <c r="BK559">
        <v>2063.8567902817681</v>
      </c>
      <c r="BL559">
        <v>-476.51478362682309</v>
      </c>
      <c r="BM559">
        <v>4.1653952850295326</v>
      </c>
      <c r="BN559">
        <v>708.11719845502057</v>
      </c>
      <c r="BO559">
        <v>1355.7395918267471</v>
      </c>
    </row>
    <row r="560" spans="1:67" x14ac:dyDescent="0.25">
      <c r="A560" s="1">
        <v>558</v>
      </c>
      <c r="B560" t="s">
        <v>180</v>
      </c>
      <c r="C560" t="s">
        <v>195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67</v>
      </c>
      <c r="J560">
        <v>1.4</v>
      </c>
      <c r="K560">
        <v>500</v>
      </c>
      <c r="L560">
        <v>100</v>
      </c>
      <c r="N560" t="s">
        <v>179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91263.017791338745</v>
      </c>
      <c r="Z560">
        <v>456315088.95669371</v>
      </c>
      <c r="AA560">
        <v>638841124.53937113</v>
      </c>
      <c r="AB560">
        <v>638841.12453937111</v>
      </c>
      <c r="AC560">
        <v>0</v>
      </c>
      <c r="AD560">
        <v>4729.3725920978168</v>
      </c>
      <c r="AE560">
        <v>8512870.6657760702</v>
      </c>
      <c r="AF560">
        <v>8512870.6657760702</v>
      </c>
      <c r="AG560">
        <v>383.2199828407351</v>
      </c>
      <c r="AH560">
        <v>374.65143800080477</v>
      </c>
      <c r="AI560">
        <v>374.65143800080477</v>
      </c>
      <c r="AJ560">
        <v>20762.336547529561</v>
      </c>
      <c r="AK560">
        <v>854.70085470085473</v>
      </c>
      <c r="AL560" t="s">
        <v>69</v>
      </c>
      <c r="AM560">
        <v>29035.486445062379</v>
      </c>
      <c r="AN560">
        <v>993.63415423428478</v>
      </c>
      <c r="AO560">
        <v>63690.744460136819</v>
      </c>
      <c r="AP560">
        <v>51646.158001527067</v>
      </c>
      <c r="AQ560">
        <v>-12044.58645860975</v>
      </c>
      <c r="AR560">
        <v>2.4389348038611112E-3</v>
      </c>
      <c r="AS560">
        <v>54.178637537694158</v>
      </c>
      <c r="AT560">
        <v>75.767151362588066</v>
      </c>
      <c r="AU560">
        <v>2.592855797520444</v>
      </c>
      <c r="AV560">
        <v>166.1989126663222</v>
      </c>
      <c r="AW560">
        <v>134.76895859835949</v>
      </c>
      <c r="AX560">
        <v>-31.429954067962651</v>
      </c>
      <c r="AY560">
        <v>0.97764066274307171</v>
      </c>
      <c r="AZ560" t="str">
        <f>VLOOKUP(BA560,Sheet1!$A$1:$B$58,2,FALSE)</f>
        <v>Butanol (PW2)</v>
      </c>
      <c r="BA560" t="s">
        <v>112</v>
      </c>
      <c r="BB560" t="s">
        <v>111</v>
      </c>
      <c r="BC560">
        <v>74.120199999999997</v>
      </c>
      <c r="BD560">
        <v>6</v>
      </c>
      <c r="BE560">
        <v>117.7</v>
      </c>
      <c r="BF560" t="s">
        <v>197</v>
      </c>
      <c r="BG560">
        <v>12.28117011030899</v>
      </c>
      <c r="BH560">
        <v>4.0512820512820603E-2</v>
      </c>
      <c r="BI560">
        <v>6.5236681591288301E-2</v>
      </c>
      <c r="BJ560">
        <v>90</v>
      </c>
      <c r="BK560">
        <v>2295.384800067869</v>
      </c>
      <c r="BL560">
        <v>-535.31495371598839</v>
      </c>
      <c r="BM560">
        <v>4.3700049119489979</v>
      </c>
      <c r="BN560">
        <v>742.90083503132962</v>
      </c>
      <c r="BO560">
        <v>1552.48396503654</v>
      </c>
    </row>
    <row r="561" spans="1:67" x14ac:dyDescent="0.25">
      <c r="A561" s="1">
        <v>559</v>
      </c>
      <c r="B561" t="s">
        <v>180</v>
      </c>
      <c r="C561" t="s">
        <v>195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67</v>
      </c>
      <c r="J561">
        <v>1.4</v>
      </c>
      <c r="K561">
        <v>500</v>
      </c>
      <c r="L561">
        <v>100</v>
      </c>
      <c r="N561" t="s">
        <v>179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55760.700120430018</v>
      </c>
      <c r="Z561">
        <v>278803500.60215008</v>
      </c>
      <c r="AA561">
        <v>390324900.84301019</v>
      </c>
      <c r="AB561">
        <v>390324.90084301023</v>
      </c>
      <c r="AC561">
        <v>0</v>
      </c>
      <c r="AD561">
        <v>2889.5946380898081</v>
      </c>
      <c r="AE561">
        <v>5201270.3485616548</v>
      </c>
      <c r="AF561">
        <v>5201270.3485616548</v>
      </c>
      <c r="AG561">
        <v>234.14319469683971</v>
      </c>
      <c r="AH561">
        <v>228.90790804019841</v>
      </c>
      <c r="AI561">
        <v>228.90790804019841</v>
      </c>
      <c r="AJ561">
        <v>12685.55927739783</v>
      </c>
      <c r="AK561">
        <v>854.70085470085473</v>
      </c>
      <c r="AL561" t="s">
        <v>69</v>
      </c>
      <c r="AM561">
        <v>17740.36287311538</v>
      </c>
      <c r="AN561">
        <v>607.09953981965873</v>
      </c>
      <c r="AO561">
        <v>38914.344366833728</v>
      </c>
      <c r="AP561">
        <v>31887.722545033721</v>
      </c>
      <c r="AQ561">
        <v>-7026.6218218000067</v>
      </c>
      <c r="AR561">
        <v>2.4389348038611112E-3</v>
      </c>
      <c r="AS561">
        <v>54.178637537694158</v>
      </c>
      <c r="AT561">
        <v>75.767151362588052</v>
      </c>
      <c r="AU561">
        <v>2.592855797520444</v>
      </c>
      <c r="AV561">
        <v>166.1989126663222</v>
      </c>
      <c r="AW561">
        <v>136.18897865607761</v>
      </c>
      <c r="AX561">
        <v>-30.00993401024456</v>
      </c>
      <c r="AY561">
        <v>0.97764066274307171</v>
      </c>
      <c r="AZ561" t="str">
        <f>VLOOKUP(BA561,Sheet1!$A$1:$B$58,2,FALSE)</f>
        <v>Butyrate</v>
      </c>
      <c r="BA561" t="s">
        <v>113</v>
      </c>
      <c r="BB561" t="s">
        <v>114</v>
      </c>
      <c r="BC561">
        <v>87.095680000000002</v>
      </c>
      <c r="BD561">
        <v>4.75</v>
      </c>
      <c r="BE561">
        <v>163.5</v>
      </c>
      <c r="BF561" t="s">
        <v>197</v>
      </c>
      <c r="BG561">
        <v>6.9335706504950823</v>
      </c>
      <c r="BH561">
        <v>5.6428571428571397E-2</v>
      </c>
      <c r="BI561">
        <v>0.106772268279542</v>
      </c>
      <c r="BJ561">
        <v>90</v>
      </c>
      <c r="BK561">
        <v>1417.23211311261</v>
      </c>
      <c r="BL561">
        <v>-312.29430319111128</v>
      </c>
      <c r="BM561">
        <v>3.2401141512915141</v>
      </c>
      <c r="BN561">
        <v>550.81940571955738</v>
      </c>
      <c r="BO561">
        <v>866.41270739305241</v>
      </c>
    </row>
    <row r="562" spans="1:67" x14ac:dyDescent="0.25">
      <c r="A562" s="1">
        <v>560</v>
      </c>
      <c r="B562" t="s">
        <v>180</v>
      </c>
      <c r="C562" t="s">
        <v>195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67</v>
      </c>
      <c r="J562">
        <v>1.4</v>
      </c>
      <c r="K562">
        <v>500</v>
      </c>
      <c r="L562">
        <v>100</v>
      </c>
      <c r="N562" t="s">
        <v>179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66684.592584475598</v>
      </c>
      <c r="Z562">
        <v>333422962.922378</v>
      </c>
      <c r="AA562">
        <v>466792148.09132922</v>
      </c>
      <c r="AB562">
        <v>466792.14809132909</v>
      </c>
      <c r="AC562">
        <v>0</v>
      </c>
      <c r="AD562">
        <v>3455.6854694997692</v>
      </c>
      <c r="AE562">
        <v>6220233.8450995842</v>
      </c>
      <c r="AF562">
        <v>6220233.8450995842</v>
      </c>
      <c r="AG562">
        <v>280.01340569727921</v>
      </c>
      <c r="AH562">
        <v>273.75249152283271</v>
      </c>
      <c r="AI562">
        <v>273.75249152283271</v>
      </c>
      <c r="AJ562">
        <v>15170.7448129682</v>
      </c>
      <c r="AK562">
        <v>854.70085470085473</v>
      </c>
      <c r="AL562" t="s">
        <v>69</v>
      </c>
      <c r="AM562">
        <v>21215.81809301953</v>
      </c>
      <c r="AN562">
        <v>726.03438234563441</v>
      </c>
      <c r="AO562">
        <v>46537.923558881557</v>
      </c>
      <c r="AP562">
        <v>37967.298143034219</v>
      </c>
      <c r="AQ562">
        <v>-8570.6254158473457</v>
      </c>
      <c r="AR562">
        <v>2.4389348038611112E-3</v>
      </c>
      <c r="AS562">
        <v>54.178637537694158</v>
      </c>
      <c r="AT562">
        <v>75.767151362588066</v>
      </c>
      <c r="AU562">
        <v>2.592855797520444</v>
      </c>
      <c r="AV562">
        <v>166.1989126663222</v>
      </c>
      <c r="AW562">
        <v>135.59100161111729</v>
      </c>
      <c r="AX562">
        <v>-30.607911055204969</v>
      </c>
      <c r="AY562">
        <v>0.97764066274307193</v>
      </c>
      <c r="AZ562" t="str">
        <f>VLOOKUP(BA562,Sheet1!$A$1:$B$58,2,FALSE)</f>
        <v>Catechol</v>
      </c>
      <c r="BA562" t="s">
        <v>115</v>
      </c>
      <c r="BB562" t="s">
        <v>116</v>
      </c>
      <c r="BC562">
        <v>110.10924</v>
      </c>
      <c r="BD562">
        <v>4.333333333333333</v>
      </c>
      <c r="BE562">
        <v>245</v>
      </c>
      <c r="BF562" t="s">
        <v>197</v>
      </c>
      <c r="BG562">
        <v>8.3109363580744233</v>
      </c>
      <c r="BH562">
        <v>3.7322834645669503E-2</v>
      </c>
      <c r="BI562">
        <v>8.9281439714451905E-2</v>
      </c>
      <c r="BJ562">
        <v>90</v>
      </c>
      <c r="BK562">
        <v>1687.435473023743</v>
      </c>
      <c r="BL562">
        <v>-380.91668514877102</v>
      </c>
      <c r="BM562">
        <v>3.8558410429403658</v>
      </c>
      <c r="BN562">
        <v>655.49297729986222</v>
      </c>
      <c r="BO562">
        <v>1031.9424957238809</v>
      </c>
    </row>
    <row r="563" spans="1:67" x14ac:dyDescent="0.25">
      <c r="A563" s="1">
        <v>561</v>
      </c>
      <c r="B563" t="s">
        <v>180</v>
      </c>
      <c r="C563" t="s">
        <v>195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67</v>
      </c>
      <c r="J563">
        <v>1.4</v>
      </c>
      <c r="K563">
        <v>500</v>
      </c>
      <c r="L563">
        <v>100</v>
      </c>
      <c r="N563" t="s">
        <v>179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53238.190400363899</v>
      </c>
      <c r="Z563">
        <v>266190952.00181949</v>
      </c>
      <c r="AA563">
        <v>372667332.80254728</v>
      </c>
      <c r="AB563">
        <v>372667.33280254732</v>
      </c>
      <c r="AC563">
        <v>0</v>
      </c>
      <c r="AD563">
        <v>2758.8747843955412</v>
      </c>
      <c r="AE563">
        <v>4965974.6119119739</v>
      </c>
      <c r="AF563">
        <v>4965974.6119119739</v>
      </c>
      <c r="AG563">
        <v>223.55099475611979</v>
      </c>
      <c r="AH563">
        <v>218.552542670246</v>
      </c>
      <c r="AI563">
        <v>218.552542670246</v>
      </c>
      <c r="AJ563">
        <v>12111.688316082789</v>
      </c>
      <c r="AK563">
        <v>854.70085470085473</v>
      </c>
      <c r="AL563" t="s">
        <v>69</v>
      </c>
      <c r="AM563">
        <v>16937.82205694406</v>
      </c>
      <c r="AN563">
        <v>579.63549279486767</v>
      </c>
      <c r="AO563">
        <v>37153.932253941814</v>
      </c>
      <c r="AP563">
        <v>30483.846720522572</v>
      </c>
      <c r="AQ563">
        <v>-6670.085533419242</v>
      </c>
      <c r="AR563">
        <v>2.4389348038611112E-3</v>
      </c>
      <c r="AS563">
        <v>54.178637537694158</v>
      </c>
      <c r="AT563">
        <v>75.767151362588066</v>
      </c>
      <c r="AU563">
        <v>2.592855797520444</v>
      </c>
      <c r="AV563">
        <v>166.1989126663222</v>
      </c>
      <c r="AW563">
        <v>136.3619372563229</v>
      </c>
      <c r="AX563">
        <v>-29.836975409999329</v>
      </c>
      <c r="AY563">
        <v>0.97764066274307182</v>
      </c>
      <c r="AZ563" t="str">
        <f>VLOOKUP(BA563,Sheet1!$A$1:$B$58,2,FALSE)</f>
        <v>cis,cis-Muconate</v>
      </c>
      <c r="BA563" t="s">
        <v>117</v>
      </c>
      <c r="BB563" t="s">
        <v>118</v>
      </c>
      <c r="BC563">
        <v>140.09155999999999</v>
      </c>
      <c r="BD563">
        <v>3.333333333333333</v>
      </c>
      <c r="BE563">
        <v>345.4</v>
      </c>
      <c r="BF563" t="s">
        <v>197</v>
      </c>
      <c r="BG563">
        <v>6.6647877026218731</v>
      </c>
      <c r="BH563">
        <v>3.6744186046511598E-2</v>
      </c>
      <c r="BI563">
        <v>0.11183130733671499</v>
      </c>
      <c r="BJ563">
        <v>90</v>
      </c>
      <c r="BK563">
        <v>1354.837632023226</v>
      </c>
      <c r="BL563">
        <v>-296.44824592974379</v>
      </c>
      <c r="BM563">
        <v>3.0486586382779479</v>
      </c>
      <c r="BN563">
        <v>518.27196850725124</v>
      </c>
      <c r="BO563">
        <v>836.56566351597428</v>
      </c>
    </row>
    <row r="564" spans="1:67" x14ac:dyDescent="0.25">
      <c r="A564" s="1">
        <v>562</v>
      </c>
      <c r="B564" t="s">
        <v>180</v>
      </c>
      <c r="C564" t="s">
        <v>195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67</v>
      </c>
      <c r="J564">
        <v>1.4</v>
      </c>
      <c r="K564">
        <v>500</v>
      </c>
      <c r="L564">
        <v>100</v>
      </c>
      <c r="N564" t="s">
        <v>179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26599.99395880373</v>
      </c>
      <c r="Z564">
        <v>132999969.7940186</v>
      </c>
      <c r="AA564">
        <v>186199957.71162611</v>
      </c>
      <c r="AB564">
        <v>186199.95771162611</v>
      </c>
      <c r="AC564">
        <v>0</v>
      </c>
      <c r="AD564">
        <v>1378.447540123673</v>
      </c>
      <c r="AE564">
        <v>2481205.57222261</v>
      </c>
      <c r="AF564">
        <v>2481205.57222261</v>
      </c>
      <c r="AG564">
        <v>111.695289890182</v>
      </c>
      <c r="AH564">
        <v>109.1978572335171</v>
      </c>
      <c r="AI564">
        <v>109.1978572335171</v>
      </c>
      <c r="AJ564">
        <v>6051.498625627848</v>
      </c>
      <c r="AK564">
        <v>854.70085470085473</v>
      </c>
      <c r="AL564" t="s">
        <v>69</v>
      </c>
      <c r="AM564">
        <v>8462.8339355975731</v>
      </c>
      <c r="AN564">
        <v>289.60977994748498</v>
      </c>
      <c r="AO564">
        <v>18563.6357296979</v>
      </c>
      <c r="AP564">
        <v>15658.643195873759</v>
      </c>
      <c r="AQ564">
        <v>-2904.9925338241428</v>
      </c>
      <c r="AR564">
        <v>2.4389348038611112E-3</v>
      </c>
      <c r="AS564">
        <v>54.178637537694158</v>
      </c>
      <c r="AT564">
        <v>75.767151362588052</v>
      </c>
      <c r="AU564">
        <v>2.592855797520444</v>
      </c>
      <c r="AV564">
        <v>166.1989126663222</v>
      </c>
      <c r="AW564">
        <v>140.1907207660164</v>
      </c>
      <c r="AX564">
        <v>-26.0081919003058</v>
      </c>
      <c r="AY564">
        <v>0.97764066274307171</v>
      </c>
      <c r="AZ564" t="str">
        <f>VLOOKUP(BA564,Sheet1!$A$1:$B$58,2,FALSE)</f>
        <v>Citrate</v>
      </c>
      <c r="BA564" t="s">
        <v>119</v>
      </c>
      <c r="BB564" t="s">
        <v>120</v>
      </c>
      <c r="BC564">
        <v>189.09639999999999</v>
      </c>
      <c r="BD564">
        <v>2.5</v>
      </c>
      <c r="BF564" t="s">
        <v>197</v>
      </c>
      <c r="BG564">
        <v>2.87535077882317</v>
      </c>
      <c r="BH564">
        <v>5.44827586206897E-2</v>
      </c>
      <c r="BI564">
        <v>0.22382322499525101</v>
      </c>
      <c r="BJ564">
        <v>90</v>
      </c>
      <c r="BK564">
        <v>695.93969759438949</v>
      </c>
      <c r="BL564">
        <v>-129.11077928107301</v>
      </c>
      <c r="BM564">
        <v>1.977887320444256</v>
      </c>
      <c r="BN564">
        <v>336.2408444755236</v>
      </c>
      <c r="BO564">
        <v>359.69885311886588</v>
      </c>
    </row>
    <row r="565" spans="1:67" x14ac:dyDescent="0.25">
      <c r="A565" s="1">
        <v>563</v>
      </c>
      <c r="B565" t="s">
        <v>180</v>
      </c>
      <c r="C565" t="s">
        <v>195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67</v>
      </c>
      <c r="J565">
        <v>1.4</v>
      </c>
      <c r="K565">
        <v>500</v>
      </c>
      <c r="L565">
        <v>100</v>
      </c>
      <c r="N565" t="s">
        <v>179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66976.911492951622</v>
      </c>
      <c r="Z565">
        <v>334884557.4647581</v>
      </c>
      <c r="AA565">
        <v>468838380.4506613</v>
      </c>
      <c r="AB565">
        <v>468838.38045066129</v>
      </c>
      <c r="AC565">
        <v>0</v>
      </c>
      <c r="AD565">
        <v>3470.8338293431761</v>
      </c>
      <c r="AE565">
        <v>6247500.8928177161</v>
      </c>
      <c r="AF565">
        <v>6247500.8928177161</v>
      </c>
      <c r="AG565">
        <v>281.24087384156439</v>
      </c>
      <c r="AH565">
        <v>274.95251429290772</v>
      </c>
      <c r="AI565">
        <v>274.95251429290772</v>
      </c>
      <c r="AJ565">
        <v>15237.24736464649</v>
      </c>
      <c r="AK565">
        <v>854.70085470085473</v>
      </c>
      <c r="AL565" t="s">
        <v>69</v>
      </c>
      <c r="AM565">
        <v>21308.81985770035</v>
      </c>
      <c r="AN565">
        <v>729.21703023981604</v>
      </c>
      <c r="AO565">
        <v>46741.927429794312</v>
      </c>
      <c r="AP565">
        <v>38129.98510728751</v>
      </c>
      <c r="AQ565">
        <v>-8611.9423225068022</v>
      </c>
      <c r="AR565">
        <v>2.4389348038611112E-3</v>
      </c>
      <c r="AS565">
        <v>54.178637537694172</v>
      </c>
      <c r="AT565">
        <v>75.767151362588066</v>
      </c>
      <c r="AU565">
        <v>2.592855797520444</v>
      </c>
      <c r="AV565">
        <v>166.1989126663222</v>
      </c>
      <c r="AW565">
        <v>135.5776796823915</v>
      </c>
      <c r="AX565">
        <v>-30.6212329839307</v>
      </c>
      <c r="AY565">
        <v>0.97764066274307204</v>
      </c>
      <c r="AZ565" t="str">
        <f>VLOOKUP(BA565,Sheet1!$A$1:$B$58,2,FALSE)</f>
        <v>Coumaric Acid</v>
      </c>
      <c r="BA565" t="s">
        <v>121</v>
      </c>
      <c r="BB565" t="s">
        <v>122</v>
      </c>
      <c r="BC565">
        <v>163.14818</v>
      </c>
      <c r="BD565">
        <v>4.1111111111111107</v>
      </c>
      <c r="BE565">
        <v>346</v>
      </c>
      <c r="BF565" t="s">
        <v>197</v>
      </c>
      <c r="BG565">
        <v>8.3282517397623081</v>
      </c>
      <c r="BH565">
        <v>2.5079365079365E-2</v>
      </c>
      <c r="BI565">
        <v>8.8891773299224E-2</v>
      </c>
      <c r="BJ565">
        <v>90</v>
      </c>
      <c r="BK565">
        <v>1694.666004768334</v>
      </c>
      <c r="BL565">
        <v>-382.75299211141339</v>
      </c>
      <c r="BM565">
        <v>3.891860006589146</v>
      </c>
      <c r="BN565">
        <v>661.61620112015487</v>
      </c>
      <c r="BO565">
        <v>1033.049803648179</v>
      </c>
    </row>
    <row r="566" spans="1:67" x14ac:dyDescent="0.25">
      <c r="A566" s="1">
        <v>564</v>
      </c>
      <c r="B566" t="s">
        <v>180</v>
      </c>
      <c r="C566" t="s">
        <v>195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67</v>
      </c>
      <c r="J566">
        <v>1.4</v>
      </c>
      <c r="K566">
        <v>500</v>
      </c>
      <c r="L566">
        <v>100</v>
      </c>
      <c r="N566" t="s">
        <v>179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57091.511186290059</v>
      </c>
      <c r="Z566">
        <v>285457555.93145031</v>
      </c>
      <c r="AA566">
        <v>399640578.30403042</v>
      </c>
      <c r="AB566">
        <v>399640.57830403041</v>
      </c>
      <c r="AC566">
        <v>0</v>
      </c>
      <c r="AD566">
        <v>2958.5590612752121</v>
      </c>
      <c r="AE566">
        <v>5325406.3102953816</v>
      </c>
      <c r="AF566">
        <v>5325406.3102953816</v>
      </c>
      <c r="AG566">
        <v>239.73136618366439</v>
      </c>
      <c r="AH566">
        <v>234.37113171609971</v>
      </c>
      <c r="AI566">
        <v>234.37113171609971</v>
      </c>
      <c r="AJ566">
        <v>12988.31879488099</v>
      </c>
      <c r="AK566">
        <v>854.70085470085473</v>
      </c>
      <c r="AL566" t="s">
        <v>69</v>
      </c>
      <c r="AM566">
        <v>18163.762707997728</v>
      </c>
      <c r="AN566">
        <v>621.58886265681065</v>
      </c>
      <c r="AO566">
        <v>39843.092391736958</v>
      </c>
      <c r="AP566">
        <v>32628.371220236389</v>
      </c>
      <c r="AQ566">
        <v>-7214.7211715005724</v>
      </c>
      <c r="AR566">
        <v>2.4389348038611112E-3</v>
      </c>
      <c r="AS566">
        <v>54.178637537694158</v>
      </c>
      <c r="AT566">
        <v>75.767151362588052</v>
      </c>
      <c r="AU566">
        <v>2.5928557975204432</v>
      </c>
      <c r="AV566">
        <v>166.1989126663222</v>
      </c>
      <c r="AW566">
        <v>136.1038888638333</v>
      </c>
      <c r="AX566">
        <v>-30.095023802488921</v>
      </c>
      <c r="AY566">
        <v>0.97764066274307182</v>
      </c>
      <c r="AZ566" t="str">
        <f>VLOOKUP(BA566,Sheet1!$A$1:$B$58,2,FALSE)</f>
        <v>Ethyl Acetate</v>
      </c>
      <c r="BA566" t="s">
        <v>123</v>
      </c>
      <c r="BB566" t="s">
        <v>124</v>
      </c>
      <c r="BC566">
        <v>88.103520000000003</v>
      </c>
      <c r="BD566">
        <v>5</v>
      </c>
      <c r="BE566">
        <v>77.099999999999994</v>
      </c>
      <c r="BF566" t="s">
        <v>197</v>
      </c>
      <c r="BG566">
        <v>7.1704113639574887</v>
      </c>
      <c r="BH566">
        <v>5.4482758620689901E-2</v>
      </c>
      <c r="BI566">
        <v>0.104283391856395</v>
      </c>
      <c r="BJ566">
        <v>90</v>
      </c>
      <c r="BK566">
        <v>1450.1498320105061</v>
      </c>
      <c r="BL566">
        <v>-320.65427428891422</v>
      </c>
      <c r="BM566">
        <v>3.2460833789802779</v>
      </c>
      <c r="BN566">
        <v>551.83417442664722</v>
      </c>
      <c r="BO566">
        <v>898.31565758385887</v>
      </c>
    </row>
    <row r="567" spans="1:67" x14ac:dyDescent="0.25">
      <c r="A567" s="1">
        <v>565</v>
      </c>
      <c r="B567" t="s">
        <v>180</v>
      </c>
      <c r="C567" t="s">
        <v>195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67</v>
      </c>
      <c r="J567">
        <v>1.4</v>
      </c>
      <c r="K567">
        <v>500</v>
      </c>
      <c r="L567">
        <v>100</v>
      </c>
      <c r="N567" t="s">
        <v>179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110907.2199114806</v>
      </c>
      <c r="Z567">
        <v>554536099.55740321</v>
      </c>
      <c r="AA567">
        <v>776350539.38036442</v>
      </c>
      <c r="AB567">
        <v>776350.53938036447</v>
      </c>
      <c r="AC567">
        <v>0</v>
      </c>
      <c r="AD567">
        <v>5747.3616236795224</v>
      </c>
      <c r="AE567">
        <v>10345250.922623141</v>
      </c>
      <c r="AF567">
        <v>10345250.922623141</v>
      </c>
      <c r="AG567">
        <v>465.70740196830161</v>
      </c>
      <c r="AH567">
        <v>455.2944931046444</v>
      </c>
      <c r="AI567">
        <v>455.2944931046444</v>
      </c>
      <c r="AJ567">
        <v>25231.392529861849</v>
      </c>
      <c r="AK567">
        <v>1835.336538461539</v>
      </c>
      <c r="AL567" t="s">
        <v>84</v>
      </c>
      <c r="AM567">
        <v>35285.32321560994</v>
      </c>
      <c r="AN567">
        <v>1207.512137141694</v>
      </c>
      <c r="AO567">
        <v>77400.063827789549</v>
      </c>
      <c r="AP567">
        <v>63559.564421075018</v>
      </c>
      <c r="AQ567">
        <v>-13840.499406714531</v>
      </c>
      <c r="AR567">
        <v>2.4389348038611112E-3</v>
      </c>
      <c r="AS567">
        <v>54.178637537694158</v>
      </c>
      <c r="AT567">
        <v>75.767151362588052</v>
      </c>
      <c r="AU567">
        <v>2.5928557975204432</v>
      </c>
      <c r="AV567">
        <v>166.1989126663222</v>
      </c>
      <c r="AW567">
        <v>136.4796096270791</v>
      </c>
      <c r="AX567">
        <v>-29.719303039243069</v>
      </c>
      <c r="AY567">
        <v>0.9776406627430716</v>
      </c>
      <c r="AZ567" t="str">
        <f>VLOOKUP(BA567,Sheet1!$A$1:$B$58,2,FALSE)</f>
        <v>Farnesene</v>
      </c>
      <c r="BA567" t="s">
        <v>125</v>
      </c>
      <c r="BB567" t="s">
        <v>126</v>
      </c>
      <c r="BC567">
        <v>204.34866</v>
      </c>
      <c r="BD567">
        <v>5.6</v>
      </c>
      <c r="BE567" t="s">
        <v>127</v>
      </c>
      <c r="BF567" t="s">
        <v>197</v>
      </c>
      <c r="BG567">
        <v>14.580450733663969</v>
      </c>
      <c r="BH567">
        <v>1.2091836734693899E-2</v>
      </c>
      <c r="BI567">
        <v>5.3681775068075102E-2</v>
      </c>
      <c r="BJ567">
        <v>90</v>
      </c>
      <c r="BK567">
        <v>2824.8695298255561</v>
      </c>
      <c r="BL567">
        <v>-615.13330696509058</v>
      </c>
      <c r="BM567">
        <v>5.6548600709868957</v>
      </c>
      <c r="BN567">
        <v>961.3262120677723</v>
      </c>
      <c r="BO567">
        <v>1863.5433177577841</v>
      </c>
    </row>
    <row r="568" spans="1:67" x14ac:dyDescent="0.25">
      <c r="A568" s="1">
        <v>566</v>
      </c>
      <c r="B568" t="s">
        <v>180</v>
      </c>
      <c r="C568" t="s">
        <v>195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67</v>
      </c>
      <c r="J568">
        <v>1.4</v>
      </c>
      <c r="K568">
        <v>500</v>
      </c>
      <c r="L568">
        <v>100</v>
      </c>
      <c r="N568" t="s">
        <v>179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57756.675389261793</v>
      </c>
      <c r="Z568">
        <v>288783376.94630897</v>
      </c>
      <c r="AA568">
        <v>404296727.72483248</v>
      </c>
      <c r="AB568">
        <v>404296.72772483248</v>
      </c>
      <c r="AC568">
        <v>0</v>
      </c>
      <c r="AD568">
        <v>2993.0287668241949</v>
      </c>
      <c r="AE568">
        <v>5387451.7802835517</v>
      </c>
      <c r="AF568">
        <v>5387451.7802835517</v>
      </c>
      <c r="AG568">
        <v>242.52443856520571</v>
      </c>
      <c r="AH568">
        <v>237.1017528502791</v>
      </c>
      <c r="AI568">
        <v>237.1017528502791</v>
      </c>
      <c r="AJ568">
        <v>13139.64365105706</v>
      </c>
      <c r="AK568">
        <v>1835.336538461539</v>
      </c>
      <c r="AL568" t="s">
        <v>84</v>
      </c>
      <c r="AM568">
        <v>18375.385845896632</v>
      </c>
      <c r="AN568">
        <v>628.83089657418418</v>
      </c>
      <c r="AO568">
        <v>40307.297984547447</v>
      </c>
      <c r="AP568">
        <v>33979.196931989412</v>
      </c>
      <c r="AQ568">
        <v>-6328.101052558035</v>
      </c>
      <c r="AR568">
        <v>2.4389348038611112E-3</v>
      </c>
      <c r="AS568">
        <v>54.178637537694172</v>
      </c>
      <c r="AT568">
        <v>75.767151362588066</v>
      </c>
      <c r="AU568">
        <v>2.5928557975204432</v>
      </c>
      <c r="AV568">
        <v>166.1989126663222</v>
      </c>
      <c r="AW568">
        <v>140.1062801465003</v>
      </c>
      <c r="AX568">
        <v>-26.092632519821901</v>
      </c>
      <c r="AY568">
        <v>0.97764066274307171</v>
      </c>
      <c r="AZ568" t="str">
        <f>VLOOKUP(BA568,Sheet1!$A$1:$B$58,2,FALSE)</f>
        <v>Gamma Butyrolactone</v>
      </c>
      <c r="BA568" t="s">
        <v>128</v>
      </c>
      <c r="BB568" t="s">
        <v>129</v>
      </c>
      <c r="BC568">
        <v>86.08784</v>
      </c>
      <c r="BD568">
        <v>4.5</v>
      </c>
      <c r="BE568">
        <v>204</v>
      </c>
      <c r="BF568" t="s">
        <v>197</v>
      </c>
      <c r="BG568">
        <v>7.2304482361977884</v>
      </c>
      <c r="BH568">
        <v>5.51162790697673E-2</v>
      </c>
      <c r="BI568">
        <v>0.10308239510996101</v>
      </c>
      <c r="BJ568">
        <v>90</v>
      </c>
      <c r="BK568">
        <v>1510.186530310641</v>
      </c>
      <c r="BL568">
        <v>-281.24893566924612</v>
      </c>
      <c r="BM568">
        <v>3.3074074460368368</v>
      </c>
      <c r="BN568">
        <v>562.25926582626232</v>
      </c>
      <c r="BO568">
        <v>947.92726448437827</v>
      </c>
    </row>
    <row r="569" spans="1:67" x14ac:dyDescent="0.25">
      <c r="A569" s="1">
        <v>567</v>
      </c>
      <c r="B569" t="s">
        <v>180</v>
      </c>
      <c r="C569" t="s">
        <v>195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67</v>
      </c>
      <c r="J569">
        <v>1.4</v>
      </c>
      <c r="K569">
        <v>500</v>
      </c>
      <c r="L569">
        <v>100</v>
      </c>
      <c r="N569" t="s">
        <v>179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33236.736859709461</v>
      </c>
      <c r="Z569">
        <v>166183684.2985473</v>
      </c>
      <c r="AA569">
        <v>232657158.01796621</v>
      </c>
      <c r="AB569">
        <v>232657.1580179662</v>
      </c>
      <c r="AC569">
        <v>0</v>
      </c>
      <c r="AD569">
        <v>1722.3725026764901</v>
      </c>
      <c r="AE569">
        <v>3100270.5048176819</v>
      </c>
      <c r="AF569">
        <v>3100270.5048176819</v>
      </c>
      <c r="AG569">
        <v>139.56345119094539</v>
      </c>
      <c r="AH569">
        <v>136.4429049170262</v>
      </c>
      <c r="AI569">
        <v>136.4429049170262</v>
      </c>
      <c r="AJ569">
        <v>7561.3576355839014</v>
      </c>
      <c r="AK569">
        <v>854.70085470085473</v>
      </c>
      <c r="AL569" t="s">
        <v>69</v>
      </c>
      <c r="AM569">
        <v>10574.32513106953</v>
      </c>
      <c r="AN569">
        <v>361.86790354240418</v>
      </c>
      <c r="AO569">
        <v>23195.293835894448</v>
      </c>
      <c r="AP569">
        <v>19352.251524896688</v>
      </c>
      <c r="AQ569">
        <v>-3843.0423109977642</v>
      </c>
      <c r="AR569">
        <v>2.4389348038611112E-3</v>
      </c>
      <c r="AS569">
        <v>54.178637537694158</v>
      </c>
      <c r="AT569">
        <v>75.767151362588066</v>
      </c>
      <c r="AU569">
        <v>2.592855797520444</v>
      </c>
      <c r="AV569">
        <v>166.1989126663222</v>
      </c>
      <c r="AW569">
        <v>138.6627470140422</v>
      </c>
      <c r="AX569">
        <v>-27.536165652279951</v>
      </c>
      <c r="AY569">
        <v>0.97764066274307182</v>
      </c>
      <c r="AZ569" t="str">
        <f>VLOOKUP(BA569,Sheet1!$A$1:$B$58,2,FALSE)</f>
        <v>L-Glutamate</v>
      </c>
      <c r="BA569" t="s">
        <v>130</v>
      </c>
      <c r="BB569" t="s">
        <v>131</v>
      </c>
      <c r="BC569">
        <v>146.11892</v>
      </c>
      <c r="BD569">
        <v>3.4</v>
      </c>
      <c r="BE569">
        <v>333.8</v>
      </c>
      <c r="BF569" t="s">
        <v>197</v>
      </c>
      <c r="BG569">
        <v>3.8316328277878848</v>
      </c>
      <c r="BH569">
        <v>5.6428571428571397E-2</v>
      </c>
      <c r="BI569">
        <v>0.17912999275000699</v>
      </c>
      <c r="BJ569">
        <v>90</v>
      </c>
      <c r="BK569">
        <v>860.1000677731862</v>
      </c>
      <c r="BL569">
        <v>-170.80188048878929</v>
      </c>
      <c r="BM569">
        <v>2.2324962796354999</v>
      </c>
      <c r="BN569">
        <v>379.52436753803499</v>
      </c>
      <c r="BO569">
        <v>480.5757002351512</v>
      </c>
    </row>
    <row r="570" spans="1:67" x14ac:dyDescent="0.25">
      <c r="A570" s="1">
        <v>568</v>
      </c>
      <c r="B570" t="s">
        <v>180</v>
      </c>
      <c r="C570" t="s">
        <v>195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67</v>
      </c>
      <c r="J570">
        <v>1.4</v>
      </c>
      <c r="K570">
        <v>500</v>
      </c>
      <c r="L570">
        <v>100</v>
      </c>
      <c r="N570" t="s">
        <v>179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53328.706010661052</v>
      </c>
      <c r="Z570">
        <v>266643530.05330521</v>
      </c>
      <c r="AA570">
        <v>373300942.07462728</v>
      </c>
      <c r="AB570">
        <v>373300.94207462732</v>
      </c>
      <c r="AC570">
        <v>0</v>
      </c>
      <c r="AD570">
        <v>2763.5654253238858</v>
      </c>
      <c r="AE570">
        <v>4974417.7655829946</v>
      </c>
      <c r="AF570">
        <v>4974417.7655829946</v>
      </c>
      <c r="AG570">
        <v>223.93107632107751</v>
      </c>
      <c r="AH570">
        <v>218.92412586330761</v>
      </c>
      <c r="AI570">
        <v>218.92412586330761</v>
      </c>
      <c r="AJ570">
        <v>12132.280617425389</v>
      </c>
      <c r="AK570">
        <v>854.70085470085473</v>
      </c>
      <c r="AL570" t="s">
        <v>69</v>
      </c>
      <c r="AM570">
        <v>16966.61975440634</v>
      </c>
      <c r="AN570">
        <v>580.6209894840988</v>
      </c>
      <c r="AO570">
        <v>37217.101396762293</v>
      </c>
      <c r="AP570">
        <v>30534.222216016678</v>
      </c>
      <c r="AQ570">
        <v>-6682.8791807456109</v>
      </c>
      <c r="AR570">
        <v>2.4389348038611112E-3</v>
      </c>
      <c r="AS570">
        <v>54.178637537694172</v>
      </c>
      <c r="AT570">
        <v>75.767151362588052</v>
      </c>
      <c r="AU570">
        <v>2.592855797520444</v>
      </c>
      <c r="AV570">
        <v>166.1989126663222</v>
      </c>
      <c r="AW570">
        <v>136.35544792468201</v>
      </c>
      <c r="AX570">
        <v>-29.843464741640162</v>
      </c>
      <c r="AY570">
        <v>0.97764066274307182</v>
      </c>
      <c r="AZ570" t="str">
        <f>VLOOKUP(BA570,Sheet1!$A$1:$B$58,2,FALSE)</f>
        <v>Glutarate</v>
      </c>
      <c r="BA570" t="s">
        <v>132</v>
      </c>
      <c r="BB570" t="s">
        <v>133</v>
      </c>
      <c r="BC570">
        <v>130.09654</v>
      </c>
      <c r="BD570">
        <v>3.6</v>
      </c>
      <c r="BE570">
        <v>200</v>
      </c>
      <c r="BF570" t="s">
        <v>197</v>
      </c>
      <c r="BG570">
        <v>6.8727978099177216</v>
      </c>
      <c r="BH570">
        <v>3.95E-2</v>
      </c>
      <c r="BI570">
        <v>0.11164149438622099</v>
      </c>
      <c r="BJ570">
        <v>90</v>
      </c>
      <c r="BK570">
        <v>1357.076542934074</v>
      </c>
      <c r="BL570">
        <v>-297.01685247758257</v>
      </c>
      <c r="BM570">
        <v>2.8571633395626161</v>
      </c>
      <c r="BN570">
        <v>485.71776772564482</v>
      </c>
      <c r="BO570">
        <v>871.35877520842973</v>
      </c>
    </row>
    <row r="571" spans="1:67" x14ac:dyDescent="0.25">
      <c r="A571" s="1">
        <v>569</v>
      </c>
      <c r="B571" t="s">
        <v>180</v>
      </c>
      <c r="C571" t="s">
        <v>195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67</v>
      </c>
      <c r="J571">
        <v>1.4</v>
      </c>
      <c r="K571">
        <v>500</v>
      </c>
      <c r="L571">
        <v>100</v>
      </c>
      <c r="N571" t="s">
        <v>179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22342.90335158235</v>
      </c>
      <c r="Z571">
        <v>111714516.7579118</v>
      </c>
      <c r="AA571">
        <v>156400323.46107641</v>
      </c>
      <c r="AB571">
        <v>156400.32346107639</v>
      </c>
      <c r="AC571">
        <v>0</v>
      </c>
      <c r="AD571">
        <v>1157.839366877613</v>
      </c>
      <c r="AE571">
        <v>2084110.860379704</v>
      </c>
      <c r="AF571">
        <v>2084110.860379704</v>
      </c>
      <c r="AG571">
        <v>93.81945991071737</v>
      </c>
      <c r="AH571">
        <v>91.721718965310771</v>
      </c>
      <c r="AI571">
        <v>91.721718965310771</v>
      </c>
      <c r="AJ571">
        <v>5083.0105124849852</v>
      </c>
      <c r="AK571">
        <v>854.70085470085473</v>
      </c>
      <c r="AL571" t="s">
        <v>69</v>
      </c>
      <c r="AM571">
        <v>7108.4332198115844</v>
      </c>
      <c r="AN571">
        <v>243.26033054974039</v>
      </c>
      <c r="AO571">
        <v>15592.69222410283</v>
      </c>
      <c r="AP571">
        <v>13289.404917547159</v>
      </c>
      <c r="AQ571">
        <v>-2303.2873065556669</v>
      </c>
      <c r="AR571">
        <v>2.4389348038611112E-3</v>
      </c>
      <c r="AS571">
        <v>54.178637537694158</v>
      </c>
      <c r="AT571">
        <v>75.767151362588038</v>
      </c>
      <c r="AU571">
        <v>2.592855797520444</v>
      </c>
      <c r="AV571">
        <v>166.1989126663222</v>
      </c>
      <c r="AW571">
        <v>141.64870411952839</v>
      </c>
      <c r="AX571">
        <v>-24.55020854679373</v>
      </c>
      <c r="AY571">
        <v>0.9776406627430716</v>
      </c>
      <c r="AZ571" t="str">
        <f>VLOOKUP(BA571,Sheet1!$A$1:$B$58,2,FALSE)</f>
        <v>Glycolate</v>
      </c>
      <c r="BA571" t="s">
        <v>134</v>
      </c>
      <c r="BB571" t="s">
        <v>135</v>
      </c>
      <c r="BC571">
        <v>75.041920000000005</v>
      </c>
      <c r="BD571">
        <v>2.5</v>
      </c>
      <c r="BE571">
        <v>112</v>
      </c>
      <c r="BF571" t="s">
        <v>197</v>
      </c>
      <c r="BG571">
        <v>2.4151766595375759</v>
      </c>
      <c r="BH571">
        <v>0.163448275862069</v>
      </c>
      <c r="BI571">
        <v>0.26646923808547901</v>
      </c>
      <c r="BJ571">
        <v>90</v>
      </c>
      <c r="BK571">
        <v>590.64021855765179</v>
      </c>
      <c r="BL571">
        <v>-102.36832473580731</v>
      </c>
      <c r="BM571">
        <v>1.6613441833651239</v>
      </c>
      <c r="BN571">
        <v>282.42851117207113</v>
      </c>
      <c r="BO571">
        <v>308.21170738558072</v>
      </c>
    </row>
    <row r="572" spans="1:67" x14ac:dyDescent="0.25">
      <c r="A572" s="1">
        <v>570</v>
      </c>
      <c r="B572" t="s">
        <v>180</v>
      </c>
      <c r="C572" t="s">
        <v>195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67</v>
      </c>
      <c r="J572">
        <v>1.4</v>
      </c>
      <c r="K572">
        <v>500</v>
      </c>
      <c r="L572">
        <v>100</v>
      </c>
      <c r="N572" t="s">
        <v>179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113092.1400727602</v>
      </c>
      <c r="Z572">
        <v>565460700.36380124</v>
      </c>
      <c r="AA572">
        <v>791644980.50932169</v>
      </c>
      <c r="AB572">
        <v>791644.98050932167</v>
      </c>
      <c r="AC572">
        <v>0</v>
      </c>
      <c r="AD572">
        <v>5860.5871314126052</v>
      </c>
      <c r="AE572">
        <v>10549056.83654269</v>
      </c>
      <c r="AF572">
        <v>10549056.83654269</v>
      </c>
      <c r="AG572">
        <v>474.8820390444975</v>
      </c>
      <c r="AH572">
        <v>464.26399137624378</v>
      </c>
      <c r="AI572">
        <v>464.26399137624378</v>
      </c>
      <c r="AJ572">
        <v>25728.46186655296</v>
      </c>
      <c r="AK572">
        <v>854.70085470085473</v>
      </c>
      <c r="AL572" t="s">
        <v>69</v>
      </c>
      <c r="AM572">
        <v>35980.459331658887</v>
      </c>
      <c r="AN572">
        <v>1231.300648074855</v>
      </c>
      <c r="AO572">
        <v>78924.878533961441</v>
      </c>
      <c r="AP572">
        <v>63794.922700987547</v>
      </c>
      <c r="AQ572">
        <v>-15129.95583297389</v>
      </c>
      <c r="AR572">
        <v>2.4389348038611112E-3</v>
      </c>
      <c r="AS572">
        <v>54.178637537694158</v>
      </c>
      <c r="AT572">
        <v>75.767151362588066</v>
      </c>
      <c r="AU572">
        <v>2.592855797520444</v>
      </c>
      <c r="AV572">
        <v>166.1989126663222</v>
      </c>
      <c r="AW572">
        <v>134.33846188276209</v>
      </c>
      <c r="AX572">
        <v>-31.860450783560111</v>
      </c>
      <c r="AY572">
        <v>0.97764066274307171</v>
      </c>
      <c r="AZ572" t="str">
        <f>VLOOKUP(BA572,Sheet1!$A$1:$B$58,2,FALSE)</f>
        <v>Heptane</v>
      </c>
      <c r="BA572" t="s">
        <v>136</v>
      </c>
      <c r="BB572" t="s">
        <v>137</v>
      </c>
      <c r="BC572">
        <v>100.20034</v>
      </c>
      <c r="BD572">
        <v>6.2857142857142856</v>
      </c>
      <c r="BE572">
        <v>98</v>
      </c>
      <c r="BF572" t="s">
        <v>197</v>
      </c>
      <c r="BG572">
        <v>15.087301947379901</v>
      </c>
      <c r="BH572">
        <v>2.4183673469387702E-2</v>
      </c>
      <c r="BI572">
        <v>5.26446526600629E-2</v>
      </c>
      <c r="BJ572">
        <v>90</v>
      </c>
      <c r="BK572">
        <v>2835.3298978216699</v>
      </c>
      <c r="BL572">
        <v>-672.44248146550592</v>
      </c>
      <c r="BM572">
        <v>5.5466532248975984</v>
      </c>
      <c r="BN572">
        <v>942.93104823259171</v>
      </c>
      <c r="BO572">
        <v>1892.3988495890781</v>
      </c>
    </row>
    <row r="573" spans="1:67" x14ac:dyDescent="0.25">
      <c r="A573" s="1">
        <v>571</v>
      </c>
      <c r="B573" t="s">
        <v>180</v>
      </c>
      <c r="C573" t="s">
        <v>195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67</v>
      </c>
      <c r="J573">
        <v>1.4</v>
      </c>
      <c r="K573">
        <v>500</v>
      </c>
      <c r="L573">
        <v>100</v>
      </c>
      <c r="N573" t="s">
        <v>179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116068.8278393403</v>
      </c>
      <c r="Z573">
        <v>580344139.19670153</v>
      </c>
      <c r="AA573">
        <v>812481794.87538207</v>
      </c>
      <c r="AB573">
        <v>812481.7948753821</v>
      </c>
      <c r="AC573">
        <v>0</v>
      </c>
      <c r="AD573">
        <v>6014.843103647534</v>
      </c>
      <c r="AE573">
        <v>10826717.58656556</v>
      </c>
      <c r="AF573">
        <v>10826717.58656556</v>
      </c>
      <c r="AG573">
        <v>487.38136530433212</v>
      </c>
      <c r="AH573">
        <v>476.48384098475032</v>
      </c>
      <c r="AI573">
        <v>476.48384098475032</v>
      </c>
      <c r="AJ573">
        <v>26405.658333449919</v>
      </c>
      <c r="AK573">
        <v>854.70085470085473</v>
      </c>
      <c r="AL573" t="s">
        <v>69</v>
      </c>
      <c r="AM573">
        <v>36927.497676318148</v>
      </c>
      <c r="AN573">
        <v>1263.7095986327661</v>
      </c>
      <c r="AO573">
        <v>81002.252967407549</v>
      </c>
      <c r="AP573">
        <v>65451.566463101677</v>
      </c>
      <c r="AQ573">
        <v>-15550.686504305861</v>
      </c>
      <c r="AR573">
        <v>2.4389348038611112E-3</v>
      </c>
      <c r="AS573">
        <v>54.178637537694172</v>
      </c>
      <c r="AT573">
        <v>75.767151362588052</v>
      </c>
      <c r="AU573">
        <v>2.5928557975204432</v>
      </c>
      <c r="AV573">
        <v>166.1989126663222</v>
      </c>
      <c r="AW573">
        <v>134.29230397890211</v>
      </c>
      <c r="AX573">
        <v>-31.906608687420061</v>
      </c>
      <c r="AY573">
        <v>0.97764066274307171</v>
      </c>
      <c r="AZ573" t="str">
        <f>VLOOKUP(BA573,Sheet1!$A$1:$B$58,2,FALSE)</f>
        <v>Hexane</v>
      </c>
      <c r="BA573" t="s">
        <v>138</v>
      </c>
      <c r="BB573" t="s">
        <v>139</v>
      </c>
      <c r="BC573">
        <v>86.173959999999994</v>
      </c>
      <c r="BD573">
        <v>6.333333333333333</v>
      </c>
      <c r="BE573">
        <v>69</v>
      </c>
      <c r="BF573" t="s">
        <v>197</v>
      </c>
      <c r="BG573">
        <v>15.57561184258833</v>
      </c>
      <c r="BH573">
        <v>2.7398843930635901E-2</v>
      </c>
      <c r="BI573">
        <v>5.1294533972158399E-2</v>
      </c>
      <c r="BJ573">
        <v>90</v>
      </c>
      <c r="BK573">
        <v>2908.9585094711861</v>
      </c>
      <c r="BL573">
        <v>-691.14162241359327</v>
      </c>
      <c r="BM573">
        <v>5.6014477567339043</v>
      </c>
      <c r="BN573">
        <v>952.24611864476378</v>
      </c>
      <c r="BO573">
        <v>1956.7123908264221</v>
      </c>
    </row>
    <row r="574" spans="1:67" x14ac:dyDescent="0.25">
      <c r="A574" s="1">
        <v>572</v>
      </c>
      <c r="B574" t="s">
        <v>180</v>
      </c>
      <c r="C574" t="s">
        <v>195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67</v>
      </c>
      <c r="J574">
        <v>1.4</v>
      </c>
      <c r="K574">
        <v>500</v>
      </c>
      <c r="L574">
        <v>100</v>
      </c>
      <c r="N574" t="s">
        <v>179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70481.617141248717</v>
      </c>
      <c r="Z574">
        <v>352408085.70624357</v>
      </c>
      <c r="AA574">
        <v>493371319.98874098</v>
      </c>
      <c r="AB574">
        <v>493371.31998874102</v>
      </c>
      <c r="AC574">
        <v>0</v>
      </c>
      <c r="AD574">
        <v>3652.4523999050598</v>
      </c>
      <c r="AE574">
        <v>6574414.3198291073</v>
      </c>
      <c r="AF574">
        <v>6574414.3198291073</v>
      </c>
      <c r="AG574">
        <v>295.95738520515982</v>
      </c>
      <c r="AH574">
        <v>289.33997421567898</v>
      </c>
      <c r="AI574">
        <v>289.33997421567898</v>
      </c>
      <c r="AJ574">
        <v>16034.567899634079</v>
      </c>
      <c r="AK574">
        <v>854.70085470085473</v>
      </c>
      <c r="AL574" t="s">
        <v>69</v>
      </c>
      <c r="AM574">
        <v>22423.84800171512</v>
      </c>
      <c r="AN574">
        <v>767.37482204818969</v>
      </c>
      <c r="AO574">
        <v>49187.795616665433</v>
      </c>
      <c r="AP574">
        <v>40080.491578098241</v>
      </c>
      <c r="AQ574">
        <v>-9107.3040385671848</v>
      </c>
      <c r="AR574">
        <v>2.4389348038611112E-3</v>
      </c>
      <c r="AS574">
        <v>54.178637537694158</v>
      </c>
      <c r="AT574">
        <v>75.767151362588052</v>
      </c>
      <c r="AU574">
        <v>2.592855797520444</v>
      </c>
      <c r="AV574">
        <v>166.1989126663222</v>
      </c>
      <c r="AW574">
        <v>135.42656335578229</v>
      </c>
      <c r="AX574">
        <v>-30.77234931053988</v>
      </c>
      <c r="AY574">
        <v>0.97764066274307182</v>
      </c>
      <c r="AZ574" t="str">
        <f>VLOOKUP(BA574,Sheet1!$A$1:$B$58,2,FALSE)</f>
        <v>Isobutanol</v>
      </c>
      <c r="BA574" t="s">
        <v>140</v>
      </c>
      <c r="BB574" t="s">
        <v>141</v>
      </c>
      <c r="BC574">
        <v>86.130899999999997</v>
      </c>
      <c r="BD574">
        <v>5.6</v>
      </c>
      <c r="BE574">
        <v>108</v>
      </c>
      <c r="BF574" t="s">
        <v>197</v>
      </c>
      <c r="BG574">
        <v>9.2750112130622178</v>
      </c>
      <c r="BH574">
        <v>4.5142857142857103E-2</v>
      </c>
      <c r="BI574">
        <v>8.4471620745905099E-2</v>
      </c>
      <c r="BJ574">
        <v>90</v>
      </c>
      <c r="BK574">
        <v>1781.3551812488099</v>
      </c>
      <c r="BL574">
        <v>-404.76906838076371</v>
      </c>
      <c r="BM574">
        <v>3.5845431965235139</v>
      </c>
      <c r="BN574">
        <v>609.37234340899738</v>
      </c>
      <c r="BO574">
        <v>1171.9828378398131</v>
      </c>
    </row>
    <row r="575" spans="1:67" x14ac:dyDescent="0.25">
      <c r="A575" s="1">
        <v>573</v>
      </c>
      <c r="B575" t="s">
        <v>180</v>
      </c>
      <c r="C575" t="s">
        <v>195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67</v>
      </c>
      <c r="J575">
        <v>1.4</v>
      </c>
      <c r="K575">
        <v>500</v>
      </c>
      <c r="L575">
        <v>100</v>
      </c>
      <c r="N575" t="s">
        <v>179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58415.971554735443</v>
      </c>
      <c r="Z575">
        <v>292079857.77367717</v>
      </c>
      <c r="AA575">
        <v>408911800.88314807</v>
      </c>
      <c r="AB575">
        <v>408911.8008831481</v>
      </c>
      <c r="AC575">
        <v>0</v>
      </c>
      <c r="AD575">
        <v>3027.1943827607111</v>
      </c>
      <c r="AE575">
        <v>5448949.8889692798</v>
      </c>
      <c r="AF575">
        <v>5448949.8889692798</v>
      </c>
      <c r="AG575">
        <v>245.29287063478111</v>
      </c>
      <c r="AH575">
        <v>239.80828461353801</v>
      </c>
      <c r="AI575">
        <v>239.80828461353801</v>
      </c>
      <c r="AJ575">
        <v>13289.63352870231</v>
      </c>
      <c r="AK575">
        <v>854.70085470085473</v>
      </c>
      <c r="AL575" t="s">
        <v>69</v>
      </c>
      <c r="AM575">
        <v>18585.142057549201</v>
      </c>
      <c r="AN575">
        <v>636.00904171582442</v>
      </c>
      <c r="AO575">
        <v>40767.408384301467</v>
      </c>
      <c r="AP575">
        <v>33365.485482668191</v>
      </c>
      <c r="AQ575">
        <v>-7401.9229016332756</v>
      </c>
      <c r="AR575">
        <v>2.4389348038611112E-3</v>
      </c>
      <c r="AS575">
        <v>54.178637537694172</v>
      </c>
      <c r="AT575">
        <v>75.767151362588066</v>
      </c>
      <c r="AU575">
        <v>2.592855797520444</v>
      </c>
      <c r="AV575">
        <v>166.1989126663222</v>
      </c>
      <c r="AW575">
        <v>136.02305438524701</v>
      </c>
      <c r="AX575">
        <v>-30.17585828107525</v>
      </c>
      <c r="AY575">
        <v>0.97764066274307193</v>
      </c>
      <c r="AZ575" t="str">
        <f>VLOOKUP(BA575,Sheet1!$A$1:$B$58,2,FALSE)</f>
        <v>Isobutyrate</v>
      </c>
      <c r="BA575" t="s">
        <v>142</v>
      </c>
      <c r="BB575" t="s">
        <v>114</v>
      </c>
      <c r="BC575">
        <v>87.095680000000002</v>
      </c>
      <c r="BD575">
        <v>4.75</v>
      </c>
      <c r="BE575">
        <v>155</v>
      </c>
      <c r="BF575" t="s">
        <v>197</v>
      </c>
      <c r="BG575">
        <v>7.3599895096890462</v>
      </c>
      <c r="BH575">
        <v>5.3863636363637002E-2</v>
      </c>
      <c r="BI575">
        <v>0.101918983357746</v>
      </c>
      <c r="BJ575">
        <v>90</v>
      </c>
      <c r="BK575">
        <v>1482.910465896364</v>
      </c>
      <c r="BL575">
        <v>-328.97435118370129</v>
      </c>
      <c r="BM575">
        <v>3.2981564731348638</v>
      </c>
      <c r="BN575">
        <v>560.68660043292698</v>
      </c>
      <c r="BO575">
        <v>922.22386546343682</v>
      </c>
    </row>
    <row r="576" spans="1:67" x14ac:dyDescent="0.25">
      <c r="A576" s="1">
        <v>574</v>
      </c>
      <c r="B576" t="s">
        <v>180</v>
      </c>
      <c r="C576" t="s">
        <v>195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67</v>
      </c>
      <c r="J576">
        <v>1.4</v>
      </c>
      <c r="K576">
        <v>500</v>
      </c>
      <c r="L576">
        <v>100</v>
      </c>
      <c r="N576" t="s">
        <v>179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111190.1464928871</v>
      </c>
      <c r="Z576">
        <v>555950732.4644357</v>
      </c>
      <c r="AA576">
        <v>778331025.45020998</v>
      </c>
      <c r="AB576">
        <v>778331.02545020997</v>
      </c>
      <c r="AC576">
        <v>66773.504273504266</v>
      </c>
      <c r="AD576">
        <v>5762.0232604746061</v>
      </c>
      <c r="AE576">
        <v>10371641.86885429</v>
      </c>
      <c r="AF576">
        <v>10371641.86885429</v>
      </c>
      <c r="AG576">
        <v>466.89543105495397</v>
      </c>
      <c r="AH576">
        <v>456.45595864827732</v>
      </c>
      <c r="AI576">
        <v>456.45595864827732</v>
      </c>
      <c r="AJ576">
        <v>25295.758327131829</v>
      </c>
      <c r="AK576">
        <v>2170.1388888888891</v>
      </c>
      <c r="AL576" t="s">
        <v>107</v>
      </c>
      <c r="AM576">
        <v>35375.336795241477</v>
      </c>
      <c r="AN576">
        <v>1210.5925252466441</v>
      </c>
      <c r="AO576">
        <v>77597.512970207128</v>
      </c>
      <c r="AP576">
        <v>64051.826536508837</v>
      </c>
      <c r="AQ576">
        <v>-13545.68643369828</v>
      </c>
      <c r="AR576">
        <v>2.4389348038611112E-3</v>
      </c>
      <c r="AS576">
        <v>54.178637537694158</v>
      </c>
      <c r="AT576">
        <v>75.767151362588038</v>
      </c>
      <c r="AU576">
        <v>2.5928557975204432</v>
      </c>
      <c r="AV576">
        <v>166.19891266632209</v>
      </c>
      <c r="AW576">
        <v>137.18666381417191</v>
      </c>
      <c r="AX576">
        <v>-29.01224885215024</v>
      </c>
      <c r="AY576">
        <v>0.97764066274307149</v>
      </c>
      <c r="AZ576" t="str">
        <f>VLOOKUP(BA576,Sheet1!$A$1:$B$58,2,FALSE)</f>
        <v>Isoprene</v>
      </c>
      <c r="BA576" t="s">
        <v>143</v>
      </c>
      <c r="BB576" t="s">
        <v>144</v>
      </c>
      <c r="BC576">
        <v>68.116219999999998</v>
      </c>
      <c r="BD576">
        <v>5.6</v>
      </c>
      <c r="BE576">
        <v>34.07</v>
      </c>
      <c r="BF576" t="s">
        <v>197</v>
      </c>
      <c r="BG576">
        <v>14.62588685312069</v>
      </c>
      <c r="BH576">
        <v>3.61832061068703E-2</v>
      </c>
      <c r="BI576">
        <v>5.35451802205738E-2</v>
      </c>
      <c r="BJ576">
        <v>90</v>
      </c>
      <c r="BK576">
        <v>2846.74784606706</v>
      </c>
      <c r="BL576">
        <v>-602.03050816436792</v>
      </c>
      <c r="BM576">
        <v>5.6610446423583021</v>
      </c>
      <c r="BN576">
        <v>962.3775892009113</v>
      </c>
      <c r="BO576">
        <v>1884.370256866149</v>
      </c>
    </row>
    <row r="577" spans="1:67" x14ac:dyDescent="0.25">
      <c r="A577" s="1">
        <v>575</v>
      </c>
      <c r="B577" t="s">
        <v>180</v>
      </c>
      <c r="C577" t="s">
        <v>195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67</v>
      </c>
      <c r="J577">
        <v>1.4</v>
      </c>
      <c r="K577">
        <v>500</v>
      </c>
      <c r="L577">
        <v>100</v>
      </c>
      <c r="N577" t="s">
        <v>179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71194.665547575889</v>
      </c>
      <c r="Z577">
        <v>355973327.73787951</v>
      </c>
      <c r="AA577">
        <v>498362658.83303118</v>
      </c>
      <c r="AB577">
        <v>498362.65883303119</v>
      </c>
      <c r="AC577">
        <v>0</v>
      </c>
      <c r="AD577">
        <v>3689.4035294133241</v>
      </c>
      <c r="AE577">
        <v>6640926.3529439829</v>
      </c>
      <c r="AF577">
        <v>6640926.3529439829</v>
      </c>
      <c r="AG577">
        <v>298.95152680435689</v>
      </c>
      <c r="AH577">
        <v>292.26716879306463</v>
      </c>
      <c r="AI577">
        <v>292.26716879306463</v>
      </c>
      <c r="AJ577">
        <v>16196.78641207351</v>
      </c>
      <c r="AK577">
        <v>854.70085470085473</v>
      </c>
      <c r="AL577" t="s">
        <v>69</v>
      </c>
      <c r="AM577">
        <v>22650.705581462509</v>
      </c>
      <c r="AN577">
        <v>775.13819945226498</v>
      </c>
      <c r="AO577">
        <v>49685.41869482099</v>
      </c>
      <c r="AP577">
        <v>40477.331047689142</v>
      </c>
      <c r="AQ577">
        <v>-9208.0876471318479</v>
      </c>
      <c r="AR577">
        <v>2.4389348038611112E-3</v>
      </c>
      <c r="AS577">
        <v>54.178637537694158</v>
      </c>
      <c r="AT577">
        <v>75.767151362588052</v>
      </c>
      <c r="AU577">
        <v>2.5928557975204432</v>
      </c>
      <c r="AV577">
        <v>166.1989126663222</v>
      </c>
      <c r="AW577">
        <v>135.39763947811761</v>
      </c>
      <c r="AX577">
        <v>-30.801273188204529</v>
      </c>
      <c r="AY577">
        <v>0.97764066274307149</v>
      </c>
      <c r="AZ577" t="str">
        <f>VLOOKUP(BA577,Sheet1!$A$1:$B$58,2,FALSE)</f>
        <v>Isopropanol</v>
      </c>
      <c r="BA577" t="s">
        <v>145</v>
      </c>
      <c r="BB577" t="s">
        <v>79</v>
      </c>
      <c r="BC577">
        <v>60.093820000000001</v>
      </c>
      <c r="BD577">
        <v>6</v>
      </c>
      <c r="BE577">
        <v>82.5</v>
      </c>
      <c r="BF577" t="s">
        <v>197</v>
      </c>
      <c r="BG577">
        <v>9.2363232919305975</v>
      </c>
      <c r="BH577">
        <v>6.4054054054054496E-2</v>
      </c>
      <c r="BI577">
        <v>8.3625597324213596E-2</v>
      </c>
      <c r="BJ577">
        <v>90</v>
      </c>
      <c r="BK577">
        <v>1798.992491008406</v>
      </c>
      <c r="BL577">
        <v>-409.24833987252663</v>
      </c>
      <c r="BM577">
        <v>3.7533286544278268</v>
      </c>
      <c r="BN577">
        <v>638.06587125273063</v>
      </c>
      <c r="BO577">
        <v>1160.926619755676</v>
      </c>
    </row>
    <row r="578" spans="1:67" x14ac:dyDescent="0.25">
      <c r="A578" s="1">
        <v>576</v>
      </c>
      <c r="B578" t="s">
        <v>180</v>
      </c>
      <c r="C578" t="s">
        <v>195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67</v>
      </c>
      <c r="J578">
        <v>1.4</v>
      </c>
      <c r="K578">
        <v>500</v>
      </c>
      <c r="L578">
        <v>100</v>
      </c>
      <c r="N578" t="s">
        <v>179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37917.578740999837</v>
      </c>
      <c r="Z578">
        <v>189587893.70499921</v>
      </c>
      <c r="AA578">
        <v>265423051.18699881</v>
      </c>
      <c r="AB578">
        <v>265423.05118699878</v>
      </c>
      <c r="AC578">
        <v>0</v>
      </c>
      <c r="AD578">
        <v>1964.9400381039591</v>
      </c>
      <c r="AE578">
        <v>3536892.0685871271</v>
      </c>
      <c r="AF578">
        <v>3536892.0685871271</v>
      </c>
      <c r="AG578">
        <v>159.2186432812351</v>
      </c>
      <c r="AH578">
        <v>155.65861993851951</v>
      </c>
      <c r="AI578">
        <v>155.65861993851951</v>
      </c>
      <c r="AJ578">
        <v>8626.2491635774622</v>
      </c>
      <c r="AK578">
        <v>854.70085470085473</v>
      </c>
      <c r="AL578" t="s">
        <v>69</v>
      </c>
      <c r="AM578">
        <v>12063.543045235259</v>
      </c>
      <c r="AN578">
        <v>412.83098230508989</v>
      </c>
      <c r="AO578">
        <v>26461.96538954831</v>
      </c>
      <c r="AP578">
        <v>21957.32404581867</v>
      </c>
      <c r="AQ578">
        <v>-4504.6413437296396</v>
      </c>
      <c r="AR578">
        <v>2.4389348038611112E-3</v>
      </c>
      <c r="AS578">
        <v>54.178637537694158</v>
      </c>
      <c r="AT578">
        <v>75.767151362588066</v>
      </c>
      <c r="AU578">
        <v>2.592855797520444</v>
      </c>
      <c r="AV578">
        <v>166.1989126663222</v>
      </c>
      <c r="AW578">
        <v>137.90674002311681</v>
      </c>
      <c r="AX578">
        <v>-28.29217264320539</v>
      </c>
      <c r="AY578">
        <v>0.97764066274307182</v>
      </c>
      <c r="AZ578" t="str">
        <f>VLOOKUP(BA578,Sheet1!$A$1:$B$58,2,FALSE)</f>
        <v>Itaconate</v>
      </c>
      <c r="BA578" t="s">
        <v>146</v>
      </c>
      <c r="BB578" t="s">
        <v>147</v>
      </c>
      <c r="BC578">
        <v>128.08086</v>
      </c>
      <c r="BD578">
        <v>3.2</v>
      </c>
      <c r="BE578">
        <v>381</v>
      </c>
      <c r="BF578" t="s">
        <v>197</v>
      </c>
      <c r="BG578">
        <v>4.371254617067021</v>
      </c>
      <c r="BH578">
        <v>5.6428571428571099E-2</v>
      </c>
      <c r="BI578">
        <v>0.157016788265438</v>
      </c>
      <c r="BJ578">
        <v>90</v>
      </c>
      <c r="BK578">
        <v>975.88106870305194</v>
      </c>
      <c r="BL578">
        <v>-200.20628194353949</v>
      </c>
      <c r="BM578">
        <v>2.5469062690894</v>
      </c>
      <c r="BN578">
        <v>432.97406574519789</v>
      </c>
      <c r="BO578">
        <v>542.90700295785405</v>
      </c>
    </row>
    <row r="579" spans="1:67" x14ac:dyDescent="0.25">
      <c r="A579" s="1">
        <v>577</v>
      </c>
      <c r="B579" t="s">
        <v>180</v>
      </c>
      <c r="C579" t="s">
        <v>195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67</v>
      </c>
      <c r="J579">
        <v>1.4</v>
      </c>
      <c r="K579">
        <v>500</v>
      </c>
      <c r="L579">
        <v>100</v>
      </c>
      <c r="N579" t="s">
        <v>179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110765.7566207777</v>
      </c>
      <c r="Z579">
        <v>553828783.10388827</v>
      </c>
      <c r="AA579">
        <v>775360296.34544349</v>
      </c>
      <c r="AB579">
        <v>775360.29634544346</v>
      </c>
      <c r="AC579">
        <v>0</v>
      </c>
      <c r="AD579">
        <v>5740.0308052819946</v>
      </c>
      <c r="AE579">
        <v>10332055.44950759</v>
      </c>
      <c r="AF579">
        <v>10332055.44950759</v>
      </c>
      <c r="AG579">
        <v>465.11338742497639</v>
      </c>
      <c r="AH579">
        <v>454.71376033282911</v>
      </c>
      <c r="AI579">
        <v>454.71376033282911</v>
      </c>
      <c r="AJ579">
        <v>25199.20963122691</v>
      </c>
      <c r="AK579">
        <v>854.70085470085473</v>
      </c>
      <c r="AL579" t="s">
        <v>69</v>
      </c>
      <c r="AM579">
        <v>35240.316425794248</v>
      </c>
      <c r="AN579">
        <v>1205.9719430892219</v>
      </c>
      <c r="AO579">
        <v>77301.339256580934</v>
      </c>
      <c r="AP579">
        <v>62500.198854811228</v>
      </c>
      <c r="AQ579">
        <v>-14801.1404017697</v>
      </c>
      <c r="AR579">
        <v>2.4389348038611112E-3</v>
      </c>
      <c r="AS579">
        <v>54.178637537694158</v>
      </c>
      <c r="AT579">
        <v>75.767151362588052</v>
      </c>
      <c r="AU579">
        <v>2.592855797520444</v>
      </c>
      <c r="AV579">
        <v>166.1989126663222</v>
      </c>
      <c r="AW579">
        <v>134.37626295994889</v>
      </c>
      <c r="AX579">
        <v>-31.82264970637323</v>
      </c>
      <c r="AY579">
        <v>0.97764066274307182</v>
      </c>
      <c r="AZ579" t="str">
        <f>VLOOKUP(BA579,Sheet1!$A$1:$B$58,2,FALSE)</f>
        <v>Limonene</v>
      </c>
      <c r="BA579" t="s">
        <v>148</v>
      </c>
      <c r="BB579" t="s">
        <v>149</v>
      </c>
      <c r="BC579">
        <v>136.23244</v>
      </c>
      <c r="BD579">
        <v>5.6</v>
      </c>
      <c r="BE579">
        <v>176</v>
      </c>
      <c r="BF579" t="s">
        <v>197</v>
      </c>
      <c r="BG579">
        <v>14.557732673935689</v>
      </c>
      <c r="BH579">
        <v>1.8160919540229799E-2</v>
      </c>
      <c r="BI579">
        <v>5.3750334167778697E-2</v>
      </c>
      <c r="BJ579">
        <v>90</v>
      </c>
      <c r="BK579">
        <v>2777.7866157693879</v>
      </c>
      <c r="BL579">
        <v>-657.82846230087478</v>
      </c>
      <c r="BM579">
        <v>5.651767785301157</v>
      </c>
      <c r="BN579">
        <v>960.80052350119672</v>
      </c>
      <c r="BO579">
        <v>1816.9860922681919</v>
      </c>
    </row>
    <row r="580" spans="1:67" x14ac:dyDescent="0.25">
      <c r="A580" s="1">
        <v>578</v>
      </c>
      <c r="B580" t="s">
        <v>180</v>
      </c>
      <c r="C580" t="s">
        <v>195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67</v>
      </c>
      <c r="J580">
        <v>1.4</v>
      </c>
      <c r="K580">
        <v>500</v>
      </c>
      <c r="L580">
        <v>100</v>
      </c>
      <c r="N580" t="s">
        <v>179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54204.692573188069</v>
      </c>
      <c r="Z580">
        <v>271023462.86594027</v>
      </c>
      <c r="AA580">
        <v>379432848.01231652</v>
      </c>
      <c r="AB580">
        <v>379432.84801231639</v>
      </c>
      <c r="AC580">
        <v>0</v>
      </c>
      <c r="AD580">
        <v>2808.9602297049269</v>
      </c>
      <c r="AE580">
        <v>5056128.4134688675</v>
      </c>
      <c r="AF580">
        <v>5056128.4134688675</v>
      </c>
      <c r="AG580">
        <v>227.60940697005779</v>
      </c>
      <c r="AH580">
        <v>222.5202114767649</v>
      </c>
      <c r="AI580">
        <v>222.5202114767649</v>
      </c>
      <c r="AJ580">
        <v>12331.567560400281</v>
      </c>
      <c r="AK580">
        <v>854.70085470085473</v>
      </c>
      <c r="AL580" t="s">
        <v>69</v>
      </c>
      <c r="AM580">
        <v>17245.316389449279</v>
      </c>
      <c r="AN580">
        <v>590.15837043250463</v>
      </c>
      <c r="AO580">
        <v>37828.435951050044</v>
      </c>
      <c r="AP580">
        <v>31021.74317498293</v>
      </c>
      <c r="AQ580">
        <v>-6806.6927760671097</v>
      </c>
      <c r="AR580">
        <v>2.4389348038611112E-3</v>
      </c>
      <c r="AS580">
        <v>54.178637537694158</v>
      </c>
      <c r="AT580">
        <v>75.767151362588066</v>
      </c>
      <c r="AU580">
        <v>2.592855797520444</v>
      </c>
      <c r="AV580">
        <v>166.1989126663222</v>
      </c>
      <c r="AW580">
        <v>136.29376565733881</v>
      </c>
      <c r="AX580">
        <v>-29.905147008983391</v>
      </c>
      <c r="AY580">
        <v>0.97764066274307182</v>
      </c>
      <c r="AZ580" t="str">
        <f>VLOOKUP(BA580,Sheet1!$A$1:$B$58,2,FALSE)</f>
        <v>L-Lysine</v>
      </c>
      <c r="BA580" t="s">
        <v>150</v>
      </c>
      <c r="BB580" t="s">
        <v>151</v>
      </c>
      <c r="BC580">
        <v>147.19319999999999</v>
      </c>
      <c r="BD580">
        <v>4.833333333333333</v>
      </c>
      <c r="BF580" t="s">
        <v>197</v>
      </c>
      <c r="BG580">
        <v>6.910942879619105</v>
      </c>
      <c r="BH580">
        <v>3.43478260869566E-2</v>
      </c>
      <c r="BI580">
        <v>0.109837288066432</v>
      </c>
      <c r="BJ580">
        <v>90</v>
      </c>
      <c r="BK580">
        <v>1378.744141110353</v>
      </c>
      <c r="BL580">
        <v>-302.51967893631598</v>
      </c>
      <c r="BM580">
        <v>2.978844297126003</v>
      </c>
      <c r="BN580">
        <v>506.4035305114204</v>
      </c>
      <c r="BO580">
        <v>872.34061059893213</v>
      </c>
    </row>
    <row r="581" spans="1:67" x14ac:dyDescent="0.25">
      <c r="A581" s="1">
        <v>579</v>
      </c>
      <c r="B581" t="s">
        <v>180</v>
      </c>
      <c r="C581" t="s">
        <v>195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67</v>
      </c>
      <c r="J581">
        <v>1.4</v>
      </c>
      <c r="K581">
        <v>500</v>
      </c>
      <c r="L581">
        <v>100</v>
      </c>
      <c r="N581" t="s">
        <v>179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26266.087157153921</v>
      </c>
      <c r="Z581">
        <v>131330435.7857696</v>
      </c>
      <c r="AA581">
        <v>183862610.10007751</v>
      </c>
      <c r="AB581">
        <v>183862.61010007749</v>
      </c>
      <c r="AC581">
        <v>0</v>
      </c>
      <c r="AD581">
        <v>1361.1440396011701</v>
      </c>
      <c r="AE581">
        <v>2450059.2712821048</v>
      </c>
      <c r="AF581">
        <v>2450059.2712821048</v>
      </c>
      <c r="AG581">
        <v>110.2931911880417</v>
      </c>
      <c r="AH581">
        <v>107.8271085291255</v>
      </c>
      <c r="AI581">
        <v>107.8271085291255</v>
      </c>
      <c r="AJ581">
        <v>5975.5348282525192</v>
      </c>
      <c r="AK581">
        <v>854.70085470085473</v>
      </c>
      <c r="AL581" t="s">
        <v>69</v>
      </c>
      <c r="AM581">
        <v>8356.6009110072227</v>
      </c>
      <c r="AN581">
        <v>285.97434019894467</v>
      </c>
      <c r="AO581">
        <v>18330.608449951331</v>
      </c>
      <c r="AP581">
        <v>15472.810934159539</v>
      </c>
      <c r="AQ581">
        <v>-2857.797515791784</v>
      </c>
      <c r="AR581">
        <v>2.438934803861112E-3</v>
      </c>
      <c r="AS581">
        <v>54.178637537694179</v>
      </c>
      <c r="AT581">
        <v>75.767151362588066</v>
      </c>
      <c r="AU581">
        <v>2.5928557975204432</v>
      </c>
      <c r="AV581">
        <v>166.1989126663222</v>
      </c>
      <c r="AW581">
        <v>140.2879975408413</v>
      </c>
      <c r="AX581">
        <v>-25.910915125480869</v>
      </c>
      <c r="AY581">
        <v>0.97764066274307171</v>
      </c>
      <c r="AZ581" t="str">
        <f>VLOOKUP(BA581,Sheet1!$A$1:$B$58,2,FALSE)</f>
        <v>L-Malate</v>
      </c>
      <c r="BA581" t="s">
        <v>152</v>
      </c>
      <c r="BB581" t="s">
        <v>153</v>
      </c>
      <c r="BC581">
        <v>132.06916000000001</v>
      </c>
      <c r="BD581">
        <v>2.5</v>
      </c>
      <c r="BF581" t="s">
        <v>197</v>
      </c>
      <c r="BG581">
        <v>2.8852201951987628</v>
      </c>
      <c r="BH581">
        <v>7.9000000000000001E-2</v>
      </c>
      <c r="BI581">
        <v>0.22666857065887999</v>
      </c>
      <c r="BJ581">
        <v>90</v>
      </c>
      <c r="BK581">
        <v>687.68048596264634</v>
      </c>
      <c r="BL581">
        <v>-127.0132229240793</v>
      </c>
      <c r="BM581">
        <v>1.907095739429034</v>
      </c>
      <c r="BN581">
        <v>324.20627570293573</v>
      </c>
      <c r="BO581">
        <v>363.47421025971062</v>
      </c>
    </row>
    <row r="582" spans="1:67" x14ac:dyDescent="0.25">
      <c r="A582" s="1">
        <v>580</v>
      </c>
      <c r="B582" t="s">
        <v>180</v>
      </c>
      <c r="C582" t="s">
        <v>195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67</v>
      </c>
      <c r="J582">
        <v>1.4</v>
      </c>
      <c r="K582">
        <v>500</v>
      </c>
      <c r="L582">
        <v>100</v>
      </c>
      <c r="N582" t="s">
        <v>179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22663.083546637889</v>
      </c>
      <c r="Z582">
        <v>113315417.7331894</v>
      </c>
      <c r="AA582">
        <v>158641584.82646519</v>
      </c>
      <c r="AB582">
        <v>158641.5848264652</v>
      </c>
      <c r="AC582">
        <v>0</v>
      </c>
      <c r="AD582">
        <v>1174.4315361448</v>
      </c>
      <c r="AE582">
        <v>2113976.7650606409</v>
      </c>
      <c r="AF582">
        <v>2113976.7650606409</v>
      </c>
      <c r="AG582">
        <v>95.16391960342294</v>
      </c>
      <c r="AH582">
        <v>93.036117430318797</v>
      </c>
      <c r="AI582">
        <v>93.036117430318797</v>
      </c>
      <c r="AJ582">
        <v>5155.85150686012</v>
      </c>
      <c r="AK582">
        <v>854.70085470085473</v>
      </c>
      <c r="AL582" t="s">
        <v>69</v>
      </c>
      <c r="AM582">
        <v>7210.2991008497074</v>
      </c>
      <c r="AN582">
        <v>246.74632065850449</v>
      </c>
      <c r="AO582">
        <v>15816.139963154201</v>
      </c>
      <c r="AP582">
        <v>13467.59778306919</v>
      </c>
      <c r="AQ582">
        <v>-2348.5421800850072</v>
      </c>
      <c r="AR582">
        <v>2.4389348038611112E-3</v>
      </c>
      <c r="AS582">
        <v>54.178637537694172</v>
      </c>
      <c r="AT582">
        <v>75.767151362588052</v>
      </c>
      <c r="AU582">
        <v>2.592855797520444</v>
      </c>
      <c r="AV582">
        <v>166.1989126663222</v>
      </c>
      <c r="AW582">
        <v>141.5199987473485</v>
      </c>
      <c r="AX582">
        <v>-24.678913918973681</v>
      </c>
      <c r="AY582">
        <v>0.97764066274307171</v>
      </c>
      <c r="AZ582" t="str">
        <f>VLOOKUP(BA582,Sheet1!$A$1:$B$58,2,FALSE)</f>
        <v>Malonate</v>
      </c>
      <c r="BA582" t="s">
        <v>154</v>
      </c>
      <c r="BB582" t="s">
        <v>155</v>
      </c>
      <c r="BC582">
        <v>102.04378</v>
      </c>
      <c r="BD582">
        <v>2</v>
      </c>
      <c r="BE582">
        <v>199</v>
      </c>
      <c r="BF582" t="s">
        <v>197</v>
      </c>
      <c r="BG582">
        <v>2.345683441590376</v>
      </c>
      <c r="BH582">
        <v>0.11849999999999999</v>
      </c>
      <c r="BI582">
        <v>0.26270460594921502</v>
      </c>
      <c r="BJ582">
        <v>90</v>
      </c>
      <c r="BK582">
        <v>598.55990146974159</v>
      </c>
      <c r="BL582">
        <v>-104.3796524482225</v>
      </c>
      <c r="BM582">
        <v>1.789255110868238</v>
      </c>
      <c r="BN582">
        <v>304.17336884760039</v>
      </c>
      <c r="BO582">
        <v>294.3865326221412</v>
      </c>
    </row>
    <row r="583" spans="1:67" x14ac:dyDescent="0.25">
      <c r="A583" s="1">
        <v>581</v>
      </c>
      <c r="B583" t="s">
        <v>180</v>
      </c>
      <c r="C583" t="s">
        <v>195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67</v>
      </c>
      <c r="J583">
        <v>1.4</v>
      </c>
      <c r="K583">
        <v>500</v>
      </c>
      <c r="L583">
        <v>100</v>
      </c>
      <c r="N583" t="s">
        <v>179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112247.5891766237</v>
      </c>
      <c r="Z583">
        <v>561237945.88311839</v>
      </c>
      <c r="AA583">
        <v>785733124.23636568</v>
      </c>
      <c r="AB583">
        <v>785733.12423636566</v>
      </c>
      <c r="AC583">
        <v>0</v>
      </c>
      <c r="AD583">
        <v>5816.8213656349253</v>
      </c>
      <c r="AE583">
        <v>10470278.458142869</v>
      </c>
      <c r="AF583">
        <v>10470278.458142869</v>
      </c>
      <c r="AG583">
        <v>471.33570902212659</v>
      </c>
      <c r="AH583">
        <v>460.79695494286761</v>
      </c>
      <c r="AI583">
        <v>460.79695494286761</v>
      </c>
      <c r="AJ583">
        <v>25536.326537681889</v>
      </c>
      <c r="AK583">
        <v>854.70085470085473</v>
      </c>
      <c r="AL583" t="s">
        <v>69</v>
      </c>
      <c r="AM583">
        <v>35711.764008072227</v>
      </c>
      <c r="AN583">
        <v>1222.1055257164301</v>
      </c>
      <c r="AO583">
        <v>78335.48234028749</v>
      </c>
      <c r="AP583">
        <v>63324.896926171401</v>
      </c>
      <c r="AQ583">
        <v>-15010.585414116091</v>
      </c>
      <c r="AR583">
        <v>2.4389348038611112E-3</v>
      </c>
      <c r="AS583">
        <v>54.178637537694172</v>
      </c>
      <c r="AT583">
        <v>75.767151362588066</v>
      </c>
      <c r="AU583">
        <v>2.5928557975204432</v>
      </c>
      <c r="AV583">
        <v>166.1989126663222</v>
      </c>
      <c r="AW583">
        <v>134.3520037078257</v>
      </c>
      <c r="AX583">
        <v>-31.846908958496559</v>
      </c>
      <c r="AY583">
        <v>0.97764066274307193</v>
      </c>
      <c r="AZ583" t="str">
        <f>VLOOKUP(BA583,Sheet1!$A$1:$B$58,2,FALSE)</f>
        <v>Nonane</v>
      </c>
      <c r="BA583" t="s">
        <v>156</v>
      </c>
      <c r="BB583" t="s">
        <v>157</v>
      </c>
      <c r="BC583">
        <v>128.25309999999999</v>
      </c>
      <c r="BD583">
        <v>6.2222222222222223</v>
      </c>
      <c r="BE583">
        <v>151</v>
      </c>
      <c r="BF583" t="s">
        <v>197</v>
      </c>
      <c r="BG583">
        <v>14.93786677685778</v>
      </c>
      <c r="BH583">
        <v>1.9036144578313E-2</v>
      </c>
      <c r="BI583">
        <v>5.30407510431729E-2</v>
      </c>
      <c r="BJ583">
        <v>90</v>
      </c>
      <c r="BK583">
        <v>2814.4398633853948</v>
      </c>
      <c r="BL583">
        <v>-667.13712951627065</v>
      </c>
      <c r="BM583">
        <v>5.5419978872696642</v>
      </c>
      <c r="BN583">
        <v>942.1396408358429</v>
      </c>
      <c r="BO583">
        <v>1872.300222549552</v>
      </c>
    </row>
    <row r="584" spans="1:67" x14ac:dyDescent="0.25">
      <c r="A584" s="1">
        <v>582</v>
      </c>
      <c r="B584" t="s">
        <v>180</v>
      </c>
      <c r="C584" t="s">
        <v>195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67</v>
      </c>
      <c r="J584">
        <v>1.4</v>
      </c>
      <c r="K584">
        <v>500</v>
      </c>
      <c r="L584">
        <v>100</v>
      </c>
      <c r="N584" t="s">
        <v>179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114389.53092835211</v>
      </c>
      <c r="Z584">
        <v>571947654.64176047</v>
      </c>
      <c r="AA584">
        <v>800726716.49846458</v>
      </c>
      <c r="AB584">
        <v>800726.71649846458</v>
      </c>
      <c r="AC584">
        <v>0</v>
      </c>
      <c r="AD584">
        <v>5927.8196742560076</v>
      </c>
      <c r="AE584">
        <v>10670075.413660809</v>
      </c>
      <c r="AF584">
        <v>10670075.413660809</v>
      </c>
      <c r="AG584">
        <v>480.32987666207862</v>
      </c>
      <c r="AH584">
        <v>469.59001895521249</v>
      </c>
      <c r="AI584">
        <v>469.59001895521249</v>
      </c>
      <c r="AJ584">
        <v>26023.618286200101</v>
      </c>
      <c r="AK584">
        <v>854.70085470085473</v>
      </c>
      <c r="AL584" t="s">
        <v>69</v>
      </c>
      <c r="AM584">
        <v>36393.226469028967</v>
      </c>
      <c r="AN584">
        <v>1245.4261054255501</v>
      </c>
      <c r="AO584">
        <v>79830.303222386123</v>
      </c>
      <c r="AP584">
        <v>64516.971715355467</v>
      </c>
      <c r="AQ584">
        <v>-15313.33150703066</v>
      </c>
      <c r="AR584">
        <v>2.4389348038611112E-3</v>
      </c>
      <c r="AS584">
        <v>54.178637537694172</v>
      </c>
      <c r="AT584">
        <v>75.767151362588066</v>
      </c>
      <c r="AU584">
        <v>2.592855797520444</v>
      </c>
      <c r="AV584">
        <v>166.1989126663222</v>
      </c>
      <c r="AW584">
        <v>134.31804859547469</v>
      </c>
      <c r="AX584">
        <v>-31.88086407084748</v>
      </c>
      <c r="AY584">
        <v>0.97764066274307193</v>
      </c>
      <c r="AZ584" t="str">
        <f>VLOOKUP(BA584,Sheet1!$A$1:$B$58,2,FALSE)</f>
        <v>Octane</v>
      </c>
      <c r="BA584" t="s">
        <v>158</v>
      </c>
      <c r="BB584" t="s">
        <v>159</v>
      </c>
      <c r="BC584">
        <v>114.22672</v>
      </c>
      <c r="BD584">
        <v>6.25</v>
      </c>
      <c r="BE584">
        <v>126</v>
      </c>
      <c r="BF584" t="s">
        <v>197</v>
      </c>
      <c r="BG584">
        <v>15.287903641175999</v>
      </c>
      <c r="BH584">
        <v>2.0973451327433699E-2</v>
      </c>
      <c r="BI584">
        <v>5.2047564006908499E-2</v>
      </c>
      <c r="BJ584">
        <v>90</v>
      </c>
      <c r="BK584">
        <v>2867.4209651269089</v>
      </c>
      <c r="BL584">
        <v>-680.59251142358494</v>
      </c>
      <c r="BM584">
        <v>5.5827638679445588</v>
      </c>
      <c r="BN584">
        <v>949.06985755057497</v>
      </c>
      <c r="BO584">
        <v>1918.351107576334</v>
      </c>
    </row>
    <row r="585" spans="1:67" x14ac:dyDescent="0.25">
      <c r="A585" s="1">
        <v>583</v>
      </c>
      <c r="B585" t="s">
        <v>180</v>
      </c>
      <c r="C585" t="s">
        <v>195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67</v>
      </c>
      <c r="J585">
        <v>1.4</v>
      </c>
      <c r="K585">
        <v>500</v>
      </c>
      <c r="L585">
        <v>100</v>
      </c>
      <c r="N585" t="s">
        <v>179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115394.8082748865</v>
      </c>
      <c r="Z585">
        <v>576974041.37443256</v>
      </c>
      <c r="AA585">
        <v>807763657.92420554</v>
      </c>
      <c r="AB585">
        <v>807763.65792420553</v>
      </c>
      <c r="AC585">
        <v>66773.504273504266</v>
      </c>
      <c r="AD585">
        <v>5979.9145013307261</v>
      </c>
      <c r="AE585">
        <v>10763846.102395309</v>
      </c>
      <c r="AF585">
        <v>10763846.102395309</v>
      </c>
      <c r="AG585">
        <v>484.55110862232237</v>
      </c>
      <c r="AH585">
        <v>473.71686696641751</v>
      </c>
      <c r="AI585">
        <v>473.71686696641751</v>
      </c>
      <c r="AJ585">
        <v>26252.318882536681</v>
      </c>
      <c r="AK585">
        <v>2170.1388888888891</v>
      </c>
      <c r="AL585" t="s">
        <v>107</v>
      </c>
      <c r="AM585">
        <v>36713.05718989735</v>
      </c>
      <c r="AN585">
        <v>1256.3711511863471</v>
      </c>
      <c r="AO585">
        <v>80531.867384290963</v>
      </c>
      <c r="AP585">
        <v>66391.886112509266</v>
      </c>
      <c r="AQ585">
        <v>-14139.9812717817</v>
      </c>
      <c r="AR585">
        <v>2.4389348038611112E-3</v>
      </c>
      <c r="AS585">
        <v>54.178637537694158</v>
      </c>
      <c r="AT585">
        <v>75.767151362588052</v>
      </c>
      <c r="AU585">
        <v>2.592855797520444</v>
      </c>
      <c r="AV585">
        <v>166.1989126663222</v>
      </c>
      <c r="AW585">
        <v>137.0173030896058</v>
      </c>
      <c r="AX585">
        <v>-29.181609576716369</v>
      </c>
      <c r="AY585">
        <v>0.97764066274307171</v>
      </c>
      <c r="AZ585" t="str">
        <f>VLOOKUP(BA585,Sheet1!$A$1:$B$58,2,FALSE)</f>
        <v>Pentane</v>
      </c>
      <c r="BA585" t="s">
        <v>160</v>
      </c>
      <c r="BB585" t="s">
        <v>161</v>
      </c>
      <c r="BC585">
        <v>72.147580000000005</v>
      </c>
      <c r="BD585">
        <v>6.4</v>
      </c>
      <c r="BE585">
        <v>36.1</v>
      </c>
      <c r="BF585" t="s">
        <v>197</v>
      </c>
      <c r="BG585">
        <v>15.481637197364719</v>
      </c>
      <c r="BH585">
        <v>3.2916666666666698E-2</v>
      </c>
      <c r="BI585">
        <v>5.1594144673572401E-2</v>
      </c>
      <c r="BJ585">
        <v>90</v>
      </c>
      <c r="BK585">
        <v>2950.7504938892998</v>
      </c>
      <c r="BL585">
        <v>-628.44361207918655</v>
      </c>
      <c r="BM585">
        <v>5.5724457789204944</v>
      </c>
      <c r="BN585">
        <v>947.31578241648401</v>
      </c>
      <c r="BO585">
        <v>2003.4347114728159</v>
      </c>
    </row>
    <row r="586" spans="1:67" x14ac:dyDescent="0.25">
      <c r="A586" s="1">
        <v>584</v>
      </c>
      <c r="B586" t="s">
        <v>180</v>
      </c>
      <c r="C586" t="s">
        <v>195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67</v>
      </c>
      <c r="J586">
        <v>1.4</v>
      </c>
      <c r="K586">
        <v>500</v>
      </c>
      <c r="L586">
        <v>100</v>
      </c>
      <c r="N586" t="s">
        <v>179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91170.614023285932</v>
      </c>
      <c r="Z586">
        <v>455853070.11642963</v>
      </c>
      <c r="AA586">
        <v>638194298.16300142</v>
      </c>
      <c r="AB586">
        <v>638194.29816300143</v>
      </c>
      <c r="AC586">
        <v>0</v>
      </c>
      <c r="AD586">
        <v>4724.5841042895927</v>
      </c>
      <c r="AE586">
        <v>8504251.3877212666</v>
      </c>
      <c r="AF586">
        <v>8504251.3877212666</v>
      </c>
      <c r="AG586">
        <v>382.83197276540989</v>
      </c>
      <c r="AH586">
        <v>374.27210357361292</v>
      </c>
      <c r="AI586">
        <v>374.27210357361292</v>
      </c>
      <c r="AJ586">
        <v>20741.31469029755</v>
      </c>
      <c r="AK586">
        <v>854.70085470085473</v>
      </c>
      <c r="AL586" t="s">
        <v>69</v>
      </c>
      <c r="AM586">
        <v>29006.088026955</v>
      </c>
      <c r="AN586">
        <v>992.62810006098175</v>
      </c>
      <c r="AO586">
        <v>63626.257607514199</v>
      </c>
      <c r="AP586">
        <v>51594.731672014379</v>
      </c>
      <c r="AQ586">
        <v>-12031.52593549982</v>
      </c>
      <c r="AR586">
        <v>2.4389348038611112E-3</v>
      </c>
      <c r="AS586">
        <v>54.178637537694158</v>
      </c>
      <c r="AT586">
        <v>75.767151362588052</v>
      </c>
      <c r="AU586">
        <v>2.592855797520444</v>
      </c>
      <c r="AV586">
        <v>166.1989126663222</v>
      </c>
      <c r="AW586">
        <v>134.77121907900411</v>
      </c>
      <c r="AX586">
        <v>-31.427693587318121</v>
      </c>
      <c r="AY586">
        <v>0.97764066274307182</v>
      </c>
      <c r="AZ586" t="str">
        <f>VLOOKUP(BA586,Sheet1!$A$1:$B$58,2,FALSE)</f>
        <v>Pentanol (PW1)</v>
      </c>
      <c r="BA586" t="s">
        <v>162</v>
      </c>
      <c r="BB586" t="s">
        <v>83</v>
      </c>
      <c r="BC586">
        <v>88.14658</v>
      </c>
      <c r="BD586">
        <v>6</v>
      </c>
      <c r="BE586">
        <v>138</v>
      </c>
      <c r="BF586" t="s">
        <v>197</v>
      </c>
      <c r="BG586">
        <v>12.14498177461831</v>
      </c>
      <c r="BH586">
        <v>3.4100719424460503E-2</v>
      </c>
      <c r="BI586">
        <v>6.5302800650141601E-2</v>
      </c>
      <c r="BJ586">
        <v>90</v>
      </c>
      <c r="BK586">
        <v>2293.099185422861</v>
      </c>
      <c r="BL586">
        <v>-534.73448602221401</v>
      </c>
      <c r="BM586">
        <v>4.4893339397644896</v>
      </c>
      <c r="BN586">
        <v>763.18676975996334</v>
      </c>
      <c r="BO586">
        <v>1529.912415662898</v>
      </c>
    </row>
    <row r="587" spans="1:67" x14ac:dyDescent="0.25">
      <c r="A587" s="1">
        <v>585</v>
      </c>
      <c r="B587" t="s">
        <v>180</v>
      </c>
      <c r="C587" t="s">
        <v>195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67</v>
      </c>
      <c r="J587">
        <v>1.4</v>
      </c>
      <c r="K587">
        <v>500</v>
      </c>
      <c r="L587">
        <v>100</v>
      </c>
      <c r="N587" t="s">
        <v>179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93794.228815321709</v>
      </c>
      <c r="Z587">
        <v>468971144.07660848</v>
      </c>
      <c r="AA587">
        <v>656559601.70725191</v>
      </c>
      <c r="AB587">
        <v>656559.60170725186</v>
      </c>
      <c r="AC587">
        <v>0</v>
      </c>
      <c r="AD587">
        <v>4860.5433590892299</v>
      </c>
      <c r="AE587">
        <v>8748978.0463606138</v>
      </c>
      <c r="AF587">
        <v>8748978.0463606138</v>
      </c>
      <c r="AG587">
        <v>393.84872018311438</v>
      </c>
      <c r="AH587">
        <v>385.04252382033059</v>
      </c>
      <c r="AI587">
        <v>385.04252382033059</v>
      </c>
      <c r="AJ587">
        <v>21338.187055485691</v>
      </c>
      <c r="AK587">
        <v>854.70085470085473</v>
      </c>
      <c r="AL587" t="s">
        <v>69</v>
      </c>
      <c r="AM587">
        <v>29840.79559607563</v>
      </c>
      <c r="AN587">
        <v>1021.1929374727951</v>
      </c>
      <c r="AO587">
        <v>65457.229049456211</v>
      </c>
      <c r="AP587">
        <v>53054.876443734953</v>
      </c>
      <c r="AQ587">
        <v>-12402.35260572126</v>
      </c>
      <c r="AR587">
        <v>2.4389348038611112E-3</v>
      </c>
      <c r="AS587">
        <v>54.178637537694158</v>
      </c>
      <c r="AT587">
        <v>75.767151362588066</v>
      </c>
      <c r="AU587">
        <v>2.5928557975204432</v>
      </c>
      <c r="AV587">
        <v>166.1989126663222</v>
      </c>
      <c r="AW587">
        <v>134.7087694459635</v>
      </c>
      <c r="AX587">
        <v>-31.490143220358728</v>
      </c>
      <c r="AY587">
        <v>0.97764066274307182</v>
      </c>
      <c r="AZ587" t="str">
        <f>VLOOKUP(BA587,Sheet1!$A$1:$B$58,2,FALSE)</f>
        <v>Pentanol (PW2)</v>
      </c>
      <c r="BA587" t="s">
        <v>163</v>
      </c>
      <c r="BB587" t="s">
        <v>83</v>
      </c>
      <c r="BC587">
        <v>88.14658</v>
      </c>
      <c r="BD587">
        <v>6</v>
      </c>
      <c r="BE587">
        <v>138</v>
      </c>
      <c r="BF587" t="s">
        <v>197</v>
      </c>
      <c r="BG587">
        <v>12.566316788481799</v>
      </c>
      <c r="BH587">
        <v>3.3146853146853603E-2</v>
      </c>
      <c r="BI587">
        <v>6.3476148883704897E-2</v>
      </c>
      <c r="BJ587">
        <v>90</v>
      </c>
      <c r="BK587">
        <v>2357.9945086104422</v>
      </c>
      <c r="BL587">
        <v>-551.21567136538943</v>
      </c>
      <c r="BM587">
        <v>4.546684270199556</v>
      </c>
      <c r="BN587">
        <v>772.93632593392454</v>
      </c>
      <c r="BO587">
        <v>1585.0581826765181</v>
      </c>
    </row>
    <row r="588" spans="1:67" x14ac:dyDescent="0.25">
      <c r="A588" s="1">
        <v>586</v>
      </c>
      <c r="B588" t="s">
        <v>180</v>
      </c>
      <c r="C588" t="s">
        <v>195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67</v>
      </c>
      <c r="J588">
        <v>1.4</v>
      </c>
      <c r="K588">
        <v>500</v>
      </c>
      <c r="L588">
        <v>100</v>
      </c>
      <c r="N588" t="s">
        <v>179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88464.933907267041</v>
      </c>
      <c r="Z588">
        <v>442324669.53633517</v>
      </c>
      <c r="AA588">
        <v>619254537.35086918</v>
      </c>
      <c r="AB588">
        <v>619254.53735086916</v>
      </c>
      <c r="AC588">
        <v>0</v>
      </c>
      <c r="AD588">
        <v>4584.3721137882421</v>
      </c>
      <c r="AE588">
        <v>8251869.804818836</v>
      </c>
      <c r="AF588">
        <v>8251869.804818836</v>
      </c>
      <c r="AG588">
        <v>371.47062714341928</v>
      </c>
      <c r="AH588">
        <v>363.16479011007692</v>
      </c>
      <c r="AI588">
        <v>363.16479011007692</v>
      </c>
      <c r="AJ588">
        <v>20125.772463903249</v>
      </c>
      <c r="AK588">
        <v>854.70085470085473</v>
      </c>
      <c r="AL588" t="s">
        <v>69</v>
      </c>
      <c r="AM588">
        <v>28145.271233530959</v>
      </c>
      <c r="AN588">
        <v>963.16976919736976</v>
      </c>
      <c r="AO588">
        <v>61738.014318713067</v>
      </c>
      <c r="AP588">
        <v>50088.914321332442</v>
      </c>
      <c r="AQ588">
        <v>-11649.099997380639</v>
      </c>
      <c r="AR588">
        <v>2.4389348038611112E-3</v>
      </c>
      <c r="AS588">
        <v>54.178637537694158</v>
      </c>
      <c r="AT588">
        <v>75.767151362588052</v>
      </c>
      <c r="AU588">
        <v>2.592855797520444</v>
      </c>
      <c r="AV588">
        <v>166.19891266632209</v>
      </c>
      <c r="AW588">
        <v>134.83950186455479</v>
      </c>
      <c r="AX588">
        <v>-31.359410801767321</v>
      </c>
      <c r="AY588">
        <v>0.9776406627430716</v>
      </c>
      <c r="AZ588" t="str">
        <f>VLOOKUP(BA588,Sheet1!$A$1:$B$58,2,FALSE)</f>
        <v>Phenol</v>
      </c>
      <c r="BA588" t="s">
        <v>164</v>
      </c>
      <c r="BB588" t="s">
        <v>165</v>
      </c>
      <c r="BC588">
        <v>94.11023999999999</v>
      </c>
      <c r="BD588">
        <v>4.666666666666667</v>
      </c>
      <c r="BE588">
        <v>181.7</v>
      </c>
      <c r="BF588" t="s">
        <v>197</v>
      </c>
      <c r="BG588">
        <v>11.40101925388616</v>
      </c>
      <c r="BH588">
        <v>3.2916666666666698E-2</v>
      </c>
      <c r="BI588">
        <v>6.7300072127500596E-2</v>
      </c>
      <c r="BJ588">
        <v>90</v>
      </c>
      <c r="BK588">
        <v>2226.173969836997</v>
      </c>
      <c r="BL588">
        <v>-517.73777766136106</v>
      </c>
      <c r="BM588">
        <v>4.7396380843394841</v>
      </c>
      <c r="BN588">
        <v>805.73847433771232</v>
      </c>
      <c r="BO588">
        <v>1420.435495499285</v>
      </c>
    </row>
    <row r="589" spans="1:67" x14ac:dyDescent="0.25">
      <c r="A589" s="1">
        <v>587</v>
      </c>
      <c r="B589" t="s">
        <v>180</v>
      </c>
      <c r="C589" t="s">
        <v>195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67</v>
      </c>
      <c r="J589">
        <v>1.4</v>
      </c>
      <c r="K589">
        <v>500</v>
      </c>
      <c r="L589">
        <v>100</v>
      </c>
      <c r="N589" t="s">
        <v>179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119316.18654497431</v>
      </c>
      <c r="Z589">
        <v>596580932.72487152</v>
      </c>
      <c r="AA589">
        <v>835213305.81482005</v>
      </c>
      <c r="AB589">
        <v>835213.30581482011</v>
      </c>
      <c r="AC589">
        <v>66773.504273504266</v>
      </c>
      <c r="AD589">
        <v>6183.1256087718957</v>
      </c>
      <c r="AE589">
        <v>11129626.09578941</v>
      </c>
      <c r="AF589">
        <v>11129626.09578941</v>
      </c>
      <c r="AG589">
        <v>501.0172583261479</v>
      </c>
      <c r="AH589">
        <v>489.81484447569198</v>
      </c>
      <c r="AI589">
        <v>489.81484447569198</v>
      </c>
      <c r="AJ589">
        <v>27144.43243898165</v>
      </c>
      <c r="AK589">
        <v>2170.1388888888891</v>
      </c>
      <c r="AL589" t="s">
        <v>107</v>
      </c>
      <c r="AM589">
        <v>37960.65044686613</v>
      </c>
      <c r="AN589">
        <v>1299.06550290875</v>
      </c>
      <c r="AO589">
        <v>83268.52356086763</v>
      </c>
      <c r="AP589">
        <v>68574.287277645417</v>
      </c>
      <c r="AQ589">
        <v>-14694.23628322221</v>
      </c>
      <c r="AR589">
        <v>2.4389348038611112E-3</v>
      </c>
      <c r="AS589">
        <v>54.178637537694172</v>
      </c>
      <c r="AT589">
        <v>75.767151362588066</v>
      </c>
      <c r="AU589">
        <v>2.592855797520444</v>
      </c>
      <c r="AV589">
        <v>166.1989126663222</v>
      </c>
      <c r="AW589">
        <v>136.87011003721861</v>
      </c>
      <c r="AX589">
        <v>-29.328802629103588</v>
      </c>
      <c r="AY589">
        <v>0.97764066274307171</v>
      </c>
      <c r="AZ589" t="str">
        <f>VLOOKUP(BA589,Sheet1!$A$1:$B$58,2,FALSE)</f>
        <v>Propane (PW1)</v>
      </c>
      <c r="BA589" t="s">
        <v>166</v>
      </c>
      <c r="BB589" t="s">
        <v>167</v>
      </c>
      <c r="BC589">
        <v>44.094819999999999</v>
      </c>
      <c r="BD589">
        <v>6.666666666666667</v>
      </c>
      <c r="BE589">
        <v>-42</v>
      </c>
      <c r="BF589" t="s">
        <v>197</v>
      </c>
      <c r="BG589">
        <v>16.16715345519026</v>
      </c>
      <c r="BH589">
        <v>5.2087912087911602E-2</v>
      </c>
      <c r="BI589">
        <v>4.9898480710071101E-2</v>
      </c>
      <c r="BJ589">
        <v>90</v>
      </c>
      <c r="BK589">
        <v>3047.7461012286858</v>
      </c>
      <c r="BL589">
        <v>-653.07716814320884</v>
      </c>
      <c r="BM589">
        <v>5.6023951881738263</v>
      </c>
      <c r="BN589">
        <v>952.40718198955051</v>
      </c>
      <c r="BO589">
        <v>2095.3389192391351</v>
      </c>
    </row>
    <row r="590" spans="1:67" x14ac:dyDescent="0.25">
      <c r="A590" s="1">
        <v>588</v>
      </c>
      <c r="B590" t="s">
        <v>180</v>
      </c>
      <c r="C590" t="s">
        <v>195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67</v>
      </c>
      <c r="J590">
        <v>1.4</v>
      </c>
      <c r="K590">
        <v>500</v>
      </c>
      <c r="L590">
        <v>100</v>
      </c>
      <c r="N590" t="s">
        <v>179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142917.1904769465</v>
      </c>
      <c r="Z590">
        <v>714585952.3847326</v>
      </c>
      <c r="AA590">
        <v>1000420333.338626</v>
      </c>
      <c r="AB590">
        <v>1000420.333338625</v>
      </c>
      <c r="AC590">
        <v>66773.504273504266</v>
      </c>
      <c r="AD590">
        <v>7406.1614434739922</v>
      </c>
      <c r="AE590">
        <v>13331090.598253191</v>
      </c>
      <c r="AF590">
        <v>13331090.598253191</v>
      </c>
      <c r="AG590">
        <v>600.11957315988855</v>
      </c>
      <c r="AH590">
        <v>586.7012972291227</v>
      </c>
      <c r="AI590">
        <v>586.7012972291227</v>
      </c>
      <c r="AJ590">
        <v>32513.660833505332</v>
      </c>
      <c r="AK590">
        <v>2170.1388888888891</v>
      </c>
      <c r="AL590" t="s">
        <v>107</v>
      </c>
      <c r="AM590">
        <v>45469.350535257006</v>
      </c>
      <c r="AN590">
        <v>1556.0235144731109</v>
      </c>
      <c r="AO590">
        <v>99739.220528950857</v>
      </c>
      <c r="AP590">
        <v>81709.173772124341</v>
      </c>
      <c r="AQ590">
        <v>-18030.046756826519</v>
      </c>
      <c r="AR590">
        <v>2.4389348038611112E-3</v>
      </c>
      <c r="AS590">
        <v>54.178637537694158</v>
      </c>
      <c r="AT590">
        <v>75.767151362588052</v>
      </c>
      <c r="AU590">
        <v>2.592855797520444</v>
      </c>
      <c r="AV590">
        <v>166.1989126663222</v>
      </c>
      <c r="AW590">
        <v>136.15482218300309</v>
      </c>
      <c r="AX590">
        <v>-30.044090483319081</v>
      </c>
      <c r="AY590">
        <v>0.9776406627430716</v>
      </c>
      <c r="AZ590" t="str">
        <f>VLOOKUP(BA590,Sheet1!$A$1:$B$58,2,FALSE)</f>
        <v>Propane (PW2)</v>
      </c>
      <c r="BA590" t="s">
        <v>168</v>
      </c>
      <c r="BB590" t="s">
        <v>167</v>
      </c>
      <c r="BC590">
        <v>44.094819999999999</v>
      </c>
      <c r="BD590">
        <v>6.666666666666667</v>
      </c>
      <c r="BE590">
        <v>-42</v>
      </c>
      <c r="BF590" t="s">
        <v>197</v>
      </c>
      <c r="BG590">
        <v>19.957317068024579</v>
      </c>
      <c r="BH590">
        <v>4.3486238532109901E-2</v>
      </c>
      <c r="BI590">
        <v>4.1658364629509101E-2</v>
      </c>
      <c r="BJ590">
        <v>90</v>
      </c>
      <c r="BK590">
        <v>3631.5188343166369</v>
      </c>
      <c r="BL590">
        <v>-801.33541141451178</v>
      </c>
      <c r="BM590">
        <v>6.1182961421586484</v>
      </c>
      <c r="BN590">
        <v>1040.11034416697</v>
      </c>
      <c r="BO590">
        <v>2591.4084901496672</v>
      </c>
    </row>
    <row r="591" spans="1:67" x14ac:dyDescent="0.25">
      <c r="A591" s="1">
        <v>589</v>
      </c>
      <c r="B591" t="s">
        <v>180</v>
      </c>
      <c r="C591" t="s">
        <v>195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67</v>
      </c>
      <c r="J591">
        <v>1.4</v>
      </c>
      <c r="K591">
        <v>500</v>
      </c>
      <c r="L591">
        <v>100</v>
      </c>
      <c r="N591" t="s">
        <v>179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45747.519020539468</v>
      </c>
      <c r="Z591">
        <v>228737595.10269731</v>
      </c>
      <c r="AA591">
        <v>320232633.14377618</v>
      </c>
      <c r="AB591">
        <v>320232.63314377621</v>
      </c>
      <c r="AC591">
        <v>0</v>
      </c>
      <c r="AD591">
        <v>2370.6980970855661</v>
      </c>
      <c r="AE591">
        <v>4267256.5747540193</v>
      </c>
      <c r="AF591">
        <v>4267256.5747540193</v>
      </c>
      <c r="AG591">
        <v>192.0971262876773</v>
      </c>
      <c r="AH591">
        <v>187.8019618549244</v>
      </c>
      <c r="AI591">
        <v>187.8019618549244</v>
      </c>
      <c r="AJ591">
        <v>10407.56057717273</v>
      </c>
      <c r="AK591">
        <v>854.70085470085473</v>
      </c>
      <c r="AL591" t="s">
        <v>69</v>
      </c>
      <c r="AM591">
        <v>14554.65204375664</v>
      </c>
      <c r="AN591">
        <v>498.08014758202069</v>
      </c>
      <c r="AO591">
        <v>31926.333515337141</v>
      </c>
      <c r="AP591">
        <v>26314.993623212242</v>
      </c>
      <c r="AQ591">
        <v>-5611.3398921249027</v>
      </c>
      <c r="AR591">
        <v>2.4389348038611099E-3</v>
      </c>
      <c r="AS591">
        <v>54.178637537694158</v>
      </c>
      <c r="AT591">
        <v>75.767151362588066</v>
      </c>
      <c r="AU591">
        <v>2.5928557975204432</v>
      </c>
      <c r="AV591">
        <v>166.1989126663222</v>
      </c>
      <c r="AW591">
        <v>136.98796089122081</v>
      </c>
      <c r="AX591">
        <v>-29.210951775101389</v>
      </c>
      <c r="AY591">
        <v>0.97764066274307171</v>
      </c>
      <c r="AZ591" t="str">
        <f>VLOOKUP(BA591,Sheet1!$A$1:$B$58,2,FALSE)</f>
        <v>Shikimate</v>
      </c>
      <c r="BA591" t="s">
        <v>169</v>
      </c>
      <c r="BB591" t="s">
        <v>170</v>
      </c>
      <c r="BC591">
        <v>173.14045999999999</v>
      </c>
      <c r="BD591">
        <v>3.8571428571428572</v>
      </c>
      <c r="BE591">
        <v>400.5</v>
      </c>
      <c r="BF591" t="s">
        <v>197</v>
      </c>
      <c r="BG591">
        <v>5.5674392186654371</v>
      </c>
      <c r="BH591">
        <v>3.4598540145985401E-2</v>
      </c>
      <c r="BI591">
        <v>0.13014249865748101</v>
      </c>
      <c r="BJ591">
        <v>90</v>
      </c>
      <c r="BK591">
        <v>1169.5552721427659</v>
      </c>
      <c r="BL591">
        <v>-249.39288409444009</v>
      </c>
      <c r="BM591">
        <v>2.779314641553424</v>
      </c>
      <c r="BN591">
        <v>472.48348906408211</v>
      </c>
      <c r="BO591">
        <v>697.07178307868412</v>
      </c>
    </row>
    <row r="592" spans="1:67" x14ac:dyDescent="0.25">
      <c r="A592" s="1">
        <v>590</v>
      </c>
      <c r="B592" t="s">
        <v>180</v>
      </c>
      <c r="C592" t="s">
        <v>195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67</v>
      </c>
      <c r="J592">
        <v>1.4</v>
      </c>
      <c r="K592">
        <v>500</v>
      </c>
      <c r="L592">
        <v>100</v>
      </c>
      <c r="N592" t="s">
        <v>179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109360.25232482979</v>
      </c>
      <c r="Z592">
        <v>546801261.62414873</v>
      </c>
      <c r="AA592">
        <v>765521766.27380812</v>
      </c>
      <c r="AB592">
        <v>765521.76627380808</v>
      </c>
      <c r="AC592">
        <v>0</v>
      </c>
      <c r="AD592">
        <v>5667.195678237109</v>
      </c>
      <c r="AE592">
        <v>10200952.220826801</v>
      </c>
      <c r="AF592">
        <v>10200952.220826801</v>
      </c>
      <c r="AG592">
        <v>459.21157368693821</v>
      </c>
      <c r="AH592">
        <v>448.94390723858731</v>
      </c>
      <c r="AI592">
        <v>448.94390723858731</v>
      </c>
      <c r="AJ592">
        <v>24879.457403898759</v>
      </c>
      <c r="AK592">
        <v>854.70085470085473</v>
      </c>
      <c r="AL592" t="s">
        <v>69</v>
      </c>
      <c r="AM592">
        <v>34793.152810990512</v>
      </c>
      <c r="AN592">
        <v>1190.6693911226639</v>
      </c>
      <c r="AO592">
        <v>76320.464230559839</v>
      </c>
      <c r="AP592">
        <v>61717.980460712788</v>
      </c>
      <c r="AQ592">
        <v>-14602.483769847049</v>
      </c>
      <c r="AR592">
        <v>2.4389348038611112E-3</v>
      </c>
      <c r="AS592">
        <v>54.178637537694158</v>
      </c>
      <c r="AT592">
        <v>75.767151362588066</v>
      </c>
      <c r="AU592">
        <v>2.592855797520444</v>
      </c>
      <c r="AV592">
        <v>166.1989126663222</v>
      </c>
      <c r="AW592">
        <v>134.39988013627081</v>
      </c>
      <c r="AX592">
        <v>-31.79903253005142</v>
      </c>
      <c r="AY592">
        <v>0.97764066274307193</v>
      </c>
      <c r="AZ592" t="str">
        <f>VLOOKUP(BA592,Sheet1!$A$1:$B$58,2,FALSE)</f>
        <v>Styrene</v>
      </c>
      <c r="BA592" t="s">
        <v>171</v>
      </c>
      <c r="BB592" t="s">
        <v>172</v>
      </c>
      <c r="BC592">
        <v>104.14832</v>
      </c>
      <c r="BD592">
        <v>5</v>
      </c>
      <c r="BE592">
        <v>145</v>
      </c>
      <c r="BF592" t="s">
        <v>197</v>
      </c>
      <c r="BG592">
        <v>14.18196275212803</v>
      </c>
      <c r="BH592">
        <v>2.4060913705583699E-2</v>
      </c>
      <c r="BI592">
        <v>5.44411365751932E-2</v>
      </c>
      <c r="BJ592">
        <v>90</v>
      </c>
      <c r="BK592">
        <v>2743.0213538094572</v>
      </c>
      <c r="BL592">
        <v>-648.99927865986911</v>
      </c>
      <c r="BM592">
        <v>5.7710997918091884</v>
      </c>
      <c r="BN592">
        <v>981.08696460756198</v>
      </c>
      <c r="BO592">
        <v>1761.9343892018951</v>
      </c>
    </row>
    <row r="593" spans="1:67" x14ac:dyDescent="0.25">
      <c r="A593" s="1">
        <v>591</v>
      </c>
      <c r="B593" t="s">
        <v>180</v>
      </c>
      <c r="C593" t="s">
        <v>195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67</v>
      </c>
      <c r="J593">
        <v>1.4</v>
      </c>
      <c r="K593">
        <v>500</v>
      </c>
      <c r="L593">
        <v>100</v>
      </c>
      <c r="N593" t="s">
        <v>179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31879.018160116389</v>
      </c>
      <c r="Z593">
        <v>159395090.8005819</v>
      </c>
      <c r="AA593">
        <v>223153127.12081471</v>
      </c>
      <c r="AB593">
        <v>223153.12712081469</v>
      </c>
      <c r="AC593">
        <v>0</v>
      </c>
      <c r="AD593">
        <v>1652.013689643205</v>
      </c>
      <c r="AE593">
        <v>2973624.6413577688</v>
      </c>
      <c r="AF593">
        <v>2973624.6413577688</v>
      </c>
      <c r="AG593">
        <v>133.86229261266769</v>
      </c>
      <c r="AH593">
        <v>130.86922046615541</v>
      </c>
      <c r="AI593">
        <v>130.86922046615541</v>
      </c>
      <c r="AJ593">
        <v>7252.476631426478</v>
      </c>
      <c r="AK593">
        <v>854.70085470085473</v>
      </c>
      <c r="AL593" t="s">
        <v>69</v>
      </c>
      <c r="AM593">
        <v>10142.364586127051</v>
      </c>
      <c r="AN593">
        <v>347.08562147013339</v>
      </c>
      <c r="AO593">
        <v>22247.76747924642</v>
      </c>
      <c r="AP593">
        <v>18596.62769372452</v>
      </c>
      <c r="AQ593">
        <v>-3651.139785521907</v>
      </c>
      <c r="AR593">
        <v>2.4389348038611112E-3</v>
      </c>
      <c r="AS593">
        <v>54.178637537694172</v>
      </c>
      <c r="AT593">
        <v>75.767151362588066</v>
      </c>
      <c r="AU593">
        <v>2.592855797520444</v>
      </c>
      <c r="AV593">
        <v>166.1989126663222</v>
      </c>
      <c r="AW593">
        <v>138.92357086348511</v>
      </c>
      <c r="AX593">
        <v>-27.275341802837119</v>
      </c>
      <c r="AY593">
        <v>0.97764066274307204</v>
      </c>
      <c r="AZ593" t="str">
        <f>VLOOKUP(BA593,Sheet1!$A$1:$B$58,2,FALSE)</f>
        <v>Succinate</v>
      </c>
      <c r="BA593" t="s">
        <v>173</v>
      </c>
      <c r="BB593" t="s">
        <v>174</v>
      </c>
      <c r="BC593">
        <v>116.07016</v>
      </c>
      <c r="BD593">
        <v>3</v>
      </c>
      <c r="BE593">
        <v>235</v>
      </c>
      <c r="BF593" t="s">
        <v>197</v>
      </c>
      <c r="BG593">
        <v>3.6028885296726538</v>
      </c>
      <c r="BH593">
        <v>7.4062499999999296E-2</v>
      </c>
      <c r="BI593">
        <v>0.18675909034620999</v>
      </c>
      <c r="BJ593">
        <v>90</v>
      </c>
      <c r="BK593">
        <v>826.51678638775627</v>
      </c>
      <c r="BL593">
        <v>-162.2728793565293</v>
      </c>
      <c r="BM593">
        <v>2.2135212688231438</v>
      </c>
      <c r="BN593">
        <v>376.29861569993449</v>
      </c>
      <c r="BO593">
        <v>450.21817068782173</v>
      </c>
    </row>
    <row r="594" spans="1:67" x14ac:dyDescent="0.25">
      <c r="A594" s="1">
        <v>592</v>
      </c>
      <c r="B594" t="s">
        <v>180</v>
      </c>
      <c r="C594" t="s">
        <v>195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67</v>
      </c>
      <c r="J594">
        <v>1.4</v>
      </c>
      <c r="K594">
        <v>500</v>
      </c>
      <c r="L594">
        <v>100</v>
      </c>
      <c r="N594" t="s">
        <v>179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85325.699916549318</v>
      </c>
      <c r="Z594">
        <v>426628499.58274662</v>
      </c>
      <c r="AA594">
        <v>597279899.41584527</v>
      </c>
      <c r="AB594">
        <v>597279.89941584528</v>
      </c>
      <c r="AC594">
        <v>0</v>
      </c>
      <c r="AD594">
        <v>4421.6927771282699</v>
      </c>
      <c r="AE594">
        <v>7959046.9988308866</v>
      </c>
      <c r="AF594">
        <v>7959046.9988308866</v>
      </c>
      <c r="AG594">
        <v>358.28875758475061</v>
      </c>
      <c r="AH594">
        <v>350.27765841854728</v>
      </c>
      <c r="AI594">
        <v>350.27765841854728</v>
      </c>
      <c r="AJ594">
        <v>19411.596731014972</v>
      </c>
      <c r="AK594">
        <v>854.70085470085473</v>
      </c>
      <c r="AL594" t="s">
        <v>69</v>
      </c>
      <c r="AM594">
        <v>27146.518527437409</v>
      </c>
      <c r="AN594">
        <v>928.99108229001718</v>
      </c>
      <c r="AO594">
        <v>59547.201931153038</v>
      </c>
      <c r="AP594">
        <v>48341.807195443253</v>
      </c>
      <c r="AQ594">
        <v>-11205.39473570979</v>
      </c>
      <c r="AR594">
        <v>2.4389348038611112E-3</v>
      </c>
      <c r="AS594">
        <v>54.178637537694158</v>
      </c>
      <c r="AT594">
        <v>75.767151362588052</v>
      </c>
      <c r="AU594">
        <v>2.592855797520444</v>
      </c>
      <c r="AV594">
        <v>166.1989126663222</v>
      </c>
      <c r="AW594">
        <v>134.9241531364778</v>
      </c>
      <c r="AX594">
        <v>-31.274759529844399</v>
      </c>
      <c r="AY594">
        <v>0.97764066274307171</v>
      </c>
      <c r="AZ594" t="str">
        <f>VLOOKUP(BA594,Sheet1!$A$1:$B$58,2,FALSE)</f>
        <v>1,3-Butanediol (PW1)</v>
      </c>
      <c r="BA594" t="s">
        <v>70</v>
      </c>
      <c r="BB594" t="s">
        <v>71</v>
      </c>
      <c r="BC594">
        <v>90.119200000000006</v>
      </c>
      <c r="BD594">
        <v>5.5</v>
      </c>
      <c r="BE594">
        <v>207</v>
      </c>
      <c r="BF594" t="s">
        <v>198</v>
      </c>
      <c r="BG594">
        <v>11.74932474806082</v>
      </c>
      <c r="BH594">
        <v>3.5639097744360901E-2</v>
      </c>
      <c r="BI594">
        <v>6.97761218312479E-2</v>
      </c>
      <c r="BJ594">
        <v>90</v>
      </c>
      <c r="BK594">
        <v>2148.5247642419222</v>
      </c>
      <c r="BL594">
        <v>-498.01754380932391</v>
      </c>
      <c r="BM594">
        <v>3.8185711816523931</v>
      </c>
      <c r="BN594">
        <v>649.1571008809068</v>
      </c>
      <c r="BO594">
        <v>1499.367663361015</v>
      </c>
    </row>
    <row r="595" spans="1:67" x14ac:dyDescent="0.25">
      <c r="A595" s="1">
        <v>593</v>
      </c>
      <c r="B595" t="s">
        <v>180</v>
      </c>
      <c r="C595" t="s">
        <v>195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67</v>
      </c>
      <c r="J595">
        <v>1.4</v>
      </c>
      <c r="K595">
        <v>500</v>
      </c>
      <c r="L595">
        <v>100</v>
      </c>
      <c r="N595" t="s">
        <v>179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84042.606684721468</v>
      </c>
      <c r="Z595">
        <v>420213033.42360729</v>
      </c>
      <c r="AA595">
        <v>588298246.79305029</v>
      </c>
      <c r="AB595">
        <v>588298.24679305032</v>
      </c>
      <c r="AC595">
        <v>0</v>
      </c>
      <c r="AD595">
        <v>4355.2011564195718</v>
      </c>
      <c r="AE595">
        <v>7839362.0815552287</v>
      </c>
      <c r="AF595">
        <v>7839362.0815552287</v>
      </c>
      <c r="AG595">
        <v>352.9009567188142</v>
      </c>
      <c r="AH595">
        <v>345.01032520924571</v>
      </c>
      <c r="AI595">
        <v>345.01032520924571</v>
      </c>
      <c r="AJ595">
        <v>19119.693020774139</v>
      </c>
      <c r="AK595">
        <v>854.70085470085473</v>
      </c>
      <c r="AL595" t="s">
        <v>69</v>
      </c>
      <c r="AM595">
        <v>26738.300203716539</v>
      </c>
      <c r="AN595">
        <v>915.02129157888862</v>
      </c>
      <c r="AO595">
        <v>58651.755285571773</v>
      </c>
      <c r="AP595">
        <v>47627.71537077042</v>
      </c>
      <c r="AQ595">
        <v>-11024.039914801349</v>
      </c>
      <c r="AR595">
        <v>2.4389348038611112E-3</v>
      </c>
      <c r="AS595">
        <v>54.178637537694172</v>
      </c>
      <c r="AT595">
        <v>75.767151362588081</v>
      </c>
      <c r="AU595">
        <v>2.592855797520444</v>
      </c>
      <c r="AV595">
        <v>166.19891266632229</v>
      </c>
      <c r="AW595">
        <v>134.96057311264079</v>
      </c>
      <c r="AX595">
        <v>-31.23833955368141</v>
      </c>
      <c r="AY595">
        <v>0.97764066274307204</v>
      </c>
      <c r="AZ595" t="str">
        <f>VLOOKUP(BA595,Sheet1!$A$1:$B$58,2,FALSE)</f>
        <v>1,3-Butanediol (PW2)</v>
      </c>
      <c r="BA595" t="s">
        <v>72</v>
      </c>
      <c r="BB595" t="s">
        <v>71</v>
      </c>
      <c r="BC595">
        <v>90.119200000000006</v>
      </c>
      <c r="BD595">
        <v>5.5</v>
      </c>
      <c r="BE595">
        <v>207</v>
      </c>
      <c r="BF595" t="s">
        <v>198</v>
      </c>
      <c r="BG595">
        <v>11.54326854413128</v>
      </c>
      <c r="BH595">
        <v>3.6183206106870203E-2</v>
      </c>
      <c r="BI595">
        <v>7.08414061340151E-2</v>
      </c>
      <c r="BJ595">
        <v>90</v>
      </c>
      <c r="BK595">
        <v>2116.787349812018</v>
      </c>
      <c r="BL595">
        <v>-489.95732954672638</v>
      </c>
      <c r="BM595">
        <v>3.7905236873907469</v>
      </c>
      <c r="BN595">
        <v>644.38902685642699</v>
      </c>
      <c r="BO595">
        <v>1472.398322955592</v>
      </c>
    </row>
    <row r="596" spans="1:67" x14ac:dyDescent="0.25">
      <c r="A596" s="1">
        <v>594</v>
      </c>
      <c r="B596" t="s">
        <v>180</v>
      </c>
      <c r="C596" t="s">
        <v>195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67</v>
      </c>
      <c r="J596">
        <v>1.4</v>
      </c>
      <c r="K596">
        <v>500</v>
      </c>
      <c r="L596">
        <v>100</v>
      </c>
      <c r="N596" t="s">
        <v>179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85805.181222987056</v>
      </c>
      <c r="Z596">
        <v>429025906.11493528</v>
      </c>
      <c r="AA596">
        <v>600636268.56090939</v>
      </c>
      <c r="AB596">
        <v>600636.26856090943</v>
      </c>
      <c r="AC596">
        <v>0</v>
      </c>
      <c r="AD596">
        <v>4446.540144703541</v>
      </c>
      <c r="AE596">
        <v>8003772.2604663745</v>
      </c>
      <c r="AF596">
        <v>8003772.2604663745</v>
      </c>
      <c r="AG596">
        <v>360.30213411417492</v>
      </c>
      <c r="AH596">
        <v>352.2460171831251</v>
      </c>
      <c r="AI596">
        <v>352.2460171831251</v>
      </c>
      <c r="AJ596">
        <v>19520.678728229559</v>
      </c>
      <c r="AK596">
        <v>854.70085470085473</v>
      </c>
      <c r="AL596" t="s">
        <v>69</v>
      </c>
      <c r="AM596">
        <v>27299.0663316922</v>
      </c>
      <c r="AN596">
        <v>934.21147729692677</v>
      </c>
      <c r="AO596">
        <v>59881.822921131257</v>
      </c>
      <c r="AP596">
        <v>48608.657391919543</v>
      </c>
      <c r="AQ596">
        <v>-11273.16552921173</v>
      </c>
      <c r="AR596">
        <v>2.438934803861112E-3</v>
      </c>
      <c r="AS596">
        <v>54.178637537694179</v>
      </c>
      <c r="AT596">
        <v>75.767151362588066</v>
      </c>
      <c r="AU596">
        <v>2.592855797520444</v>
      </c>
      <c r="AV596">
        <v>166.1989126663222</v>
      </c>
      <c r="AW596">
        <v>134.91082286100499</v>
      </c>
      <c r="AX596">
        <v>-31.28808980531716</v>
      </c>
      <c r="AY596">
        <v>0.97764066274307182</v>
      </c>
      <c r="AZ596" t="str">
        <f>VLOOKUP(BA596,Sheet1!$A$1:$B$58,2,FALSE)</f>
        <v>1,3-Diaminopropane</v>
      </c>
      <c r="BA596" t="s">
        <v>73</v>
      </c>
      <c r="BB596" t="s">
        <v>74</v>
      </c>
      <c r="BC596">
        <v>76.139580000000009</v>
      </c>
      <c r="BD596">
        <v>6</v>
      </c>
      <c r="BE596">
        <v>139.30000000000001</v>
      </c>
      <c r="BF596" t="s">
        <v>198</v>
      </c>
      <c r="BG596">
        <v>12.04568693843331</v>
      </c>
      <c r="BH596">
        <v>4.19469026548673E-2</v>
      </c>
      <c r="BI596">
        <v>6.9386211273669104E-2</v>
      </c>
      <c r="BJ596">
        <v>90</v>
      </c>
      <c r="BK596">
        <v>2160.384772974201</v>
      </c>
      <c r="BL596">
        <v>-501.02957907607691</v>
      </c>
      <c r="BM596">
        <v>3.609691603038915</v>
      </c>
      <c r="BN596">
        <v>613.64757251661547</v>
      </c>
      <c r="BO596">
        <v>1546.7372004575859</v>
      </c>
    </row>
    <row r="597" spans="1:67" x14ac:dyDescent="0.25">
      <c r="A597" s="1">
        <v>595</v>
      </c>
      <c r="B597" t="s">
        <v>180</v>
      </c>
      <c r="C597" t="s">
        <v>195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67</v>
      </c>
      <c r="J597">
        <v>1.4</v>
      </c>
      <c r="K597">
        <v>500</v>
      </c>
      <c r="L597">
        <v>100</v>
      </c>
      <c r="N597" t="s">
        <v>179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69142.210379205557</v>
      </c>
      <c r="Z597">
        <v>345711051.8960278</v>
      </c>
      <c r="AA597">
        <v>483995472.65443891</v>
      </c>
      <c r="AB597">
        <v>483995.47265443893</v>
      </c>
      <c r="AC597">
        <v>0</v>
      </c>
      <c r="AD597">
        <v>3583.0425361576149</v>
      </c>
      <c r="AE597">
        <v>6449476.5650837077</v>
      </c>
      <c r="AF597">
        <v>6449476.5650837077</v>
      </c>
      <c r="AG597">
        <v>290.33311977115329</v>
      </c>
      <c r="AH597">
        <v>283.84146362933399</v>
      </c>
      <c r="AI597">
        <v>283.84146362933399</v>
      </c>
      <c r="AJ597">
        <v>15729.85286126927</v>
      </c>
      <c r="AK597">
        <v>854.70085470085473</v>
      </c>
      <c r="AL597" t="s">
        <v>69</v>
      </c>
      <c r="AM597">
        <v>21997.713431273391</v>
      </c>
      <c r="AN597">
        <v>752.79191281083229</v>
      </c>
      <c r="AO597">
        <v>48253.048816986789</v>
      </c>
      <c r="AP597">
        <v>39335.059060054336</v>
      </c>
      <c r="AQ597">
        <v>-8917.989756932453</v>
      </c>
      <c r="AR597">
        <v>2.4389348038611112E-3</v>
      </c>
      <c r="AS597">
        <v>54.178637537694172</v>
      </c>
      <c r="AT597">
        <v>75.767151362588066</v>
      </c>
      <c r="AU597">
        <v>2.592855797520444</v>
      </c>
      <c r="AV597">
        <v>166.1989126663222</v>
      </c>
      <c r="AW597">
        <v>135.4825074419999</v>
      </c>
      <c r="AX597">
        <v>-30.71640522432233</v>
      </c>
      <c r="AY597">
        <v>0.97764066274307193</v>
      </c>
      <c r="AZ597" t="str">
        <f>VLOOKUP(BA597,Sheet1!$A$1:$B$58,2,FALSE)</f>
        <v>1,3-Propanediol</v>
      </c>
      <c r="BA597" t="s">
        <v>75</v>
      </c>
      <c r="BB597" t="s">
        <v>76</v>
      </c>
      <c r="BC597">
        <v>76.092820000000003</v>
      </c>
      <c r="BD597">
        <v>5.333333333333333</v>
      </c>
      <c r="BE597">
        <v>213</v>
      </c>
      <c r="BF597" t="s">
        <v>198</v>
      </c>
      <c r="BG597">
        <v>9.3686595071517456</v>
      </c>
      <c r="BH597">
        <v>5.2087912087912101E-2</v>
      </c>
      <c r="BI597">
        <v>8.6107985267769402E-2</v>
      </c>
      <c r="BJ597">
        <v>90</v>
      </c>
      <c r="BK597">
        <v>1748.224847113526</v>
      </c>
      <c r="BL597">
        <v>-396.35510030810912</v>
      </c>
      <c r="BM597">
        <v>3.2465166541519892</v>
      </c>
      <c r="BN597">
        <v>551.90783120583819</v>
      </c>
      <c r="BO597">
        <v>1196.3170159076869</v>
      </c>
    </row>
    <row r="598" spans="1:67" x14ac:dyDescent="0.25">
      <c r="A598" s="1">
        <v>596</v>
      </c>
      <c r="B598" t="s">
        <v>180</v>
      </c>
      <c r="C598" t="s">
        <v>195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67</v>
      </c>
      <c r="J598">
        <v>1.4</v>
      </c>
      <c r="K598">
        <v>500</v>
      </c>
      <c r="L598">
        <v>100</v>
      </c>
      <c r="N598" t="s">
        <v>179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89174.979612032694</v>
      </c>
      <c r="Z598">
        <v>445874898.0601635</v>
      </c>
      <c r="AA598">
        <v>624224857.2842288</v>
      </c>
      <c r="AB598">
        <v>624224.85728422878</v>
      </c>
      <c r="AC598">
        <v>0</v>
      </c>
      <c r="AD598">
        <v>4621.167639254355</v>
      </c>
      <c r="AE598">
        <v>8318101.7506578397</v>
      </c>
      <c r="AF598">
        <v>8318101.7506578397</v>
      </c>
      <c r="AG598">
        <v>374.45216018255871</v>
      </c>
      <c r="AH598">
        <v>366.07965804645153</v>
      </c>
      <c r="AI598">
        <v>366.07965804645153</v>
      </c>
      <c r="AJ598">
        <v>20287.307861737441</v>
      </c>
      <c r="AK598">
        <v>854.70085470085473</v>
      </c>
      <c r="AL598" t="s">
        <v>69</v>
      </c>
      <c r="AM598">
        <v>28371.17349859999</v>
      </c>
      <c r="AN598">
        <v>970.90045442340067</v>
      </c>
      <c r="AO598">
        <v>62233.541867896747</v>
      </c>
      <c r="AP598">
        <v>50484.082669461677</v>
      </c>
      <c r="AQ598">
        <v>-11749.45919843507</v>
      </c>
      <c r="AR598">
        <v>2.4389348038611099E-3</v>
      </c>
      <c r="AS598">
        <v>54.178637537694158</v>
      </c>
      <c r="AT598">
        <v>75.767151362588052</v>
      </c>
      <c r="AU598">
        <v>2.5928557975204432</v>
      </c>
      <c r="AV598">
        <v>166.19891266632209</v>
      </c>
      <c r="AW598">
        <v>134.82118154919681</v>
      </c>
      <c r="AX598">
        <v>-31.377731117125311</v>
      </c>
      <c r="AY598">
        <v>0.9776406627430716</v>
      </c>
      <c r="AZ598" t="str">
        <f>VLOOKUP(BA598,Sheet1!$A$1:$B$58,2,FALSE)</f>
        <v>1,4-Butanediol</v>
      </c>
      <c r="BA598" t="s">
        <v>77</v>
      </c>
      <c r="BB598" t="s">
        <v>71</v>
      </c>
      <c r="BC598">
        <v>90.119200000000006</v>
      </c>
      <c r="BD598">
        <v>5.5</v>
      </c>
      <c r="BE598">
        <v>230</v>
      </c>
      <c r="BF598" t="s">
        <v>198</v>
      </c>
      <c r="BG598">
        <v>12.36749335984933</v>
      </c>
      <c r="BH598">
        <v>3.4100719424460503E-2</v>
      </c>
      <c r="BI598">
        <v>6.6764202903280404E-2</v>
      </c>
      <c r="BJ598">
        <v>90</v>
      </c>
      <c r="BK598">
        <v>2243.7370075316298</v>
      </c>
      <c r="BL598">
        <v>-522.19818659711382</v>
      </c>
      <c r="BM598">
        <v>3.9027136644374001</v>
      </c>
      <c r="BN598">
        <v>663.46132295435791</v>
      </c>
      <c r="BO598">
        <v>1580.2756845772719</v>
      </c>
    </row>
    <row r="599" spans="1:67" x14ac:dyDescent="0.25">
      <c r="A599" s="1">
        <v>597</v>
      </c>
      <c r="B599" t="s">
        <v>180</v>
      </c>
      <c r="C599" t="s">
        <v>195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67</v>
      </c>
      <c r="J599">
        <v>1.4</v>
      </c>
      <c r="K599">
        <v>500</v>
      </c>
      <c r="L599">
        <v>100</v>
      </c>
      <c r="N599" t="s">
        <v>179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102943.6380214955</v>
      </c>
      <c r="Z599">
        <v>514718190.10747772</v>
      </c>
      <c r="AA599">
        <v>720605466.15046871</v>
      </c>
      <c r="AB599">
        <v>720605.46615046868</v>
      </c>
      <c r="AC599">
        <v>0</v>
      </c>
      <c r="AD599">
        <v>5334.6780763138941</v>
      </c>
      <c r="AE599">
        <v>9602420.53736501</v>
      </c>
      <c r="AF599">
        <v>9602420.53736501</v>
      </c>
      <c r="AG599">
        <v>432.26774821711342</v>
      </c>
      <c r="AH599">
        <v>422.60252784943413</v>
      </c>
      <c r="AI599">
        <v>422.60252784943413</v>
      </c>
      <c r="AJ599">
        <v>23419.677649890229</v>
      </c>
      <c r="AK599">
        <v>854.70085470085473</v>
      </c>
      <c r="AL599" t="s">
        <v>69</v>
      </c>
      <c r="AM599">
        <v>32751.695908331141</v>
      </c>
      <c r="AN599">
        <v>1120.8079370458499</v>
      </c>
      <c r="AO599">
        <v>71842.429734403791</v>
      </c>
      <c r="AP599">
        <v>58146.882349968073</v>
      </c>
      <c r="AQ599">
        <v>-13695.54738443572</v>
      </c>
      <c r="AR599">
        <v>2.4389348038611112E-3</v>
      </c>
      <c r="AS599">
        <v>54.178637537694158</v>
      </c>
      <c r="AT599">
        <v>75.767151362588066</v>
      </c>
      <c r="AU599">
        <v>2.5928557975204432</v>
      </c>
      <c r="AV599">
        <v>166.1989126663222</v>
      </c>
      <c r="AW599">
        <v>134.51589342437561</v>
      </c>
      <c r="AX599">
        <v>-31.683019241946571</v>
      </c>
      <c r="AY599">
        <v>0.97764066274307182</v>
      </c>
      <c r="AZ599" t="str">
        <f>VLOOKUP(BA599,Sheet1!$A$1:$B$58,2,FALSE)</f>
        <v>1-Propanol (PW1)</v>
      </c>
      <c r="BA599" t="s">
        <v>78</v>
      </c>
      <c r="BB599" t="s">
        <v>79</v>
      </c>
      <c r="BC599">
        <v>60.093820000000001</v>
      </c>
      <c r="BD599">
        <v>6</v>
      </c>
      <c r="BE599">
        <v>97</v>
      </c>
      <c r="BF599" t="s">
        <v>198</v>
      </c>
      <c r="BG599">
        <v>14.33499623662305</v>
      </c>
      <c r="BH599">
        <v>4.42990654205608E-2</v>
      </c>
      <c r="BI599">
        <v>5.7834525252259503E-2</v>
      </c>
      <c r="BJ599">
        <v>90</v>
      </c>
      <c r="BK599">
        <v>2584.3058822208031</v>
      </c>
      <c r="BL599">
        <v>-608.69099486380969</v>
      </c>
      <c r="BM599">
        <v>4.4473383344629092</v>
      </c>
      <c r="BN599">
        <v>756.04751685869451</v>
      </c>
      <c r="BO599">
        <v>1828.2583653621091</v>
      </c>
    </row>
    <row r="600" spans="1:67" x14ac:dyDescent="0.25">
      <c r="A600" s="1">
        <v>598</v>
      </c>
      <c r="B600" t="s">
        <v>180</v>
      </c>
      <c r="C600" t="s">
        <v>195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67</v>
      </c>
      <c r="J600">
        <v>1.4</v>
      </c>
      <c r="K600">
        <v>500</v>
      </c>
      <c r="L600">
        <v>100</v>
      </c>
      <c r="N600" t="s">
        <v>179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124109.61967077501</v>
      </c>
      <c r="Z600">
        <v>620548098.35387504</v>
      </c>
      <c r="AA600">
        <v>868767337.69542503</v>
      </c>
      <c r="AB600">
        <v>868767.33769542503</v>
      </c>
      <c r="AC600">
        <v>0</v>
      </c>
      <c r="AD600">
        <v>6431.5277742475937</v>
      </c>
      <c r="AE600">
        <v>11576749.99364567</v>
      </c>
      <c r="AF600">
        <v>11576749.99364567</v>
      </c>
      <c r="AG600">
        <v>521.14522915894997</v>
      </c>
      <c r="AH600">
        <v>509.49276722034591</v>
      </c>
      <c r="AI600">
        <v>509.49276722034591</v>
      </c>
      <c r="AJ600">
        <v>28234.938475101309</v>
      </c>
      <c r="AK600">
        <v>854.70085470085473</v>
      </c>
      <c r="AL600" t="s">
        <v>69</v>
      </c>
      <c r="AM600">
        <v>39485.689459576803</v>
      </c>
      <c r="AN600">
        <v>1351.2544287749031</v>
      </c>
      <c r="AO600">
        <v>86613.770427458789</v>
      </c>
      <c r="AP600">
        <v>69926.583218153872</v>
      </c>
      <c r="AQ600">
        <v>-16687.187209304921</v>
      </c>
      <c r="AR600">
        <v>2.4389348038611112E-3</v>
      </c>
      <c r="AS600">
        <v>54.178637537694158</v>
      </c>
      <c r="AT600">
        <v>75.767151362588066</v>
      </c>
      <c r="AU600">
        <v>2.592855797520444</v>
      </c>
      <c r="AV600">
        <v>166.1989126663222</v>
      </c>
      <c r="AW600">
        <v>134.17868821519269</v>
      </c>
      <c r="AX600">
        <v>-32.020224451129508</v>
      </c>
      <c r="AY600">
        <v>0.97764066274307171</v>
      </c>
      <c r="AZ600" t="str">
        <f>VLOOKUP(BA600,Sheet1!$A$1:$B$58,2,FALSE)</f>
        <v>1-Propanol (PW2)</v>
      </c>
      <c r="BA600" t="s">
        <v>80</v>
      </c>
      <c r="BB600" t="s">
        <v>79</v>
      </c>
      <c r="BC600">
        <v>60.093820000000001</v>
      </c>
      <c r="BD600">
        <v>6</v>
      </c>
      <c r="BE600">
        <v>97</v>
      </c>
      <c r="BF600" t="s">
        <v>198</v>
      </c>
      <c r="BG600">
        <v>17.734111533084651</v>
      </c>
      <c r="BH600">
        <v>3.6744186046511702E-2</v>
      </c>
      <c r="BI600">
        <v>4.7971272883657101E-2</v>
      </c>
      <c r="BJ600">
        <v>90</v>
      </c>
      <c r="BK600">
        <v>3107.8481430290608</v>
      </c>
      <c r="BL600">
        <v>-741.65276485799541</v>
      </c>
      <c r="BM600">
        <v>4.910011454486277</v>
      </c>
      <c r="BN600">
        <v>834.70194726266709</v>
      </c>
      <c r="BO600">
        <v>2273.1461957663942</v>
      </c>
    </row>
    <row r="601" spans="1:67" x14ac:dyDescent="0.25">
      <c r="A601" s="1">
        <v>599</v>
      </c>
      <c r="B601" t="s">
        <v>180</v>
      </c>
      <c r="C601" t="s">
        <v>195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67</v>
      </c>
      <c r="J601">
        <v>1.4</v>
      </c>
      <c r="K601">
        <v>500</v>
      </c>
      <c r="L601">
        <v>100</v>
      </c>
      <c r="N601" t="s">
        <v>179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84042.60668472285</v>
      </c>
      <c r="Z601">
        <v>420213033.42361432</v>
      </c>
      <c r="AA601">
        <v>588298246.79305995</v>
      </c>
      <c r="AB601">
        <v>588298.24679305998</v>
      </c>
      <c r="AC601">
        <v>0</v>
      </c>
      <c r="AD601">
        <v>4355.2011564196437</v>
      </c>
      <c r="AE601">
        <v>7839362.0815553591</v>
      </c>
      <c r="AF601">
        <v>7839362.0815553591</v>
      </c>
      <c r="AG601">
        <v>352.90095671882011</v>
      </c>
      <c r="AH601">
        <v>345.01032520925128</v>
      </c>
      <c r="AI601">
        <v>345.01032520925128</v>
      </c>
      <c r="AJ601">
        <v>19119.693020774452</v>
      </c>
      <c r="AK601">
        <v>854.70085470085473</v>
      </c>
      <c r="AL601" t="s">
        <v>69</v>
      </c>
      <c r="AM601">
        <v>26738.300203716979</v>
      </c>
      <c r="AN601">
        <v>915.02129157890363</v>
      </c>
      <c r="AO601">
        <v>58651.755285572719</v>
      </c>
      <c r="AP601">
        <v>47627.715370771177</v>
      </c>
      <c r="AQ601">
        <v>-11024.03991480154</v>
      </c>
      <c r="AR601">
        <v>2.4389348038611112E-3</v>
      </c>
      <c r="AS601">
        <v>54.178637537694172</v>
      </c>
      <c r="AT601">
        <v>75.767151362588052</v>
      </c>
      <c r="AU601">
        <v>2.5928557975204432</v>
      </c>
      <c r="AV601">
        <v>166.19891266632209</v>
      </c>
      <c r="AW601">
        <v>134.9605731126407</v>
      </c>
      <c r="AX601">
        <v>-31.23833955368141</v>
      </c>
      <c r="AY601">
        <v>0.97764066274307149</v>
      </c>
      <c r="AZ601" t="str">
        <f>VLOOKUP(BA601,Sheet1!$A$1:$B$58,2,FALSE)</f>
        <v>2,3-Butanediol</v>
      </c>
      <c r="BA601" t="s">
        <v>81</v>
      </c>
      <c r="BB601" t="s">
        <v>71</v>
      </c>
      <c r="BC601">
        <v>90.119200000000006</v>
      </c>
      <c r="BD601">
        <v>5.5</v>
      </c>
      <c r="BE601">
        <v>177</v>
      </c>
      <c r="BF601" t="s">
        <v>198</v>
      </c>
      <c r="BG601">
        <v>11.5432685441315</v>
      </c>
      <c r="BH601">
        <v>3.6183206106869599E-2</v>
      </c>
      <c r="BI601">
        <v>7.0841406134013907E-2</v>
      </c>
      <c r="BJ601">
        <v>90</v>
      </c>
      <c r="BK601">
        <v>2116.787349812053</v>
      </c>
      <c r="BL601">
        <v>-489.95732954673468</v>
      </c>
      <c r="BM601">
        <v>3.790523687390781</v>
      </c>
      <c r="BN601">
        <v>644.38902685643279</v>
      </c>
      <c r="BO601">
        <v>1472.39832295562</v>
      </c>
    </row>
    <row r="602" spans="1:67" x14ac:dyDescent="0.25">
      <c r="A602" s="1">
        <v>600</v>
      </c>
      <c r="B602" t="s">
        <v>180</v>
      </c>
      <c r="C602" t="s">
        <v>195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67</v>
      </c>
      <c r="J602">
        <v>1.4</v>
      </c>
      <c r="K602">
        <v>500</v>
      </c>
      <c r="L602">
        <v>100</v>
      </c>
      <c r="N602" t="s">
        <v>179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133148.45069587819</v>
      </c>
      <c r="Z602">
        <v>665742253.47939086</v>
      </c>
      <c r="AA602">
        <v>932039154.87114716</v>
      </c>
      <c r="AB602">
        <v>932039.15487114713</v>
      </c>
      <c r="AC602">
        <v>0</v>
      </c>
      <c r="AD602">
        <v>6899.9321810848087</v>
      </c>
      <c r="AE602">
        <v>12419877.92595266</v>
      </c>
      <c r="AF602">
        <v>12419877.92595266</v>
      </c>
      <c r="AG602">
        <v>559.09993144876478</v>
      </c>
      <c r="AH602">
        <v>546.5988275211763</v>
      </c>
      <c r="AI602">
        <v>546.5988275211763</v>
      </c>
      <c r="AJ602">
        <v>30291.27253331228</v>
      </c>
      <c r="AK602">
        <v>854.70085470085473</v>
      </c>
      <c r="AL602" t="s">
        <v>69</v>
      </c>
      <c r="AM602">
        <v>42361.40913289116</v>
      </c>
      <c r="AN602">
        <v>1449.6654986502119</v>
      </c>
      <c r="AO602">
        <v>92921.800678599975</v>
      </c>
      <c r="AP602">
        <v>74957.04801955451</v>
      </c>
      <c r="AQ602">
        <v>-17964.752659045469</v>
      </c>
      <c r="AR602">
        <v>2.4389348038611112E-3</v>
      </c>
      <c r="AS602">
        <v>54.178637537694172</v>
      </c>
      <c r="AT602">
        <v>75.767151362588038</v>
      </c>
      <c r="AU602">
        <v>2.592855797520444</v>
      </c>
      <c r="AV602">
        <v>166.1989126663222</v>
      </c>
      <c r="AW602">
        <v>134.06735326424109</v>
      </c>
      <c r="AX602">
        <v>-32.131559402081109</v>
      </c>
      <c r="AY602">
        <v>0.9776406627430716</v>
      </c>
      <c r="AZ602" t="str">
        <f>VLOOKUP(BA602,Sheet1!$A$1:$B$58,2,FALSE)</f>
        <v>2-Methyl-1-Butanol</v>
      </c>
      <c r="BA602" t="s">
        <v>82</v>
      </c>
      <c r="BB602" t="s">
        <v>83</v>
      </c>
      <c r="BC602">
        <v>88.14658</v>
      </c>
      <c r="BD602">
        <v>6</v>
      </c>
      <c r="BE602">
        <v>129</v>
      </c>
      <c r="BF602" t="s">
        <v>198</v>
      </c>
      <c r="BG602">
        <v>18.886341996435959</v>
      </c>
      <c r="BH602">
        <v>2.33497536945813E-2</v>
      </c>
      <c r="BI602">
        <v>4.4714725568323503E-2</v>
      </c>
      <c r="BJ602">
        <v>90</v>
      </c>
      <c r="BK602">
        <v>3331.4243564246449</v>
      </c>
      <c r="BL602">
        <v>-798.43345151313156</v>
      </c>
      <c r="BM602">
        <v>5.406939226727431</v>
      </c>
      <c r="BN602">
        <v>919.1796685436633</v>
      </c>
      <c r="BO602">
        <v>2412.244687880981</v>
      </c>
    </row>
    <row r="603" spans="1:67" x14ac:dyDescent="0.25">
      <c r="A603" s="1">
        <v>601</v>
      </c>
      <c r="B603" t="s">
        <v>180</v>
      </c>
      <c r="C603" t="s">
        <v>195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67</v>
      </c>
      <c r="J603">
        <v>1.4</v>
      </c>
      <c r="K603">
        <v>500</v>
      </c>
      <c r="L603">
        <v>100</v>
      </c>
      <c r="N603" t="s">
        <v>179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53025.997702501692</v>
      </c>
      <c r="Z603">
        <v>265129988.51250851</v>
      </c>
      <c r="AA603">
        <v>371181983.91751182</v>
      </c>
      <c r="AB603">
        <v>371181.98391751182</v>
      </c>
      <c r="AC603">
        <v>0</v>
      </c>
      <c r="AD603">
        <v>2747.878672785389</v>
      </c>
      <c r="AE603">
        <v>4946181.6110137012</v>
      </c>
      <c r="AF603">
        <v>4946181.6110137012</v>
      </c>
      <c r="AG603">
        <v>222.65998233946269</v>
      </c>
      <c r="AH603">
        <v>217.68145270071301</v>
      </c>
      <c r="AI603">
        <v>217.68145270071301</v>
      </c>
      <c r="AJ603">
        <v>12063.414477319129</v>
      </c>
      <c r="AK603">
        <v>1835.336538461539</v>
      </c>
      <c r="AL603" t="s">
        <v>84</v>
      </c>
      <c r="AM603">
        <v>16870.312584305251</v>
      </c>
      <c r="AN603">
        <v>577.32522608467548</v>
      </c>
      <c r="AO603">
        <v>37005.846959121212</v>
      </c>
      <c r="AP603">
        <v>31346.388826170609</v>
      </c>
      <c r="AQ603">
        <v>-5659.4581329506</v>
      </c>
      <c r="AR603">
        <v>2.4389348038611112E-3</v>
      </c>
      <c r="AS603">
        <v>54.178637537694158</v>
      </c>
      <c r="AT603">
        <v>75.767151362588052</v>
      </c>
      <c r="AU603">
        <v>2.592855797520444</v>
      </c>
      <c r="AV603">
        <v>166.1989126663222</v>
      </c>
      <c r="AW603">
        <v>140.7814215056415</v>
      </c>
      <c r="AX603">
        <v>-25.41749116068064</v>
      </c>
      <c r="AY603">
        <v>0.97764066274307171</v>
      </c>
      <c r="AZ603" t="str">
        <f>VLOOKUP(BA603,Sheet1!$A$1:$B$58,2,FALSE)</f>
        <v>2-Pyrone-4,6-Dicarboxylate</v>
      </c>
      <c r="BA603" t="s">
        <v>85</v>
      </c>
      <c r="BB603" t="s">
        <v>86</v>
      </c>
      <c r="BC603">
        <v>182.08457999999999</v>
      </c>
      <c r="BD603">
        <v>2.5714285714285721</v>
      </c>
      <c r="BE603">
        <v>355.5</v>
      </c>
      <c r="BF603" t="s">
        <v>198</v>
      </c>
      <c r="BG603">
        <v>6.8237150621938287</v>
      </c>
      <c r="BH603">
        <v>2.8383233532934201E-2</v>
      </c>
      <c r="BI603">
        <v>0.112278819648362</v>
      </c>
      <c r="BJ603">
        <v>90</v>
      </c>
      <c r="BK603">
        <v>1393.1728367186929</v>
      </c>
      <c r="BL603">
        <v>-251.53147257558231</v>
      </c>
      <c r="BM603">
        <v>2.8510161689489699</v>
      </c>
      <c r="BN603">
        <v>484.67274872132492</v>
      </c>
      <c r="BO603">
        <v>908.50008799736827</v>
      </c>
    </row>
    <row r="604" spans="1:67" x14ac:dyDescent="0.25">
      <c r="A604" s="1">
        <v>602</v>
      </c>
      <c r="B604" t="s">
        <v>180</v>
      </c>
      <c r="C604" t="s">
        <v>195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67</v>
      </c>
      <c r="J604">
        <v>1.4</v>
      </c>
      <c r="K604">
        <v>500</v>
      </c>
      <c r="L604">
        <v>100</v>
      </c>
      <c r="N604" t="s">
        <v>179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136372.44078195709</v>
      </c>
      <c r="Z604">
        <v>681862203.90978539</v>
      </c>
      <c r="AA604">
        <v>954607085.47369945</v>
      </c>
      <c r="AB604">
        <v>954607.0854736995</v>
      </c>
      <c r="AC604">
        <v>0</v>
      </c>
      <c r="AD604">
        <v>7067.0036928461013</v>
      </c>
      <c r="AE604">
        <v>12720606.647122979</v>
      </c>
      <c r="AF604">
        <v>12720606.647122979</v>
      </c>
      <c r="AG604">
        <v>572.63769795447763</v>
      </c>
      <c r="AH604">
        <v>559.8338985398824</v>
      </c>
      <c r="AI604">
        <v>559.8338985398824</v>
      </c>
      <c r="AJ604">
        <v>31024.73027789524</v>
      </c>
      <c r="AK604">
        <v>854.70085470085473</v>
      </c>
      <c r="AL604" t="s">
        <v>69</v>
      </c>
      <c r="AM604">
        <v>43387.127136840892</v>
      </c>
      <c r="AN604">
        <v>1484.766975020028</v>
      </c>
      <c r="AO604">
        <v>95171.762751780014</v>
      </c>
      <c r="AP604">
        <v>76751.32524445701</v>
      </c>
      <c r="AQ604">
        <v>-18420.437507323</v>
      </c>
      <c r="AR604">
        <v>2.4389348038611112E-3</v>
      </c>
      <c r="AS604">
        <v>54.178637537694158</v>
      </c>
      <c r="AT604">
        <v>75.767151362588052</v>
      </c>
      <c r="AU604">
        <v>2.592855797520444</v>
      </c>
      <c r="AV604">
        <v>166.1989126663222</v>
      </c>
      <c r="AW604">
        <v>134.03121296173981</v>
      </c>
      <c r="AX604">
        <v>-32.16769970458239</v>
      </c>
      <c r="AY604">
        <v>0.97764066274307171</v>
      </c>
      <c r="AZ604" t="str">
        <f>VLOOKUP(BA604,Sheet1!$A$1:$B$58,2,FALSE)</f>
        <v>3-Methyl-1-Pentanol</v>
      </c>
      <c r="BA604" t="s">
        <v>87</v>
      </c>
      <c r="BB604" t="s">
        <v>88</v>
      </c>
      <c r="BC604">
        <v>102.17296</v>
      </c>
      <c r="BD604">
        <v>6</v>
      </c>
      <c r="BE604">
        <v>153</v>
      </c>
      <c r="BF604" t="s">
        <v>198</v>
      </c>
      <c r="BG604">
        <v>19.316062102011461</v>
      </c>
      <c r="BH604">
        <v>1.96680497925311E-2</v>
      </c>
      <c r="BI604">
        <v>4.36576217201603E-2</v>
      </c>
      <c r="BJ604">
        <v>90</v>
      </c>
      <c r="BK604">
        <v>3411.1700108647569</v>
      </c>
      <c r="BL604">
        <v>-818.68611143657745</v>
      </c>
      <c r="BM604">
        <v>5.5654444997610959</v>
      </c>
      <c r="BN604">
        <v>946.12556495938634</v>
      </c>
      <c r="BO604">
        <v>2465.044445905371</v>
      </c>
    </row>
    <row r="605" spans="1:67" x14ac:dyDescent="0.25">
      <c r="A605" s="1">
        <v>603</v>
      </c>
      <c r="B605" t="s">
        <v>180</v>
      </c>
      <c r="C605" t="s">
        <v>195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67</v>
      </c>
      <c r="J605">
        <v>1.4</v>
      </c>
      <c r="K605">
        <v>500</v>
      </c>
      <c r="L605">
        <v>100</v>
      </c>
      <c r="N605" t="s">
        <v>179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128482.12760490899</v>
      </c>
      <c r="Z605">
        <v>642410638.02454495</v>
      </c>
      <c r="AA605">
        <v>899374893.23436284</v>
      </c>
      <c r="AB605">
        <v>899374.89323436283</v>
      </c>
      <c r="AC605">
        <v>0</v>
      </c>
      <c r="AD605">
        <v>6658.1170289411421</v>
      </c>
      <c r="AE605">
        <v>11984610.652094049</v>
      </c>
      <c r="AF605">
        <v>11984610.652094049</v>
      </c>
      <c r="AG605">
        <v>539.50570480441809</v>
      </c>
      <c r="AH605">
        <v>527.44271479865938</v>
      </c>
      <c r="AI605">
        <v>527.44271479865938</v>
      </c>
      <c r="AJ605">
        <v>29229.68403011679</v>
      </c>
      <c r="AK605">
        <v>854.70085470085473</v>
      </c>
      <c r="AL605" t="s">
        <v>69</v>
      </c>
      <c r="AM605">
        <v>40876.8103968961</v>
      </c>
      <c r="AN605">
        <v>1398.8604944974879</v>
      </c>
      <c r="AO605">
        <v>89665.261515772101</v>
      </c>
      <c r="AP605">
        <v>72360.055776211244</v>
      </c>
      <c r="AQ605">
        <v>-17305.205739560861</v>
      </c>
      <c r="AR605">
        <v>2.4389348038611112E-3</v>
      </c>
      <c r="AS605">
        <v>54.178637537694158</v>
      </c>
      <c r="AT605">
        <v>75.767151362588066</v>
      </c>
      <c r="AU605">
        <v>2.592855797520444</v>
      </c>
      <c r="AV605">
        <v>166.1989126663222</v>
      </c>
      <c r="AW605">
        <v>134.12287420101191</v>
      </c>
      <c r="AX605">
        <v>-32.07603846531029</v>
      </c>
      <c r="AY605">
        <v>0.97764066274307182</v>
      </c>
      <c r="AZ605" t="str">
        <f>VLOOKUP(BA605,Sheet1!$A$1:$B$58,2,FALSE)</f>
        <v>4-Hydroxystyrene</v>
      </c>
      <c r="BA605" t="s">
        <v>89</v>
      </c>
      <c r="BB605" t="s">
        <v>90</v>
      </c>
      <c r="BC605">
        <v>120.14731999999999</v>
      </c>
      <c r="BD605">
        <v>4.75</v>
      </c>
      <c r="BE605">
        <v>229</v>
      </c>
      <c r="BF605" t="s">
        <v>198</v>
      </c>
      <c r="BG605">
        <v>17.702969186474359</v>
      </c>
      <c r="BH605">
        <v>1.7752808988764E-2</v>
      </c>
      <c r="BI605">
        <v>4.6338712968870301E-2</v>
      </c>
      <c r="BJ605">
        <v>90</v>
      </c>
      <c r="BK605">
        <v>3216.0024789427221</v>
      </c>
      <c r="BL605">
        <v>-769.12025509159344</v>
      </c>
      <c r="BM605">
        <v>5.7389292490216057</v>
      </c>
      <c r="BN605">
        <v>975.61797233367292</v>
      </c>
      <c r="BO605">
        <v>2240.3845066090489</v>
      </c>
    </row>
    <row r="606" spans="1:67" x14ac:dyDescent="0.25">
      <c r="A606" s="1">
        <v>604</v>
      </c>
      <c r="B606" t="s">
        <v>180</v>
      </c>
      <c r="C606" t="s">
        <v>195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67</v>
      </c>
      <c r="J606">
        <v>1.4</v>
      </c>
      <c r="K606">
        <v>500</v>
      </c>
      <c r="L606">
        <v>100</v>
      </c>
      <c r="N606" t="s">
        <v>179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94760.009228459458</v>
      </c>
      <c r="Z606">
        <v>473800046.14229733</v>
      </c>
      <c r="AA606">
        <v>663320064.5992161</v>
      </c>
      <c r="AB606">
        <v>663320.0645992161</v>
      </c>
      <c r="AC606">
        <v>0</v>
      </c>
      <c r="AD606">
        <v>4910.5914018388312</v>
      </c>
      <c r="AE606">
        <v>8839064.5233098958</v>
      </c>
      <c r="AF606">
        <v>8839064.5233098958</v>
      </c>
      <c r="AG606">
        <v>397.90410167616079</v>
      </c>
      <c r="AH606">
        <v>389.00722967086853</v>
      </c>
      <c r="AI606">
        <v>389.00722967086853</v>
      </c>
      <c r="AJ606">
        <v>21557.902099474519</v>
      </c>
      <c r="AK606">
        <v>854.70085470085473</v>
      </c>
      <c r="AL606" t="s">
        <v>69</v>
      </c>
      <c r="AM606">
        <v>30148.06029949231</v>
      </c>
      <c r="AN606">
        <v>1031.7079568881979</v>
      </c>
      <c r="AO606">
        <v>66131.22904404765</v>
      </c>
      <c r="AP606">
        <v>53592.371210555881</v>
      </c>
      <c r="AQ606">
        <v>-12538.857833491769</v>
      </c>
      <c r="AR606">
        <v>2.4389348038611112E-3</v>
      </c>
      <c r="AS606">
        <v>54.178637537694158</v>
      </c>
      <c r="AT606">
        <v>75.767151362588066</v>
      </c>
      <c r="AU606">
        <v>2.592855797520444</v>
      </c>
      <c r="AV606">
        <v>166.1989126663222</v>
      </c>
      <c r="AW606">
        <v>134.6866518460086</v>
      </c>
      <c r="AX606">
        <v>-31.512260820313632</v>
      </c>
      <c r="AY606">
        <v>0.97764066274307182</v>
      </c>
      <c r="AZ606" t="str">
        <f>VLOOKUP(BA606,Sheet1!$A$1:$B$58,2,FALSE)</f>
        <v>5-Aminopentanoate</v>
      </c>
      <c r="BA606" t="s">
        <v>91</v>
      </c>
      <c r="BB606" t="s">
        <v>92</v>
      </c>
      <c r="BC606">
        <v>117.14444</v>
      </c>
      <c r="BD606">
        <v>4.8</v>
      </c>
      <c r="BE606">
        <v>247.5</v>
      </c>
      <c r="BF606" t="s">
        <v>198</v>
      </c>
      <c r="BG606">
        <v>13.339374402266101</v>
      </c>
      <c r="BH606">
        <v>2.4687500000000001E-2</v>
      </c>
      <c r="BI606">
        <v>6.2829209085023596E-2</v>
      </c>
      <c r="BJ606">
        <v>90</v>
      </c>
      <c r="BK606">
        <v>2381.883164913595</v>
      </c>
      <c r="BL606">
        <v>-557.28257037741218</v>
      </c>
      <c r="BM606">
        <v>3.9498358053280569</v>
      </c>
      <c r="BN606">
        <v>671.47208690576963</v>
      </c>
      <c r="BO606">
        <v>1710.4110780078249</v>
      </c>
    </row>
    <row r="607" spans="1:67" x14ac:dyDescent="0.25">
      <c r="A607" s="1">
        <v>605</v>
      </c>
      <c r="B607" t="s">
        <v>180</v>
      </c>
      <c r="C607" t="s">
        <v>195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67</v>
      </c>
      <c r="J607">
        <v>1.4</v>
      </c>
      <c r="K607">
        <v>500</v>
      </c>
      <c r="L607">
        <v>100</v>
      </c>
      <c r="N607" t="s">
        <v>179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90588.744212315214</v>
      </c>
      <c r="Z607">
        <v>452943721.06157613</v>
      </c>
      <c r="AA607">
        <v>634121209.48620641</v>
      </c>
      <c r="AB607">
        <v>634121.20948620641</v>
      </c>
      <c r="AC607">
        <v>0</v>
      </c>
      <c r="AD607">
        <v>4694.4308264036272</v>
      </c>
      <c r="AE607">
        <v>8449975.4875265285</v>
      </c>
      <c r="AF607">
        <v>8449975.4875265285</v>
      </c>
      <c r="AG607">
        <v>380.38865953325751</v>
      </c>
      <c r="AH607">
        <v>371.88342120604261</v>
      </c>
      <c r="AI607">
        <v>371.88342120604261</v>
      </c>
      <c r="AJ607">
        <v>20608.939308301709</v>
      </c>
      <c r="AK607">
        <v>854.70085470085473</v>
      </c>
      <c r="AL607" t="s">
        <v>69</v>
      </c>
      <c r="AM607">
        <v>28820.9651434683</v>
      </c>
      <c r="AN607">
        <v>986.2929411818368</v>
      </c>
      <c r="AO607">
        <v>63220.181605027232</v>
      </c>
      <c r="AP607">
        <v>51270.898247652687</v>
      </c>
      <c r="AQ607">
        <v>-11949.283357374539</v>
      </c>
      <c r="AR607">
        <v>2.4389348038611112E-3</v>
      </c>
      <c r="AS607">
        <v>54.178637537694172</v>
      </c>
      <c r="AT607">
        <v>75.767151362588066</v>
      </c>
      <c r="AU607">
        <v>2.592855797520444</v>
      </c>
      <c r="AV607">
        <v>166.1989126663222</v>
      </c>
      <c r="AW607">
        <v>134.78555935543099</v>
      </c>
      <c r="AX607">
        <v>-31.413353310891239</v>
      </c>
      <c r="AY607">
        <v>0.97764066274307182</v>
      </c>
      <c r="AZ607" t="str">
        <f>VLOOKUP(BA607,Sheet1!$A$1:$B$58,2,FALSE)</f>
        <v>Acetone</v>
      </c>
      <c r="BA607" t="s">
        <v>93</v>
      </c>
      <c r="BB607" t="s">
        <v>94</v>
      </c>
      <c r="BC607">
        <v>58.078139999999998</v>
      </c>
      <c r="BD607">
        <v>5.333333333333333</v>
      </c>
      <c r="BE607">
        <v>56</v>
      </c>
      <c r="BF607" t="s">
        <v>198</v>
      </c>
      <c r="BG607">
        <v>12.274630721971951</v>
      </c>
      <c r="BH607">
        <v>5.2087912087911997E-2</v>
      </c>
      <c r="BI607">
        <v>6.5722253735627595E-2</v>
      </c>
      <c r="BJ607">
        <v>90</v>
      </c>
      <c r="BK607">
        <v>2278.7065887845638</v>
      </c>
      <c r="BL607">
        <v>-531.07926032775697</v>
      </c>
      <c r="BM607">
        <v>4.253521331629937</v>
      </c>
      <c r="BN607">
        <v>723.09862637708932</v>
      </c>
      <c r="BO607">
        <v>1555.607962407475</v>
      </c>
    </row>
    <row r="608" spans="1:67" x14ac:dyDescent="0.25">
      <c r="A608" s="1">
        <v>606</v>
      </c>
      <c r="B608" t="s">
        <v>180</v>
      </c>
      <c r="C608" t="s">
        <v>195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67</v>
      </c>
      <c r="J608">
        <v>1.4</v>
      </c>
      <c r="K608">
        <v>500</v>
      </c>
      <c r="L608">
        <v>100</v>
      </c>
      <c r="N608" t="s">
        <v>179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73232.160458511848</v>
      </c>
      <c r="Z608">
        <v>366160802.29255933</v>
      </c>
      <c r="AA608">
        <v>512625123.20958292</v>
      </c>
      <c r="AB608">
        <v>512625.12320958287</v>
      </c>
      <c r="AC608">
        <v>0</v>
      </c>
      <c r="AD608">
        <v>3794.9892619643879</v>
      </c>
      <c r="AE608">
        <v>6830980.6715358989</v>
      </c>
      <c r="AF608">
        <v>6830980.6715358989</v>
      </c>
      <c r="AG608">
        <v>307.50711463942258</v>
      </c>
      <c r="AH608">
        <v>300.63145935429492</v>
      </c>
      <c r="AI608">
        <v>300.63145935429492</v>
      </c>
      <c r="AJ608">
        <v>16660.31650431145</v>
      </c>
      <c r="AK608">
        <v>854.70085470085473</v>
      </c>
      <c r="AL608" t="s">
        <v>69</v>
      </c>
      <c r="AM608">
        <v>23298.938099957861</v>
      </c>
      <c r="AN608">
        <v>797.32160497161067</v>
      </c>
      <c r="AO608">
        <v>51107.348090230138</v>
      </c>
      <c r="AP608">
        <v>41611.277063941758</v>
      </c>
      <c r="AQ608">
        <v>-9496.0710262883731</v>
      </c>
      <c r="AR608">
        <v>2.4389348038611112E-3</v>
      </c>
      <c r="AS608">
        <v>54.178637537694158</v>
      </c>
      <c r="AT608">
        <v>75.767151362588066</v>
      </c>
      <c r="AU608">
        <v>2.592855797520444</v>
      </c>
      <c r="AV608">
        <v>166.1989126663222</v>
      </c>
      <c r="AW608">
        <v>135.31809536418169</v>
      </c>
      <c r="AX608">
        <v>-30.880817302140489</v>
      </c>
      <c r="AY608">
        <v>0.97764066274307182</v>
      </c>
      <c r="AZ608" t="str">
        <f>VLOOKUP(BA608,Sheet1!$A$1:$B$58,2,FALSE)</f>
        <v>Acrylate (PW1)</v>
      </c>
      <c r="BA608" t="s">
        <v>95</v>
      </c>
      <c r="BB608" t="s">
        <v>96</v>
      </c>
      <c r="BC608">
        <v>71.053619999999995</v>
      </c>
      <c r="BD608">
        <v>3.666666666666667</v>
      </c>
      <c r="BE608">
        <v>80</v>
      </c>
      <c r="BF608" t="s">
        <v>198</v>
      </c>
      <c r="BG608">
        <v>9.9024217399817491</v>
      </c>
      <c r="BH608">
        <v>5.2666666666666903E-2</v>
      </c>
      <c r="BI608">
        <v>8.12989319915884E-2</v>
      </c>
      <c r="BJ608">
        <v>90</v>
      </c>
      <c r="BK608">
        <v>1849.3900917307451</v>
      </c>
      <c r="BL608">
        <v>-422.04760116837252</v>
      </c>
      <c r="BM608">
        <v>3.458976453542471</v>
      </c>
      <c r="BN608">
        <v>588.02599710222012</v>
      </c>
      <c r="BO608">
        <v>1261.364094628525</v>
      </c>
    </row>
    <row r="609" spans="1:67" x14ac:dyDescent="0.25">
      <c r="A609" s="1">
        <v>607</v>
      </c>
      <c r="B609" t="s">
        <v>180</v>
      </c>
      <c r="C609" t="s">
        <v>195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67</v>
      </c>
      <c r="J609">
        <v>1.4</v>
      </c>
      <c r="K609">
        <v>500</v>
      </c>
      <c r="L609">
        <v>100</v>
      </c>
      <c r="N609" t="s">
        <v>179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61840.491053854428</v>
      </c>
      <c r="Z609">
        <v>309202455.26927209</v>
      </c>
      <c r="AA609">
        <v>432883437.37698102</v>
      </c>
      <c r="AB609">
        <v>432883.43737698102</v>
      </c>
      <c r="AC609">
        <v>0</v>
      </c>
      <c r="AD609">
        <v>3204.6575989921489</v>
      </c>
      <c r="AE609">
        <v>5768383.6781858681</v>
      </c>
      <c r="AF609">
        <v>5768383.6781858681</v>
      </c>
      <c r="AG609">
        <v>259.67267458440119</v>
      </c>
      <c r="AH609">
        <v>253.86656567695999</v>
      </c>
      <c r="AI609">
        <v>253.86656567695999</v>
      </c>
      <c r="AJ609">
        <v>14068.71171475188</v>
      </c>
      <c r="AK609">
        <v>854.70085470085473</v>
      </c>
      <c r="AL609" t="s">
        <v>69</v>
      </c>
      <c r="AM609">
        <v>19674.658839964399</v>
      </c>
      <c r="AN609">
        <v>673.29379975380425</v>
      </c>
      <c r="AO609">
        <v>43157.316165083197</v>
      </c>
      <c r="AP609">
        <v>35271.365209170937</v>
      </c>
      <c r="AQ609">
        <v>-7885.9509559122598</v>
      </c>
      <c r="AR609">
        <v>2.4389348038611112E-3</v>
      </c>
      <c r="AS609">
        <v>54.178637537694158</v>
      </c>
      <c r="AT609">
        <v>75.767151362588038</v>
      </c>
      <c r="AU609">
        <v>2.592855797520444</v>
      </c>
      <c r="AV609">
        <v>166.19891266632209</v>
      </c>
      <c r="AW609">
        <v>135.8300994343042</v>
      </c>
      <c r="AX609">
        <v>-30.368813232017938</v>
      </c>
      <c r="AY609">
        <v>0.9776406627430716</v>
      </c>
      <c r="AZ609" t="str">
        <f>VLOOKUP(BA609,Sheet1!$A$1:$B$58,2,FALSE)</f>
        <v>Acrylate (PW2)</v>
      </c>
      <c r="BA609" t="s">
        <v>97</v>
      </c>
      <c r="BB609" t="s">
        <v>96</v>
      </c>
      <c r="BC609">
        <v>71.053619999999995</v>
      </c>
      <c r="BD609">
        <v>3.666666666666667</v>
      </c>
      <c r="BE609">
        <v>80</v>
      </c>
      <c r="BF609" t="s">
        <v>198</v>
      </c>
      <c r="BG609">
        <v>8.0729957125372458</v>
      </c>
      <c r="BH609">
        <v>6.2368421052631899E-2</v>
      </c>
      <c r="BI609">
        <v>9.6275051042670506E-2</v>
      </c>
      <c r="BJ609">
        <v>90</v>
      </c>
      <c r="BK609">
        <v>1567.616231518708</v>
      </c>
      <c r="BL609">
        <v>-350.48670915165582</v>
      </c>
      <c r="BM609">
        <v>3.2099627619943099</v>
      </c>
      <c r="BN609">
        <v>545.69366953903273</v>
      </c>
      <c r="BO609">
        <v>1021.9225619796759</v>
      </c>
    </row>
    <row r="610" spans="1:67" x14ac:dyDescent="0.25">
      <c r="A610" s="1">
        <v>608</v>
      </c>
      <c r="B610" t="s">
        <v>180</v>
      </c>
      <c r="C610" t="s">
        <v>195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67</v>
      </c>
      <c r="J610">
        <v>1.4</v>
      </c>
      <c r="K610">
        <v>500</v>
      </c>
      <c r="L610">
        <v>100</v>
      </c>
      <c r="N610" t="s">
        <v>179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82236.828789743857</v>
      </c>
      <c r="Z610">
        <v>411184143.94871932</v>
      </c>
      <c r="AA610">
        <v>575657801.52820694</v>
      </c>
      <c r="AB610">
        <v>575657.80152820691</v>
      </c>
      <c r="AC610">
        <v>0</v>
      </c>
      <c r="AD610">
        <v>4261.6233119585286</v>
      </c>
      <c r="AE610">
        <v>7670921.9615253527</v>
      </c>
      <c r="AF610">
        <v>7670921.9615253527</v>
      </c>
      <c r="AG610">
        <v>345.31836531788451</v>
      </c>
      <c r="AH610">
        <v>337.59727552673081</v>
      </c>
      <c r="AI610">
        <v>337.59727552673081</v>
      </c>
      <c r="AJ610">
        <v>18708.87854966673</v>
      </c>
      <c r="AK610">
        <v>854.70085470085473</v>
      </c>
      <c r="AL610" t="s">
        <v>69</v>
      </c>
      <c r="AM610">
        <v>26163.788853321628</v>
      </c>
      <c r="AN610">
        <v>895.36072550475933</v>
      </c>
      <c r="AO610">
        <v>57391.536839544227</v>
      </c>
      <c r="AP610">
        <v>46622.728983193971</v>
      </c>
      <c r="AQ610">
        <v>-10768.80785635026</v>
      </c>
      <c r="AR610">
        <v>2.4389348038611112E-3</v>
      </c>
      <c r="AS610">
        <v>54.178637537694172</v>
      </c>
      <c r="AT610">
        <v>75.767151362588052</v>
      </c>
      <c r="AU610">
        <v>2.592855797520444</v>
      </c>
      <c r="AV610">
        <v>166.1989126663222</v>
      </c>
      <c r="AW610">
        <v>135.01375445315571</v>
      </c>
      <c r="AX610">
        <v>-31.185158213166488</v>
      </c>
      <c r="AY610">
        <v>0.97764066274307171</v>
      </c>
      <c r="AZ610" t="str">
        <f>VLOOKUP(BA610,Sheet1!$A$1:$B$58,2,FALSE)</f>
        <v>Adipate</v>
      </c>
      <c r="BA610" t="s">
        <v>98</v>
      </c>
      <c r="BB610" t="s">
        <v>99</v>
      </c>
      <c r="BC610">
        <v>144.12291999999999</v>
      </c>
      <c r="BD610">
        <v>4</v>
      </c>
      <c r="BE610">
        <v>337.5</v>
      </c>
      <c r="BF610" t="s">
        <v>198</v>
      </c>
      <c r="BG610">
        <v>11.37449946163566</v>
      </c>
      <c r="BH610">
        <v>2.3121951219512299E-2</v>
      </c>
      <c r="BI610">
        <v>7.2396960344075903E-2</v>
      </c>
      <c r="BJ610">
        <v>90</v>
      </c>
      <c r="BK610">
        <v>2072.1212881419542</v>
      </c>
      <c r="BL610">
        <v>-478.6136825044556</v>
      </c>
      <c r="BM610">
        <v>3.6298238951079238</v>
      </c>
      <c r="BN610">
        <v>617.07006216834702</v>
      </c>
      <c r="BO610">
        <v>1455.051225973607</v>
      </c>
    </row>
    <row r="611" spans="1:67" x14ac:dyDescent="0.25">
      <c r="A611" s="1">
        <v>609</v>
      </c>
      <c r="B611" t="s">
        <v>180</v>
      </c>
      <c r="C611" t="s">
        <v>195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67</v>
      </c>
      <c r="J611">
        <v>1.4</v>
      </c>
      <c r="K611">
        <v>500</v>
      </c>
      <c r="L611">
        <v>100</v>
      </c>
      <c r="N611" t="s">
        <v>179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106931.5913497205</v>
      </c>
      <c r="Z611">
        <v>534657956.74860269</v>
      </c>
      <c r="AA611">
        <v>748521139.4480437</v>
      </c>
      <c r="AB611">
        <v>748521.13944804366</v>
      </c>
      <c r="AC611">
        <v>0</v>
      </c>
      <c r="AD611">
        <v>5541.3391930018697</v>
      </c>
      <c r="AE611">
        <v>9974410.5474033654</v>
      </c>
      <c r="AF611">
        <v>9974410.5474033654</v>
      </c>
      <c r="AG611">
        <v>449.01345138360551</v>
      </c>
      <c r="AH611">
        <v>438.97380819122208</v>
      </c>
      <c r="AI611">
        <v>438.97380819122208</v>
      </c>
      <c r="AJ611">
        <v>24326.937032061422</v>
      </c>
      <c r="AK611">
        <v>854.70085470085473</v>
      </c>
      <c r="AL611" t="s">
        <v>69</v>
      </c>
      <c r="AM611">
        <v>34020.470134819712</v>
      </c>
      <c r="AN611">
        <v>1164.227130584645</v>
      </c>
      <c r="AO611">
        <v>74625.547392507753</v>
      </c>
      <c r="AP611">
        <v>60366.335152166634</v>
      </c>
      <c r="AQ611">
        <v>-14259.21224034113</v>
      </c>
      <c r="AR611">
        <v>2.4389348038611099E-3</v>
      </c>
      <c r="AS611">
        <v>54.178637537694158</v>
      </c>
      <c r="AT611">
        <v>75.767151362588066</v>
      </c>
      <c r="AU611">
        <v>2.5928557975204432</v>
      </c>
      <c r="AV611">
        <v>166.1989126663222</v>
      </c>
      <c r="AW611">
        <v>134.4421530494281</v>
      </c>
      <c r="AX611">
        <v>-31.756759616894101</v>
      </c>
      <c r="AY611">
        <v>0.97764066274307182</v>
      </c>
      <c r="AZ611" t="str">
        <f>VLOOKUP(BA611,Sheet1!$A$1:$B$58,2,FALSE)</f>
        <v>Benzoate (PW1)</v>
      </c>
      <c r="BA611" t="s">
        <v>100</v>
      </c>
      <c r="BB611" t="s">
        <v>101</v>
      </c>
      <c r="BC611">
        <v>121.1121</v>
      </c>
      <c r="BD611">
        <v>4.1428571428571432</v>
      </c>
      <c r="BE611">
        <v>249.2</v>
      </c>
      <c r="BF611" t="s">
        <v>198</v>
      </c>
      <c r="BG611">
        <v>14.62882295290421</v>
      </c>
      <c r="BH611">
        <v>2.11607142857143E-2</v>
      </c>
      <c r="BI611">
        <v>5.5677619285044E-2</v>
      </c>
      <c r="BJ611">
        <v>90</v>
      </c>
      <c r="BK611">
        <v>2682.9482289851831</v>
      </c>
      <c r="BL611">
        <v>-633.74276623738331</v>
      </c>
      <c r="BM611">
        <v>4.8811240778167768</v>
      </c>
      <c r="BN611">
        <v>829.79109322885211</v>
      </c>
      <c r="BO611">
        <v>1853.1571357563309</v>
      </c>
    </row>
    <row r="612" spans="1:67" x14ac:dyDescent="0.25">
      <c r="A612" s="1">
        <v>610</v>
      </c>
      <c r="B612" t="s">
        <v>180</v>
      </c>
      <c r="C612" t="s">
        <v>195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67</v>
      </c>
      <c r="J612">
        <v>1.4</v>
      </c>
      <c r="K612">
        <v>500</v>
      </c>
      <c r="L612">
        <v>100</v>
      </c>
      <c r="N612" t="s">
        <v>179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106931.59134971999</v>
      </c>
      <c r="Z612">
        <v>534657956.74859989</v>
      </c>
      <c r="AA612">
        <v>748521139.44803977</v>
      </c>
      <c r="AB612">
        <v>748521.13944803982</v>
      </c>
      <c r="AC612">
        <v>0</v>
      </c>
      <c r="AD612">
        <v>5541.3391930018406</v>
      </c>
      <c r="AE612">
        <v>9974410.5474033132</v>
      </c>
      <c r="AF612">
        <v>9974410.5474033132</v>
      </c>
      <c r="AG612">
        <v>449.01345138360318</v>
      </c>
      <c r="AH612">
        <v>438.97380819121969</v>
      </c>
      <c r="AI612">
        <v>438.97380819121969</v>
      </c>
      <c r="AJ612">
        <v>24326.937032061291</v>
      </c>
      <c r="AK612">
        <v>854.70085470085473</v>
      </c>
      <c r="AL612" t="s">
        <v>69</v>
      </c>
      <c r="AM612">
        <v>34020.470134819523</v>
      </c>
      <c r="AN612">
        <v>1164.2271305846391</v>
      </c>
      <c r="AO612">
        <v>74625.547392507346</v>
      </c>
      <c r="AP612">
        <v>60366.335152166313</v>
      </c>
      <c r="AQ612">
        <v>-14259.212240341039</v>
      </c>
      <c r="AR612">
        <v>2.4389348038611112E-3</v>
      </c>
      <c r="AS612">
        <v>54.178637537694158</v>
      </c>
      <c r="AT612">
        <v>75.767151362588038</v>
      </c>
      <c r="AU612">
        <v>2.592855797520444</v>
      </c>
      <c r="AV612">
        <v>166.19891266632209</v>
      </c>
      <c r="AW612">
        <v>134.4421530494281</v>
      </c>
      <c r="AX612">
        <v>-31.756759616894069</v>
      </c>
      <c r="AY612">
        <v>0.97764066274307138</v>
      </c>
      <c r="AZ612" t="str">
        <f>VLOOKUP(BA612,Sheet1!$A$1:$B$58,2,FALSE)</f>
        <v>Benzoate (PW2)</v>
      </c>
      <c r="BA612" t="s">
        <v>102</v>
      </c>
      <c r="BB612" t="s">
        <v>101</v>
      </c>
      <c r="BC612">
        <v>121.1121</v>
      </c>
      <c r="BD612">
        <v>4.1428571428571432</v>
      </c>
      <c r="BE612">
        <v>249.2</v>
      </c>
      <c r="BF612" t="s">
        <v>198</v>
      </c>
      <c r="BG612">
        <v>14.628822952904139</v>
      </c>
      <c r="BH612">
        <v>2.1160714285714501E-2</v>
      </c>
      <c r="BI612">
        <v>5.5677619285044298E-2</v>
      </c>
      <c r="BJ612">
        <v>90</v>
      </c>
      <c r="BK612">
        <v>2682.948228985169</v>
      </c>
      <c r="BL612">
        <v>-633.74276623737944</v>
      </c>
      <c r="BM612">
        <v>4.8811240778167377</v>
      </c>
      <c r="BN612">
        <v>829.7910932288454</v>
      </c>
      <c r="BO612">
        <v>1853.157135756323</v>
      </c>
    </row>
    <row r="613" spans="1:67" x14ac:dyDescent="0.25">
      <c r="A613" s="1">
        <v>611</v>
      </c>
      <c r="B613" t="s">
        <v>180</v>
      </c>
      <c r="C613" t="s">
        <v>195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67</v>
      </c>
      <c r="J613">
        <v>1.4</v>
      </c>
      <c r="K613">
        <v>500</v>
      </c>
      <c r="L613">
        <v>100</v>
      </c>
      <c r="N613" t="s">
        <v>179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141683.28882528539</v>
      </c>
      <c r="Z613">
        <v>708416444.12642682</v>
      </c>
      <c r="AA613">
        <v>991783021.77699745</v>
      </c>
      <c r="AB613">
        <v>991783.02177699748</v>
      </c>
      <c r="AC613">
        <v>0</v>
      </c>
      <c r="AD613">
        <v>7342.2189967530994</v>
      </c>
      <c r="AE613">
        <v>13215994.194155579</v>
      </c>
      <c r="AF613">
        <v>13215994.194155579</v>
      </c>
      <c r="AG613">
        <v>594.93833128097231</v>
      </c>
      <c r="AH613">
        <v>581.63590448478715</v>
      </c>
      <c r="AI613">
        <v>581.63590448478715</v>
      </c>
      <c r="AJ613">
        <v>32232.948207752419</v>
      </c>
      <c r="AK613">
        <v>854.70085470085473</v>
      </c>
      <c r="AL613" t="s">
        <v>69</v>
      </c>
      <c r="AM613">
        <v>45076.782597571007</v>
      </c>
      <c r="AN613">
        <v>1542.589301429007</v>
      </c>
      <c r="AO613">
        <v>98878.103762413812</v>
      </c>
      <c r="AP613">
        <v>79707.020961453294</v>
      </c>
      <c r="AQ613">
        <v>-19171.082800960521</v>
      </c>
      <c r="AR613">
        <v>2.4389348038611112E-3</v>
      </c>
      <c r="AS613">
        <v>54.178637537694158</v>
      </c>
      <c r="AT613">
        <v>75.767151362588081</v>
      </c>
      <c r="AU613">
        <v>2.5928557975204432</v>
      </c>
      <c r="AV613">
        <v>166.1989126663222</v>
      </c>
      <c r="AW613">
        <v>133.97526562095049</v>
      </c>
      <c r="AX613">
        <v>-32.223647045371763</v>
      </c>
      <c r="AY613">
        <v>0.97764066274307204</v>
      </c>
      <c r="AZ613" t="str">
        <f>VLOOKUP(BA613,Sheet1!$A$1:$B$58,2,FALSE)</f>
        <v>Benzyl Alcohol</v>
      </c>
      <c r="BA613" t="s">
        <v>103</v>
      </c>
      <c r="BB613" t="s">
        <v>104</v>
      </c>
      <c r="BC613">
        <v>108.13661999999999</v>
      </c>
      <c r="BD613">
        <v>4.8571428571428568</v>
      </c>
      <c r="BE613">
        <v>205</v>
      </c>
      <c r="BF613" t="s">
        <v>198</v>
      </c>
      <c r="BG613">
        <v>19.904493811109539</v>
      </c>
      <c r="BH613">
        <v>1.7886792452830199E-2</v>
      </c>
      <c r="BI613">
        <v>4.2021162002071802E-2</v>
      </c>
      <c r="BJ613">
        <v>90</v>
      </c>
      <c r="BK613">
        <v>3542.53426495348</v>
      </c>
      <c r="BL613">
        <v>-852.0481244871338</v>
      </c>
      <c r="BM613">
        <v>5.9459908326587794</v>
      </c>
      <c r="BN613">
        <v>1010.818441551992</v>
      </c>
      <c r="BO613">
        <v>2531.7158234014869</v>
      </c>
    </row>
    <row r="614" spans="1:67" x14ac:dyDescent="0.25">
      <c r="A614" s="1">
        <v>612</v>
      </c>
      <c r="B614" t="s">
        <v>180</v>
      </c>
      <c r="C614" t="s">
        <v>195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67</v>
      </c>
      <c r="J614">
        <v>1.4</v>
      </c>
      <c r="K614">
        <v>500</v>
      </c>
      <c r="L614">
        <v>100</v>
      </c>
      <c r="N614" t="s">
        <v>179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156367.11396817569</v>
      </c>
      <c r="Z614">
        <v>781835569.84087873</v>
      </c>
      <c r="AA614">
        <v>1094569797.77723</v>
      </c>
      <c r="AB614">
        <v>1094569.7977772299</v>
      </c>
      <c r="AC614">
        <v>0</v>
      </c>
      <c r="AD614">
        <v>8103.1546074592934</v>
      </c>
      <c r="AE614">
        <v>14585678.29342673</v>
      </c>
      <c r="AF614">
        <v>14585678.29342673</v>
      </c>
      <c r="AG614">
        <v>656.59677032317597</v>
      </c>
      <c r="AH614">
        <v>641.91570169371028</v>
      </c>
      <c r="AI614">
        <v>641.91570169371028</v>
      </c>
      <c r="AJ614">
        <v>35573.518427759976</v>
      </c>
      <c r="AK614">
        <v>854.70085470085473</v>
      </c>
      <c r="AL614" t="s">
        <v>69</v>
      </c>
      <c r="AM614">
        <v>49748.466881262553</v>
      </c>
      <c r="AN614">
        <v>1702.4607425656459</v>
      </c>
      <c r="AO614">
        <v>109125.6692879308</v>
      </c>
      <c r="AP614">
        <v>87879.146906289039</v>
      </c>
      <c r="AQ614">
        <v>-21246.522381641709</v>
      </c>
      <c r="AR614">
        <v>2.4389348038611112E-3</v>
      </c>
      <c r="AS614">
        <v>54.178637537694172</v>
      </c>
      <c r="AT614">
        <v>75.767151362588066</v>
      </c>
      <c r="AU614">
        <v>2.592855797520444</v>
      </c>
      <c r="AV614">
        <v>166.1989126663222</v>
      </c>
      <c r="AW614">
        <v>133.8403581592932</v>
      </c>
      <c r="AX614">
        <v>-32.358554507029027</v>
      </c>
      <c r="AY614">
        <v>0.97764066274307182</v>
      </c>
      <c r="AZ614" t="str">
        <f>VLOOKUP(BA614,Sheet1!$A$1:$B$58,2,FALSE)</f>
        <v>Beta Carotene</v>
      </c>
      <c r="BA614" t="s">
        <v>105</v>
      </c>
      <c r="BB614" t="s">
        <v>106</v>
      </c>
      <c r="BC614">
        <v>536.86703999999997</v>
      </c>
      <c r="BD614">
        <v>5.4</v>
      </c>
      <c r="BE614">
        <v>633</v>
      </c>
      <c r="BF614" t="s">
        <v>198</v>
      </c>
      <c r="BG614">
        <v>21.83249004035995</v>
      </c>
      <c r="BH614">
        <v>3.2644628099173399E-3</v>
      </c>
      <c r="BI614">
        <v>3.8075118748596697E-2</v>
      </c>
      <c r="BJ614">
        <v>90</v>
      </c>
      <c r="BK614">
        <v>3905.7398625017349</v>
      </c>
      <c r="BL614">
        <v>-944.28988362852044</v>
      </c>
      <c r="BM614">
        <v>6.6970967015827334</v>
      </c>
      <c r="BN614">
        <v>1138.5064392690649</v>
      </c>
      <c r="BO614">
        <v>2767.2334232326698</v>
      </c>
    </row>
    <row r="615" spans="1:67" x14ac:dyDescent="0.25">
      <c r="A615" s="1">
        <v>613</v>
      </c>
      <c r="B615" t="s">
        <v>180</v>
      </c>
      <c r="C615" t="s">
        <v>195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67</v>
      </c>
      <c r="J615">
        <v>1.4</v>
      </c>
      <c r="K615">
        <v>500</v>
      </c>
      <c r="L615">
        <v>100</v>
      </c>
      <c r="N615" t="s">
        <v>179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171095.82836702181</v>
      </c>
      <c r="Z615">
        <v>855479141.83510888</v>
      </c>
      <c r="AA615">
        <v>1197670798.5691521</v>
      </c>
      <c r="AB615">
        <v>1197670.7985691519</v>
      </c>
      <c r="AC615">
        <v>66773.504273504266</v>
      </c>
      <c r="AD615">
        <v>8866.416439913728</v>
      </c>
      <c r="AE615">
        <v>15959549.59184471</v>
      </c>
      <c r="AF615">
        <v>15959549.59184471</v>
      </c>
      <c r="AG615">
        <v>718.44370258326114</v>
      </c>
      <c r="AH615">
        <v>702.37977753708572</v>
      </c>
      <c r="AI615">
        <v>702.37977753708572</v>
      </c>
      <c r="AJ615">
        <v>38924.300953497463</v>
      </c>
      <c r="AK615">
        <v>2170.1388888888891</v>
      </c>
      <c r="AL615" t="s">
        <v>107</v>
      </c>
      <c r="AM615">
        <v>54434.432759124153</v>
      </c>
      <c r="AN615">
        <v>1862.820919435062</v>
      </c>
      <c r="AO615">
        <v>119404.5621813046</v>
      </c>
      <c r="AP615">
        <v>97391.693520945555</v>
      </c>
      <c r="AQ615">
        <v>-22012.868660359021</v>
      </c>
      <c r="AR615">
        <v>2.4389348038611112E-3</v>
      </c>
      <c r="AS615">
        <v>54.178637537694172</v>
      </c>
      <c r="AT615">
        <v>75.767151362588066</v>
      </c>
      <c r="AU615">
        <v>2.592855797520444</v>
      </c>
      <c r="AV615">
        <v>166.1989126663222</v>
      </c>
      <c r="AW615">
        <v>135.55925561148439</v>
      </c>
      <c r="AX615">
        <v>-30.639657054837809</v>
      </c>
      <c r="AY615">
        <v>0.97764066274307171</v>
      </c>
      <c r="AZ615" t="str">
        <f>VLOOKUP(BA615,Sheet1!$A$1:$B$58,2,FALSE)</f>
        <v>Butane</v>
      </c>
      <c r="BA615" t="s">
        <v>108</v>
      </c>
      <c r="BB615" t="s">
        <v>109</v>
      </c>
      <c r="BC615">
        <v>58.121200000000002</v>
      </c>
      <c r="BD615">
        <v>6.5</v>
      </c>
      <c r="BE615">
        <v>-1</v>
      </c>
      <c r="BF615" t="s">
        <v>198</v>
      </c>
      <c r="BG615">
        <v>24.44800420108588</v>
      </c>
      <c r="BH615">
        <v>2.7558139534883699E-2</v>
      </c>
      <c r="BI615">
        <v>3.4797437725613202E-2</v>
      </c>
      <c r="BJ615">
        <v>90</v>
      </c>
      <c r="BK615">
        <v>4328.5197120420244</v>
      </c>
      <c r="BL615">
        <v>-978.34971823817841</v>
      </c>
      <c r="BM615">
        <v>6.7688748005623687</v>
      </c>
      <c r="BN615">
        <v>1150.708716095603</v>
      </c>
      <c r="BO615">
        <v>3177.8109959464218</v>
      </c>
    </row>
    <row r="616" spans="1:67" x14ac:dyDescent="0.25">
      <c r="A616" s="1">
        <v>614</v>
      </c>
      <c r="B616" t="s">
        <v>180</v>
      </c>
      <c r="C616" t="s">
        <v>195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67</v>
      </c>
      <c r="J616">
        <v>1.4</v>
      </c>
      <c r="K616">
        <v>500</v>
      </c>
      <c r="L616">
        <v>100</v>
      </c>
      <c r="N616" t="s">
        <v>179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111543.6884116365</v>
      </c>
      <c r="Z616">
        <v>557718442.05818236</v>
      </c>
      <c r="AA616">
        <v>780805818.8814553</v>
      </c>
      <c r="AB616">
        <v>780805.81888145534</v>
      </c>
      <c r="AC616">
        <v>0</v>
      </c>
      <c r="AD616">
        <v>5780.3442792306769</v>
      </c>
      <c r="AE616">
        <v>10404619.70261522</v>
      </c>
      <c r="AF616">
        <v>10404619.70261522</v>
      </c>
      <c r="AG616">
        <v>468.37997902756609</v>
      </c>
      <c r="AH616">
        <v>457.90731311209572</v>
      </c>
      <c r="AI616">
        <v>457.90731311209572</v>
      </c>
      <c r="AJ616">
        <v>25376.189113647299</v>
      </c>
      <c r="AK616">
        <v>854.70085470085473</v>
      </c>
      <c r="AL616" t="s">
        <v>69</v>
      </c>
      <c r="AM616">
        <v>35487.816766187418</v>
      </c>
      <c r="AN616">
        <v>1214.441744064128</v>
      </c>
      <c r="AO616">
        <v>77844.243229056272</v>
      </c>
      <c r="AP616">
        <v>62933.148478599687</v>
      </c>
      <c r="AQ616">
        <v>-14911.094750456579</v>
      </c>
      <c r="AR616">
        <v>2.4389348038611112E-3</v>
      </c>
      <c r="AS616">
        <v>54.178637537694172</v>
      </c>
      <c r="AT616">
        <v>75.767151362588052</v>
      </c>
      <c r="AU616">
        <v>2.5928557975204418</v>
      </c>
      <c r="AV616">
        <v>166.1989126663222</v>
      </c>
      <c r="AW616">
        <v>134.3634469800765</v>
      </c>
      <c r="AX616">
        <v>-31.835465686245701</v>
      </c>
      <c r="AY616">
        <v>0.97764066274307171</v>
      </c>
      <c r="AZ616" t="str">
        <f>VLOOKUP(BA616,Sheet1!$A$1:$B$58,2,FALSE)</f>
        <v>Butanol (PW1)</v>
      </c>
      <c r="BA616" t="s">
        <v>110</v>
      </c>
      <c r="BB616" t="s">
        <v>111</v>
      </c>
      <c r="BC616">
        <v>74.120199999999997</v>
      </c>
      <c r="BD616">
        <v>6</v>
      </c>
      <c r="BE616">
        <v>117.7</v>
      </c>
      <c r="BF616" t="s">
        <v>198</v>
      </c>
      <c r="BG616">
        <v>15.53811036804094</v>
      </c>
      <c r="BH616">
        <v>3.3146853146853103E-2</v>
      </c>
      <c r="BI616">
        <v>5.3375466756508498E-2</v>
      </c>
      <c r="BJ616">
        <v>90</v>
      </c>
      <c r="BK616">
        <v>2797.028821271098</v>
      </c>
      <c r="BL616">
        <v>-662.71532224251371</v>
      </c>
      <c r="BM616">
        <v>4.8133257702744263</v>
      </c>
      <c r="BN616">
        <v>818.2653809466525</v>
      </c>
      <c r="BO616">
        <v>1978.763440324446</v>
      </c>
    </row>
    <row r="617" spans="1:67" x14ac:dyDescent="0.25">
      <c r="A617" s="1">
        <v>615</v>
      </c>
      <c r="B617" t="s">
        <v>180</v>
      </c>
      <c r="C617" t="s">
        <v>195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67</v>
      </c>
      <c r="J617">
        <v>1.4</v>
      </c>
      <c r="K617">
        <v>500</v>
      </c>
      <c r="L617">
        <v>100</v>
      </c>
      <c r="N617" t="s">
        <v>179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128704.2558595806</v>
      </c>
      <c r="Z617">
        <v>643521279.29790282</v>
      </c>
      <c r="AA617">
        <v>900929791.01706386</v>
      </c>
      <c r="AB617">
        <v>900929.79101706389</v>
      </c>
      <c r="AC617">
        <v>0</v>
      </c>
      <c r="AD617">
        <v>6669.6280144969351</v>
      </c>
      <c r="AE617">
        <v>12005330.42609448</v>
      </c>
      <c r="AF617">
        <v>12005330.42609448</v>
      </c>
      <c r="AG617">
        <v>540.43843733949939</v>
      </c>
      <c r="AH617">
        <v>528.35459205241818</v>
      </c>
      <c r="AI617">
        <v>528.35459205241818</v>
      </c>
      <c r="AJ617">
        <v>29280.218208054579</v>
      </c>
      <c r="AK617">
        <v>854.70085470085473</v>
      </c>
      <c r="AL617" t="s">
        <v>69</v>
      </c>
      <c r="AM617">
        <v>40947.48088406241</v>
      </c>
      <c r="AN617">
        <v>1401.27893545861</v>
      </c>
      <c r="AO617">
        <v>89820.280648911095</v>
      </c>
      <c r="AP617">
        <v>72483.678882276465</v>
      </c>
      <c r="AQ617">
        <v>-17336.601766634631</v>
      </c>
      <c r="AR617">
        <v>2.4389348038611112E-3</v>
      </c>
      <c r="AS617">
        <v>54.178637537694172</v>
      </c>
      <c r="AT617">
        <v>75.767151362588066</v>
      </c>
      <c r="AU617">
        <v>2.592855797520444</v>
      </c>
      <c r="AV617">
        <v>166.1989126663222</v>
      </c>
      <c r="AW617">
        <v>134.12014000910659</v>
      </c>
      <c r="AX617">
        <v>-32.078772657215552</v>
      </c>
      <c r="AY617">
        <v>0.97764066274307171</v>
      </c>
      <c r="AZ617" t="str">
        <f>VLOOKUP(BA617,Sheet1!$A$1:$B$58,2,FALSE)</f>
        <v>Butanol (PW2)</v>
      </c>
      <c r="BA617" t="s">
        <v>112</v>
      </c>
      <c r="BB617" t="s">
        <v>111</v>
      </c>
      <c r="BC617">
        <v>74.120199999999997</v>
      </c>
      <c r="BD617">
        <v>6</v>
      </c>
      <c r="BE617">
        <v>117.7</v>
      </c>
      <c r="BF617" t="s">
        <v>198</v>
      </c>
      <c r="BG617">
        <v>18.293982893814061</v>
      </c>
      <c r="BH617">
        <v>2.8727272727272699E-2</v>
      </c>
      <c r="BI617">
        <v>4.6258737855640698E-2</v>
      </c>
      <c r="BJ617">
        <v>90</v>
      </c>
      <c r="BK617">
        <v>3221.4968392122869</v>
      </c>
      <c r="BL617">
        <v>-770.51563407265019</v>
      </c>
      <c r="BM617">
        <v>5.188443419626747</v>
      </c>
      <c r="BN617">
        <v>882.03538133654695</v>
      </c>
      <c r="BO617">
        <v>2339.4614578757401</v>
      </c>
    </row>
    <row r="618" spans="1:67" x14ac:dyDescent="0.25">
      <c r="A618" s="1">
        <v>616</v>
      </c>
      <c r="B618" t="s">
        <v>180</v>
      </c>
      <c r="C618" t="s">
        <v>195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67</v>
      </c>
      <c r="J618">
        <v>1.4</v>
      </c>
      <c r="K618">
        <v>500</v>
      </c>
      <c r="L618">
        <v>100</v>
      </c>
      <c r="N618" t="s">
        <v>179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77002.871594879645</v>
      </c>
      <c r="Z618">
        <v>385014357.9743982</v>
      </c>
      <c r="AA618">
        <v>539020101.16415739</v>
      </c>
      <c r="AB618">
        <v>539020.10116415739</v>
      </c>
      <c r="AC618">
        <v>0</v>
      </c>
      <c r="AD618">
        <v>3990.3925954573579</v>
      </c>
      <c r="AE618">
        <v>7182706.6718232445</v>
      </c>
      <c r="AF618">
        <v>7182706.6718232445</v>
      </c>
      <c r="AG618">
        <v>323.340602200398</v>
      </c>
      <c r="AH618">
        <v>316.11092062694098</v>
      </c>
      <c r="AI618">
        <v>316.11092062694098</v>
      </c>
      <c r="AJ618">
        <v>17518.153287835121</v>
      </c>
      <c r="AK618">
        <v>854.70085470085473</v>
      </c>
      <c r="AL618" t="s">
        <v>69</v>
      </c>
      <c r="AM618">
        <v>24498.596348587929</v>
      </c>
      <c r="AN618">
        <v>838.37555498905317</v>
      </c>
      <c r="AO618">
        <v>53738.85650657997</v>
      </c>
      <c r="AP618">
        <v>43709.826046112947</v>
      </c>
      <c r="AQ618">
        <v>-10029.03046046702</v>
      </c>
      <c r="AR618">
        <v>2.4389348038611112E-3</v>
      </c>
      <c r="AS618">
        <v>54.178637537694158</v>
      </c>
      <c r="AT618">
        <v>75.767151362588066</v>
      </c>
      <c r="AU618">
        <v>2.5928557975204432</v>
      </c>
      <c r="AV618">
        <v>166.1989126663222</v>
      </c>
      <c r="AW618">
        <v>135.1819899779328</v>
      </c>
      <c r="AX618">
        <v>-31.0169226883894</v>
      </c>
      <c r="AY618">
        <v>0.9776406627430716</v>
      </c>
      <c r="AZ618" t="str">
        <f>VLOOKUP(BA618,Sheet1!$A$1:$B$58,2,FALSE)</f>
        <v>Butyrate</v>
      </c>
      <c r="BA618" t="s">
        <v>113</v>
      </c>
      <c r="BB618" t="s">
        <v>114</v>
      </c>
      <c r="BC618">
        <v>87.095680000000002</v>
      </c>
      <c r="BD618">
        <v>4.75</v>
      </c>
      <c r="BE618">
        <v>163.5</v>
      </c>
      <c r="BF618" t="s">
        <v>198</v>
      </c>
      <c r="BG618">
        <v>10.344921524047381</v>
      </c>
      <c r="BH618">
        <v>4.0862068965517299E-2</v>
      </c>
      <c r="BI618">
        <v>7.7317849443806194E-2</v>
      </c>
      <c r="BJ618">
        <v>90</v>
      </c>
      <c r="BK618">
        <v>1942.6589353827981</v>
      </c>
      <c r="BL618">
        <v>-445.73468713186742</v>
      </c>
      <c r="BM618">
        <v>3.7044527260388862</v>
      </c>
      <c r="BN618">
        <v>629.75696342661058</v>
      </c>
      <c r="BO618">
        <v>1312.901971956187</v>
      </c>
    </row>
    <row r="619" spans="1:67" x14ac:dyDescent="0.25">
      <c r="A619" s="1">
        <v>617</v>
      </c>
      <c r="B619" t="s">
        <v>180</v>
      </c>
      <c r="C619" t="s">
        <v>195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67</v>
      </c>
      <c r="J619">
        <v>1.4</v>
      </c>
      <c r="K619">
        <v>500</v>
      </c>
      <c r="L619">
        <v>100</v>
      </c>
      <c r="N619" t="s">
        <v>179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93988.520256859352</v>
      </c>
      <c r="Z619">
        <v>469942601.28429681</v>
      </c>
      <c r="AA619">
        <v>657919641.79801536</v>
      </c>
      <c r="AB619">
        <v>657919.64179801533</v>
      </c>
      <c r="AC619">
        <v>0</v>
      </c>
      <c r="AD619">
        <v>4870.6118034681804</v>
      </c>
      <c r="AE619">
        <v>8767101.2462427244</v>
      </c>
      <c r="AF619">
        <v>8767101.2462427244</v>
      </c>
      <c r="AG619">
        <v>394.66456393553551</v>
      </c>
      <c r="AH619">
        <v>385.8401258471423</v>
      </c>
      <c r="AI619">
        <v>385.8401258471423</v>
      </c>
      <c r="AJ619">
        <v>21382.388358435499</v>
      </c>
      <c r="AK619">
        <v>854.70085470085473</v>
      </c>
      <c r="AL619" t="s">
        <v>69</v>
      </c>
      <c r="AM619">
        <v>29902.609753153531</v>
      </c>
      <c r="AN619">
        <v>1023.308302676131</v>
      </c>
      <c r="AO619">
        <v>65592.821394014187</v>
      </c>
      <c r="AP619">
        <v>53163.007268966008</v>
      </c>
      <c r="AQ619">
        <v>-12429.81412504818</v>
      </c>
      <c r="AR619">
        <v>2.4389348038611112E-3</v>
      </c>
      <c r="AS619">
        <v>54.178637537694158</v>
      </c>
      <c r="AT619">
        <v>75.767151362588066</v>
      </c>
      <c r="AU619">
        <v>2.592855797520444</v>
      </c>
      <c r="AV619">
        <v>166.1989126663222</v>
      </c>
      <c r="AW619">
        <v>134.70428340166271</v>
      </c>
      <c r="AX619">
        <v>-31.494629264659441</v>
      </c>
      <c r="AY619">
        <v>0.97764066274307182</v>
      </c>
      <c r="AZ619" t="str">
        <f>VLOOKUP(BA619,Sheet1!$A$1:$B$58,2,FALSE)</f>
        <v>Catechol</v>
      </c>
      <c r="BA619" t="s">
        <v>115</v>
      </c>
      <c r="BB619" t="s">
        <v>116</v>
      </c>
      <c r="BC619">
        <v>110.10924</v>
      </c>
      <c r="BD619">
        <v>4.333333333333333</v>
      </c>
      <c r="BE619">
        <v>245</v>
      </c>
      <c r="BF619" t="s">
        <v>198</v>
      </c>
      <c r="BG619">
        <v>12.69576479374685</v>
      </c>
      <c r="BH619">
        <v>2.6480446927374401E-2</v>
      </c>
      <c r="BI619">
        <v>6.3344932087907202E-2</v>
      </c>
      <c r="BJ619">
        <v>90</v>
      </c>
      <c r="BK619">
        <v>2362.8003230651552</v>
      </c>
      <c r="BL619">
        <v>-552.4361833354742</v>
      </c>
      <c r="BM619">
        <v>4.4526852439039182</v>
      </c>
      <c r="BN619">
        <v>756.95649146366611</v>
      </c>
      <c r="BO619">
        <v>1605.843831601489</v>
      </c>
    </row>
    <row r="620" spans="1:67" x14ac:dyDescent="0.25">
      <c r="A620" s="1">
        <v>618</v>
      </c>
      <c r="B620" t="s">
        <v>180</v>
      </c>
      <c r="C620" t="s">
        <v>195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67</v>
      </c>
      <c r="J620">
        <v>1.4</v>
      </c>
      <c r="K620">
        <v>500</v>
      </c>
      <c r="L620">
        <v>100</v>
      </c>
      <c r="N620" t="s">
        <v>179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74698.546220665725</v>
      </c>
      <c r="Z620">
        <v>373492731.10332859</v>
      </c>
      <c r="AA620">
        <v>522889823.54466009</v>
      </c>
      <c r="AB620">
        <v>522889.82354466012</v>
      </c>
      <c r="AC620">
        <v>0</v>
      </c>
      <c r="AD620">
        <v>3870.979348648013</v>
      </c>
      <c r="AE620">
        <v>6967762.8275664235</v>
      </c>
      <c r="AF620">
        <v>6967762.8275664235</v>
      </c>
      <c r="AG620">
        <v>313.66457403765702</v>
      </c>
      <c r="AH620">
        <v>306.65124204119832</v>
      </c>
      <c r="AI620">
        <v>306.65124204119832</v>
      </c>
      <c r="AJ620">
        <v>16993.91926520145</v>
      </c>
      <c r="AK620">
        <v>854.70085470085473</v>
      </c>
      <c r="AL620" t="s">
        <v>69</v>
      </c>
      <c r="AM620">
        <v>23765.471258192869</v>
      </c>
      <c r="AN620">
        <v>813.28700927031912</v>
      </c>
      <c r="AO620">
        <v>52130.711147003713</v>
      </c>
      <c r="AP620">
        <v>42427.37838736549</v>
      </c>
      <c r="AQ620">
        <v>-9703.3327596382151</v>
      </c>
      <c r="AR620">
        <v>2.4389348038611112E-3</v>
      </c>
      <c r="AS620">
        <v>54.178637537694172</v>
      </c>
      <c r="AT620">
        <v>75.767151362588066</v>
      </c>
      <c r="AU620">
        <v>2.5928557975204432</v>
      </c>
      <c r="AV620">
        <v>166.1989126663222</v>
      </c>
      <c r="AW620">
        <v>135.26353276437229</v>
      </c>
      <c r="AX620">
        <v>-30.93537990194989</v>
      </c>
      <c r="AY620">
        <v>0.97764066274307182</v>
      </c>
      <c r="AZ620" t="str">
        <f>VLOOKUP(BA620,Sheet1!$A$1:$B$58,2,FALSE)</f>
        <v>cis,cis-Muconate</v>
      </c>
      <c r="BA620" t="s">
        <v>117</v>
      </c>
      <c r="BB620" t="s">
        <v>118</v>
      </c>
      <c r="BC620">
        <v>140.09155999999999</v>
      </c>
      <c r="BD620">
        <v>3.333333333333333</v>
      </c>
      <c r="BE620">
        <v>345.4</v>
      </c>
      <c r="BF620" t="s">
        <v>198</v>
      </c>
      <c r="BG620">
        <v>10.11117752498004</v>
      </c>
      <c r="BH620">
        <v>2.6187845303867401E-2</v>
      </c>
      <c r="BI620">
        <v>7.97029759471614E-2</v>
      </c>
      <c r="BJ620">
        <v>90</v>
      </c>
      <c r="BK620">
        <v>1885.661261660689</v>
      </c>
      <c r="BL620">
        <v>-431.259233761698</v>
      </c>
      <c r="BM620">
        <v>3.5177665657398798</v>
      </c>
      <c r="BN620">
        <v>598.02031617577961</v>
      </c>
      <c r="BO620">
        <v>1287.640945484909</v>
      </c>
    </row>
    <row r="621" spans="1:67" x14ac:dyDescent="0.25">
      <c r="A621" s="1">
        <v>619</v>
      </c>
      <c r="B621" t="s">
        <v>180</v>
      </c>
      <c r="C621" t="s">
        <v>195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67</v>
      </c>
      <c r="J621">
        <v>1.4</v>
      </c>
      <c r="K621">
        <v>500</v>
      </c>
      <c r="L621">
        <v>100</v>
      </c>
      <c r="N621" t="s">
        <v>179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36689.64683972927</v>
      </c>
      <c r="Z621">
        <v>183448234.1986464</v>
      </c>
      <c r="AA621">
        <v>256827527.8781049</v>
      </c>
      <c r="AB621">
        <v>256827.52787810491</v>
      </c>
      <c r="AC621">
        <v>0</v>
      </c>
      <c r="AD621">
        <v>1901.30695189472</v>
      </c>
      <c r="AE621">
        <v>3422352.513410497</v>
      </c>
      <c r="AF621">
        <v>3422352.513410497</v>
      </c>
      <c r="AG621">
        <v>154.06246881404419</v>
      </c>
      <c r="AH621">
        <v>150.61773411519599</v>
      </c>
      <c r="AI621">
        <v>150.61773411519599</v>
      </c>
      <c r="AJ621">
        <v>8346.8946560384084</v>
      </c>
      <c r="AK621">
        <v>854.70085470085473</v>
      </c>
      <c r="AL621" t="s">
        <v>69</v>
      </c>
      <c r="AM621">
        <v>11672.87439392769</v>
      </c>
      <c r="AN621">
        <v>399.46176544480687</v>
      </c>
      <c r="AO621">
        <v>25605.01479958331</v>
      </c>
      <c r="AP621">
        <v>21273.93167011176</v>
      </c>
      <c r="AQ621">
        <v>-4331.0831294715535</v>
      </c>
      <c r="AR621">
        <v>2.4389348038611099E-3</v>
      </c>
      <c r="AS621">
        <v>54.178637537694158</v>
      </c>
      <c r="AT621">
        <v>75.767151362588052</v>
      </c>
      <c r="AU621">
        <v>2.5928557975204432</v>
      </c>
      <c r="AV621">
        <v>166.1989126663222</v>
      </c>
      <c r="AW621">
        <v>138.08639984725761</v>
      </c>
      <c r="AX621">
        <v>-28.112512819064591</v>
      </c>
      <c r="AY621">
        <v>0.97764066274307171</v>
      </c>
      <c r="AZ621" t="str">
        <f>VLOOKUP(BA621,Sheet1!$A$1:$B$58,2,FALSE)</f>
        <v>Citrate</v>
      </c>
      <c r="BA621" t="s">
        <v>119</v>
      </c>
      <c r="BB621" t="s">
        <v>120</v>
      </c>
      <c r="BC621">
        <v>189.09639999999999</v>
      </c>
      <c r="BD621">
        <v>2.5</v>
      </c>
      <c r="BF621" t="s">
        <v>198</v>
      </c>
      <c r="BG621">
        <v>4.4956816480370501</v>
      </c>
      <c r="BH621">
        <v>3.9500000000000098E-2</v>
      </c>
      <c r="BI621">
        <v>0.16227183812155699</v>
      </c>
      <c r="BJ621">
        <v>90</v>
      </c>
      <c r="BK621">
        <v>945.50807422718935</v>
      </c>
      <c r="BL621">
        <v>-192.49258353206909</v>
      </c>
      <c r="BM621">
        <v>2.198439868193883</v>
      </c>
      <c r="BN621">
        <v>373.73477759295997</v>
      </c>
      <c r="BO621">
        <v>571.77329663422938</v>
      </c>
    </row>
    <row r="622" spans="1:67" x14ac:dyDescent="0.25">
      <c r="A622" s="1">
        <v>620</v>
      </c>
      <c r="B622" t="s">
        <v>180</v>
      </c>
      <c r="C622" t="s">
        <v>195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67</v>
      </c>
      <c r="J622">
        <v>1.4</v>
      </c>
      <c r="K622">
        <v>500</v>
      </c>
      <c r="L622">
        <v>100</v>
      </c>
      <c r="N622" t="s">
        <v>179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94972.551746618541</v>
      </c>
      <c r="Z622">
        <v>474862758.73309273</v>
      </c>
      <c r="AA622">
        <v>664807862.2263298</v>
      </c>
      <c r="AB622">
        <v>664807.86222632986</v>
      </c>
      <c r="AC622">
        <v>0</v>
      </c>
      <c r="AD622">
        <v>4921.6056416082774</v>
      </c>
      <c r="AE622">
        <v>8858890.1548948996</v>
      </c>
      <c r="AF622">
        <v>8858890.1548948996</v>
      </c>
      <c r="AG622">
        <v>398.79658301343238</v>
      </c>
      <c r="AH622">
        <v>389.87975571692448</v>
      </c>
      <c r="AI622">
        <v>389.87975571692448</v>
      </c>
      <c r="AJ622">
        <v>21606.255522355721</v>
      </c>
      <c r="AK622">
        <v>854.70085470085473</v>
      </c>
      <c r="AL622" t="s">
        <v>69</v>
      </c>
      <c r="AM622">
        <v>30215.681068061651</v>
      </c>
      <c r="AN622">
        <v>1034.0220322977209</v>
      </c>
      <c r="AO622">
        <v>66279.558471877157</v>
      </c>
      <c r="AP622">
        <v>53710.659477415938</v>
      </c>
      <c r="AQ622">
        <v>-12568.89899446122</v>
      </c>
      <c r="AR622">
        <v>2.4389348038611112E-3</v>
      </c>
      <c r="AS622">
        <v>54.178637537694172</v>
      </c>
      <c r="AT622">
        <v>75.767151362588052</v>
      </c>
      <c r="AU622">
        <v>2.592855797520444</v>
      </c>
      <c r="AV622">
        <v>166.19891266632209</v>
      </c>
      <c r="AW622">
        <v>134.6818447429045</v>
      </c>
      <c r="AX622">
        <v>-31.517067923417638</v>
      </c>
      <c r="AY622">
        <v>0.9776406627430716</v>
      </c>
      <c r="AZ622" t="str">
        <f>VLOOKUP(BA622,Sheet1!$A$1:$B$58,2,FALSE)</f>
        <v>Coumaric Acid</v>
      </c>
      <c r="BA622" t="s">
        <v>121</v>
      </c>
      <c r="BB622" t="s">
        <v>122</v>
      </c>
      <c r="BC622">
        <v>163.14818</v>
      </c>
      <c r="BD622">
        <v>4.1111111111111107</v>
      </c>
      <c r="BE622">
        <v>346</v>
      </c>
      <c r="BF622" t="s">
        <v>198</v>
      </c>
      <c r="BG622">
        <v>12.82416459640579</v>
      </c>
      <c r="BH622">
        <v>1.7686567164179198E-2</v>
      </c>
      <c r="BI622">
        <v>6.2688601319229306E-2</v>
      </c>
      <c r="BJ622">
        <v>90</v>
      </c>
      <c r="BK622">
        <v>2387.1404212184862</v>
      </c>
      <c r="BL622">
        <v>-558.61773308716499</v>
      </c>
      <c r="BM622">
        <v>4.503824546568632</v>
      </c>
      <c r="BN622">
        <v>765.65017291666743</v>
      </c>
      <c r="BO622">
        <v>1621.4902483018191</v>
      </c>
    </row>
    <row r="623" spans="1:67" x14ac:dyDescent="0.25">
      <c r="A623" s="1">
        <v>621</v>
      </c>
      <c r="B623" t="s">
        <v>180</v>
      </c>
      <c r="C623" t="s">
        <v>195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67</v>
      </c>
      <c r="J623">
        <v>1.4</v>
      </c>
      <c r="K623">
        <v>500</v>
      </c>
      <c r="L623">
        <v>100</v>
      </c>
      <c r="N623" t="s">
        <v>179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78090.687714581261</v>
      </c>
      <c r="Z623">
        <v>390453438.57290632</v>
      </c>
      <c r="AA623">
        <v>546634814.00206876</v>
      </c>
      <c r="AB623">
        <v>546634.81400206871</v>
      </c>
      <c r="AC623">
        <v>0</v>
      </c>
      <c r="AD623">
        <v>4046.7646930086539</v>
      </c>
      <c r="AE623">
        <v>7284176.4474155782</v>
      </c>
      <c r="AF623">
        <v>7284176.4474155782</v>
      </c>
      <c r="AG623">
        <v>327.90842041214131</v>
      </c>
      <c r="AH623">
        <v>320.57660545075959</v>
      </c>
      <c r="AI623">
        <v>320.57660545075959</v>
      </c>
      <c r="AJ623">
        <v>17765.631455067229</v>
      </c>
      <c r="AK623">
        <v>854.70085470085473</v>
      </c>
      <c r="AL623" t="s">
        <v>69</v>
      </c>
      <c r="AM623">
        <v>24844.68692243387</v>
      </c>
      <c r="AN623">
        <v>850.21924892139134</v>
      </c>
      <c r="AO623">
        <v>54498.022926629128</v>
      </c>
      <c r="AP623">
        <v>44315.238481123342</v>
      </c>
      <c r="AQ623">
        <v>-10182.784445505789</v>
      </c>
      <c r="AR623">
        <v>2.4389348038611099E-3</v>
      </c>
      <c r="AS623">
        <v>54.178637537694158</v>
      </c>
      <c r="AT623">
        <v>75.767151362588066</v>
      </c>
      <c r="AU623">
        <v>2.592855797520444</v>
      </c>
      <c r="AV623">
        <v>166.1989126663222</v>
      </c>
      <c r="AW623">
        <v>135.1451677435561</v>
      </c>
      <c r="AX623">
        <v>-31.0537449227661</v>
      </c>
      <c r="AY623">
        <v>0.97764066274307182</v>
      </c>
      <c r="AZ623" t="str">
        <f>VLOOKUP(BA623,Sheet1!$A$1:$B$58,2,FALSE)</f>
        <v>Ethyl Acetate</v>
      </c>
      <c r="BA623" t="s">
        <v>123</v>
      </c>
      <c r="BB623" t="s">
        <v>124</v>
      </c>
      <c r="BC623">
        <v>88.103520000000003</v>
      </c>
      <c r="BD623">
        <v>5</v>
      </c>
      <c r="BE623">
        <v>77.099999999999994</v>
      </c>
      <c r="BF623" t="s">
        <v>198</v>
      </c>
      <c r="BG623">
        <v>10.542738871991659</v>
      </c>
      <c r="BH623">
        <v>3.9831932773109098E-2</v>
      </c>
      <c r="BI623">
        <v>7.6240799088288194E-2</v>
      </c>
      <c r="BJ623">
        <v>90</v>
      </c>
      <c r="BK623">
        <v>1969.566154716593</v>
      </c>
      <c r="BL623">
        <v>-452.56819757803481</v>
      </c>
      <c r="BM623">
        <v>3.7051102591532139</v>
      </c>
      <c r="BN623">
        <v>629.86874405604635</v>
      </c>
      <c r="BO623">
        <v>1339.6974106605469</v>
      </c>
    </row>
    <row r="624" spans="1:67" x14ac:dyDescent="0.25">
      <c r="A624" s="1">
        <v>622</v>
      </c>
      <c r="B624" t="s">
        <v>180</v>
      </c>
      <c r="C624" t="s">
        <v>195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67</v>
      </c>
      <c r="J624">
        <v>1.4</v>
      </c>
      <c r="K624">
        <v>500</v>
      </c>
      <c r="L624">
        <v>100</v>
      </c>
      <c r="N624" t="s">
        <v>179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152497.4273782862</v>
      </c>
      <c r="Z624">
        <v>762487136.89143097</v>
      </c>
      <c r="AA624">
        <v>1067481991.648003</v>
      </c>
      <c r="AB624">
        <v>1067481.991648003</v>
      </c>
      <c r="AC624">
        <v>0</v>
      </c>
      <c r="AD624">
        <v>7902.6222325593599</v>
      </c>
      <c r="AE624">
        <v>14224720.018606851</v>
      </c>
      <c r="AF624">
        <v>14224720.018606851</v>
      </c>
      <c r="AG624">
        <v>640.34767770641588</v>
      </c>
      <c r="AH624">
        <v>626.02992801888729</v>
      </c>
      <c r="AI624">
        <v>626.02992801888729</v>
      </c>
      <c r="AJ624">
        <v>34693.164728560107</v>
      </c>
      <c r="AK624">
        <v>1835.336538461539</v>
      </c>
      <c r="AL624" t="s">
        <v>84</v>
      </c>
      <c r="AM624">
        <v>48517.319421463762</v>
      </c>
      <c r="AN624">
        <v>1660.3291885698329</v>
      </c>
      <c r="AO624">
        <v>106425.0877632108</v>
      </c>
      <c r="AP624">
        <v>86706.149877055228</v>
      </c>
      <c r="AQ624">
        <v>-19718.937886155622</v>
      </c>
      <c r="AR624">
        <v>2.4389348038611112E-3</v>
      </c>
      <c r="AS624">
        <v>54.178637537694158</v>
      </c>
      <c r="AT624">
        <v>75.767151362588052</v>
      </c>
      <c r="AU624">
        <v>2.592855797520444</v>
      </c>
      <c r="AV624">
        <v>166.1989126663222</v>
      </c>
      <c r="AW624">
        <v>135.40480101000369</v>
      </c>
      <c r="AX624">
        <v>-30.79411165631851</v>
      </c>
      <c r="AY624">
        <v>0.97764066274307171</v>
      </c>
      <c r="AZ624" t="str">
        <f>VLOOKUP(BA624,Sheet1!$A$1:$B$58,2,FALSE)</f>
        <v>Farnesene</v>
      </c>
      <c r="BA624" t="s">
        <v>125</v>
      </c>
      <c r="BB624" t="s">
        <v>126</v>
      </c>
      <c r="BC624">
        <v>204.34866</v>
      </c>
      <c r="BD624">
        <v>5.6</v>
      </c>
      <c r="BE624" t="s">
        <v>127</v>
      </c>
      <c r="BF624" t="s">
        <v>198</v>
      </c>
      <c r="BG624">
        <v>21.259560293803041</v>
      </c>
      <c r="BH624">
        <v>8.7940630797773405E-3</v>
      </c>
      <c r="BI624">
        <v>3.9041290958599997E-2</v>
      </c>
      <c r="BJ624">
        <v>90</v>
      </c>
      <c r="BK624">
        <v>3853.6066612024538</v>
      </c>
      <c r="BL624">
        <v>-876.39723938469444</v>
      </c>
      <c r="BM624">
        <v>6.5639920625919501</v>
      </c>
      <c r="BN624">
        <v>1115.878650640632</v>
      </c>
      <c r="BO624">
        <v>2737.7280105618229</v>
      </c>
    </row>
    <row r="625" spans="1:67" x14ac:dyDescent="0.25">
      <c r="A625" s="1">
        <v>623</v>
      </c>
      <c r="B625" t="s">
        <v>180</v>
      </c>
      <c r="C625" t="s">
        <v>195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67</v>
      </c>
      <c r="J625">
        <v>1.4</v>
      </c>
      <c r="K625">
        <v>500</v>
      </c>
      <c r="L625">
        <v>100</v>
      </c>
      <c r="N625" t="s">
        <v>179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78575.942099344116</v>
      </c>
      <c r="Z625">
        <v>392879710.49672061</v>
      </c>
      <c r="AA625">
        <v>550031594.69540882</v>
      </c>
      <c r="AB625">
        <v>550031.59469540883</v>
      </c>
      <c r="AC625">
        <v>0</v>
      </c>
      <c r="AD625">
        <v>4071.9112292840591</v>
      </c>
      <c r="AE625">
        <v>7329440.2127113054</v>
      </c>
      <c r="AF625">
        <v>7329440.2127113054</v>
      </c>
      <c r="AG625">
        <v>329.94603851312701</v>
      </c>
      <c r="AH625">
        <v>322.56866376142449</v>
      </c>
      <c r="AI625">
        <v>322.56866376142449</v>
      </c>
      <c r="AJ625">
        <v>17876.026827600788</v>
      </c>
      <c r="AK625">
        <v>1835.336538461539</v>
      </c>
      <c r="AL625" t="s">
        <v>84</v>
      </c>
      <c r="AM625">
        <v>24999.071441510401</v>
      </c>
      <c r="AN625">
        <v>855.50249882766479</v>
      </c>
      <c r="AO625">
        <v>54836.672839442173</v>
      </c>
      <c r="AP625">
        <v>45565.937306400388</v>
      </c>
      <c r="AQ625">
        <v>-9270.7355330417849</v>
      </c>
      <c r="AR625">
        <v>2.4389348038611112E-3</v>
      </c>
      <c r="AS625">
        <v>54.178637537694172</v>
      </c>
      <c r="AT625">
        <v>75.767151362588066</v>
      </c>
      <c r="AU625">
        <v>2.592855797520444</v>
      </c>
      <c r="AV625">
        <v>166.1989126663222</v>
      </c>
      <c r="AW625">
        <v>138.10118015581969</v>
      </c>
      <c r="AX625">
        <v>-28.09773251050245</v>
      </c>
      <c r="AY625">
        <v>0.97764066274307182</v>
      </c>
      <c r="AZ625" t="str">
        <f>VLOOKUP(BA625,Sheet1!$A$1:$B$58,2,FALSE)</f>
        <v>Gamma Butyrolactone</v>
      </c>
      <c r="BA625" t="s">
        <v>128</v>
      </c>
      <c r="BB625" t="s">
        <v>129</v>
      </c>
      <c r="BC625">
        <v>86.08784</v>
      </c>
      <c r="BD625">
        <v>4.5</v>
      </c>
      <c r="BE625">
        <v>204</v>
      </c>
      <c r="BF625" t="s">
        <v>198</v>
      </c>
      <c r="BG625">
        <v>10.573883428950319</v>
      </c>
      <c r="BH625">
        <v>4.0512820512820499E-2</v>
      </c>
      <c r="BI625">
        <v>7.5769965636381997E-2</v>
      </c>
      <c r="BJ625">
        <v>90</v>
      </c>
      <c r="BK625">
        <v>2025.15276917335</v>
      </c>
      <c r="BL625">
        <v>-412.03269035741249</v>
      </c>
      <c r="BM625">
        <v>3.7625016271129881</v>
      </c>
      <c r="BN625">
        <v>639.62527660920784</v>
      </c>
      <c r="BO625">
        <v>1385.527492564142</v>
      </c>
    </row>
    <row r="626" spans="1:67" x14ac:dyDescent="0.25">
      <c r="A626" s="1">
        <v>624</v>
      </c>
      <c r="B626" t="s">
        <v>180</v>
      </c>
      <c r="C626" t="s">
        <v>195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67</v>
      </c>
      <c r="J626">
        <v>1.4</v>
      </c>
      <c r="K626">
        <v>500</v>
      </c>
      <c r="L626">
        <v>100</v>
      </c>
      <c r="N626" t="s">
        <v>179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46294.026340309843</v>
      </c>
      <c r="Z626">
        <v>231470131.7015492</v>
      </c>
      <c r="AA626">
        <v>324058184.38216889</v>
      </c>
      <c r="AB626">
        <v>324058.18438216893</v>
      </c>
      <c r="AC626">
        <v>0</v>
      </c>
      <c r="AD626">
        <v>2399.018843013695</v>
      </c>
      <c r="AE626">
        <v>4318233.9174246509</v>
      </c>
      <c r="AF626">
        <v>4318233.9174246509</v>
      </c>
      <c r="AG626">
        <v>194.3919498731035</v>
      </c>
      <c r="AH626">
        <v>190.04547470585891</v>
      </c>
      <c r="AI626">
        <v>190.04547470585891</v>
      </c>
      <c r="AJ626">
        <v>10531.890992420491</v>
      </c>
      <c r="AK626">
        <v>854.70085470085473</v>
      </c>
      <c r="AL626" t="s">
        <v>69</v>
      </c>
      <c r="AM626">
        <v>14728.52428970407</v>
      </c>
      <c r="AN626">
        <v>504.03029421977982</v>
      </c>
      <c r="AO626">
        <v>32307.730699996009</v>
      </c>
      <c r="AP626">
        <v>26619.146431045188</v>
      </c>
      <c r="AQ626">
        <v>-5688.5842689508208</v>
      </c>
      <c r="AR626">
        <v>2.4389348038611112E-3</v>
      </c>
      <c r="AS626">
        <v>54.178637537694172</v>
      </c>
      <c r="AT626">
        <v>75.767151362588066</v>
      </c>
      <c r="AU626">
        <v>2.592855797520444</v>
      </c>
      <c r="AV626">
        <v>166.1989126663222</v>
      </c>
      <c r="AW626">
        <v>136.9354361043336</v>
      </c>
      <c r="AX626">
        <v>-29.2634765619886</v>
      </c>
      <c r="AY626">
        <v>0.97764066274307182</v>
      </c>
      <c r="AZ626" t="str">
        <f>VLOOKUP(BA626,Sheet1!$A$1:$B$58,2,FALSE)</f>
        <v>L-Glutamate</v>
      </c>
      <c r="BA626" t="s">
        <v>130</v>
      </c>
      <c r="BB626" t="s">
        <v>131</v>
      </c>
      <c r="BC626">
        <v>146.11892</v>
      </c>
      <c r="BD626">
        <v>3.4</v>
      </c>
      <c r="BE626">
        <v>333.8</v>
      </c>
      <c r="BF626" t="s">
        <v>198</v>
      </c>
      <c r="BG626">
        <v>5.9285463156320173</v>
      </c>
      <c r="BH626">
        <v>4.0512820512820402E-2</v>
      </c>
      <c r="BI626">
        <v>0.12860614864103001</v>
      </c>
      <c r="BJ626">
        <v>90</v>
      </c>
      <c r="BK626">
        <v>1183.073174713119</v>
      </c>
      <c r="BL626">
        <v>-252.8259675089256</v>
      </c>
      <c r="BM626">
        <v>2.5179192268506001</v>
      </c>
      <c r="BN626">
        <v>428.04626856460192</v>
      </c>
      <c r="BO626">
        <v>755.02690614851758</v>
      </c>
    </row>
    <row r="627" spans="1:67" x14ac:dyDescent="0.25">
      <c r="A627" s="1">
        <v>625</v>
      </c>
      <c r="B627" t="s">
        <v>180</v>
      </c>
      <c r="C627" t="s">
        <v>195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67</v>
      </c>
      <c r="J627">
        <v>1.4</v>
      </c>
      <c r="K627">
        <v>500</v>
      </c>
      <c r="L627">
        <v>100</v>
      </c>
      <c r="N627" t="s">
        <v>179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74660.188414925389</v>
      </c>
      <c r="Z627">
        <v>373300942.07462692</v>
      </c>
      <c r="AA627">
        <v>522621318.90447772</v>
      </c>
      <c r="AB627">
        <v>522621.31890447758</v>
      </c>
      <c r="AC627">
        <v>0</v>
      </c>
      <c r="AD627">
        <v>3868.9915954534372</v>
      </c>
      <c r="AE627">
        <v>6964184.8718161862</v>
      </c>
      <c r="AF627">
        <v>6964184.8718161862</v>
      </c>
      <c r="AG627">
        <v>313.5035068495082</v>
      </c>
      <c r="AH627">
        <v>306.49377620863032</v>
      </c>
      <c r="AI627">
        <v>306.49377620863032</v>
      </c>
      <c r="AJ627">
        <v>16985.192864395529</v>
      </c>
      <c r="AK627">
        <v>854.70085470085473</v>
      </c>
      <c r="AL627" t="s">
        <v>69</v>
      </c>
      <c r="AM627">
        <v>23753.267656168849</v>
      </c>
      <c r="AN627">
        <v>812.86938527773748</v>
      </c>
      <c r="AO627">
        <v>52103.941955467148</v>
      </c>
      <c r="AP627">
        <v>42406.030760542963</v>
      </c>
      <c r="AQ627">
        <v>-9697.9111949241924</v>
      </c>
      <c r="AR627">
        <v>2.4389348038611112E-3</v>
      </c>
      <c r="AS627">
        <v>54.178637537694158</v>
      </c>
      <c r="AT627">
        <v>75.767151362588052</v>
      </c>
      <c r="AU627">
        <v>2.592855797520444</v>
      </c>
      <c r="AV627">
        <v>166.1989126663222</v>
      </c>
      <c r="AW627">
        <v>135.26493271700221</v>
      </c>
      <c r="AX627">
        <v>-30.933979949319991</v>
      </c>
      <c r="AY627">
        <v>0.97764066274307171</v>
      </c>
      <c r="AZ627" t="str">
        <f>VLOOKUP(BA627,Sheet1!$A$1:$B$58,2,FALSE)</f>
        <v>Glutarate</v>
      </c>
      <c r="BA627" t="s">
        <v>132</v>
      </c>
      <c r="BB627" t="s">
        <v>133</v>
      </c>
      <c r="BC627">
        <v>130.09654</v>
      </c>
      <c r="BD627">
        <v>3.6</v>
      </c>
      <c r="BE627">
        <v>200</v>
      </c>
      <c r="BF627" t="s">
        <v>198</v>
      </c>
      <c r="BG627">
        <v>10.298491422337779</v>
      </c>
      <c r="BH627">
        <v>2.8214285714285699E-2</v>
      </c>
      <c r="BI627">
        <v>7.9743924561586493E-2</v>
      </c>
      <c r="BJ627">
        <v>90</v>
      </c>
      <c r="BK627">
        <v>1884.7124782463541</v>
      </c>
      <c r="BL627">
        <v>-431.01827532996401</v>
      </c>
      <c r="BM627">
        <v>3.3234541869346761</v>
      </c>
      <c r="BN627">
        <v>564.9872117788949</v>
      </c>
      <c r="BO627">
        <v>1319.7252664674591</v>
      </c>
    </row>
    <row r="628" spans="1:67" x14ac:dyDescent="0.25">
      <c r="A628" s="1">
        <v>626</v>
      </c>
      <c r="B628" t="s">
        <v>180</v>
      </c>
      <c r="C628" t="s">
        <v>195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67</v>
      </c>
      <c r="J628">
        <v>1.4</v>
      </c>
      <c r="K628">
        <v>500</v>
      </c>
      <c r="L628">
        <v>100</v>
      </c>
      <c r="N628" t="s">
        <v>179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33899.577498952589</v>
      </c>
      <c r="Z628">
        <v>169497887.4947629</v>
      </c>
      <c r="AA628">
        <v>237297042.49266809</v>
      </c>
      <c r="AB628">
        <v>237297.04249266809</v>
      </c>
      <c r="AC628">
        <v>0</v>
      </c>
      <c r="AD628">
        <v>1756.721798021209</v>
      </c>
      <c r="AE628">
        <v>3162099.2364381771</v>
      </c>
      <c r="AF628">
        <v>3162099.2364381771</v>
      </c>
      <c r="AG628">
        <v>142.34676676108859</v>
      </c>
      <c r="AH628">
        <v>139.1639873956442</v>
      </c>
      <c r="AI628">
        <v>139.1639873956442</v>
      </c>
      <c r="AJ628">
        <v>7712.1538810117127</v>
      </c>
      <c r="AK628">
        <v>854.70085470085473</v>
      </c>
      <c r="AL628" t="s">
        <v>69</v>
      </c>
      <c r="AM628">
        <v>10785.209023162421</v>
      </c>
      <c r="AN628">
        <v>369.08463945477911</v>
      </c>
      <c r="AO628">
        <v>23657.877857259511</v>
      </c>
      <c r="AP628">
        <v>19721.148398329769</v>
      </c>
      <c r="AQ628">
        <v>-3936.7294589297339</v>
      </c>
      <c r="AR628">
        <v>2.4389348038611112E-3</v>
      </c>
      <c r="AS628">
        <v>54.178637537694158</v>
      </c>
      <c r="AT628">
        <v>75.767151362588066</v>
      </c>
      <c r="AU628">
        <v>2.592855797520444</v>
      </c>
      <c r="AV628">
        <v>166.1989126663222</v>
      </c>
      <c r="AW628">
        <v>138.54300204394011</v>
      </c>
      <c r="AX628">
        <v>-27.655910622382091</v>
      </c>
      <c r="AY628">
        <v>0.97764066274307182</v>
      </c>
      <c r="AZ628" t="str">
        <f>VLOOKUP(BA628,Sheet1!$A$1:$B$58,2,FALSE)</f>
        <v>Glycolate</v>
      </c>
      <c r="BA628" t="s">
        <v>134</v>
      </c>
      <c r="BB628" t="s">
        <v>135</v>
      </c>
      <c r="BC628">
        <v>75.041920000000005</v>
      </c>
      <c r="BD628">
        <v>2.5</v>
      </c>
      <c r="BE628">
        <v>112</v>
      </c>
      <c r="BF628" t="s">
        <v>198</v>
      </c>
      <c r="BG628">
        <v>4.2711013466822214</v>
      </c>
      <c r="BH628">
        <v>0.107727272727273</v>
      </c>
      <c r="BI628">
        <v>0.17562745237451999</v>
      </c>
      <c r="BJ628">
        <v>90</v>
      </c>
      <c r="BK628">
        <v>876.49548437021213</v>
      </c>
      <c r="BL628">
        <v>-174.96575373021059</v>
      </c>
      <c r="BM628">
        <v>1.913964759790852</v>
      </c>
      <c r="BN628">
        <v>325.37400916444489</v>
      </c>
      <c r="BO628">
        <v>551.12147520576718</v>
      </c>
    </row>
    <row r="629" spans="1:67" x14ac:dyDescent="0.25">
      <c r="A629" s="1">
        <v>627</v>
      </c>
      <c r="B629" t="s">
        <v>180</v>
      </c>
      <c r="C629" t="s">
        <v>195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67</v>
      </c>
      <c r="J629">
        <v>1.4</v>
      </c>
      <c r="K629">
        <v>500</v>
      </c>
      <c r="L629">
        <v>100</v>
      </c>
      <c r="N629" t="s">
        <v>179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155213.1922427172</v>
      </c>
      <c r="Z629">
        <v>776065961.21358597</v>
      </c>
      <c r="AA629">
        <v>1086492345.6990199</v>
      </c>
      <c r="AB629">
        <v>1086492.34569902</v>
      </c>
      <c r="AC629">
        <v>0</v>
      </c>
      <c r="AD629">
        <v>8043.3568283162967</v>
      </c>
      <c r="AE629">
        <v>14478042.290969331</v>
      </c>
      <c r="AF629">
        <v>14478042.290969331</v>
      </c>
      <c r="AG629">
        <v>651.75136991311263</v>
      </c>
      <c r="AH629">
        <v>637.17864122556045</v>
      </c>
      <c r="AI629">
        <v>637.17864122556045</v>
      </c>
      <c r="AJ629">
        <v>35311.001235218173</v>
      </c>
      <c r="AK629">
        <v>854.70085470085473</v>
      </c>
      <c r="AL629" t="s">
        <v>69</v>
      </c>
      <c r="AM629">
        <v>49381.344694980937</v>
      </c>
      <c r="AN629">
        <v>1689.8973180211051</v>
      </c>
      <c r="AO629">
        <v>108320.3690083453</v>
      </c>
      <c r="AP629">
        <v>87236.944102921072</v>
      </c>
      <c r="AQ629">
        <v>-21083.42490542421</v>
      </c>
      <c r="AR629">
        <v>2.4389348038611112E-3</v>
      </c>
      <c r="AS629">
        <v>54.178637537694172</v>
      </c>
      <c r="AT629">
        <v>75.767151362588066</v>
      </c>
      <c r="AU629">
        <v>2.592855797520444</v>
      </c>
      <c r="AV629">
        <v>166.1989126663222</v>
      </c>
      <c r="AW629">
        <v>133.85003565784751</v>
      </c>
      <c r="AX629">
        <v>-32.348877008474737</v>
      </c>
      <c r="AY629">
        <v>0.97764066274307193</v>
      </c>
      <c r="AZ629" t="str">
        <f>VLOOKUP(BA629,Sheet1!$A$1:$B$58,2,FALSE)</f>
        <v>Heptane</v>
      </c>
      <c r="BA629" t="s">
        <v>136</v>
      </c>
      <c r="BB629" t="s">
        <v>137</v>
      </c>
      <c r="BC629">
        <v>100.20034</v>
      </c>
      <c r="BD629">
        <v>6.2857142857142856</v>
      </c>
      <c r="BE629">
        <v>98</v>
      </c>
      <c r="BF629" t="s">
        <v>198</v>
      </c>
      <c r="BG629">
        <v>21.851661621613658</v>
      </c>
      <c r="BH629">
        <v>1.7620817843866099E-2</v>
      </c>
      <c r="BI629">
        <v>3.8358185581309698E-2</v>
      </c>
      <c r="BJ629">
        <v>90</v>
      </c>
      <c r="BK629">
        <v>3877.1975156853809</v>
      </c>
      <c r="BL629">
        <v>-937.04110690774246</v>
      </c>
      <c r="BM629">
        <v>6.4673890995223609</v>
      </c>
      <c r="BN629">
        <v>1099.4561469188011</v>
      </c>
      <c r="BO629">
        <v>2777.7413687665789</v>
      </c>
    </row>
    <row r="630" spans="1:67" x14ac:dyDescent="0.25">
      <c r="A630" s="1">
        <v>628</v>
      </c>
      <c r="B630" t="s">
        <v>180</v>
      </c>
      <c r="C630" t="s">
        <v>195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67</v>
      </c>
      <c r="J630">
        <v>1.4</v>
      </c>
      <c r="K630">
        <v>500</v>
      </c>
      <c r="L630">
        <v>100</v>
      </c>
      <c r="N630" t="s">
        <v>179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159007.58495909619</v>
      </c>
      <c r="Z630">
        <v>795037924.79548109</v>
      </c>
      <c r="AA630">
        <v>1113053094.7136731</v>
      </c>
      <c r="AB630">
        <v>1113053.094713673</v>
      </c>
      <c r="AC630">
        <v>0</v>
      </c>
      <c r="AD630">
        <v>8239.9873732050019</v>
      </c>
      <c r="AE630">
        <v>14831977.271769</v>
      </c>
      <c r="AF630">
        <v>14831977.271769</v>
      </c>
      <c r="AG630">
        <v>667.68429813368016</v>
      </c>
      <c r="AH630">
        <v>652.75531973055388</v>
      </c>
      <c r="AI630">
        <v>652.75531973055388</v>
      </c>
      <c r="AJ630">
        <v>36174.22557819439</v>
      </c>
      <c r="AK630">
        <v>854.70085470085473</v>
      </c>
      <c r="AL630" t="s">
        <v>69</v>
      </c>
      <c r="AM630">
        <v>50588.537279117932</v>
      </c>
      <c r="AN630">
        <v>1731.2091033292811</v>
      </c>
      <c r="AO630">
        <v>110968.40435419419</v>
      </c>
      <c r="AP630">
        <v>89348.672815342448</v>
      </c>
      <c r="AQ630">
        <v>-21619.73153885172</v>
      </c>
      <c r="AR630">
        <v>2.4389348038611112E-3</v>
      </c>
      <c r="AS630">
        <v>54.178637537694172</v>
      </c>
      <c r="AT630">
        <v>75.767151362588066</v>
      </c>
      <c r="AU630">
        <v>2.592855797520444</v>
      </c>
      <c r="AV630">
        <v>166.1989126663222</v>
      </c>
      <c r="AW630">
        <v>133.8187419789428</v>
      </c>
      <c r="AX630">
        <v>-32.380170687379433</v>
      </c>
      <c r="AY630">
        <v>0.97764066274307193</v>
      </c>
      <c r="AZ630" t="str">
        <f>VLOOKUP(BA630,Sheet1!$A$1:$B$58,2,FALSE)</f>
        <v>Hexane</v>
      </c>
      <c r="BA630" t="s">
        <v>138</v>
      </c>
      <c r="BB630" t="s">
        <v>139</v>
      </c>
      <c r="BC630">
        <v>86.173959999999994</v>
      </c>
      <c r="BD630">
        <v>6.333333333333333</v>
      </c>
      <c r="BE630">
        <v>69</v>
      </c>
      <c r="BF630" t="s">
        <v>198</v>
      </c>
      <c r="BG630">
        <v>22.471289470740231</v>
      </c>
      <c r="BH630">
        <v>2.0000000000000101E-2</v>
      </c>
      <c r="BI630">
        <v>3.7442845473347697E-2</v>
      </c>
      <c r="BJ630">
        <v>90</v>
      </c>
      <c r="BK630">
        <v>3971.0521251263308</v>
      </c>
      <c r="BL630">
        <v>-960.87695728229778</v>
      </c>
      <c r="BM630">
        <v>6.5400580728399369</v>
      </c>
      <c r="BN630">
        <v>1111.8098723827891</v>
      </c>
      <c r="BO630">
        <v>2859.2422527435419</v>
      </c>
    </row>
    <row r="631" spans="1:67" x14ac:dyDescent="0.25">
      <c r="A631" s="1">
        <v>629</v>
      </c>
      <c r="B631" t="s">
        <v>180</v>
      </c>
      <c r="C631" t="s">
        <v>195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67</v>
      </c>
      <c r="J631">
        <v>1.4</v>
      </c>
      <c r="K631">
        <v>500</v>
      </c>
      <c r="L631">
        <v>100</v>
      </c>
      <c r="N631" t="s">
        <v>179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97331.757004581712</v>
      </c>
      <c r="Z631">
        <v>486658785.02290863</v>
      </c>
      <c r="AA631">
        <v>681322299.03207195</v>
      </c>
      <c r="AB631">
        <v>681322.29903207195</v>
      </c>
      <c r="AC631">
        <v>0</v>
      </c>
      <c r="AD631">
        <v>5043.8628379641377</v>
      </c>
      <c r="AE631">
        <v>9078953.1083354484</v>
      </c>
      <c r="AF631">
        <v>9078953.1083354484</v>
      </c>
      <c r="AG631">
        <v>408.70305575950698</v>
      </c>
      <c r="AH631">
        <v>399.56472629784298</v>
      </c>
      <c r="AI631">
        <v>399.56472629784298</v>
      </c>
      <c r="AJ631">
        <v>22142.97471854234</v>
      </c>
      <c r="AK631">
        <v>854.70085470085473</v>
      </c>
      <c r="AL631" t="s">
        <v>69</v>
      </c>
      <c r="AM631">
        <v>30966.266288082839</v>
      </c>
      <c r="AN631">
        <v>1059.7080875903589</v>
      </c>
      <c r="AO631">
        <v>67926.00347063331</v>
      </c>
      <c r="AP631">
        <v>55023.649948916383</v>
      </c>
      <c r="AQ631">
        <v>-12902.35352171693</v>
      </c>
      <c r="AR631">
        <v>2.4389348038611112E-3</v>
      </c>
      <c r="AS631">
        <v>54.178637537694158</v>
      </c>
      <c r="AT631">
        <v>75.767151362588052</v>
      </c>
      <c r="AU631">
        <v>2.592855797520444</v>
      </c>
      <c r="AV631">
        <v>166.19891266632209</v>
      </c>
      <c r="AW631">
        <v>134.62989613978789</v>
      </c>
      <c r="AX631">
        <v>-31.569016526534231</v>
      </c>
      <c r="AY631">
        <v>0.97764066274307171</v>
      </c>
      <c r="AZ631" t="str">
        <f>VLOOKUP(BA631,Sheet1!$A$1:$B$58,2,FALSE)</f>
        <v>Isobutanol</v>
      </c>
      <c r="BA631" t="s">
        <v>140</v>
      </c>
      <c r="BB631" t="s">
        <v>141</v>
      </c>
      <c r="BC631">
        <v>86.130899999999997</v>
      </c>
      <c r="BD631">
        <v>5.6</v>
      </c>
      <c r="BE631">
        <v>108</v>
      </c>
      <c r="BF631" t="s">
        <v>198</v>
      </c>
      <c r="BG631">
        <v>13.58696435721018</v>
      </c>
      <c r="BH631">
        <v>3.2689655172413699E-2</v>
      </c>
      <c r="BI631">
        <v>6.1169104678069103E-2</v>
      </c>
      <c r="BJ631">
        <v>90</v>
      </c>
      <c r="BK631">
        <v>2445.4955532851732</v>
      </c>
      <c r="BL631">
        <v>-573.43793429852974</v>
      </c>
      <c r="BM631">
        <v>4.1714679226939584</v>
      </c>
      <c r="BN631">
        <v>709.14954685797295</v>
      </c>
      <c r="BO631">
        <v>1736.3460064272001</v>
      </c>
    </row>
    <row r="632" spans="1:67" x14ac:dyDescent="0.25">
      <c r="A632" s="1">
        <v>630</v>
      </c>
      <c r="B632" t="s">
        <v>180</v>
      </c>
      <c r="C632" t="s">
        <v>195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67</v>
      </c>
      <c r="J632">
        <v>1.4</v>
      </c>
      <c r="K632">
        <v>500</v>
      </c>
      <c r="L632">
        <v>100</v>
      </c>
      <c r="N632" t="s">
        <v>179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71692.328726267093</v>
      </c>
      <c r="Z632">
        <v>358461643.63133538</v>
      </c>
      <c r="AA632">
        <v>501846301.08386958</v>
      </c>
      <c r="AB632">
        <v>501846.30108386959</v>
      </c>
      <c r="AC632">
        <v>0</v>
      </c>
      <c r="AD632">
        <v>3715.1931061154628</v>
      </c>
      <c r="AE632">
        <v>6687347.5910078334</v>
      </c>
      <c r="AF632">
        <v>6687347.5910078334</v>
      </c>
      <c r="AG632">
        <v>301.04125032450781</v>
      </c>
      <c r="AH632">
        <v>294.31016748025468</v>
      </c>
      <c r="AI632">
        <v>294.31016748025468</v>
      </c>
      <c r="AJ632">
        <v>16310.004785225759</v>
      </c>
      <c r="AK632">
        <v>854.70085470085473</v>
      </c>
      <c r="AL632" t="s">
        <v>69</v>
      </c>
      <c r="AM632">
        <v>22809.037979719738</v>
      </c>
      <c r="AN632">
        <v>780.55655119670303</v>
      </c>
      <c r="AO632">
        <v>50032.728471643313</v>
      </c>
      <c r="AP632">
        <v>40754.30017084306</v>
      </c>
      <c r="AQ632">
        <v>-9278.4283008002458</v>
      </c>
      <c r="AR632">
        <v>2.4389348038611112E-3</v>
      </c>
      <c r="AS632">
        <v>54.178637537694172</v>
      </c>
      <c r="AT632">
        <v>75.767151362588066</v>
      </c>
      <c r="AU632">
        <v>2.592855797520444</v>
      </c>
      <c r="AV632">
        <v>166.1989126663222</v>
      </c>
      <c r="AW632">
        <v>135.37779333201649</v>
      </c>
      <c r="AX632">
        <v>-30.821119334305681</v>
      </c>
      <c r="AY632">
        <v>0.97764066274307182</v>
      </c>
      <c r="AZ632" t="str">
        <f>VLOOKUP(BA632,Sheet1!$A$1:$B$58,2,FALSE)</f>
        <v>Isobutyrate</v>
      </c>
      <c r="BA632" t="s">
        <v>142</v>
      </c>
      <c r="BB632" t="s">
        <v>114</v>
      </c>
      <c r="BC632">
        <v>87.095680000000002</v>
      </c>
      <c r="BD632">
        <v>4.75</v>
      </c>
      <c r="BE632">
        <v>155</v>
      </c>
      <c r="BF632" t="s">
        <v>198</v>
      </c>
      <c r="BG632">
        <v>9.4920838056592878</v>
      </c>
      <c r="BH632">
        <v>4.3888888888888998E-2</v>
      </c>
      <c r="BI632">
        <v>8.3045097550754995E-2</v>
      </c>
      <c r="BJ632">
        <v>90</v>
      </c>
      <c r="BK632">
        <v>1811.3022298152471</v>
      </c>
      <c r="BL632">
        <v>-412.3745911466774</v>
      </c>
      <c r="BM632">
        <v>3.588368082352035</v>
      </c>
      <c r="BN632">
        <v>610.02257399984603</v>
      </c>
      <c r="BO632">
        <v>1201.2796558154009</v>
      </c>
    </row>
    <row r="633" spans="1:67" x14ac:dyDescent="0.25">
      <c r="A633" s="1">
        <v>631</v>
      </c>
      <c r="B633" t="s">
        <v>180</v>
      </c>
      <c r="C633" t="s">
        <v>195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67</v>
      </c>
      <c r="J633">
        <v>1.4</v>
      </c>
      <c r="K633">
        <v>500</v>
      </c>
      <c r="L633">
        <v>100</v>
      </c>
      <c r="N633" t="s">
        <v>179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152780.35395969549</v>
      </c>
      <c r="Z633">
        <v>763901769.79847753</v>
      </c>
      <c r="AA633">
        <v>1069462477.717868</v>
      </c>
      <c r="AB633">
        <v>1069462.477717869</v>
      </c>
      <c r="AC633">
        <v>66773.504273504266</v>
      </c>
      <c r="AD633">
        <v>7917.2838693545882</v>
      </c>
      <c r="AE633">
        <v>14251110.964838261</v>
      </c>
      <c r="AF633">
        <v>14251110.964838261</v>
      </c>
      <c r="AG633">
        <v>641.53570679308007</v>
      </c>
      <c r="AH633">
        <v>627.19139356253174</v>
      </c>
      <c r="AI633">
        <v>627.19139356253174</v>
      </c>
      <c r="AJ633">
        <v>34757.530525830727</v>
      </c>
      <c r="AK633">
        <v>2170.1388888888891</v>
      </c>
      <c r="AL633" t="s">
        <v>107</v>
      </c>
      <c r="AM633">
        <v>48607.333001096209</v>
      </c>
      <c r="AN633">
        <v>1663.409576674813</v>
      </c>
      <c r="AO633">
        <v>106622.5369056304</v>
      </c>
      <c r="AP633">
        <v>87198.411992490626</v>
      </c>
      <c r="AQ633">
        <v>-19424.12491313976</v>
      </c>
      <c r="AR633">
        <v>2.4389348038611112E-3</v>
      </c>
      <c r="AS633">
        <v>54.178637537694172</v>
      </c>
      <c r="AT633">
        <v>75.767151362588052</v>
      </c>
      <c r="AU633">
        <v>2.5928557975204432</v>
      </c>
      <c r="AV633">
        <v>166.1989126663222</v>
      </c>
      <c r="AW633">
        <v>135.9213697213824</v>
      </c>
      <c r="AX633">
        <v>-30.277542944939739</v>
      </c>
      <c r="AY633">
        <v>0.97764066274307171</v>
      </c>
      <c r="AZ633" t="str">
        <f>VLOOKUP(BA633,Sheet1!$A$1:$B$58,2,FALSE)</f>
        <v>Isoprene</v>
      </c>
      <c r="BA633" t="s">
        <v>143</v>
      </c>
      <c r="BB633" t="s">
        <v>144</v>
      </c>
      <c r="BC633">
        <v>68.116219999999998</v>
      </c>
      <c r="BD633">
        <v>5.6</v>
      </c>
      <c r="BE633">
        <v>34.07</v>
      </c>
      <c r="BF633" t="s">
        <v>198</v>
      </c>
      <c r="BG633">
        <v>21.304996413260039</v>
      </c>
      <c r="BH633">
        <v>2.63333333333329E-2</v>
      </c>
      <c r="BI633">
        <v>3.8968992271638997E-2</v>
      </c>
      <c r="BJ633">
        <v>90</v>
      </c>
      <c r="BK633">
        <v>3875.4849774440281</v>
      </c>
      <c r="BL633">
        <v>-863.29444058398894</v>
      </c>
      <c r="BM633">
        <v>6.5701766339635954</v>
      </c>
      <c r="BN633">
        <v>1116.9300277738109</v>
      </c>
      <c r="BO633">
        <v>2758.554949670217</v>
      </c>
    </row>
    <row r="634" spans="1:67" x14ac:dyDescent="0.25">
      <c r="A634" s="1">
        <v>632</v>
      </c>
      <c r="B634" t="s">
        <v>180</v>
      </c>
      <c r="C634" t="s">
        <v>195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67</v>
      </c>
      <c r="J634">
        <v>1.4</v>
      </c>
      <c r="K634">
        <v>500</v>
      </c>
      <c r="L634">
        <v>100</v>
      </c>
      <c r="N634" t="s">
        <v>179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101019.4578715611</v>
      </c>
      <c r="Z634">
        <v>505097289.35780561</v>
      </c>
      <c r="AA634">
        <v>707136205.10092771</v>
      </c>
      <c r="AB634">
        <v>707136.20510092773</v>
      </c>
      <c r="AC634">
        <v>0</v>
      </c>
      <c r="AD634">
        <v>5234.9644674108349</v>
      </c>
      <c r="AE634">
        <v>9422936.0413395036</v>
      </c>
      <c r="AF634">
        <v>9422936.0413395036</v>
      </c>
      <c r="AG634">
        <v>424.1879772224014</v>
      </c>
      <c r="AH634">
        <v>414.70341517935151</v>
      </c>
      <c r="AI634">
        <v>414.70341517935151</v>
      </c>
      <c r="AJ634">
        <v>22981.926665780149</v>
      </c>
      <c r="AK634">
        <v>854.70085470085473</v>
      </c>
      <c r="AL634" t="s">
        <v>69</v>
      </c>
      <c r="AM634">
        <v>32139.51467639974</v>
      </c>
      <c r="AN634">
        <v>1099.858255979573</v>
      </c>
      <c r="AO634">
        <v>70499.580580489754</v>
      </c>
      <c r="AP634">
        <v>57076.000452860317</v>
      </c>
      <c r="AQ634">
        <v>-13423.58012762943</v>
      </c>
      <c r="AR634">
        <v>2.4389348038611112E-3</v>
      </c>
      <c r="AS634">
        <v>54.178637537694158</v>
      </c>
      <c r="AT634">
        <v>75.767151362588066</v>
      </c>
      <c r="AU634">
        <v>2.5928557975204432</v>
      </c>
      <c r="AV634">
        <v>166.1989126663222</v>
      </c>
      <c r="AW634">
        <v>134.5535553048818</v>
      </c>
      <c r="AX634">
        <v>-31.645357361440379</v>
      </c>
      <c r="AY634">
        <v>0.97764066274307171</v>
      </c>
      <c r="AZ634" t="str">
        <f>VLOOKUP(BA634,Sheet1!$A$1:$B$58,2,FALSE)</f>
        <v>Isopropanol</v>
      </c>
      <c r="BA634" t="s">
        <v>145</v>
      </c>
      <c r="BB634" t="s">
        <v>79</v>
      </c>
      <c r="BC634">
        <v>60.093820000000001</v>
      </c>
      <c r="BD634">
        <v>6</v>
      </c>
      <c r="BE634">
        <v>82.5</v>
      </c>
      <c r="BF634" t="s">
        <v>198</v>
      </c>
      <c r="BG634">
        <v>14.025985755126561</v>
      </c>
      <c r="BH634">
        <v>4.5142857142857103E-2</v>
      </c>
      <c r="BI634">
        <v>5.8936135257064398E-2</v>
      </c>
      <c r="BJ634">
        <v>90</v>
      </c>
      <c r="BK634">
        <v>2536.7111312382358</v>
      </c>
      <c r="BL634">
        <v>-596.6035612279743</v>
      </c>
      <c r="BM634">
        <v>4.4052771417335084</v>
      </c>
      <c r="BN634">
        <v>748.89711409469646</v>
      </c>
      <c r="BO634">
        <v>1787.81401714354</v>
      </c>
    </row>
    <row r="635" spans="1:67" x14ac:dyDescent="0.25">
      <c r="A635" s="1">
        <v>633</v>
      </c>
      <c r="B635" t="s">
        <v>180</v>
      </c>
      <c r="C635" t="s">
        <v>195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67</v>
      </c>
      <c r="J635">
        <v>1.4</v>
      </c>
      <c r="K635">
        <v>500</v>
      </c>
      <c r="L635">
        <v>100</v>
      </c>
      <c r="N635" t="s">
        <v>179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52813.770389249548</v>
      </c>
      <c r="Z635">
        <v>264068851.94624779</v>
      </c>
      <c r="AA635">
        <v>369696392.72474682</v>
      </c>
      <c r="AB635">
        <v>369696.39272474678</v>
      </c>
      <c r="AC635">
        <v>0</v>
      </c>
      <c r="AD635">
        <v>2736.880767359075</v>
      </c>
      <c r="AE635">
        <v>4926385.3812463339</v>
      </c>
      <c r="AF635">
        <v>4926385.3812463339</v>
      </c>
      <c r="AG635">
        <v>221.7688245702908</v>
      </c>
      <c r="AH635">
        <v>216.81022062865119</v>
      </c>
      <c r="AI635">
        <v>216.81022062865119</v>
      </c>
      <c r="AJ635">
        <v>12015.132763554269</v>
      </c>
      <c r="AK635">
        <v>854.70085470085473</v>
      </c>
      <c r="AL635" t="s">
        <v>69</v>
      </c>
      <c r="AM635">
        <v>16802.792098720471</v>
      </c>
      <c r="AN635">
        <v>575.01458249637278</v>
      </c>
      <c r="AO635">
        <v>36857.737506870697</v>
      </c>
      <c r="AP635">
        <v>30247.640299471968</v>
      </c>
      <c r="AQ635">
        <v>-6610.0972073987359</v>
      </c>
      <c r="AR635">
        <v>2.4389348038611112E-3</v>
      </c>
      <c r="AS635">
        <v>54.178637537694172</v>
      </c>
      <c r="AT635">
        <v>75.767151362588066</v>
      </c>
      <c r="AU635">
        <v>2.592855797520444</v>
      </c>
      <c r="AV635">
        <v>166.1989126663222</v>
      </c>
      <c r="AW635">
        <v>136.3926618544385</v>
      </c>
      <c r="AX635">
        <v>-29.806250811883729</v>
      </c>
      <c r="AY635">
        <v>0.97764066274307193</v>
      </c>
      <c r="AZ635" t="str">
        <f>VLOOKUP(BA635,Sheet1!$A$1:$B$58,2,FALSE)</f>
        <v>Itaconate</v>
      </c>
      <c r="BA635" t="s">
        <v>146</v>
      </c>
      <c r="BB635" t="s">
        <v>147</v>
      </c>
      <c r="BC635">
        <v>128.08086</v>
      </c>
      <c r="BD635">
        <v>3.2</v>
      </c>
      <c r="BE635">
        <v>381</v>
      </c>
      <c r="BF635" t="s">
        <v>198</v>
      </c>
      <c r="BG635">
        <v>6.7634835119792784</v>
      </c>
      <c r="BH635">
        <v>4.0512820512820499E-2</v>
      </c>
      <c r="BI635">
        <v>0.112730001831597</v>
      </c>
      <c r="BJ635">
        <v>90</v>
      </c>
      <c r="BK635">
        <v>1344.3395688654209</v>
      </c>
      <c r="BL635">
        <v>-293.78209810661031</v>
      </c>
      <c r="BM635">
        <v>2.8725262937385541</v>
      </c>
      <c r="BN635">
        <v>488.32946993555419</v>
      </c>
      <c r="BO635">
        <v>856.01009892986667</v>
      </c>
    </row>
    <row r="636" spans="1:67" x14ac:dyDescent="0.25">
      <c r="A636" s="1">
        <v>634</v>
      </c>
      <c r="B636" t="s">
        <v>180</v>
      </c>
      <c r="C636" t="s">
        <v>195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67</v>
      </c>
      <c r="J636">
        <v>1.4</v>
      </c>
      <c r="K636">
        <v>500</v>
      </c>
      <c r="L636">
        <v>100</v>
      </c>
      <c r="N636" t="s">
        <v>179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152355.96408758379</v>
      </c>
      <c r="Z636">
        <v>761779820.43791914</v>
      </c>
      <c r="AA636">
        <v>1066491748.6130871</v>
      </c>
      <c r="AB636">
        <v>1066491.748613087</v>
      </c>
      <c r="AC636">
        <v>0</v>
      </c>
      <c r="AD636">
        <v>7895.2914141618639</v>
      </c>
      <c r="AE636">
        <v>14211524.545491351</v>
      </c>
      <c r="AF636">
        <v>14211524.545491351</v>
      </c>
      <c r="AG636">
        <v>639.75366316309328</v>
      </c>
      <c r="AH636">
        <v>625.4491952470745</v>
      </c>
      <c r="AI636">
        <v>625.4491952470745</v>
      </c>
      <c r="AJ636">
        <v>34660.981829925317</v>
      </c>
      <c r="AK636">
        <v>854.70085470085473</v>
      </c>
      <c r="AL636" t="s">
        <v>69</v>
      </c>
      <c r="AM636">
        <v>48472.312631648267</v>
      </c>
      <c r="AN636">
        <v>1658.7889945173681</v>
      </c>
      <c r="AO636">
        <v>106326.3631920027</v>
      </c>
      <c r="AP636">
        <v>85646.784310791816</v>
      </c>
      <c r="AQ636">
        <v>-20679.578881210851</v>
      </c>
      <c r="AR636">
        <v>2.4389348038611112E-3</v>
      </c>
      <c r="AS636">
        <v>54.178637537694172</v>
      </c>
      <c r="AT636">
        <v>75.767151362588066</v>
      </c>
      <c r="AU636">
        <v>2.592855797520444</v>
      </c>
      <c r="AV636">
        <v>166.1989126663222</v>
      </c>
      <c r="AW636">
        <v>133.8746290053798</v>
      </c>
      <c r="AX636">
        <v>-32.324283660942427</v>
      </c>
      <c r="AY636">
        <v>0.97764066274307193</v>
      </c>
      <c r="AZ636" t="str">
        <f>VLOOKUP(BA636,Sheet1!$A$1:$B$58,2,FALSE)</f>
        <v>Limonene</v>
      </c>
      <c r="BA636" t="s">
        <v>148</v>
      </c>
      <c r="BB636" t="s">
        <v>149</v>
      </c>
      <c r="BC636">
        <v>136.23244</v>
      </c>
      <c r="BD636">
        <v>5.6</v>
      </c>
      <c r="BE636">
        <v>176</v>
      </c>
      <c r="BF636" t="s">
        <v>198</v>
      </c>
      <c r="BG636">
        <v>21.236842234074789</v>
      </c>
      <c r="BH636">
        <v>1.32033426183843E-2</v>
      </c>
      <c r="BI636">
        <v>3.9077540996630002E-2</v>
      </c>
      <c r="BJ636">
        <v>90</v>
      </c>
      <c r="BK636">
        <v>3806.5237471463029</v>
      </c>
      <c r="BL636">
        <v>-919.09239472048182</v>
      </c>
      <c r="BM636">
        <v>6.5608997769062967</v>
      </c>
      <c r="BN636">
        <v>1115.352962074071</v>
      </c>
      <c r="BO636">
        <v>2691.1707850722319</v>
      </c>
    </row>
    <row r="637" spans="1:67" x14ac:dyDescent="0.25">
      <c r="A637" s="1">
        <v>635</v>
      </c>
      <c r="B637" t="s">
        <v>180</v>
      </c>
      <c r="C637" t="s">
        <v>195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67</v>
      </c>
      <c r="J637">
        <v>1.4</v>
      </c>
      <c r="K637">
        <v>500</v>
      </c>
      <c r="L637">
        <v>100</v>
      </c>
      <c r="N637" t="s">
        <v>179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76200.799704337172</v>
      </c>
      <c r="Z637">
        <v>381003998.5216859</v>
      </c>
      <c r="AA637">
        <v>533405597.9303602</v>
      </c>
      <c r="AB637">
        <v>533405.59793036024</v>
      </c>
      <c r="AC637">
        <v>0</v>
      </c>
      <c r="AD637">
        <v>3948.8281490054942</v>
      </c>
      <c r="AE637">
        <v>7107890.6682098899</v>
      </c>
      <c r="AF637">
        <v>7107890.6682098899</v>
      </c>
      <c r="AG637">
        <v>319.97264458109731</v>
      </c>
      <c r="AH637">
        <v>312.81826830791732</v>
      </c>
      <c r="AI637">
        <v>312.81826830791732</v>
      </c>
      <c r="AJ637">
        <v>17335.681932736708</v>
      </c>
      <c r="AK637">
        <v>854.70085470085473</v>
      </c>
      <c r="AL637" t="s">
        <v>69</v>
      </c>
      <c r="AM637">
        <v>24243.415793863591</v>
      </c>
      <c r="AN637">
        <v>829.64292655004613</v>
      </c>
      <c r="AO637">
        <v>53179.105612345928</v>
      </c>
      <c r="AP637">
        <v>43263.441507851203</v>
      </c>
      <c r="AQ637">
        <v>-9915.6641044947391</v>
      </c>
      <c r="AR637">
        <v>2.4389348038611112E-3</v>
      </c>
      <c r="AS637">
        <v>54.178637537694158</v>
      </c>
      <c r="AT637">
        <v>75.767151362588066</v>
      </c>
      <c r="AU637">
        <v>2.5928557975204432</v>
      </c>
      <c r="AV637">
        <v>166.1989126663222</v>
      </c>
      <c r="AW637">
        <v>135.2098132154108</v>
      </c>
      <c r="AX637">
        <v>-30.989099450911372</v>
      </c>
      <c r="AY637">
        <v>0.97764066274307171</v>
      </c>
      <c r="AZ637" t="str">
        <f>VLOOKUP(BA637,Sheet1!$A$1:$B$58,2,FALSE)</f>
        <v>L-Lysine</v>
      </c>
      <c r="BA637" t="s">
        <v>150</v>
      </c>
      <c r="BB637" t="s">
        <v>151</v>
      </c>
      <c r="BC637">
        <v>147.19319999999999</v>
      </c>
      <c r="BD637">
        <v>4.833333333333333</v>
      </c>
      <c r="BF637" t="s">
        <v>198</v>
      </c>
      <c r="BG637">
        <v>10.443370784499271</v>
      </c>
      <c r="BH637">
        <v>2.4432989690721701E-2</v>
      </c>
      <c r="BI637">
        <v>7.8131679140038907E-2</v>
      </c>
      <c r="BJ637">
        <v>90</v>
      </c>
      <c r="BK637">
        <v>1922.819622571164</v>
      </c>
      <c r="BL637">
        <v>-440.6961824219884</v>
      </c>
      <c r="BM637">
        <v>3.4596633625192719</v>
      </c>
      <c r="BN637">
        <v>588.14277162827625</v>
      </c>
      <c r="BO637">
        <v>1334.676850942888</v>
      </c>
    </row>
    <row r="638" spans="1:67" x14ac:dyDescent="0.25">
      <c r="A638" s="1">
        <v>636</v>
      </c>
      <c r="B638" t="s">
        <v>180</v>
      </c>
      <c r="C638" t="s">
        <v>195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67</v>
      </c>
      <c r="J638">
        <v>1.4</v>
      </c>
      <c r="K638">
        <v>500</v>
      </c>
      <c r="L638">
        <v>100</v>
      </c>
      <c r="N638" t="s">
        <v>179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36334.753900729433</v>
      </c>
      <c r="Z638">
        <v>181673769.50364709</v>
      </c>
      <c r="AA638">
        <v>254343277.30510601</v>
      </c>
      <c r="AB638">
        <v>254343.27730510599</v>
      </c>
      <c r="AC638">
        <v>0</v>
      </c>
      <c r="AD638">
        <v>1882.9159214482761</v>
      </c>
      <c r="AE638">
        <v>3389248.6586068962</v>
      </c>
      <c r="AF638">
        <v>3389248.6586068962</v>
      </c>
      <c r="AG638">
        <v>152.57224781012371</v>
      </c>
      <c r="AH638">
        <v>149.1608334652895</v>
      </c>
      <c r="AI638">
        <v>149.1608334652895</v>
      </c>
      <c r="AJ638">
        <v>8266.1565124159442</v>
      </c>
      <c r="AK638">
        <v>854.70085470085473</v>
      </c>
      <c r="AL638" t="s">
        <v>69</v>
      </c>
      <c r="AM638">
        <v>11559.96459355994</v>
      </c>
      <c r="AN638">
        <v>395.59783727520499</v>
      </c>
      <c r="AO638">
        <v>25357.341689099219</v>
      </c>
      <c r="AP638">
        <v>21076.419797951941</v>
      </c>
      <c r="AQ638">
        <v>-4280.9218911472781</v>
      </c>
      <c r="AR638">
        <v>2.4389348038611112E-3</v>
      </c>
      <c r="AS638">
        <v>54.178637537694172</v>
      </c>
      <c r="AT638">
        <v>75.767151362588066</v>
      </c>
      <c r="AU638">
        <v>2.592855797520444</v>
      </c>
      <c r="AV638">
        <v>166.1989126663222</v>
      </c>
      <c r="AW638">
        <v>138.14058651204749</v>
      </c>
      <c r="AX638">
        <v>-28.05832615427471</v>
      </c>
      <c r="AY638">
        <v>0.97764066274307182</v>
      </c>
      <c r="AZ638" t="str">
        <f>VLOOKUP(BA638,Sheet1!$A$1:$B$58,2,FALSE)</f>
        <v>L-Malate</v>
      </c>
      <c r="BA638" t="s">
        <v>152</v>
      </c>
      <c r="BB638" t="s">
        <v>153</v>
      </c>
      <c r="BC638">
        <v>132.06916000000001</v>
      </c>
      <c r="BD638">
        <v>2.5</v>
      </c>
      <c r="BF638" t="s">
        <v>198</v>
      </c>
      <c r="BG638">
        <v>4.5021808309095599</v>
      </c>
      <c r="BH638">
        <v>5.7108433734939901E-2</v>
      </c>
      <c r="BI638">
        <v>0.16385679806666101</v>
      </c>
      <c r="BJ638">
        <v>90</v>
      </c>
      <c r="BK638">
        <v>936.72976879786393</v>
      </c>
      <c r="BL638">
        <v>-190.2631951621012</v>
      </c>
      <c r="BM638">
        <v>2.1271895453255292</v>
      </c>
      <c r="BN638">
        <v>361.62222270533988</v>
      </c>
      <c r="BO638">
        <v>575.10754609252399</v>
      </c>
    </row>
    <row r="639" spans="1:67" x14ac:dyDescent="0.25">
      <c r="A639" s="1">
        <v>637</v>
      </c>
      <c r="B639" t="s">
        <v>180</v>
      </c>
      <c r="C639" t="s">
        <v>195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67</v>
      </c>
      <c r="J639">
        <v>1.4</v>
      </c>
      <c r="K639">
        <v>500</v>
      </c>
      <c r="L639">
        <v>100</v>
      </c>
      <c r="N639" t="s">
        <v>179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31161.739876627049</v>
      </c>
      <c r="Z639">
        <v>155808699.38313529</v>
      </c>
      <c r="AA639">
        <v>218132179.13638929</v>
      </c>
      <c r="AB639">
        <v>218132.17913638931</v>
      </c>
      <c r="AC639">
        <v>0</v>
      </c>
      <c r="AD639">
        <v>1614.843362199098</v>
      </c>
      <c r="AE639">
        <v>2906718.051958377</v>
      </c>
      <c r="AF639">
        <v>2906718.051958377</v>
      </c>
      <c r="AG639">
        <v>130.85038945470629</v>
      </c>
      <c r="AH639">
        <v>127.92466146668821</v>
      </c>
      <c r="AI639">
        <v>127.92466146668821</v>
      </c>
      <c r="AJ639">
        <v>7089.2958219326538</v>
      </c>
      <c r="AK639">
        <v>854.70085470085473</v>
      </c>
      <c r="AL639" t="s">
        <v>69</v>
      </c>
      <c r="AM639">
        <v>9914.161263668333</v>
      </c>
      <c r="AN639">
        <v>339.27619090544317</v>
      </c>
      <c r="AO639">
        <v>21747.192449336992</v>
      </c>
      <c r="AP639">
        <v>18197.43413120729</v>
      </c>
      <c r="AQ639">
        <v>-3549.7583181297009</v>
      </c>
      <c r="AR639">
        <v>2.4389348038611112E-3</v>
      </c>
      <c r="AS639">
        <v>54.178637537694158</v>
      </c>
      <c r="AT639">
        <v>75.767151362588066</v>
      </c>
      <c r="AU639">
        <v>2.5928557975204432</v>
      </c>
      <c r="AV639">
        <v>166.1989126663222</v>
      </c>
      <c r="AW639">
        <v>139.07053855201781</v>
      </c>
      <c r="AX639">
        <v>-27.128374114304339</v>
      </c>
      <c r="AY639">
        <v>0.97764066274307182</v>
      </c>
      <c r="AZ639" t="str">
        <f>VLOOKUP(BA639,Sheet1!$A$1:$B$58,2,FALSE)</f>
        <v>Malonate</v>
      </c>
      <c r="BA639" t="s">
        <v>154</v>
      </c>
      <c r="BB639" t="s">
        <v>155</v>
      </c>
      <c r="BC639">
        <v>102.04378</v>
      </c>
      <c r="BD639">
        <v>2</v>
      </c>
      <c r="BE639">
        <v>199</v>
      </c>
      <c r="BF639" t="s">
        <v>198</v>
      </c>
      <c r="BG639">
        <v>3.7105108901495512</v>
      </c>
      <c r="BH639">
        <v>8.6181818181818207E-2</v>
      </c>
      <c r="BI639">
        <v>0.191057895235793</v>
      </c>
      <c r="BJ639">
        <v>90</v>
      </c>
      <c r="BK639">
        <v>808.77485027587943</v>
      </c>
      <c r="BL639">
        <v>-157.76703636131981</v>
      </c>
      <c r="BM639">
        <v>1.9750296194810339</v>
      </c>
      <c r="BN639">
        <v>335.75503531177583</v>
      </c>
      <c r="BO639">
        <v>473.0198149641036</v>
      </c>
    </row>
    <row r="640" spans="1:67" x14ac:dyDescent="0.25">
      <c r="A640" s="1">
        <v>638</v>
      </c>
      <c r="B640" t="s">
        <v>180</v>
      </c>
      <c r="C640" t="s">
        <v>195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67</v>
      </c>
      <c r="J640">
        <v>1.4</v>
      </c>
      <c r="K640">
        <v>500</v>
      </c>
      <c r="L640">
        <v>100</v>
      </c>
      <c r="N640" t="s">
        <v>179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153720.59401296341</v>
      </c>
      <c r="Z640">
        <v>768602970.06481671</v>
      </c>
      <c r="AA640">
        <v>1076044158.0907431</v>
      </c>
      <c r="AB640">
        <v>1076044.158090743</v>
      </c>
      <c r="AC640">
        <v>0</v>
      </c>
      <c r="AD640">
        <v>7966.0083762307959</v>
      </c>
      <c r="AE640">
        <v>14338815.077215429</v>
      </c>
      <c r="AF640">
        <v>14338815.077215429</v>
      </c>
      <c r="AG640">
        <v>645.48384247607157</v>
      </c>
      <c r="AH640">
        <v>631.05125154825112</v>
      </c>
      <c r="AI640">
        <v>631.05125154825112</v>
      </c>
      <c r="AJ640">
        <v>34971.435137949164</v>
      </c>
      <c r="AK640">
        <v>854.70085470085473</v>
      </c>
      <c r="AL640" t="s">
        <v>69</v>
      </c>
      <c r="AM640">
        <v>48906.471994989457</v>
      </c>
      <c r="AN640">
        <v>1673.6465231698551</v>
      </c>
      <c r="AO640">
        <v>107278.7127632027</v>
      </c>
      <c r="AP640">
        <v>86406.254510809333</v>
      </c>
      <c r="AQ640">
        <v>-20872.45825239336</v>
      </c>
      <c r="AR640">
        <v>2.4389348038611099E-3</v>
      </c>
      <c r="AS640">
        <v>54.178637537694158</v>
      </c>
      <c r="AT640">
        <v>75.767151362588052</v>
      </c>
      <c r="AU640">
        <v>2.592855797520444</v>
      </c>
      <c r="AV640">
        <v>166.1989126663222</v>
      </c>
      <c r="AW640">
        <v>133.86276901890449</v>
      </c>
      <c r="AX640">
        <v>-32.336143647417657</v>
      </c>
      <c r="AY640">
        <v>0.97764066274307171</v>
      </c>
      <c r="AZ640" t="str">
        <f>VLOOKUP(BA640,Sheet1!$A$1:$B$58,2,FALSE)</f>
        <v>Nonane</v>
      </c>
      <c r="BA640" t="s">
        <v>156</v>
      </c>
      <c r="BB640" t="s">
        <v>157</v>
      </c>
      <c r="BC640">
        <v>128.25309999999999</v>
      </c>
      <c r="BD640">
        <v>6.2222222222222223</v>
      </c>
      <c r="BE640">
        <v>151</v>
      </c>
      <c r="BF640" t="s">
        <v>198</v>
      </c>
      <c r="BG640">
        <v>21.598154377278611</v>
      </c>
      <c r="BH640">
        <v>1.3900293255132101E-2</v>
      </c>
      <c r="BI640">
        <v>3.8730636392229699E-2</v>
      </c>
      <c r="BJ640">
        <v>90</v>
      </c>
      <c r="BK640">
        <v>3840.277978258192</v>
      </c>
      <c r="BL640">
        <v>-927.66481121748268</v>
      </c>
      <c r="BM640">
        <v>6.4485679137547676</v>
      </c>
      <c r="BN640">
        <v>1096.2565453383111</v>
      </c>
      <c r="BO640">
        <v>2744.021432919882</v>
      </c>
    </row>
    <row r="641" spans="1:67" x14ac:dyDescent="0.25">
      <c r="A641" s="1">
        <v>639</v>
      </c>
      <c r="B641" t="s">
        <v>180</v>
      </c>
      <c r="C641" t="s">
        <v>195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67</v>
      </c>
      <c r="J641">
        <v>1.4</v>
      </c>
      <c r="K641">
        <v>500</v>
      </c>
      <c r="L641">
        <v>100</v>
      </c>
      <c r="N641" t="s">
        <v>179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156399.84538434169</v>
      </c>
      <c r="Z641">
        <v>781999226.92170846</v>
      </c>
      <c r="AA641">
        <v>1094798917.690392</v>
      </c>
      <c r="AB641">
        <v>1094798.9176903919</v>
      </c>
      <c r="AC641">
        <v>0</v>
      </c>
      <c r="AD641">
        <v>8104.8507935625157</v>
      </c>
      <c r="AE641">
        <v>14588731.428412531</v>
      </c>
      <c r="AF641">
        <v>14588731.428412531</v>
      </c>
      <c r="AG641">
        <v>656.73421189638975</v>
      </c>
      <c r="AH641">
        <v>642.0500701644354</v>
      </c>
      <c r="AI641">
        <v>642.0500701644354</v>
      </c>
      <c r="AJ641">
        <v>35580.964824937742</v>
      </c>
      <c r="AK641">
        <v>854.70085470085473</v>
      </c>
      <c r="AL641" t="s">
        <v>69</v>
      </c>
      <c r="AM641">
        <v>49758.880437743741</v>
      </c>
      <c r="AN641">
        <v>1702.817108745573</v>
      </c>
      <c r="AO641">
        <v>109148.51192795399</v>
      </c>
      <c r="AP641">
        <v>87897.363226127913</v>
      </c>
      <c r="AQ641">
        <v>-21251.14870182611</v>
      </c>
      <c r="AR641">
        <v>2.4389348038611112E-3</v>
      </c>
      <c r="AS641">
        <v>54.178637537694158</v>
      </c>
      <c r="AT641">
        <v>75.767151362588066</v>
      </c>
      <c r="AU641">
        <v>2.592855797520444</v>
      </c>
      <c r="AV641">
        <v>166.1989126663222</v>
      </c>
      <c r="AW641">
        <v>133.8400857362295</v>
      </c>
      <c r="AX641">
        <v>-32.358826930092761</v>
      </c>
      <c r="AY641">
        <v>0.97764066274307171</v>
      </c>
      <c r="AZ641" t="str">
        <f>VLOOKUP(BA641,Sheet1!$A$1:$B$58,2,FALSE)</f>
        <v>Octane</v>
      </c>
      <c r="BA641" t="s">
        <v>158</v>
      </c>
      <c r="BB641" t="s">
        <v>159</v>
      </c>
      <c r="BC641">
        <v>114.22672</v>
      </c>
      <c r="BD641">
        <v>6.25</v>
      </c>
      <c r="BE641">
        <v>126</v>
      </c>
      <c r="BF641" t="s">
        <v>198</v>
      </c>
      <c r="BG641">
        <v>22.03447957810522</v>
      </c>
      <c r="BH641">
        <v>1.53398058252426E-2</v>
      </c>
      <c r="BI641">
        <v>3.80671503739844E-2</v>
      </c>
      <c r="BJ641">
        <v>90</v>
      </c>
      <c r="BK641">
        <v>3906.5494767167952</v>
      </c>
      <c r="BL641">
        <v>-944.49549785893953</v>
      </c>
      <c r="BM641">
        <v>6.5010790958696836</v>
      </c>
      <c r="BN641">
        <v>1105.1834462978461</v>
      </c>
      <c r="BO641">
        <v>2801.366030418948</v>
      </c>
    </row>
    <row r="642" spans="1:67" x14ac:dyDescent="0.25">
      <c r="A642" s="1">
        <v>640</v>
      </c>
      <c r="B642" t="s">
        <v>180</v>
      </c>
      <c r="C642" t="s">
        <v>195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67</v>
      </c>
      <c r="J642">
        <v>1.4</v>
      </c>
      <c r="K642">
        <v>500</v>
      </c>
      <c r="L642">
        <v>100</v>
      </c>
      <c r="N642" t="s">
        <v>179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158667.8613779688</v>
      </c>
      <c r="Z642">
        <v>793339306.88984382</v>
      </c>
      <c r="AA642">
        <v>1110675029.645781</v>
      </c>
      <c r="AB642">
        <v>1110675.029645781</v>
      </c>
      <c r="AC642">
        <v>66773.504273504266</v>
      </c>
      <c r="AD642">
        <v>8222.3824393297382</v>
      </c>
      <c r="AE642">
        <v>14800288.39079353</v>
      </c>
      <c r="AF642">
        <v>14800288.39079353</v>
      </c>
      <c r="AG642">
        <v>666.2577743556925</v>
      </c>
      <c r="AH642">
        <v>651.36069207882326</v>
      </c>
      <c r="AI642">
        <v>651.36069207882326</v>
      </c>
      <c r="AJ642">
        <v>36096.938463487902</v>
      </c>
      <c r="AK642">
        <v>2170.1388888888891</v>
      </c>
      <c r="AL642" t="s">
        <v>107</v>
      </c>
      <c r="AM642">
        <v>50480.453636108803</v>
      </c>
      <c r="AN642">
        <v>1727.5103328812249</v>
      </c>
      <c r="AO642">
        <v>110731.31765339999</v>
      </c>
      <c r="AP642">
        <v>90475.041321366822</v>
      </c>
      <c r="AQ642">
        <v>-20256.276332033129</v>
      </c>
      <c r="AR642">
        <v>2.4389348038611112E-3</v>
      </c>
      <c r="AS642">
        <v>54.178637537694172</v>
      </c>
      <c r="AT642">
        <v>75.767151362588066</v>
      </c>
      <c r="AU642">
        <v>2.592855797520444</v>
      </c>
      <c r="AV642">
        <v>166.1989126663222</v>
      </c>
      <c r="AW642">
        <v>135.7958508009323</v>
      </c>
      <c r="AX642">
        <v>-30.403061865389962</v>
      </c>
      <c r="AY642">
        <v>0.97764066274307193</v>
      </c>
      <c r="AZ642" t="str">
        <f>VLOOKUP(BA642,Sheet1!$A$1:$B$58,2,FALSE)</f>
        <v>Pentane</v>
      </c>
      <c r="BA642" t="s">
        <v>160</v>
      </c>
      <c r="BB642" t="s">
        <v>161</v>
      </c>
      <c r="BC642">
        <v>72.147580000000005</v>
      </c>
      <c r="BD642">
        <v>6.4</v>
      </c>
      <c r="BE642">
        <v>36.1</v>
      </c>
      <c r="BF642" t="s">
        <v>198</v>
      </c>
      <c r="BG642">
        <v>22.431000527852611</v>
      </c>
      <c r="BH642">
        <v>2.3939393939394E-2</v>
      </c>
      <c r="BI642">
        <v>3.7523014308052702E-2</v>
      </c>
      <c r="BJ642">
        <v>90</v>
      </c>
      <c r="BK642">
        <v>4021.1129476163028</v>
      </c>
      <c r="BL642">
        <v>-900.27894809036195</v>
      </c>
      <c r="BM642">
        <v>6.5183635645395448</v>
      </c>
      <c r="BN642">
        <v>1108.121805971723</v>
      </c>
      <c r="BO642">
        <v>2912.9911416445811</v>
      </c>
    </row>
    <row r="643" spans="1:67" x14ac:dyDescent="0.25">
      <c r="A643" s="1">
        <v>641</v>
      </c>
      <c r="B643" t="s">
        <v>180</v>
      </c>
      <c r="C643" t="s">
        <v>195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67</v>
      </c>
      <c r="J643">
        <v>1.4</v>
      </c>
      <c r="K643">
        <v>500</v>
      </c>
      <c r="L643">
        <v>100</v>
      </c>
      <c r="N643" t="s">
        <v>179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123965.7989237486</v>
      </c>
      <c r="Z643">
        <v>619828994.61874318</v>
      </c>
      <c r="AA643">
        <v>867760592.46624041</v>
      </c>
      <c r="AB643">
        <v>867760.5924662404</v>
      </c>
      <c r="AC643">
        <v>0</v>
      </c>
      <c r="AD643">
        <v>6424.0747892858562</v>
      </c>
      <c r="AE643">
        <v>11563334.62071454</v>
      </c>
      <c r="AF643">
        <v>11563334.62071454</v>
      </c>
      <c r="AG643">
        <v>520.54131548678095</v>
      </c>
      <c r="AH643">
        <v>508.90235665764698</v>
      </c>
      <c r="AI643">
        <v>508.90235665764698</v>
      </c>
      <c r="AJ643">
        <v>28202.21925515281</v>
      </c>
      <c r="AK643">
        <v>854.70085470085473</v>
      </c>
      <c r="AL643" t="s">
        <v>69</v>
      </c>
      <c r="AM643">
        <v>39439.932640967643</v>
      </c>
      <c r="AN643">
        <v>1349.688567708818</v>
      </c>
      <c r="AO643">
        <v>86513.400631799988</v>
      </c>
      <c r="AP643">
        <v>69846.54131853013</v>
      </c>
      <c r="AQ643">
        <v>-16666.859313269859</v>
      </c>
      <c r="AR643">
        <v>2.4389348038611112E-3</v>
      </c>
      <c r="AS643">
        <v>54.178637537694158</v>
      </c>
      <c r="AT643">
        <v>75.767151362588066</v>
      </c>
      <c r="AU643">
        <v>2.5928557975204432</v>
      </c>
      <c r="AV643">
        <v>166.1989126663222</v>
      </c>
      <c r="AW643">
        <v>134.18059093582909</v>
      </c>
      <c r="AX643">
        <v>-32.018321730493078</v>
      </c>
      <c r="AY643">
        <v>0.97764066274307182</v>
      </c>
      <c r="AZ643" t="str">
        <f>VLOOKUP(BA643,Sheet1!$A$1:$B$58,2,FALSE)</f>
        <v>Pentanol (PW1)</v>
      </c>
      <c r="BA643" t="s">
        <v>162</v>
      </c>
      <c r="BB643" t="s">
        <v>83</v>
      </c>
      <c r="BC643">
        <v>88.14658</v>
      </c>
      <c r="BD643">
        <v>6</v>
      </c>
      <c r="BE643">
        <v>138</v>
      </c>
      <c r="BF643" t="s">
        <v>198</v>
      </c>
      <c r="BG643">
        <v>17.411669447913351</v>
      </c>
      <c r="BH643">
        <v>2.5079365079365101E-2</v>
      </c>
      <c r="BI643">
        <v>4.8026927462273397E-2</v>
      </c>
      <c r="BJ643">
        <v>90</v>
      </c>
      <c r="BK643">
        <v>3104.2907252680061</v>
      </c>
      <c r="BL643">
        <v>-740.74930281199363</v>
      </c>
      <c r="BM643">
        <v>5.2062130702042921</v>
      </c>
      <c r="BN643">
        <v>885.05622193472971</v>
      </c>
      <c r="BO643">
        <v>2219.2345033332758</v>
      </c>
    </row>
    <row r="644" spans="1:67" x14ac:dyDescent="0.25">
      <c r="A644" s="1">
        <v>642</v>
      </c>
      <c r="B644" t="s">
        <v>180</v>
      </c>
      <c r="C644" t="s">
        <v>195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67</v>
      </c>
      <c r="J644">
        <v>1.4</v>
      </c>
      <c r="K644">
        <v>500</v>
      </c>
      <c r="L644">
        <v>100</v>
      </c>
      <c r="N644" t="s">
        <v>179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131836.64329986399</v>
      </c>
      <c r="Z644">
        <v>659183216.49932003</v>
      </c>
      <c r="AA644">
        <v>922856503.09904802</v>
      </c>
      <c r="AB644">
        <v>922856.50309904804</v>
      </c>
      <c r="AC644">
        <v>0</v>
      </c>
      <c r="AD644">
        <v>6831.9525536851834</v>
      </c>
      <c r="AE644">
        <v>12297514.59663333</v>
      </c>
      <c r="AF644">
        <v>12297514.59663333</v>
      </c>
      <c r="AG644">
        <v>553.59155773992813</v>
      </c>
      <c r="AH644">
        <v>541.21361739783288</v>
      </c>
      <c r="AI644">
        <v>541.21361739783288</v>
      </c>
      <c r="AJ644">
        <v>29992.836350719059</v>
      </c>
      <c r="AK644">
        <v>854.70085470085473</v>
      </c>
      <c r="AL644" t="s">
        <v>69</v>
      </c>
      <c r="AM644">
        <v>41944.055348332047</v>
      </c>
      <c r="AN644">
        <v>1435.383079944346</v>
      </c>
      <c r="AO644">
        <v>92006.314957631592</v>
      </c>
      <c r="AP644">
        <v>74226.975633696318</v>
      </c>
      <c r="AQ644">
        <v>-17779.33932393527</v>
      </c>
      <c r="AR644">
        <v>2.4389348038611112E-3</v>
      </c>
      <c r="AS644">
        <v>54.178637537694172</v>
      </c>
      <c r="AT644">
        <v>75.767151362588066</v>
      </c>
      <c r="AU644">
        <v>2.592855797520444</v>
      </c>
      <c r="AV644">
        <v>166.1989126663222</v>
      </c>
      <c r="AW644">
        <v>134.0825642947529</v>
      </c>
      <c r="AX644">
        <v>-32.116348371569359</v>
      </c>
      <c r="AY644">
        <v>0.97764066274307182</v>
      </c>
      <c r="AZ644" t="str">
        <f>VLOOKUP(BA644,Sheet1!$A$1:$B$58,2,FALSE)</f>
        <v>Pentanol (PW2)</v>
      </c>
      <c r="BA644" t="s">
        <v>163</v>
      </c>
      <c r="BB644" t="s">
        <v>83</v>
      </c>
      <c r="BC644">
        <v>88.14658</v>
      </c>
      <c r="BD644">
        <v>6</v>
      </c>
      <c r="BE644">
        <v>138</v>
      </c>
      <c r="BF644" t="s">
        <v>198</v>
      </c>
      <c r="BG644">
        <v>18.675674489504711</v>
      </c>
      <c r="BH644">
        <v>2.3582089552237999E-2</v>
      </c>
      <c r="BI644">
        <v>4.5159648210792901E-2</v>
      </c>
      <c r="BJ644">
        <v>90</v>
      </c>
      <c r="BK644">
        <v>3298.9766948309471</v>
      </c>
      <c r="BL644">
        <v>-790.1928588415683</v>
      </c>
      <c r="BM644">
        <v>5.3782640615100803</v>
      </c>
      <c r="BN644">
        <v>914.30489045671368</v>
      </c>
      <c r="BO644">
        <v>2384.671804374233</v>
      </c>
    </row>
    <row r="645" spans="1:67" x14ac:dyDescent="0.25">
      <c r="A645" s="1">
        <v>643</v>
      </c>
      <c r="B645" t="s">
        <v>180</v>
      </c>
      <c r="C645" t="s">
        <v>195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67</v>
      </c>
      <c r="J645">
        <v>1.4</v>
      </c>
      <c r="K645">
        <v>500</v>
      </c>
      <c r="L645">
        <v>100</v>
      </c>
      <c r="N645" t="s">
        <v>179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127168.3424916959</v>
      </c>
      <c r="Z645">
        <v>635841712.45847929</v>
      </c>
      <c r="AA645">
        <v>890178397.44187093</v>
      </c>
      <c r="AB645">
        <v>890178.39744187088</v>
      </c>
      <c r="AC645">
        <v>0</v>
      </c>
      <c r="AD645">
        <v>6590.0349135705719</v>
      </c>
      <c r="AE645">
        <v>11862062.844427031</v>
      </c>
      <c r="AF645">
        <v>11862062.844427031</v>
      </c>
      <c r="AG645">
        <v>533.98902651866308</v>
      </c>
      <c r="AH645">
        <v>522.04938578323356</v>
      </c>
      <c r="AI645">
        <v>522.04938578323356</v>
      </c>
      <c r="AJ645">
        <v>28930.7979168608</v>
      </c>
      <c r="AK645">
        <v>854.70085470085473</v>
      </c>
      <c r="AL645" t="s">
        <v>69</v>
      </c>
      <c r="AM645">
        <v>40458.827398200599</v>
      </c>
      <c r="AN645">
        <v>1384.556543221214</v>
      </c>
      <c r="AO645">
        <v>88748.395583149701</v>
      </c>
      <c r="AP645">
        <v>71628.882712983483</v>
      </c>
      <c r="AQ645">
        <v>-17119.512870166222</v>
      </c>
      <c r="AR645">
        <v>2.4389348038611112E-3</v>
      </c>
      <c r="AS645">
        <v>54.178637537694158</v>
      </c>
      <c r="AT645">
        <v>75.767151362588066</v>
      </c>
      <c r="AU645">
        <v>2.592855797520444</v>
      </c>
      <c r="AV645">
        <v>166.1989126663222</v>
      </c>
      <c r="AW645">
        <v>134.13924098771719</v>
      </c>
      <c r="AX645">
        <v>-32.059671678604957</v>
      </c>
      <c r="AY645">
        <v>0.97764066274307193</v>
      </c>
      <c r="AZ645" t="str">
        <f>VLOOKUP(BA645,Sheet1!$A$1:$B$58,2,FALSE)</f>
        <v>Phenol</v>
      </c>
      <c r="BA645" t="s">
        <v>164</v>
      </c>
      <c r="BB645" t="s">
        <v>165</v>
      </c>
      <c r="BC645">
        <v>94.11023999999999</v>
      </c>
      <c r="BD645">
        <v>4.666666666666667</v>
      </c>
      <c r="BE645">
        <v>181.7</v>
      </c>
      <c r="BF645" t="s">
        <v>198</v>
      </c>
      <c r="BG645">
        <v>17.61652819292059</v>
      </c>
      <c r="BH645">
        <v>2.2898550724637801E-2</v>
      </c>
      <c r="BI645">
        <v>4.6817441480000603E-2</v>
      </c>
      <c r="BJ645">
        <v>90</v>
      </c>
      <c r="BK645">
        <v>3183.505898354822</v>
      </c>
      <c r="BL645">
        <v>-760.86723867405397</v>
      </c>
      <c r="BM645">
        <v>5.58566673077868</v>
      </c>
      <c r="BN645">
        <v>949.56334423237558</v>
      </c>
      <c r="BO645">
        <v>2233.9425541224459</v>
      </c>
    </row>
    <row r="646" spans="1:67" x14ac:dyDescent="0.25">
      <c r="A646" s="1">
        <v>644</v>
      </c>
      <c r="B646" t="s">
        <v>180</v>
      </c>
      <c r="C646" t="s">
        <v>195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67</v>
      </c>
      <c r="J646">
        <v>1.4</v>
      </c>
      <c r="K646">
        <v>500</v>
      </c>
      <c r="L646">
        <v>100</v>
      </c>
      <c r="N646" t="s">
        <v>179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165207.02752380929</v>
      </c>
      <c r="Z646">
        <v>826035137.61904669</v>
      </c>
      <c r="AA646">
        <v>1156449192.6666651</v>
      </c>
      <c r="AB646">
        <v>1156449.192666665</v>
      </c>
      <c r="AC646">
        <v>66773.504273504266</v>
      </c>
      <c r="AD646">
        <v>8561.2508429148693</v>
      </c>
      <c r="AE646">
        <v>15410251.51724676</v>
      </c>
      <c r="AF646">
        <v>15410251.51724676</v>
      </c>
      <c r="AG646">
        <v>693.71620383619961</v>
      </c>
      <c r="AH646">
        <v>678.20516927403003</v>
      </c>
      <c r="AI646">
        <v>678.20516927403003</v>
      </c>
      <c r="AJ646">
        <v>37584.598761666617</v>
      </c>
      <c r="AK646">
        <v>2170.1388888888891</v>
      </c>
      <c r="AL646" t="s">
        <v>107</v>
      </c>
      <c r="AM646">
        <v>52560.900618737331</v>
      </c>
      <c r="AN646">
        <v>1798.706080950564</v>
      </c>
      <c r="AO646">
        <v>115294.8787765851</v>
      </c>
      <c r="AP646">
        <v>94114.344350243409</v>
      </c>
      <c r="AQ646">
        <v>-21180.534426341688</v>
      </c>
      <c r="AR646">
        <v>2.4389348038611112E-3</v>
      </c>
      <c r="AS646">
        <v>54.178637537694172</v>
      </c>
      <c r="AT646">
        <v>75.767151362588066</v>
      </c>
      <c r="AU646">
        <v>2.592855797520444</v>
      </c>
      <c r="AV646">
        <v>166.1989126663222</v>
      </c>
      <c r="AW646">
        <v>135.66692522071421</v>
      </c>
      <c r="AX646">
        <v>-30.531987445607999</v>
      </c>
      <c r="AY646">
        <v>0.97764066274307171</v>
      </c>
      <c r="AZ646" t="str">
        <f>VLOOKUP(BA646,Sheet1!$A$1:$B$58,2,FALSE)</f>
        <v>Propane (PW1)</v>
      </c>
      <c r="BA646" t="s">
        <v>166</v>
      </c>
      <c r="BB646" t="s">
        <v>167</v>
      </c>
      <c r="BC646">
        <v>44.094819999999999</v>
      </c>
      <c r="BD646">
        <v>6.666666666666667</v>
      </c>
      <c r="BE646">
        <v>-42</v>
      </c>
      <c r="BF646" t="s">
        <v>198</v>
      </c>
      <c r="BG646">
        <v>23.536916035701481</v>
      </c>
      <c r="BH646">
        <v>3.7619047619047503E-2</v>
      </c>
      <c r="BI646">
        <v>3.6037791623940503E-2</v>
      </c>
      <c r="BJ646">
        <v>90</v>
      </c>
      <c r="BK646">
        <v>4182.8597488997066</v>
      </c>
      <c r="BL646">
        <v>-941.35708561518595</v>
      </c>
      <c r="BM646">
        <v>6.6055359320331917</v>
      </c>
      <c r="BN646">
        <v>1122.9411084456431</v>
      </c>
      <c r="BO646">
        <v>3059.9186404540651</v>
      </c>
    </row>
    <row r="647" spans="1:67" x14ac:dyDescent="0.25">
      <c r="A647" s="1">
        <v>645</v>
      </c>
      <c r="B647" t="s">
        <v>180</v>
      </c>
      <c r="C647" t="s">
        <v>195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67</v>
      </c>
      <c r="J647">
        <v>1.4</v>
      </c>
      <c r="K647">
        <v>500</v>
      </c>
      <c r="L647">
        <v>100</v>
      </c>
      <c r="N647" t="s">
        <v>179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204542.03407710031</v>
      </c>
      <c r="Z647">
        <v>1022710170.385501</v>
      </c>
      <c r="AA647">
        <v>1431794238.5397019</v>
      </c>
      <c r="AB647">
        <v>1431794.238539702</v>
      </c>
      <c r="AC647">
        <v>66773.504273504266</v>
      </c>
      <c r="AD647">
        <v>10599.6439007519</v>
      </c>
      <c r="AE647">
        <v>19079359.02135342</v>
      </c>
      <c r="AF647">
        <v>19079359.02135342</v>
      </c>
      <c r="AG647">
        <v>858.88672855911682</v>
      </c>
      <c r="AH647">
        <v>839.68259052976384</v>
      </c>
      <c r="AI647">
        <v>839.68259052976384</v>
      </c>
      <c r="AJ647">
        <v>46533.312752540318</v>
      </c>
      <c r="AK647">
        <v>2170.1388888888891</v>
      </c>
      <c r="AL647" t="s">
        <v>107</v>
      </c>
      <c r="AM647">
        <v>65075.4007660567</v>
      </c>
      <c r="AN647">
        <v>2226.9694335578738</v>
      </c>
      <c r="AO647">
        <v>142746.04039005979</v>
      </c>
      <c r="AP647">
        <v>116005.8218410438</v>
      </c>
      <c r="AQ647">
        <v>-26740.218549016081</v>
      </c>
      <c r="AR647">
        <v>2.4389348038611112E-3</v>
      </c>
      <c r="AS647">
        <v>54.178637537694172</v>
      </c>
      <c r="AT647">
        <v>75.767151362588066</v>
      </c>
      <c r="AU647">
        <v>2.592855797520444</v>
      </c>
      <c r="AV647">
        <v>166.1989126663222</v>
      </c>
      <c r="AW647">
        <v>135.06533281246189</v>
      </c>
      <c r="AX647">
        <v>-31.133579853860279</v>
      </c>
      <c r="AY647">
        <v>0.97764066274307182</v>
      </c>
      <c r="AZ647" t="str">
        <f>VLOOKUP(BA647,Sheet1!$A$1:$B$58,2,FALSE)</f>
        <v>Propane (PW2)</v>
      </c>
      <c r="BA647" t="s">
        <v>168</v>
      </c>
      <c r="BB647" t="s">
        <v>167</v>
      </c>
      <c r="BC647">
        <v>44.094819999999999</v>
      </c>
      <c r="BD647">
        <v>6.666666666666667</v>
      </c>
      <c r="BE647">
        <v>-42</v>
      </c>
      <c r="BF647" t="s">
        <v>198</v>
      </c>
      <c r="BG647">
        <v>29.85385539042576</v>
      </c>
      <c r="BH647">
        <v>3.0384615384614899E-2</v>
      </c>
      <c r="BI647">
        <v>2.91074470808746E-2</v>
      </c>
      <c r="BJ647">
        <v>90</v>
      </c>
      <c r="BK647">
        <v>5155.8143040463892</v>
      </c>
      <c r="BL647">
        <v>-1188.4541577340481</v>
      </c>
      <c r="BM647">
        <v>7.4653708553415221</v>
      </c>
      <c r="BN647">
        <v>1269.113045408059</v>
      </c>
      <c r="BO647">
        <v>3886.7012586383312</v>
      </c>
    </row>
    <row r="648" spans="1:67" x14ac:dyDescent="0.25">
      <c r="A648" s="1">
        <v>646</v>
      </c>
      <c r="B648" t="s">
        <v>180</v>
      </c>
      <c r="C648" t="s">
        <v>195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67</v>
      </c>
      <c r="J648">
        <v>1.4</v>
      </c>
      <c r="K648">
        <v>500</v>
      </c>
      <c r="L648">
        <v>100</v>
      </c>
      <c r="N648" t="s">
        <v>179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64781.158321055642</v>
      </c>
      <c r="Z648">
        <v>323905791.60527819</v>
      </c>
      <c r="AA648">
        <v>453468108.24738938</v>
      </c>
      <c r="AB648">
        <v>453468.10824738938</v>
      </c>
      <c r="AC648">
        <v>0</v>
      </c>
      <c r="AD648">
        <v>3357.0469403985262</v>
      </c>
      <c r="AE648">
        <v>6042684.4927173462</v>
      </c>
      <c r="AF648">
        <v>6042684.4927173462</v>
      </c>
      <c r="AG648">
        <v>272.02074817379008</v>
      </c>
      <c r="AH648">
        <v>265.9385445244904</v>
      </c>
      <c r="AI648">
        <v>265.9385445244904</v>
      </c>
      <c r="AJ648">
        <v>14737.71351804016</v>
      </c>
      <c r="AK648">
        <v>854.70085470085473</v>
      </c>
      <c r="AL648" t="s">
        <v>69</v>
      </c>
      <c r="AM648">
        <v>20610.237200648011</v>
      </c>
      <c r="AN648">
        <v>705.3105739482603</v>
      </c>
      <c r="AO648">
        <v>45209.552569163367</v>
      </c>
      <c r="AP648">
        <v>36907.962147337283</v>
      </c>
      <c r="AQ648">
        <v>-8301.5904218260839</v>
      </c>
      <c r="AR648">
        <v>2.4389348038611112E-3</v>
      </c>
      <c r="AS648">
        <v>54.178637537694158</v>
      </c>
      <c r="AT648">
        <v>75.767151362588066</v>
      </c>
      <c r="AU648">
        <v>2.592855797520444</v>
      </c>
      <c r="AV648">
        <v>166.1989126663222</v>
      </c>
      <c r="AW648">
        <v>135.68068757665989</v>
      </c>
      <c r="AX648">
        <v>-30.518225089662341</v>
      </c>
      <c r="AY648">
        <v>0.97764066274307193</v>
      </c>
      <c r="AZ648" t="str">
        <f>VLOOKUP(BA648,Sheet1!$A$1:$B$58,2,FALSE)</f>
        <v>Shikimate</v>
      </c>
      <c r="BA648" t="s">
        <v>169</v>
      </c>
      <c r="BB648" t="s">
        <v>170</v>
      </c>
      <c r="BC648">
        <v>173.14045999999999</v>
      </c>
      <c r="BD648">
        <v>3.8571428571428572</v>
      </c>
      <c r="BE648">
        <v>400.5</v>
      </c>
      <c r="BF648" t="s">
        <v>198</v>
      </c>
      <c r="BG648">
        <v>8.6241145747039933</v>
      </c>
      <c r="BH648">
        <v>2.4432989690721801E-2</v>
      </c>
      <c r="BI648">
        <v>9.1904754206572001E-2</v>
      </c>
      <c r="BJ648">
        <v>90</v>
      </c>
      <c r="BK648">
        <v>1640.35387321499</v>
      </c>
      <c r="BL648">
        <v>-368.95957430338137</v>
      </c>
      <c r="BM648">
        <v>3.195376293051138</v>
      </c>
      <c r="BN648">
        <v>543.2139698186935</v>
      </c>
      <c r="BO648">
        <v>1097.1399033962971</v>
      </c>
    </row>
    <row r="649" spans="1:67" x14ac:dyDescent="0.25">
      <c r="A649" s="1">
        <v>647</v>
      </c>
      <c r="B649" t="s">
        <v>180</v>
      </c>
      <c r="C649" t="s">
        <v>195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67</v>
      </c>
      <c r="J649">
        <v>1.4</v>
      </c>
      <c r="K649">
        <v>500</v>
      </c>
      <c r="L649">
        <v>100</v>
      </c>
      <c r="N649" t="s">
        <v>179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154880.7634448082</v>
      </c>
      <c r="Z649">
        <v>774403817.22404099</v>
      </c>
      <c r="AA649">
        <v>1084165344.113657</v>
      </c>
      <c r="AB649">
        <v>1084165.344113657</v>
      </c>
      <c r="AC649">
        <v>0</v>
      </c>
      <c r="AD649">
        <v>8026.1299199397899</v>
      </c>
      <c r="AE649">
        <v>14447033.855891621</v>
      </c>
      <c r="AF649">
        <v>14447033.855891621</v>
      </c>
      <c r="AG649">
        <v>650.3554774550995</v>
      </c>
      <c r="AH649">
        <v>635.81395999779033</v>
      </c>
      <c r="AI649">
        <v>635.81395999779033</v>
      </c>
      <c r="AJ649">
        <v>35235.373683693862</v>
      </c>
      <c r="AK649">
        <v>854.70085470085473</v>
      </c>
      <c r="AL649" t="s">
        <v>69</v>
      </c>
      <c r="AM649">
        <v>49275.58189982875</v>
      </c>
      <c r="AN649">
        <v>1686.27797016863</v>
      </c>
      <c r="AO649">
        <v>108088.3731996244</v>
      </c>
      <c r="AP649">
        <v>87051.934408392102</v>
      </c>
      <c r="AQ649">
        <v>-21036.43879123226</v>
      </c>
      <c r="AR649">
        <v>2.4389348038611112E-3</v>
      </c>
      <c r="AS649">
        <v>54.178637537694158</v>
      </c>
      <c r="AT649">
        <v>75.767151362588066</v>
      </c>
      <c r="AU649">
        <v>2.5928557975204432</v>
      </c>
      <c r="AV649">
        <v>166.1989126663222</v>
      </c>
      <c r="AW649">
        <v>133.85285036582499</v>
      </c>
      <c r="AX649">
        <v>-32.346062300497209</v>
      </c>
      <c r="AY649">
        <v>0.97764066274307171</v>
      </c>
      <c r="AZ649" t="str">
        <f>VLOOKUP(BA649,Sheet1!$A$1:$B$58,2,FALSE)</f>
        <v>Styrene</v>
      </c>
      <c r="BA649" t="s">
        <v>171</v>
      </c>
      <c r="BB649" t="s">
        <v>172</v>
      </c>
      <c r="BC649">
        <v>104.14832</v>
      </c>
      <c r="BD649">
        <v>5</v>
      </c>
      <c r="BE649">
        <v>145</v>
      </c>
      <c r="BF649" t="s">
        <v>198</v>
      </c>
      <c r="BG649">
        <v>21.492252830544469</v>
      </c>
      <c r="BH649">
        <v>1.6989247311828E-2</v>
      </c>
      <c r="BI649">
        <v>3.84405157896529E-2</v>
      </c>
      <c r="BJ649">
        <v>90</v>
      </c>
      <c r="BK649">
        <v>3868.9748625952038</v>
      </c>
      <c r="BL649">
        <v>-934.9528351658779</v>
      </c>
      <c r="BM649">
        <v>6.7661453915795384</v>
      </c>
      <c r="BN649">
        <v>1150.244716568521</v>
      </c>
      <c r="BO649">
        <v>2718.7301460266831</v>
      </c>
    </row>
    <row r="650" spans="1:67" x14ac:dyDescent="0.25">
      <c r="A650" s="1">
        <v>648</v>
      </c>
      <c r="B650" t="s">
        <v>180</v>
      </c>
      <c r="C650" t="s">
        <v>195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67</v>
      </c>
      <c r="J650">
        <v>1.4</v>
      </c>
      <c r="K650">
        <v>500</v>
      </c>
      <c r="L650">
        <v>100</v>
      </c>
      <c r="N650" t="s">
        <v>179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43335.540311407749</v>
      </c>
      <c r="Z650">
        <v>216677701.55703881</v>
      </c>
      <c r="AA650">
        <v>303348782.17985421</v>
      </c>
      <c r="AB650">
        <v>303348.78217985423</v>
      </c>
      <c r="AC650">
        <v>0</v>
      </c>
      <c r="AD650">
        <v>2245.7061093587081</v>
      </c>
      <c r="AE650">
        <v>4042270.9968456738</v>
      </c>
      <c r="AF650">
        <v>4042270.9968456738</v>
      </c>
      <c r="AG650">
        <v>181.96905402034321</v>
      </c>
      <c r="AH650">
        <v>177.90034657117809</v>
      </c>
      <c r="AI650">
        <v>177.90034657117809</v>
      </c>
      <c r="AJ650">
        <v>9858.835420845262</v>
      </c>
      <c r="AK650">
        <v>854.70085470085473</v>
      </c>
      <c r="AL650" t="s">
        <v>69</v>
      </c>
      <c r="AM650">
        <v>13787.276859266311</v>
      </c>
      <c r="AN650">
        <v>471.81951668595752</v>
      </c>
      <c r="AO650">
        <v>30243.05891710029</v>
      </c>
      <c r="AP650">
        <v>24972.632651498381</v>
      </c>
      <c r="AQ650">
        <v>-5270.4262656019018</v>
      </c>
      <c r="AR650">
        <v>2.4389348038611112E-3</v>
      </c>
      <c r="AS650">
        <v>54.178637537694172</v>
      </c>
      <c r="AT650">
        <v>75.767151362588066</v>
      </c>
      <c r="AU650">
        <v>2.592855797520444</v>
      </c>
      <c r="AV650">
        <v>166.1989126663222</v>
      </c>
      <c r="AW650">
        <v>137.23560187715529</v>
      </c>
      <c r="AX650">
        <v>-28.963310789166911</v>
      </c>
      <c r="AY650">
        <v>0.97764066274307204</v>
      </c>
      <c r="AZ650" t="str">
        <f>VLOOKUP(BA650,Sheet1!$A$1:$B$58,2,FALSE)</f>
        <v>Succinate</v>
      </c>
      <c r="BA650" t="s">
        <v>173</v>
      </c>
      <c r="BB650" t="s">
        <v>174</v>
      </c>
      <c r="BC650">
        <v>116.07016</v>
      </c>
      <c r="BD650">
        <v>3</v>
      </c>
      <c r="BE650">
        <v>235</v>
      </c>
      <c r="BF650" t="s">
        <v>198</v>
      </c>
      <c r="BG650">
        <v>5.4427294751093527</v>
      </c>
      <c r="BH650">
        <v>5.4482758620689603E-2</v>
      </c>
      <c r="BI650">
        <v>0.13738599749606401</v>
      </c>
      <c r="BJ650">
        <v>90</v>
      </c>
      <c r="BK650">
        <v>1109.894784511039</v>
      </c>
      <c r="BL650">
        <v>-234.24116736008449</v>
      </c>
      <c r="BM650">
        <v>2.4639525947207872</v>
      </c>
      <c r="BN650">
        <v>418.87194110253381</v>
      </c>
      <c r="BO650">
        <v>691.02284340850542</v>
      </c>
    </row>
    <row r="651" spans="1:67" x14ac:dyDescent="0.25">
      <c r="A651" s="1">
        <v>649</v>
      </c>
      <c r="B651" t="s">
        <v>180</v>
      </c>
      <c r="C651" t="s">
        <v>195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67</v>
      </c>
      <c r="J651">
        <v>1.4</v>
      </c>
      <c r="K651">
        <v>500</v>
      </c>
      <c r="L651">
        <v>100</v>
      </c>
      <c r="N651" t="s">
        <v>179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187203.3025236782</v>
      </c>
      <c r="Z651">
        <v>936016512.61839092</v>
      </c>
      <c r="AA651">
        <v>1310423117.6657469</v>
      </c>
      <c r="AB651">
        <v>1310423.1176657469</v>
      </c>
      <c r="AC651">
        <v>0</v>
      </c>
      <c r="AD651">
        <v>9701.1274613987571</v>
      </c>
      <c r="AE651">
        <v>17462029.430517759</v>
      </c>
      <c r="AF651">
        <v>17462029.430517759</v>
      </c>
      <c r="AG651">
        <v>786.08014634007998</v>
      </c>
      <c r="AH651">
        <v>768.50391523708663</v>
      </c>
      <c r="AI651">
        <v>768.50391523708663</v>
      </c>
      <c r="AJ651">
        <v>42588.751324136792</v>
      </c>
      <c r="AK651">
        <v>854.70085470085473</v>
      </c>
      <c r="AL651" t="s">
        <v>69</v>
      </c>
      <c r="AM651">
        <v>59559.053430874214</v>
      </c>
      <c r="AN651">
        <v>2038.192464753595</v>
      </c>
      <c r="AO651">
        <v>130645.66559030471</v>
      </c>
      <c r="AP651">
        <v>105040.6980744654</v>
      </c>
      <c r="AQ651">
        <v>-25604.967515839278</v>
      </c>
      <c r="AR651">
        <v>2.4389348038611112E-3</v>
      </c>
      <c r="AS651">
        <v>54.178637537694158</v>
      </c>
      <c r="AT651">
        <v>75.767151362588052</v>
      </c>
      <c r="AU651">
        <v>2.592855797520444</v>
      </c>
      <c r="AV651">
        <v>166.19891266632209</v>
      </c>
      <c r="AW651">
        <v>133.62593949678751</v>
      </c>
      <c r="AX651">
        <v>-32.572973169534613</v>
      </c>
      <c r="AY651">
        <v>0.97764066274307182</v>
      </c>
      <c r="AZ651" t="str">
        <f>VLOOKUP(BA651,Sheet1!$A$1:$B$58,2,FALSE)</f>
        <v>1,3-Butanediol (PW1)</v>
      </c>
      <c r="BA651" t="s">
        <v>70</v>
      </c>
      <c r="BB651" t="s">
        <v>71</v>
      </c>
      <c r="BC651">
        <v>90.119200000000006</v>
      </c>
      <c r="BD651">
        <v>5.5</v>
      </c>
      <c r="BE651">
        <v>207</v>
      </c>
      <c r="BF651" t="s">
        <v>199</v>
      </c>
      <c r="BG651">
        <v>28.11018734006419</v>
      </c>
      <c r="BH651">
        <v>1.62440027416038E-2</v>
      </c>
      <c r="BI651">
        <v>3.1803372870308197E-2</v>
      </c>
      <c r="BJ651">
        <v>90</v>
      </c>
      <c r="BK651">
        <v>4668.4754699762416</v>
      </c>
      <c r="BL651">
        <v>-1137.998556259523</v>
      </c>
      <c r="BM651">
        <v>6.0455422260285552</v>
      </c>
      <c r="BN651">
        <v>1027.742178424854</v>
      </c>
      <c r="BO651">
        <v>3640.7332915513871</v>
      </c>
    </row>
    <row r="652" spans="1:67" x14ac:dyDescent="0.25">
      <c r="A652" s="1">
        <v>650</v>
      </c>
      <c r="B652" t="s">
        <v>180</v>
      </c>
      <c r="C652" t="s">
        <v>195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67</v>
      </c>
      <c r="J652">
        <v>1.4</v>
      </c>
      <c r="K652">
        <v>500</v>
      </c>
      <c r="L652">
        <v>100</v>
      </c>
      <c r="N652" t="s">
        <v>179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186946.68387730821</v>
      </c>
      <c r="Z652">
        <v>934733419.38654101</v>
      </c>
      <c r="AA652">
        <v>1308626787.1411569</v>
      </c>
      <c r="AB652">
        <v>1308626.7871411571</v>
      </c>
      <c r="AC652">
        <v>0</v>
      </c>
      <c r="AD652">
        <v>9687.8291372567892</v>
      </c>
      <c r="AE652">
        <v>17438092.44706222</v>
      </c>
      <c r="AF652">
        <v>17438092.44706222</v>
      </c>
      <c r="AG652">
        <v>785.00258616687427</v>
      </c>
      <c r="AH652">
        <v>767.45044859520829</v>
      </c>
      <c r="AI652">
        <v>767.45044859520829</v>
      </c>
      <c r="AJ652">
        <v>42530.370582087613</v>
      </c>
      <c r="AK652">
        <v>854.70085470085473</v>
      </c>
      <c r="AL652" t="s">
        <v>69</v>
      </c>
      <c r="AM652">
        <v>59477.409766128643</v>
      </c>
      <c r="AN652">
        <v>2035.3985066113221</v>
      </c>
      <c r="AO652">
        <v>130466.5762611854</v>
      </c>
      <c r="AP652">
        <v>104897.8797095284</v>
      </c>
      <c r="AQ652">
        <v>-25568.69655165698</v>
      </c>
      <c r="AR652">
        <v>2.4389348038611112E-3</v>
      </c>
      <c r="AS652">
        <v>54.178637537694158</v>
      </c>
      <c r="AT652">
        <v>75.767151362588066</v>
      </c>
      <c r="AU652">
        <v>2.592855797520444</v>
      </c>
      <c r="AV652">
        <v>166.1989126663222</v>
      </c>
      <c r="AW652">
        <v>133.62743200852259</v>
      </c>
      <c r="AX652">
        <v>-32.571480657799547</v>
      </c>
      <c r="AY652">
        <v>0.97764066274307182</v>
      </c>
      <c r="AZ652" t="str">
        <f>VLOOKUP(BA652,Sheet1!$A$1:$B$58,2,FALSE)</f>
        <v>1,3-Butanediol (PW2)</v>
      </c>
      <c r="BA652" t="s">
        <v>72</v>
      </c>
      <c r="BB652" t="s">
        <v>71</v>
      </c>
      <c r="BC652">
        <v>90.119200000000006</v>
      </c>
      <c r="BD652">
        <v>5.5</v>
      </c>
      <c r="BE652">
        <v>207</v>
      </c>
      <c r="BF652" t="s">
        <v>199</v>
      </c>
      <c r="BG652">
        <v>28.068976099277769</v>
      </c>
      <c r="BH652">
        <v>1.62663006177079E-2</v>
      </c>
      <c r="BI652">
        <v>3.1847028838559201E-2</v>
      </c>
      <c r="BJ652">
        <v>90</v>
      </c>
      <c r="BK652">
        <v>4662.1279870901526</v>
      </c>
      <c r="BL652">
        <v>-1136.386513406977</v>
      </c>
      <c r="BM652">
        <v>6.0399327271759304</v>
      </c>
      <c r="BN652">
        <v>1026.788563619908</v>
      </c>
      <c r="BO652">
        <v>3635.339423470245</v>
      </c>
    </row>
    <row r="653" spans="1:67" x14ac:dyDescent="0.25">
      <c r="A653" s="1">
        <v>651</v>
      </c>
      <c r="B653" t="s">
        <v>180</v>
      </c>
      <c r="C653" t="s">
        <v>195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67</v>
      </c>
      <c r="J653">
        <v>1.4</v>
      </c>
      <c r="K653">
        <v>500</v>
      </c>
      <c r="L653">
        <v>100</v>
      </c>
      <c r="N653" t="s">
        <v>179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174495.8464163043</v>
      </c>
      <c r="Z653">
        <v>872479232.08152139</v>
      </c>
      <c r="AA653">
        <v>1221470924.91413</v>
      </c>
      <c r="AB653">
        <v>1221470.92491413</v>
      </c>
      <c r="AC653">
        <v>0</v>
      </c>
      <c r="AD653">
        <v>9042.6099579900128</v>
      </c>
      <c r="AE653">
        <v>16276697.92438202</v>
      </c>
      <c r="AF653">
        <v>16276697.92438202</v>
      </c>
      <c r="AG653">
        <v>732.72062318086023</v>
      </c>
      <c r="AH653">
        <v>716.33747565205283</v>
      </c>
      <c r="AI653">
        <v>716.33747565205283</v>
      </c>
      <c r="AJ653">
        <v>39697.80505970923</v>
      </c>
      <c r="AK653">
        <v>854.70085470085473</v>
      </c>
      <c r="AL653" t="s">
        <v>69</v>
      </c>
      <c r="AM653">
        <v>55516.154363034097</v>
      </c>
      <c r="AN653">
        <v>1899.838915777286</v>
      </c>
      <c r="AO653">
        <v>121777.370860849</v>
      </c>
      <c r="AP653">
        <v>97968.499193221476</v>
      </c>
      <c r="AQ653">
        <v>-23808.871667627511</v>
      </c>
      <c r="AR653">
        <v>2.438934803861112E-3</v>
      </c>
      <c r="AS653">
        <v>54.178637537694179</v>
      </c>
      <c r="AT653">
        <v>75.767151362588066</v>
      </c>
      <c r="AU653">
        <v>2.592855797520444</v>
      </c>
      <c r="AV653">
        <v>166.1989126663222</v>
      </c>
      <c r="AW653">
        <v>133.70512046996049</v>
      </c>
      <c r="AX653">
        <v>-32.493792196361682</v>
      </c>
      <c r="AY653">
        <v>0.97764066274307193</v>
      </c>
      <c r="AZ653" t="str">
        <f>VLOOKUP(BA653,Sheet1!$A$1:$B$58,2,FALSE)</f>
        <v>1,3-Diaminopropane</v>
      </c>
      <c r="BA653" t="s">
        <v>73</v>
      </c>
      <c r="BB653" t="s">
        <v>74</v>
      </c>
      <c r="BC653">
        <v>76.139580000000009</v>
      </c>
      <c r="BD653">
        <v>6</v>
      </c>
      <c r="BE653">
        <v>139.30000000000001</v>
      </c>
      <c r="BF653" t="s">
        <v>199</v>
      </c>
      <c r="BG653">
        <v>26.288815450368901</v>
      </c>
      <c r="BH653">
        <v>2.0626631853786E-2</v>
      </c>
      <c r="BI653">
        <v>3.4119416335616298E-2</v>
      </c>
      <c r="BJ653">
        <v>90</v>
      </c>
      <c r="BK653">
        <v>4354.155519698732</v>
      </c>
      <c r="BL653">
        <v>-1058.172074116778</v>
      </c>
      <c r="BM653">
        <v>5.5484056897223404</v>
      </c>
      <c r="BN653">
        <v>943.22896725279782</v>
      </c>
      <c r="BO653">
        <v>3410.9265524459338</v>
      </c>
    </row>
    <row r="654" spans="1:67" x14ac:dyDescent="0.25">
      <c r="A654" s="1">
        <v>652</v>
      </c>
      <c r="B654" t="s">
        <v>180</v>
      </c>
      <c r="C654" t="s">
        <v>195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67</v>
      </c>
      <c r="J654">
        <v>1.4</v>
      </c>
      <c r="K654">
        <v>500</v>
      </c>
      <c r="L654">
        <v>100</v>
      </c>
      <c r="N654" t="s">
        <v>179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170956.01467385839</v>
      </c>
      <c r="Z654">
        <v>854780073.36929226</v>
      </c>
      <c r="AA654">
        <v>1196692102.7170091</v>
      </c>
      <c r="AB654">
        <v>1196692.1027170089</v>
      </c>
      <c r="AC654">
        <v>0</v>
      </c>
      <c r="AD654">
        <v>8859.1711058841393</v>
      </c>
      <c r="AE654">
        <v>15946507.99059145</v>
      </c>
      <c r="AF654">
        <v>15946507.99059145</v>
      </c>
      <c r="AG654">
        <v>717.85661481877958</v>
      </c>
      <c r="AH654">
        <v>701.80581666592968</v>
      </c>
      <c r="AI654">
        <v>701.80581666592968</v>
      </c>
      <c r="AJ654">
        <v>38892.493338302796</v>
      </c>
      <c r="AK654">
        <v>854.70085470085473</v>
      </c>
      <c r="AL654" t="s">
        <v>69</v>
      </c>
      <c r="AM654">
        <v>54389.950791609554</v>
      </c>
      <c r="AN654">
        <v>1861.298685521273</v>
      </c>
      <c r="AO654">
        <v>119306.988833208</v>
      </c>
      <c r="AP654">
        <v>95998.443670134482</v>
      </c>
      <c r="AQ654">
        <v>-23308.545163073559</v>
      </c>
      <c r="AR654">
        <v>2.4389348038611112E-3</v>
      </c>
      <c r="AS654">
        <v>54.178637537694172</v>
      </c>
      <c r="AT654">
        <v>75.767151362588066</v>
      </c>
      <c r="AU654">
        <v>2.592855797520444</v>
      </c>
      <c r="AV654">
        <v>166.1989126663222</v>
      </c>
      <c r="AW654">
        <v>133.72927362990029</v>
      </c>
      <c r="AX654">
        <v>-32.469639036421938</v>
      </c>
      <c r="AY654">
        <v>0.97764066274307182</v>
      </c>
      <c r="AZ654" t="str">
        <f>VLOOKUP(BA654,Sheet1!$A$1:$B$58,2,FALSE)</f>
        <v>1,3-Propanediol</v>
      </c>
      <c r="BA654" t="s">
        <v>75</v>
      </c>
      <c r="BB654" t="s">
        <v>76</v>
      </c>
      <c r="BC654">
        <v>76.092820000000003</v>
      </c>
      <c r="BD654">
        <v>5.333333333333333</v>
      </c>
      <c r="BE654">
        <v>213</v>
      </c>
      <c r="BF654" t="s">
        <v>199</v>
      </c>
      <c r="BG654">
        <v>25.719276516246779</v>
      </c>
      <c r="BH654">
        <v>2.10666666666669E-2</v>
      </c>
      <c r="BI654">
        <v>3.4825896263853698E-2</v>
      </c>
      <c r="BJ654">
        <v>90</v>
      </c>
      <c r="BK654">
        <v>4266.5974964504221</v>
      </c>
      <c r="BL654">
        <v>-1035.9353405810471</v>
      </c>
      <c r="BM654">
        <v>5.4720931133500983</v>
      </c>
      <c r="BN654">
        <v>930.25582926951665</v>
      </c>
      <c r="BO654">
        <v>3336.341667180905</v>
      </c>
    </row>
    <row r="655" spans="1:67" x14ac:dyDescent="0.25">
      <c r="A655" s="1">
        <v>653</v>
      </c>
      <c r="B655" t="s">
        <v>180</v>
      </c>
      <c r="C655" t="s">
        <v>195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67</v>
      </c>
      <c r="J655">
        <v>1.4</v>
      </c>
      <c r="K655">
        <v>500</v>
      </c>
      <c r="L655">
        <v>100</v>
      </c>
      <c r="N655" t="s">
        <v>179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188229.77710913779</v>
      </c>
      <c r="Z655">
        <v>941148885.54568887</v>
      </c>
      <c r="AA655">
        <v>1317608439.7639639</v>
      </c>
      <c r="AB655">
        <v>1317608.4397639639</v>
      </c>
      <c r="AC655">
        <v>0</v>
      </c>
      <c r="AD655">
        <v>9754.3207579655755</v>
      </c>
      <c r="AE655">
        <v>17557777.36433804</v>
      </c>
      <c r="AF655">
        <v>17557777.36433804</v>
      </c>
      <c r="AG655">
        <v>790.39038703281778</v>
      </c>
      <c r="AH655">
        <v>772.7177818045169</v>
      </c>
      <c r="AI655">
        <v>772.7177818045169</v>
      </c>
      <c r="AJ655">
        <v>42822.274292328853</v>
      </c>
      <c r="AK655">
        <v>854.70085470085473</v>
      </c>
      <c r="AL655" t="s">
        <v>69</v>
      </c>
      <c r="AM655">
        <v>59885.628089850063</v>
      </c>
      <c r="AN655">
        <v>2049.3682973224691</v>
      </c>
      <c r="AO655">
        <v>131362.0229067679</v>
      </c>
      <c r="AP655">
        <v>105611.9715342022</v>
      </c>
      <c r="AQ655">
        <v>-25750.051372565649</v>
      </c>
      <c r="AR655">
        <v>2.4389348038611112E-3</v>
      </c>
      <c r="AS655">
        <v>54.178637537694172</v>
      </c>
      <c r="AT655">
        <v>75.767151362588052</v>
      </c>
      <c r="AU655">
        <v>2.592855797520444</v>
      </c>
      <c r="AV655">
        <v>166.1989126663222</v>
      </c>
      <c r="AW655">
        <v>133.62001014546391</v>
      </c>
      <c r="AX655">
        <v>-32.578902520858293</v>
      </c>
      <c r="AY655">
        <v>0.97764066274307171</v>
      </c>
      <c r="AZ655" t="str">
        <f>VLOOKUP(BA655,Sheet1!$A$1:$B$58,2,FALSE)</f>
        <v>1,4-Butanediol</v>
      </c>
      <c r="BA655" t="s">
        <v>77</v>
      </c>
      <c r="BB655" t="s">
        <v>71</v>
      </c>
      <c r="BC655">
        <v>90.119200000000006</v>
      </c>
      <c r="BD655">
        <v>5.5</v>
      </c>
      <c r="BE655">
        <v>230</v>
      </c>
      <c r="BF655" t="s">
        <v>199</v>
      </c>
      <c r="BG655">
        <v>28.275032303207539</v>
      </c>
      <c r="BH655">
        <v>1.6155419222904002E-2</v>
      </c>
      <c r="BI655">
        <v>3.1629939344090197E-2</v>
      </c>
      <c r="BJ655">
        <v>90</v>
      </c>
      <c r="BK655">
        <v>4693.8654015200991</v>
      </c>
      <c r="BL655">
        <v>-1144.446727669583</v>
      </c>
      <c r="BM655">
        <v>6.0679802214376544</v>
      </c>
      <c r="BN655">
        <v>1031.556637644401</v>
      </c>
      <c r="BO655">
        <v>3662.3087638756979</v>
      </c>
    </row>
    <row r="656" spans="1:67" x14ac:dyDescent="0.25">
      <c r="A656" s="1">
        <v>654</v>
      </c>
      <c r="B656" t="s">
        <v>180</v>
      </c>
      <c r="C656" t="s">
        <v>195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67</v>
      </c>
      <c r="J656">
        <v>1.4</v>
      </c>
      <c r="K656">
        <v>500</v>
      </c>
      <c r="L656">
        <v>100</v>
      </c>
      <c r="N656" t="s">
        <v>179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247257.14926658201</v>
      </c>
      <c r="Z656">
        <v>1236285746.3329101</v>
      </c>
      <c r="AA656">
        <v>1730800044.8660741</v>
      </c>
      <c r="AB656">
        <v>1730800.0448660741</v>
      </c>
      <c r="AC656">
        <v>0</v>
      </c>
      <c r="AD656">
        <v>12813.198744043621</v>
      </c>
      <c r="AE656">
        <v>23063757.73927851</v>
      </c>
      <c r="AF656">
        <v>23063757.73927851</v>
      </c>
      <c r="AG656">
        <v>1038.2505728205399</v>
      </c>
      <c r="AH656">
        <v>1015.035978105647</v>
      </c>
      <c r="AI656">
        <v>1015.035978105647</v>
      </c>
      <c r="AJ656">
        <v>56251.00145814741</v>
      </c>
      <c r="AK656">
        <v>854.70085470085473</v>
      </c>
      <c r="AL656" t="s">
        <v>69</v>
      </c>
      <c r="AM656">
        <v>78665.288303187655</v>
      </c>
      <c r="AN656">
        <v>2692.0340170166601</v>
      </c>
      <c r="AO656">
        <v>172556.11627796001</v>
      </c>
      <c r="AP656">
        <v>138463.02463305261</v>
      </c>
      <c r="AQ656">
        <v>-34093.091644907487</v>
      </c>
      <c r="AR656">
        <v>2.4389348038611112E-3</v>
      </c>
      <c r="AS656">
        <v>54.178637537694172</v>
      </c>
      <c r="AT656">
        <v>75.767151362588066</v>
      </c>
      <c r="AU656">
        <v>2.592855797520444</v>
      </c>
      <c r="AV656">
        <v>166.1989126663222</v>
      </c>
      <c r="AW656">
        <v>133.36185720264041</v>
      </c>
      <c r="AX656">
        <v>-32.837055463681793</v>
      </c>
      <c r="AY656">
        <v>0.97764066274307204</v>
      </c>
      <c r="AZ656" t="str">
        <f>VLOOKUP(BA656,Sheet1!$A$1:$B$58,2,FALSE)</f>
        <v>1-Propanol (PW1)</v>
      </c>
      <c r="BA656" t="s">
        <v>78</v>
      </c>
      <c r="BB656" t="s">
        <v>79</v>
      </c>
      <c r="BC656">
        <v>60.093820000000001</v>
      </c>
      <c r="BD656">
        <v>6</v>
      </c>
      <c r="BE656">
        <v>97</v>
      </c>
      <c r="BF656" t="s">
        <v>199</v>
      </c>
      <c r="BG656">
        <v>37.510782348861177</v>
      </c>
      <c r="BH656">
        <v>1.8443579766536999E-2</v>
      </c>
      <c r="BI656">
        <v>2.4078965766504999E-2</v>
      </c>
      <c r="BJ656">
        <v>90</v>
      </c>
      <c r="BK656">
        <v>6153.912205913447</v>
      </c>
      <c r="BL656">
        <v>-1515.248517551443</v>
      </c>
      <c r="BM656">
        <v>7.6019277891675969</v>
      </c>
      <c r="BN656">
        <v>1292.327724158491</v>
      </c>
      <c r="BO656">
        <v>4861.584481754955</v>
      </c>
    </row>
    <row r="657" spans="1:67" x14ac:dyDescent="0.25">
      <c r="A657" s="1">
        <v>655</v>
      </c>
      <c r="B657" t="s">
        <v>180</v>
      </c>
      <c r="C657" t="s">
        <v>195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67</v>
      </c>
      <c r="J657">
        <v>1.4</v>
      </c>
      <c r="K657">
        <v>500</v>
      </c>
      <c r="L657">
        <v>100</v>
      </c>
      <c r="N657" t="s">
        <v>179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252260.01765641131</v>
      </c>
      <c r="Z657">
        <v>1261300088.2820561</v>
      </c>
      <c r="AA657">
        <v>1765820123.5948789</v>
      </c>
      <c r="AB657">
        <v>1765820.1235948789</v>
      </c>
      <c r="AC657">
        <v>0</v>
      </c>
      <c r="AD657">
        <v>13072.45412719156</v>
      </c>
      <c r="AE657">
        <v>23530417.4289448</v>
      </c>
      <c r="AF657">
        <v>23530417.4289448</v>
      </c>
      <c r="AG657">
        <v>1059.257977406791</v>
      </c>
      <c r="AH657">
        <v>1035.5736710478609</v>
      </c>
      <c r="AI657">
        <v>1035.5736710478609</v>
      </c>
      <c r="AJ657">
        <v>57389.154016833563</v>
      </c>
      <c r="AK657">
        <v>854.70085470085473</v>
      </c>
      <c r="AL657" t="s">
        <v>69</v>
      </c>
      <c r="AM657">
        <v>80256.959506209198</v>
      </c>
      <c r="AN657">
        <v>2746.503187788976</v>
      </c>
      <c r="AO657">
        <v>176047.52407813631</v>
      </c>
      <c r="AP657">
        <v>141247.3175655326</v>
      </c>
      <c r="AQ657">
        <v>-34800.206512603727</v>
      </c>
      <c r="AR657">
        <v>2.4389348038611112E-3</v>
      </c>
      <c r="AS657">
        <v>54.178637537694172</v>
      </c>
      <c r="AT657">
        <v>75.767151362588038</v>
      </c>
      <c r="AU657">
        <v>2.592855797520444</v>
      </c>
      <c r="AV657">
        <v>166.1989126663222</v>
      </c>
      <c r="AW657">
        <v>133.3455310965185</v>
      </c>
      <c r="AX657">
        <v>-32.853381569803638</v>
      </c>
      <c r="AY657">
        <v>0.97764066274307171</v>
      </c>
      <c r="AZ657" t="str">
        <f>VLOOKUP(BA657,Sheet1!$A$1:$B$58,2,FALSE)</f>
        <v>1-Propanol (PW2)</v>
      </c>
      <c r="BA657" t="s">
        <v>80</v>
      </c>
      <c r="BB657" t="s">
        <v>79</v>
      </c>
      <c r="BC657">
        <v>60.093820000000001</v>
      </c>
      <c r="BD657">
        <v>6</v>
      </c>
      <c r="BE657">
        <v>97</v>
      </c>
      <c r="BF657" t="s">
        <v>199</v>
      </c>
      <c r="BG657">
        <v>38.314209600752022</v>
      </c>
      <c r="BH657">
        <v>1.80778032036614E-2</v>
      </c>
      <c r="BI657">
        <v>2.3601427162440101E-2</v>
      </c>
      <c r="BJ657">
        <v>90</v>
      </c>
      <c r="BK657">
        <v>6277.6585584681143</v>
      </c>
      <c r="BL657">
        <v>-1546.6758450046109</v>
      </c>
      <c r="BM657">
        <v>7.7112868902640201</v>
      </c>
      <c r="BN657">
        <v>1310.918771344883</v>
      </c>
      <c r="BO657">
        <v>4966.7397871232306</v>
      </c>
    </row>
    <row r="658" spans="1:67" x14ac:dyDescent="0.25">
      <c r="A658" s="1">
        <v>656</v>
      </c>
      <c r="B658" t="s">
        <v>180</v>
      </c>
      <c r="C658" t="s">
        <v>195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67</v>
      </c>
      <c r="J658">
        <v>1.4</v>
      </c>
      <c r="K658">
        <v>500</v>
      </c>
      <c r="L658">
        <v>100</v>
      </c>
      <c r="N658" t="s">
        <v>179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187459.92117004131</v>
      </c>
      <c r="Z658">
        <v>937299605.85020626</v>
      </c>
      <c r="AA658">
        <v>1312219448.190289</v>
      </c>
      <c r="AB658">
        <v>1312219.4481902891</v>
      </c>
      <c r="AC658">
        <v>0</v>
      </c>
      <c r="AD658">
        <v>9714.4257855403666</v>
      </c>
      <c r="AE658">
        <v>17485966.413972661</v>
      </c>
      <c r="AF658">
        <v>17485966.413972661</v>
      </c>
      <c r="AG658">
        <v>787.15770651325681</v>
      </c>
      <c r="AH658">
        <v>769.55738187893678</v>
      </c>
      <c r="AI658">
        <v>769.55738187893678</v>
      </c>
      <c r="AJ658">
        <v>42647.132066184393</v>
      </c>
      <c r="AK658">
        <v>854.70085470085473</v>
      </c>
      <c r="AL658" t="s">
        <v>69</v>
      </c>
      <c r="AM658">
        <v>59640.697095617601</v>
      </c>
      <c r="AN658">
        <v>2040.986422895794</v>
      </c>
      <c r="AO658">
        <v>130824.7549194193</v>
      </c>
      <c r="AP658">
        <v>105183.51643939861</v>
      </c>
      <c r="AQ658">
        <v>-25641.23848002062</v>
      </c>
      <c r="AR658">
        <v>2.4389348038611112E-3</v>
      </c>
      <c r="AS658">
        <v>54.178637537694172</v>
      </c>
      <c r="AT658">
        <v>75.767151362588066</v>
      </c>
      <c r="AU658">
        <v>2.592855797520444</v>
      </c>
      <c r="AV658">
        <v>166.1989126663222</v>
      </c>
      <c r="AW658">
        <v>133.62445107132689</v>
      </c>
      <c r="AX658">
        <v>-32.574461594995263</v>
      </c>
      <c r="AY658">
        <v>0.97764066274307182</v>
      </c>
      <c r="AZ658" t="str">
        <f>VLOOKUP(BA658,Sheet1!$A$1:$B$58,2,FALSE)</f>
        <v>2,3-Butanediol</v>
      </c>
      <c r="BA658" t="s">
        <v>81</v>
      </c>
      <c r="BB658" t="s">
        <v>71</v>
      </c>
      <c r="BC658">
        <v>90.119200000000006</v>
      </c>
      <c r="BD658">
        <v>5.5</v>
      </c>
      <c r="BE658">
        <v>177</v>
      </c>
      <c r="BF658" t="s">
        <v>199</v>
      </c>
      <c r="BG658">
        <v>28.151398580849719</v>
      </c>
      <c r="BH658">
        <v>1.6221765913757898E-2</v>
      </c>
      <c r="BI658">
        <v>3.17598364255854E-2</v>
      </c>
      <c r="BJ658">
        <v>90</v>
      </c>
      <c r="BK658">
        <v>4674.8229528621614</v>
      </c>
      <c r="BL658">
        <v>-1139.610599112028</v>
      </c>
      <c r="BM658">
        <v>6.0511517248808104</v>
      </c>
      <c r="BN658">
        <v>1028.695793229738</v>
      </c>
      <c r="BO658">
        <v>3646.1271596324241</v>
      </c>
    </row>
    <row r="659" spans="1:67" x14ac:dyDescent="0.25">
      <c r="A659" s="1">
        <v>657</v>
      </c>
      <c r="B659" t="s">
        <v>180</v>
      </c>
      <c r="C659" t="s">
        <v>195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67</v>
      </c>
      <c r="J659">
        <v>1.4</v>
      </c>
      <c r="K659">
        <v>500</v>
      </c>
      <c r="L659">
        <v>100</v>
      </c>
      <c r="N659" t="s">
        <v>179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277709.62573713792</v>
      </c>
      <c r="Z659">
        <v>1388548128.685689</v>
      </c>
      <c r="AA659">
        <v>1943967380.159965</v>
      </c>
      <c r="AB659">
        <v>1943967.380159965</v>
      </c>
      <c r="AC659">
        <v>0</v>
      </c>
      <c r="AD659">
        <v>14391.287120549379</v>
      </c>
      <c r="AE659">
        <v>25904316.816988889</v>
      </c>
      <c r="AF659">
        <v>25904316.816988889</v>
      </c>
      <c r="AG659">
        <v>1166.122714164653</v>
      </c>
      <c r="AH659">
        <v>1140.048983115681</v>
      </c>
      <c r="AI659">
        <v>1140.048983115681</v>
      </c>
      <c r="AJ659">
        <v>63178.939855198863</v>
      </c>
      <c r="AK659">
        <v>854.70085470085473</v>
      </c>
      <c r="AL659" t="s">
        <v>69</v>
      </c>
      <c r="AM659">
        <v>88353.796191465284</v>
      </c>
      <c r="AN659">
        <v>3023.5880400420951</v>
      </c>
      <c r="AO659">
        <v>193808.32712966579</v>
      </c>
      <c r="AP659">
        <v>155411.02494140709</v>
      </c>
      <c r="AQ659">
        <v>-38397.302188258684</v>
      </c>
      <c r="AR659">
        <v>2.4389348038611112E-3</v>
      </c>
      <c r="AS659">
        <v>54.178637537694158</v>
      </c>
      <c r="AT659">
        <v>75.767151362588066</v>
      </c>
      <c r="AU659">
        <v>2.592855797520444</v>
      </c>
      <c r="AV659">
        <v>166.1989126663222</v>
      </c>
      <c r="AW659">
        <v>133.2715871611635</v>
      </c>
      <c r="AX659">
        <v>-32.927325505158713</v>
      </c>
      <c r="AY659">
        <v>0.97764066274307182</v>
      </c>
      <c r="AZ659" t="str">
        <f>VLOOKUP(BA659,Sheet1!$A$1:$B$58,2,FALSE)</f>
        <v>2-Methyl-1-Butanol</v>
      </c>
      <c r="BA659" t="s">
        <v>82</v>
      </c>
      <c r="BB659" t="s">
        <v>83</v>
      </c>
      <c r="BC659">
        <v>88.14658</v>
      </c>
      <c r="BD659">
        <v>6</v>
      </c>
      <c r="BE659">
        <v>129</v>
      </c>
      <c r="BF659" t="s">
        <v>199</v>
      </c>
      <c r="BG659">
        <v>42.101901260323459</v>
      </c>
      <c r="BH659">
        <v>1.11950873878121E-2</v>
      </c>
      <c r="BI659">
        <v>2.14385670533042E-2</v>
      </c>
      <c r="BJ659">
        <v>90</v>
      </c>
      <c r="BK659">
        <v>6907.1566640625369</v>
      </c>
      <c r="BL659">
        <v>-1706.5467639226081</v>
      </c>
      <c r="BM659">
        <v>8.5669424337068065</v>
      </c>
      <c r="BN659">
        <v>1456.380213730157</v>
      </c>
      <c r="BO659">
        <v>5450.7764503323797</v>
      </c>
    </row>
    <row r="660" spans="1:67" x14ac:dyDescent="0.25">
      <c r="A660" s="1">
        <v>658</v>
      </c>
      <c r="B660" t="s">
        <v>180</v>
      </c>
      <c r="C660" t="s">
        <v>195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67</v>
      </c>
      <c r="J660">
        <v>1.4</v>
      </c>
      <c r="K660">
        <v>500</v>
      </c>
      <c r="L660">
        <v>100</v>
      </c>
      <c r="N660" t="s">
        <v>179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108909.6839039412</v>
      </c>
      <c r="Z660">
        <v>544548419.51970577</v>
      </c>
      <c r="AA660">
        <v>762367787.32758808</v>
      </c>
      <c r="AB660">
        <v>762367.78732758807</v>
      </c>
      <c r="AC660">
        <v>0</v>
      </c>
      <c r="AD660">
        <v>5643.8466153616373</v>
      </c>
      <c r="AE660">
        <v>10158923.907650949</v>
      </c>
      <c r="AF660">
        <v>10158923.907650949</v>
      </c>
      <c r="AG660">
        <v>457.31960444572519</v>
      </c>
      <c r="AH660">
        <v>447.09424117571808</v>
      </c>
      <c r="AI660">
        <v>447.09424117571808</v>
      </c>
      <c r="AJ660">
        <v>24776.953088146609</v>
      </c>
      <c r="AK660">
        <v>1835.336538461539</v>
      </c>
      <c r="AL660" t="s">
        <v>84</v>
      </c>
      <c r="AM660">
        <v>34649.803691118163</v>
      </c>
      <c r="AN660">
        <v>1185.7637877068539</v>
      </c>
      <c r="AO660">
        <v>76006.020999872082</v>
      </c>
      <c r="AP660">
        <v>62447.857105433162</v>
      </c>
      <c r="AQ660">
        <v>-13558.16389443892</v>
      </c>
      <c r="AR660">
        <v>2.4389348038611112E-3</v>
      </c>
      <c r="AS660">
        <v>54.178637537694158</v>
      </c>
      <c r="AT660">
        <v>75.767151362588052</v>
      </c>
      <c r="AU660">
        <v>2.5928557975204432</v>
      </c>
      <c r="AV660">
        <v>166.1989126663222</v>
      </c>
      <c r="AW660">
        <v>136.55189171503031</v>
      </c>
      <c r="AX660">
        <v>-29.647020951291861</v>
      </c>
      <c r="AY660">
        <v>0.9776406627430716</v>
      </c>
      <c r="AZ660" t="str">
        <f>VLOOKUP(BA660,Sheet1!$A$1:$B$58,2,FALSE)</f>
        <v>2-Pyrone-4,6-Dicarboxylate</v>
      </c>
      <c r="BA660" t="s">
        <v>85</v>
      </c>
      <c r="BB660" t="s">
        <v>86</v>
      </c>
      <c r="BC660">
        <v>182.08457999999999</v>
      </c>
      <c r="BD660">
        <v>2.5714285714285721</v>
      </c>
      <c r="BE660">
        <v>355.5</v>
      </c>
      <c r="BF660" t="s">
        <v>199</v>
      </c>
      <c r="BG660">
        <v>15.798261848519619</v>
      </c>
      <c r="BH660">
        <v>1.3819241982507301E-2</v>
      </c>
      <c r="BI660">
        <v>5.4666364085353802E-2</v>
      </c>
      <c r="BJ660">
        <v>90</v>
      </c>
      <c r="BK660">
        <v>2775.4603157970291</v>
      </c>
      <c r="BL660">
        <v>-602.58506197506324</v>
      </c>
      <c r="BM660">
        <v>4.0725933148456299</v>
      </c>
      <c r="BN660">
        <v>692.34086352375709</v>
      </c>
      <c r="BO660">
        <v>2083.1194522732721</v>
      </c>
    </row>
    <row r="661" spans="1:67" x14ac:dyDescent="0.25">
      <c r="A661" s="1">
        <v>659</v>
      </c>
      <c r="B661" t="s">
        <v>180</v>
      </c>
      <c r="C661" t="s">
        <v>195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67</v>
      </c>
      <c r="J661">
        <v>1.4</v>
      </c>
      <c r="K661">
        <v>500</v>
      </c>
      <c r="L661">
        <v>100</v>
      </c>
      <c r="N661" t="s">
        <v>179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282364.51431615942</v>
      </c>
      <c r="Z661">
        <v>1411822571.580797</v>
      </c>
      <c r="AA661">
        <v>1976551600.2131159</v>
      </c>
      <c r="AB661">
        <v>1976551.600213116</v>
      </c>
      <c r="AC661">
        <v>0</v>
      </c>
      <c r="AD661">
        <v>14632.509720871751</v>
      </c>
      <c r="AE661">
        <v>26338517.497569159</v>
      </c>
      <c r="AF661">
        <v>26338517.497569159</v>
      </c>
      <c r="AG661">
        <v>1185.6689264700219</v>
      </c>
      <c r="AH661">
        <v>1159.1581550680189</v>
      </c>
      <c r="AI661">
        <v>1159.1581550680189</v>
      </c>
      <c r="AJ661">
        <v>64237.927006926271</v>
      </c>
      <c r="AK661">
        <v>854.70085470085473</v>
      </c>
      <c r="AL661" t="s">
        <v>69</v>
      </c>
      <c r="AM661">
        <v>89834.757017771452</v>
      </c>
      <c r="AN661">
        <v>3074.2685499376362</v>
      </c>
      <c r="AO661">
        <v>197056.8863615632</v>
      </c>
      <c r="AP661">
        <v>158001.65342933621</v>
      </c>
      <c r="AQ661">
        <v>-39055.232932226972</v>
      </c>
      <c r="AR661">
        <v>2.4389348038611112E-3</v>
      </c>
      <c r="AS661">
        <v>54.178637537694158</v>
      </c>
      <c r="AT661">
        <v>75.767151362588066</v>
      </c>
      <c r="AU661">
        <v>2.5928557975204432</v>
      </c>
      <c r="AV661">
        <v>166.1989126663222</v>
      </c>
      <c r="AW661">
        <v>133.25950432026531</v>
      </c>
      <c r="AX661">
        <v>-32.939408346056922</v>
      </c>
      <c r="AY661">
        <v>0.97764066274307182</v>
      </c>
      <c r="AZ661" t="str">
        <f>VLOOKUP(BA661,Sheet1!$A$1:$B$58,2,FALSE)</f>
        <v>3-Methyl-1-Pentanol</v>
      </c>
      <c r="BA661" t="s">
        <v>87</v>
      </c>
      <c r="BB661" t="s">
        <v>88</v>
      </c>
      <c r="BC661">
        <v>102.17296</v>
      </c>
      <c r="BD661">
        <v>6</v>
      </c>
      <c r="BE661">
        <v>153</v>
      </c>
      <c r="BF661" t="s">
        <v>199</v>
      </c>
      <c r="BG661">
        <v>42.761414107650687</v>
      </c>
      <c r="BH661">
        <v>9.4989979959922699E-3</v>
      </c>
      <c r="BI661">
        <v>2.1085143957031999E-2</v>
      </c>
      <c r="BJ661">
        <v>90</v>
      </c>
      <c r="BK661">
        <v>7022.2957079704966</v>
      </c>
      <c r="BL661">
        <v>-1735.7881303211991</v>
      </c>
      <c r="BM661">
        <v>8.7567261175945887</v>
      </c>
      <c r="BN661">
        <v>1488.64343999108</v>
      </c>
      <c r="BO661">
        <v>5533.6522679794161</v>
      </c>
    </row>
    <row r="662" spans="1:67" x14ac:dyDescent="0.25">
      <c r="A662" s="1">
        <v>660</v>
      </c>
      <c r="B662" t="s">
        <v>180</v>
      </c>
      <c r="C662" t="s">
        <v>195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67</v>
      </c>
      <c r="J662">
        <v>1.4</v>
      </c>
      <c r="K662">
        <v>500</v>
      </c>
      <c r="L662">
        <v>100</v>
      </c>
      <c r="N662" t="s">
        <v>179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261487.59603186519</v>
      </c>
      <c r="Z662">
        <v>1307437980.1593261</v>
      </c>
      <c r="AA662">
        <v>1830413172.2230561</v>
      </c>
      <c r="AB662">
        <v>1830413.172223056</v>
      </c>
      <c r="AC662">
        <v>0</v>
      </c>
      <c r="AD662">
        <v>13550.63967612974</v>
      </c>
      <c r="AE662">
        <v>24391151.417033531</v>
      </c>
      <c r="AF662">
        <v>24391151.417033531</v>
      </c>
      <c r="AG662">
        <v>1098.0052434109471</v>
      </c>
      <c r="AH662">
        <v>1073.4545738636459</v>
      </c>
      <c r="AI662">
        <v>1073.4545738636459</v>
      </c>
      <c r="AJ662">
        <v>59488.428097249329</v>
      </c>
      <c r="AK662">
        <v>854.70085470085473</v>
      </c>
      <c r="AL662" t="s">
        <v>69</v>
      </c>
      <c r="AM662">
        <v>83192.729474432548</v>
      </c>
      <c r="AN662">
        <v>2846.9692610859188</v>
      </c>
      <c r="AO662">
        <v>182487.27755681981</v>
      </c>
      <c r="AP662">
        <v>146382.82768746861</v>
      </c>
      <c r="AQ662">
        <v>-36104.449869351112</v>
      </c>
      <c r="AR662">
        <v>2.4389348038611112E-3</v>
      </c>
      <c r="AS662">
        <v>54.178637537694158</v>
      </c>
      <c r="AT662">
        <v>75.767151362588066</v>
      </c>
      <c r="AU662">
        <v>2.592855797520444</v>
      </c>
      <c r="AV662">
        <v>166.1989126663222</v>
      </c>
      <c r="AW662">
        <v>133.31705705951941</v>
      </c>
      <c r="AX662">
        <v>-32.881855606802787</v>
      </c>
      <c r="AY662">
        <v>0.97764066274307182</v>
      </c>
      <c r="AZ662" t="str">
        <f>VLOOKUP(BA662,Sheet1!$A$1:$B$58,2,FALSE)</f>
        <v>4-Hydroxystyrene</v>
      </c>
      <c r="BA662" t="s">
        <v>89</v>
      </c>
      <c r="BB662" t="s">
        <v>90</v>
      </c>
      <c r="BC662">
        <v>120.14731999999999</v>
      </c>
      <c r="BD662">
        <v>4.75</v>
      </c>
      <c r="BE662">
        <v>229</v>
      </c>
      <c r="BF662" t="s">
        <v>199</v>
      </c>
      <c r="BG662">
        <v>39.062759142566222</v>
      </c>
      <c r="BH662">
        <v>8.7228560912770998E-3</v>
      </c>
      <c r="BI662">
        <v>2.2768561580214002E-2</v>
      </c>
      <c r="BJ662">
        <v>90</v>
      </c>
      <c r="BK662">
        <v>6505.9034527763833</v>
      </c>
      <c r="BL662">
        <v>-1604.642216415604</v>
      </c>
      <c r="BM662">
        <v>8.6463330291513572</v>
      </c>
      <c r="BN662">
        <v>1469.8766149557309</v>
      </c>
      <c r="BO662">
        <v>5036.0268378206529</v>
      </c>
    </row>
    <row r="663" spans="1:67" x14ac:dyDescent="0.25">
      <c r="A663" s="1">
        <v>661</v>
      </c>
      <c r="B663" t="s">
        <v>180</v>
      </c>
      <c r="C663" t="s">
        <v>195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67</v>
      </c>
      <c r="J663">
        <v>1.4</v>
      </c>
      <c r="K663">
        <v>500</v>
      </c>
      <c r="L663">
        <v>100</v>
      </c>
      <c r="N663" t="s">
        <v>179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195442.5190336947</v>
      </c>
      <c r="Z663">
        <v>977212595.1684736</v>
      </c>
      <c r="AA663">
        <v>1368097633.235863</v>
      </c>
      <c r="AB663">
        <v>1368097.6332358629</v>
      </c>
      <c r="AC663">
        <v>0</v>
      </c>
      <c r="AD663">
        <v>10128.094766292441</v>
      </c>
      <c r="AE663">
        <v>18230570.579326391</v>
      </c>
      <c r="AF663">
        <v>18230570.579326391</v>
      </c>
      <c r="AG663">
        <v>820.67720970706966</v>
      </c>
      <c r="AH663">
        <v>802.32741119615446</v>
      </c>
      <c r="AI663">
        <v>802.32741119615446</v>
      </c>
      <c r="AJ663">
        <v>44463.17308016555</v>
      </c>
      <c r="AK663">
        <v>854.70085470085473</v>
      </c>
      <c r="AL663" t="s">
        <v>69</v>
      </c>
      <c r="AM663">
        <v>62180.374367701967</v>
      </c>
      <c r="AN663">
        <v>2127.8976610818759</v>
      </c>
      <c r="AO663">
        <v>136395.6599033463</v>
      </c>
      <c r="AP663">
        <v>109626.1459636503</v>
      </c>
      <c r="AQ663">
        <v>-26769.513939696011</v>
      </c>
      <c r="AR663">
        <v>2.4389348038611112E-3</v>
      </c>
      <c r="AS663">
        <v>54.178637537694158</v>
      </c>
      <c r="AT663">
        <v>75.767151362588066</v>
      </c>
      <c r="AU663">
        <v>2.592855797520444</v>
      </c>
      <c r="AV663">
        <v>166.1989126663222</v>
      </c>
      <c r="AW663">
        <v>133.58010270905399</v>
      </c>
      <c r="AX663">
        <v>-32.618809957268184</v>
      </c>
      <c r="AY663">
        <v>0.97764066274307171</v>
      </c>
      <c r="AZ663" t="str">
        <f>VLOOKUP(BA663,Sheet1!$A$1:$B$58,2,FALSE)</f>
        <v>5-Aminopentanoate</v>
      </c>
      <c r="BA663" t="s">
        <v>91</v>
      </c>
      <c r="BB663" t="s">
        <v>92</v>
      </c>
      <c r="BC663">
        <v>117.14444</v>
      </c>
      <c r="BD663">
        <v>4.8</v>
      </c>
      <c r="BE663">
        <v>247.5</v>
      </c>
      <c r="BF663" t="s">
        <v>199</v>
      </c>
      <c r="BG663">
        <v>29.508313071679019</v>
      </c>
      <c r="BH663">
        <v>1.1969696969697199E-2</v>
      </c>
      <c r="BI663">
        <v>3.04626468291028E-2</v>
      </c>
      <c r="BJ663">
        <v>90</v>
      </c>
      <c r="BK663">
        <v>4872.273153940012</v>
      </c>
      <c r="BL663">
        <v>-1189.756175097601</v>
      </c>
      <c r="BM663">
        <v>6.1506829814834028</v>
      </c>
      <c r="BN663">
        <v>1045.616106852179</v>
      </c>
      <c r="BO663">
        <v>3826.6570470878328</v>
      </c>
    </row>
    <row r="664" spans="1:67" x14ac:dyDescent="0.25">
      <c r="A664" s="1">
        <v>662</v>
      </c>
      <c r="B664" t="s">
        <v>180</v>
      </c>
      <c r="C664" t="s">
        <v>195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67</v>
      </c>
      <c r="J664">
        <v>1.4</v>
      </c>
      <c r="K664">
        <v>500</v>
      </c>
      <c r="L664">
        <v>100</v>
      </c>
      <c r="N664" t="s">
        <v>179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201286.19867835211</v>
      </c>
      <c r="Z664">
        <v>1006430993.3917609</v>
      </c>
      <c r="AA664">
        <v>1409003390.7484651</v>
      </c>
      <c r="AB664">
        <v>1409003.390748465</v>
      </c>
      <c r="AC664">
        <v>0</v>
      </c>
      <c r="AD664">
        <v>10430.92212196493</v>
      </c>
      <c r="AE664">
        <v>18775659.819536868</v>
      </c>
      <c r="AF664">
        <v>18775659.819536868</v>
      </c>
      <c r="AG664">
        <v>845.21524129257443</v>
      </c>
      <c r="AH664">
        <v>826.31678865781771</v>
      </c>
      <c r="AI664">
        <v>826.31678865781771</v>
      </c>
      <c r="AJ664">
        <v>45792.610199325107</v>
      </c>
      <c r="AK664">
        <v>854.70085470085473</v>
      </c>
      <c r="AL664" t="s">
        <v>69</v>
      </c>
      <c r="AM664">
        <v>64039.551120980883</v>
      </c>
      <c r="AN664">
        <v>2191.5212385380919</v>
      </c>
      <c r="AO664">
        <v>140473.854071829</v>
      </c>
      <c r="AP664">
        <v>112878.3834135449</v>
      </c>
      <c r="AQ664">
        <v>-27595.47065828407</v>
      </c>
      <c r="AR664">
        <v>2.4389348038611112E-3</v>
      </c>
      <c r="AS664">
        <v>54.178637537694172</v>
      </c>
      <c r="AT664">
        <v>75.767151362588066</v>
      </c>
      <c r="AU664">
        <v>2.592855797520444</v>
      </c>
      <c r="AV664">
        <v>166.1989126663222</v>
      </c>
      <c r="AW664">
        <v>133.54986741711119</v>
      </c>
      <c r="AX664">
        <v>-32.649045249210992</v>
      </c>
      <c r="AY664">
        <v>0.97764066274307171</v>
      </c>
      <c r="AZ664" t="str">
        <f>VLOOKUP(BA664,Sheet1!$A$1:$B$58,2,FALSE)</f>
        <v>Acetone</v>
      </c>
      <c r="BA664" t="s">
        <v>93</v>
      </c>
      <c r="BB664" t="s">
        <v>94</v>
      </c>
      <c r="BC664">
        <v>58.078139999999998</v>
      </c>
      <c r="BD664">
        <v>5.333333333333333</v>
      </c>
      <c r="BE664">
        <v>56</v>
      </c>
      <c r="BF664" t="s">
        <v>199</v>
      </c>
      <c r="BG664">
        <v>30.051902619383661</v>
      </c>
      <c r="BH664">
        <v>2.3442136498516401E-2</v>
      </c>
      <c r="BI664">
        <v>2.9578264539773198E-2</v>
      </c>
      <c r="BJ664">
        <v>90</v>
      </c>
      <c r="BK664">
        <v>5016.8170406019981</v>
      </c>
      <c r="BL664">
        <v>-1226.465362590402</v>
      </c>
      <c r="BM664">
        <v>6.6732879876304558</v>
      </c>
      <c r="BN664">
        <v>1134.458957897177</v>
      </c>
      <c r="BO664">
        <v>3882.3580827048208</v>
      </c>
    </row>
    <row r="665" spans="1:67" x14ac:dyDescent="0.25">
      <c r="A665" s="1">
        <v>663</v>
      </c>
      <c r="B665" t="s">
        <v>180</v>
      </c>
      <c r="C665" t="s">
        <v>195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67</v>
      </c>
      <c r="J665">
        <v>1.4</v>
      </c>
      <c r="K665">
        <v>500</v>
      </c>
      <c r="L665">
        <v>100</v>
      </c>
      <c r="N665" t="s">
        <v>179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144185.98703609151</v>
      </c>
      <c r="Z665">
        <v>720929935.18045771</v>
      </c>
      <c r="AA665">
        <v>1009301909.252641</v>
      </c>
      <c r="AB665">
        <v>1009301.909252641</v>
      </c>
      <c r="AC665">
        <v>0</v>
      </c>
      <c r="AD665">
        <v>7471.9121913342933</v>
      </c>
      <c r="AE665">
        <v>13449441.94440173</v>
      </c>
      <c r="AF665">
        <v>13449441.94440173</v>
      </c>
      <c r="AG665">
        <v>605.44734126783817</v>
      </c>
      <c r="AH665">
        <v>591.90993997312</v>
      </c>
      <c r="AI665">
        <v>591.90993997312</v>
      </c>
      <c r="AJ665">
        <v>32802.312050710832</v>
      </c>
      <c r="AK665">
        <v>854.70085470085473</v>
      </c>
      <c r="AL665" t="s">
        <v>69</v>
      </c>
      <c r="AM665">
        <v>45873.020347916798</v>
      </c>
      <c r="AN665">
        <v>1569.8376488996521</v>
      </c>
      <c r="AO665">
        <v>100624.6897954304</v>
      </c>
      <c r="AP665">
        <v>81099.87090222814</v>
      </c>
      <c r="AQ665">
        <v>-19524.81889320226</v>
      </c>
      <c r="AR665">
        <v>2.4389348038611112E-3</v>
      </c>
      <c r="AS665">
        <v>54.178637537694158</v>
      </c>
      <c r="AT665">
        <v>75.767151362588052</v>
      </c>
      <c r="AU665">
        <v>2.5928557975204432</v>
      </c>
      <c r="AV665">
        <v>166.1989126663222</v>
      </c>
      <c r="AW665">
        <v>133.9503295735031</v>
      </c>
      <c r="AX665">
        <v>-32.248583092819047</v>
      </c>
      <c r="AY665">
        <v>0.97764066274307171</v>
      </c>
      <c r="AZ665" t="str">
        <f>VLOOKUP(BA665,Sheet1!$A$1:$B$58,2,FALSE)</f>
        <v>Acrylate (PW1)</v>
      </c>
      <c r="BA665" t="s">
        <v>95</v>
      </c>
      <c r="BB665" t="s">
        <v>96</v>
      </c>
      <c r="BC665">
        <v>71.053619999999995</v>
      </c>
      <c r="BD665">
        <v>3.666666666666667</v>
      </c>
      <c r="BE665">
        <v>80</v>
      </c>
      <c r="BF665" t="s">
        <v>199</v>
      </c>
      <c r="BG665">
        <v>21.29713242520738</v>
      </c>
      <c r="BH665">
        <v>2.6749435665914499E-2</v>
      </c>
      <c r="BI665">
        <v>4.1291782614238097E-2</v>
      </c>
      <c r="BJ665">
        <v>90</v>
      </c>
      <c r="BK665">
        <v>3604.4387067656949</v>
      </c>
      <c r="BL665">
        <v>-867.76972858676663</v>
      </c>
      <c r="BM665">
        <v>5.0099760180424013</v>
      </c>
      <c r="BN665">
        <v>851.69592306720824</v>
      </c>
      <c r="BO665">
        <v>2752.7427836984871</v>
      </c>
    </row>
    <row r="666" spans="1:67" x14ac:dyDescent="0.25">
      <c r="A666" s="1">
        <v>664</v>
      </c>
      <c r="B666" t="s">
        <v>180</v>
      </c>
      <c r="C666" t="s">
        <v>195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67</v>
      </c>
      <c r="J666">
        <v>1.4</v>
      </c>
      <c r="K666">
        <v>500</v>
      </c>
      <c r="L666">
        <v>100</v>
      </c>
      <c r="N666" t="s">
        <v>179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134096.22270625431</v>
      </c>
      <c r="Z666">
        <v>670481113.53127158</v>
      </c>
      <c r="AA666">
        <v>938673558.94378018</v>
      </c>
      <c r="AB666">
        <v>938673.55894378014</v>
      </c>
      <c r="AC666">
        <v>0</v>
      </c>
      <c r="AD666">
        <v>6949.0470041304243</v>
      </c>
      <c r="AE666">
        <v>12508284.607434761</v>
      </c>
      <c r="AF666">
        <v>12508284.607434761</v>
      </c>
      <c r="AG666">
        <v>563.07969436197141</v>
      </c>
      <c r="AH666">
        <v>550.4896055732039</v>
      </c>
      <c r="AI666">
        <v>550.4896055732039</v>
      </c>
      <c r="AJ666">
        <v>30506.89066567285</v>
      </c>
      <c r="AK666">
        <v>854.70085470085473</v>
      </c>
      <c r="AL666" t="s">
        <v>69</v>
      </c>
      <c r="AM666">
        <v>42662.944431923301</v>
      </c>
      <c r="AN666">
        <v>1459.9844499924759</v>
      </c>
      <c r="AO666">
        <v>93583.23294744466</v>
      </c>
      <c r="AP666">
        <v>75484.52040228949</v>
      </c>
      <c r="AQ666">
        <v>-18098.712545155169</v>
      </c>
      <c r="AR666">
        <v>2.4389348038611099E-3</v>
      </c>
      <c r="AS666">
        <v>54.178637537694158</v>
      </c>
      <c r="AT666">
        <v>75.767151362588038</v>
      </c>
      <c r="AU666">
        <v>2.5928557975204432</v>
      </c>
      <c r="AV666">
        <v>166.19891266632209</v>
      </c>
      <c r="AW666">
        <v>134.0565485811407</v>
      </c>
      <c r="AX666">
        <v>-32.142364085181413</v>
      </c>
      <c r="AY666">
        <v>0.9776406627430716</v>
      </c>
      <c r="AZ666" t="str">
        <f>VLOOKUP(BA666,Sheet1!$A$1:$B$58,2,FALSE)</f>
        <v>Acrylate (PW2)</v>
      </c>
      <c r="BA666" t="s">
        <v>97</v>
      </c>
      <c r="BB666" t="s">
        <v>96</v>
      </c>
      <c r="BC666">
        <v>71.053619999999995</v>
      </c>
      <c r="BD666">
        <v>3.666666666666667</v>
      </c>
      <c r="BE666">
        <v>80</v>
      </c>
      <c r="BF666" t="s">
        <v>199</v>
      </c>
      <c r="BG666">
        <v>19.676783658042609</v>
      </c>
      <c r="BH666">
        <v>2.8762135922329901E-2</v>
      </c>
      <c r="BI666">
        <v>4.4398688587638797E-2</v>
      </c>
      <c r="BJ666">
        <v>90</v>
      </c>
      <c r="BK666">
        <v>3354.8675734350882</v>
      </c>
      <c r="BL666">
        <v>-804.38722422911792</v>
      </c>
      <c r="BM666">
        <v>4.7894210340997887</v>
      </c>
      <c r="BN666">
        <v>814.20157579696411</v>
      </c>
      <c r="BO666">
        <v>2540.6659976381238</v>
      </c>
    </row>
    <row r="667" spans="1:67" x14ac:dyDescent="0.25">
      <c r="A667" s="1">
        <v>665</v>
      </c>
      <c r="B667" t="s">
        <v>180</v>
      </c>
      <c r="C667" t="s">
        <v>195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67</v>
      </c>
      <c r="J667">
        <v>1.4</v>
      </c>
      <c r="K667">
        <v>500</v>
      </c>
      <c r="L667">
        <v>100</v>
      </c>
      <c r="N667" t="s">
        <v>179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171935.14545992389</v>
      </c>
      <c r="Z667">
        <v>859675727.29961967</v>
      </c>
      <c r="AA667">
        <v>1203546018.2194669</v>
      </c>
      <c r="AB667">
        <v>1203546.018219467</v>
      </c>
      <c r="AC667">
        <v>0</v>
      </c>
      <c r="AD667">
        <v>8909.9109829533445</v>
      </c>
      <c r="AE667">
        <v>16037839.769316019</v>
      </c>
      <c r="AF667">
        <v>16037839.769316019</v>
      </c>
      <c r="AG667">
        <v>721.96805548900534</v>
      </c>
      <c r="AH667">
        <v>705.82532824759801</v>
      </c>
      <c r="AI667">
        <v>705.82532824759801</v>
      </c>
      <c r="AJ667">
        <v>39115.245592132698</v>
      </c>
      <c r="AK667">
        <v>854.70085470085473</v>
      </c>
      <c r="AL667" t="s">
        <v>69</v>
      </c>
      <c r="AM667">
        <v>54701.462939188837</v>
      </c>
      <c r="AN667">
        <v>1871.9590582992289</v>
      </c>
      <c r="AO667">
        <v>119990.30580209169</v>
      </c>
      <c r="AP667">
        <v>96543.368444321633</v>
      </c>
      <c r="AQ667">
        <v>-23446.937357770032</v>
      </c>
      <c r="AR667">
        <v>2.438934803861112E-3</v>
      </c>
      <c r="AS667">
        <v>54.178637537694179</v>
      </c>
      <c r="AT667">
        <v>75.767151362588066</v>
      </c>
      <c r="AU667">
        <v>2.592855797520444</v>
      </c>
      <c r="AV667">
        <v>166.1989126663222</v>
      </c>
      <c r="AW667">
        <v>133.72249327420809</v>
      </c>
      <c r="AX667">
        <v>-32.476419392114082</v>
      </c>
      <c r="AY667">
        <v>0.97764066274307182</v>
      </c>
      <c r="AZ667" t="str">
        <f>VLOOKUP(BA667,Sheet1!$A$1:$B$58,2,FALSE)</f>
        <v>Adipate</v>
      </c>
      <c r="BA667" t="s">
        <v>98</v>
      </c>
      <c r="BB667" t="s">
        <v>99</v>
      </c>
      <c r="BC667">
        <v>144.12291999999999</v>
      </c>
      <c r="BD667">
        <v>4</v>
      </c>
      <c r="BE667">
        <v>337.5</v>
      </c>
      <c r="BF667" t="s">
        <v>199</v>
      </c>
      <c r="BG667">
        <v>25.779450071183561</v>
      </c>
      <c r="BH667">
        <v>1.1059262715818899E-2</v>
      </c>
      <c r="BI667">
        <v>3.4627570859858799E-2</v>
      </c>
      <c r="BJ667">
        <v>90</v>
      </c>
      <c r="BK667">
        <v>4290.8163753031831</v>
      </c>
      <c r="BL667">
        <v>-1042.086104789779</v>
      </c>
      <c r="BM667">
        <v>5.5905645175985734</v>
      </c>
      <c r="BN667">
        <v>950.39596799175729</v>
      </c>
      <c r="BO667">
        <v>3340.4204073114261</v>
      </c>
    </row>
    <row r="668" spans="1:67" x14ac:dyDescent="0.25">
      <c r="A668" s="1">
        <v>666</v>
      </c>
      <c r="B668" t="s">
        <v>180</v>
      </c>
      <c r="C668" t="s">
        <v>195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67</v>
      </c>
      <c r="J668">
        <v>1.4</v>
      </c>
      <c r="K668">
        <v>500</v>
      </c>
      <c r="L668">
        <v>100</v>
      </c>
      <c r="N668" t="s">
        <v>179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212335.58853730149</v>
      </c>
      <c r="Z668">
        <v>1061677942.6865081</v>
      </c>
      <c r="AA668">
        <v>1486349119.761111</v>
      </c>
      <c r="AB668">
        <v>1486349.119761111</v>
      </c>
      <c r="AC668">
        <v>0</v>
      </c>
      <c r="AD668">
        <v>11003.51639753225</v>
      </c>
      <c r="AE668">
        <v>19806329.515558049</v>
      </c>
      <c r="AF668">
        <v>19806329.515558049</v>
      </c>
      <c r="AG668">
        <v>891.61242489029951</v>
      </c>
      <c r="AH668">
        <v>871.67656197970973</v>
      </c>
      <c r="AI668">
        <v>871.67656197970973</v>
      </c>
      <c r="AJ668">
        <v>48306.346392236097</v>
      </c>
      <c r="AK668">
        <v>854.70085470085473</v>
      </c>
      <c r="AL668" t="s">
        <v>69</v>
      </c>
      <c r="AM668">
        <v>67554.933553427501</v>
      </c>
      <c r="AN668">
        <v>2311.8224450180742</v>
      </c>
      <c r="AO668">
        <v>148185.01553655069</v>
      </c>
      <c r="AP668">
        <v>119027.8032453825</v>
      </c>
      <c r="AQ668">
        <v>-29157.212291168122</v>
      </c>
      <c r="AR668">
        <v>2.4389348038611112E-3</v>
      </c>
      <c r="AS668">
        <v>54.178637537694172</v>
      </c>
      <c r="AT668">
        <v>75.767151362588066</v>
      </c>
      <c r="AU668">
        <v>2.5928557975204432</v>
      </c>
      <c r="AV668">
        <v>166.1989126663222</v>
      </c>
      <c r="AW668">
        <v>133.49724602595941</v>
      </c>
      <c r="AX668">
        <v>-32.701666640362873</v>
      </c>
      <c r="AY668">
        <v>0.97764066274307182</v>
      </c>
      <c r="AZ668" t="str">
        <f>VLOOKUP(BA668,Sheet1!$A$1:$B$58,2,FALSE)</f>
        <v>Benzoate (PW1)</v>
      </c>
      <c r="BA668" t="s">
        <v>100</v>
      </c>
      <c r="BB668" t="s">
        <v>101</v>
      </c>
      <c r="BC668">
        <v>121.1121</v>
      </c>
      <c r="BD668">
        <v>4.1428571428571432</v>
      </c>
      <c r="BE668">
        <v>249.2</v>
      </c>
      <c r="BF668" t="s">
        <v>199</v>
      </c>
      <c r="BG668">
        <v>31.55600096360142</v>
      </c>
      <c r="BH668">
        <v>1.06564748201439E-2</v>
      </c>
      <c r="BI668">
        <v>2.8039088848583402E-2</v>
      </c>
      <c r="BJ668">
        <v>90</v>
      </c>
      <c r="BK668">
        <v>5290.1245886836668</v>
      </c>
      <c r="BL668">
        <v>-1295.876101829695</v>
      </c>
      <c r="BM668">
        <v>7.1851795688301188</v>
      </c>
      <c r="BN668">
        <v>1221.48052670112</v>
      </c>
      <c r="BO668">
        <v>4068.6440619825471</v>
      </c>
    </row>
    <row r="669" spans="1:67" x14ac:dyDescent="0.25">
      <c r="A669" s="1">
        <v>667</v>
      </c>
      <c r="B669" t="s">
        <v>180</v>
      </c>
      <c r="C669" t="s">
        <v>195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67</v>
      </c>
      <c r="J669">
        <v>1.4</v>
      </c>
      <c r="K669">
        <v>500</v>
      </c>
      <c r="L669">
        <v>100</v>
      </c>
      <c r="N669" t="s">
        <v>179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212335.58853730379</v>
      </c>
      <c r="Z669">
        <v>1061677942.686519</v>
      </c>
      <c r="AA669">
        <v>1486349119.761126</v>
      </c>
      <c r="AB669">
        <v>1486349.1197611261</v>
      </c>
      <c r="AC669">
        <v>0</v>
      </c>
      <c r="AD669">
        <v>11003.516397532359</v>
      </c>
      <c r="AE669">
        <v>19806329.515558261</v>
      </c>
      <c r="AF669">
        <v>19806329.515558261</v>
      </c>
      <c r="AG669">
        <v>891.61242489030883</v>
      </c>
      <c r="AH669">
        <v>871.67656197971894</v>
      </c>
      <c r="AI669">
        <v>871.67656197971894</v>
      </c>
      <c r="AJ669">
        <v>48306.346392236614</v>
      </c>
      <c r="AK669">
        <v>854.70085470085473</v>
      </c>
      <c r="AL669" t="s">
        <v>69</v>
      </c>
      <c r="AM669">
        <v>67554.933553428215</v>
      </c>
      <c r="AN669">
        <v>2311.8224450180978</v>
      </c>
      <c r="AO669">
        <v>148185.01553655221</v>
      </c>
      <c r="AP669">
        <v>119027.8032453838</v>
      </c>
      <c r="AQ669">
        <v>-29157.212291168431</v>
      </c>
      <c r="AR669">
        <v>2.4389348038611112E-3</v>
      </c>
      <c r="AS669">
        <v>54.178637537694158</v>
      </c>
      <c r="AT669">
        <v>75.767151362588066</v>
      </c>
      <c r="AU669">
        <v>2.592855797520444</v>
      </c>
      <c r="AV669">
        <v>166.1989126663222</v>
      </c>
      <c r="AW669">
        <v>133.49724602595941</v>
      </c>
      <c r="AX669">
        <v>-32.701666640362838</v>
      </c>
      <c r="AY669">
        <v>0.97764066274307193</v>
      </c>
      <c r="AZ669" t="str">
        <f>VLOOKUP(BA669,Sheet1!$A$1:$B$58,2,FALSE)</f>
        <v>Benzoate (PW2)</v>
      </c>
      <c r="BA669" t="s">
        <v>102</v>
      </c>
      <c r="BB669" t="s">
        <v>101</v>
      </c>
      <c r="BC669">
        <v>121.1121</v>
      </c>
      <c r="BD669">
        <v>4.1428571428571432</v>
      </c>
      <c r="BE669">
        <v>249.2</v>
      </c>
      <c r="BF669" t="s">
        <v>199</v>
      </c>
      <c r="BG669">
        <v>31.55600096360169</v>
      </c>
      <c r="BH669">
        <v>1.0656474820143799E-2</v>
      </c>
      <c r="BI669">
        <v>2.80390888485831E-2</v>
      </c>
      <c r="BJ669">
        <v>90</v>
      </c>
      <c r="BK669">
        <v>5290.1245886837232</v>
      </c>
      <c r="BL669">
        <v>-1295.876101829708</v>
      </c>
      <c r="BM669">
        <v>7.185179568830268</v>
      </c>
      <c r="BN669">
        <v>1221.4805267011459</v>
      </c>
      <c r="BO669">
        <v>4068.644061982578</v>
      </c>
    </row>
    <row r="670" spans="1:67" x14ac:dyDescent="0.25">
      <c r="A670" s="1">
        <v>668</v>
      </c>
      <c r="B670" t="s">
        <v>180</v>
      </c>
      <c r="C670" t="s">
        <v>195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67</v>
      </c>
      <c r="J670">
        <v>1.4</v>
      </c>
      <c r="K670">
        <v>500</v>
      </c>
      <c r="L670">
        <v>100</v>
      </c>
      <c r="N670" t="s">
        <v>179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290317.07861181232</v>
      </c>
      <c r="Z670">
        <v>1451585393.059062</v>
      </c>
      <c r="AA670">
        <v>2032219550.282686</v>
      </c>
      <c r="AB670">
        <v>2032219.550282686</v>
      </c>
      <c r="AC670">
        <v>0</v>
      </c>
      <c r="AD670">
        <v>15044.622321648871</v>
      </c>
      <c r="AE670">
        <v>27080320.17896796</v>
      </c>
      <c r="AF670">
        <v>27080320.17896796</v>
      </c>
      <c r="AG670">
        <v>1219.062316549318</v>
      </c>
      <c r="AH670">
        <v>1191.80489107638</v>
      </c>
      <c r="AI670">
        <v>1191.80489107638</v>
      </c>
      <c r="AJ670">
        <v>66047.135384187291</v>
      </c>
      <c r="AK670">
        <v>854.70085470085473</v>
      </c>
      <c r="AL670" t="s">
        <v>69</v>
      </c>
      <c r="AM670">
        <v>92364.879058419436</v>
      </c>
      <c r="AN670">
        <v>3160.8527950036009</v>
      </c>
      <c r="AO670">
        <v>202606.83148298459</v>
      </c>
      <c r="AP670">
        <v>162427.56809231121</v>
      </c>
      <c r="AQ670">
        <v>-40179.263390673412</v>
      </c>
      <c r="AR670">
        <v>2.4389348038611112E-3</v>
      </c>
      <c r="AS670">
        <v>54.178637537694158</v>
      </c>
      <c r="AT670">
        <v>75.767151362588066</v>
      </c>
      <c r="AU670">
        <v>2.592855797520444</v>
      </c>
      <c r="AV670">
        <v>166.1989126663222</v>
      </c>
      <c r="AW670">
        <v>133.23975803967031</v>
      </c>
      <c r="AX670">
        <v>-32.959154626651888</v>
      </c>
      <c r="AY670">
        <v>0.97764066274307193</v>
      </c>
      <c r="AZ670" t="str">
        <f>VLOOKUP(BA670,Sheet1!$A$1:$B$58,2,FALSE)</f>
        <v>Benzyl Alcohol</v>
      </c>
      <c r="BA670" t="s">
        <v>103</v>
      </c>
      <c r="BB670" t="s">
        <v>104</v>
      </c>
      <c r="BC670">
        <v>108.13661999999999</v>
      </c>
      <c r="BD670">
        <v>4.8571428571428568</v>
      </c>
      <c r="BE670">
        <v>205</v>
      </c>
      <c r="BF670" t="s">
        <v>199</v>
      </c>
      <c r="BG670">
        <v>43.774087804244218</v>
      </c>
      <c r="BH670">
        <v>8.7292817679557599E-3</v>
      </c>
      <c r="BI670">
        <v>2.0507565249629801E-2</v>
      </c>
      <c r="BJ670">
        <v>90</v>
      </c>
      <c r="BK670">
        <v>7219.0030263249382</v>
      </c>
      <c r="BL670">
        <v>-1785.745039585486</v>
      </c>
      <c r="BM670">
        <v>9.1950184658170997</v>
      </c>
      <c r="BN670">
        <v>1563.1531391889071</v>
      </c>
      <c r="BO670">
        <v>5655.8498871360316</v>
      </c>
    </row>
    <row r="671" spans="1:67" x14ac:dyDescent="0.25">
      <c r="A671" s="1">
        <v>669</v>
      </c>
      <c r="B671" t="s">
        <v>180</v>
      </c>
      <c r="C671" t="s">
        <v>195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67</v>
      </c>
      <c r="J671">
        <v>1.4</v>
      </c>
      <c r="K671">
        <v>500</v>
      </c>
      <c r="L671">
        <v>100</v>
      </c>
      <c r="N671" t="s">
        <v>179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328327.86299323261</v>
      </c>
      <c r="Z671">
        <v>1641639314.9661629</v>
      </c>
      <c r="AA671">
        <v>2298295040.9526281</v>
      </c>
      <c r="AB671">
        <v>2298295.040952628</v>
      </c>
      <c r="AC671">
        <v>0</v>
      </c>
      <c r="AD671">
        <v>17014.392401667959</v>
      </c>
      <c r="AE671">
        <v>30625906.32300232</v>
      </c>
      <c r="AF671">
        <v>30625906.32300232</v>
      </c>
      <c r="AG671">
        <v>1378.6723370256871</v>
      </c>
      <c r="AH671">
        <v>1347.846137275332</v>
      </c>
      <c r="AI671">
        <v>1347.846137275332</v>
      </c>
      <c r="AJ671">
        <v>74694.58883096042</v>
      </c>
      <c r="AK671">
        <v>854.70085470085473</v>
      </c>
      <c r="AL671" t="s">
        <v>69</v>
      </c>
      <c r="AM671">
        <v>104458.0756388382</v>
      </c>
      <c r="AN671">
        <v>3574.6985619381112</v>
      </c>
      <c r="AO671">
        <v>229133.84333680649</v>
      </c>
      <c r="AP671">
        <v>183582.06388643759</v>
      </c>
      <c r="AQ671">
        <v>-45551.779450368856</v>
      </c>
      <c r="AR671">
        <v>2.4389348038611112E-3</v>
      </c>
      <c r="AS671">
        <v>54.178637537694158</v>
      </c>
      <c r="AT671">
        <v>75.767151362588066</v>
      </c>
      <c r="AU671">
        <v>2.592855797520444</v>
      </c>
      <c r="AV671">
        <v>166.1989126663222</v>
      </c>
      <c r="AW671">
        <v>133.15858957647109</v>
      </c>
      <c r="AX671">
        <v>-33.040323089851171</v>
      </c>
      <c r="AY671">
        <v>0.97764066274307193</v>
      </c>
      <c r="AZ671" t="str">
        <f>VLOOKUP(BA671,Sheet1!$A$1:$B$58,2,FALSE)</f>
        <v>Beta Carotene</v>
      </c>
      <c r="BA671" t="s">
        <v>105</v>
      </c>
      <c r="BB671" t="s">
        <v>106</v>
      </c>
      <c r="BC671">
        <v>536.86703999999997</v>
      </c>
      <c r="BD671">
        <v>5.4</v>
      </c>
      <c r="BE671">
        <v>633</v>
      </c>
      <c r="BF671" t="s">
        <v>199</v>
      </c>
      <c r="BG671">
        <v>49.448237898761747</v>
      </c>
      <c r="BH671">
        <v>1.5547100498556801E-3</v>
      </c>
      <c r="BI671">
        <v>1.8133387701050399E-2</v>
      </c>
      <c r="BJ671">
        <v>90</v>
      </c>
      <c r="BK671">
        <v>8159.2028393972269</v>
      </c>
      <c r="BL671">
        <v>-2024.523531127506</v>
      </c>
      <c r="BM671">
        <v>10.456034869030789</v>
      </c>
      <c r="BN671">
        <v>1777.525927735235</v>
      </c>
      <c r="BO671">
        <v>6381.6769116619917</v>
      </c>
    </row>
    <row r="672" spans="1:67" x14ac:dyDescent="0.25">
      <c r="A672" s="1">
        <v>670</v>
      </c>
      <c r="B672" t="s">
        <v>180</v>
      </c>
      <c r="C672" t="s">
        <v>195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67</v>
      </c>
      <c r="J672">
        <v>1.4</v>
      </c>
      <c r="K672">
        <v>500</v>
      </c>
      <c r="L672">
        <v>100</v>
      </c>
      <c r="N672" t="s">
        <v>179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362086.52049764921</v>
      </c>
      <c r="Z672">
        <v>1810432602.488246</v>
      </c>
      <c r="AA672">
        <v>2534605643.4835439</v>
      </c>
      <c r="AB672">
        <v>2534605.6434835438</v>
      </c>
      <c r="AC672">
        <v>66773.504273504266</v>
      </c>
      <c r="AD672">
        <v>18763.811535631299</v>
      </c>
      <c r="AE672">
        <v>33774860.764136337</v>
      </c>
      <c r="AF672">
        <v>33774860.764136337</v>
      </c>
      <c r="AG672">
        <v>1520.427370583174</v>
      </c>
      <c r="AH672">
        <v>1486.43162222964</v>
      </c>
      <c r="AI672">
        <v>1486.43162222964</v>
      </c>
      <c r="AJ672">
        <v>82374.683413215185</v>
      </c>
      <c r="AK672">
        <v>2170.1388888888891</v>
      </c>
      <c r="AL672" t="s">
        <v>107</v>
      </c>
      <c r="AM672">
        <v>115198.4507227971</v>
      </c>
      <c r="AN672">
        <v>3942.2489225253471</v>
      </c>
      <c r="AO672">
        <v>252693.37577903879</v>
      </c>
      <c r="AP672">
        <v>203685.52194742649</v>
      </c>
      <c r="AQ672">
        <v>-49007.853831612272</v>
      </c>
      <c r="AR672">
        <v>2.4389348038611112E-3</v>
      </c>
      <c r="AS672">
        <v>54.178637537694158</v>
      </c>
      <c r="AT672">
        <v>75.767151362588052</v>
      </c>
      <c r="AU672">
        <v>2.592855797520444</v>
      </c>
      <c r="AV672">
        <v>166.1989126663222</v>
      </c>
      <c r="AW672">
        <v>133.9659663383336</v>
      </c>
      <c r="AX672">
        <v>-32.2329463279886</v>
      </c>
      <c r="AY672">
        <v>0.9776406627430716</v>
      </c>
      <c r="AZ672" t="str">
        <f>VLOOKUP(BA672,Sheet1!$A$1:$B$58,2,FALSE)</f>
        <v>Butane</v>
      </c>
      <c r="BA672" t="s">
        <v>108</v>
      </c>
      <c r="BB672" t="s">
        <v>109</v>
      </c>
      <c r="BC672">
        <v>58.121200000000002</v>
      </c>
      <c r="BD672">
        <v>6.5</v>
      </c>
      <c r="BE672">
        <v>-1</v>
      </c>
      <c r="BF672" t="s">
        <v>199</v>
      </c>
      <c r="BG672">
        <v>55.119833831303097</v>
      </c>
      <c r="BH672">
        <v>1.30219780219781E-2</v>
      </c>
      <c r="BI672">
        <v>1.6442745298916199E-2</v>
      </c>
      <c r="BJ672">
        <v>90</v>
      </c>
      <c r="BK672">
        <v>9052.6898643300665</v>
      </c>
      <c r="BL672">
        <v>-2178.126836960545</v>
      </c>
      <c r="BM672">
        <v>10.94379382334755</v>
      </c>
      <c r="BN672">
        <v>1860.4449499690841</v>
      </c>
      <c r="BO672">
        <v>7192.244914360982</v>
      </c>
    </row>
    <row r="673" spans="1:67" x14ac:dyDescent="0.25">
      <c r="A673" s="1">
        <v>671</v>
      </c>
      <c r="B673" t="s">
        <v>180</v>
      </c>
      <c r="C673" t="s">
        <v>195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67</v>
      </c>
      <c r="J673">
        <v>1.4</v>
      </c>
      <c r="K673">
        <v>500</v>
      </c>
      <c r="L673">
        <v>100</v>
      </c>
      <c r="N673" t="s">
        <v>179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249452.24862965851</v>
      </c>
      <c r="Z673">
        <v>1247261243.148293</v>
      </c>
      <c r="AA673">
        <v>1746165740.407609</v>
      </c>
      <c r="AB673">
        <v>1746165.7404076089</v>
      </c>
      <c r="AC673">
        <v>0</v>
      </c>
      <c r="AD673">
        <v>12926.951751733999</v>
      </c>
      <c r="AE673">
        <v>23268513.153121188</v>
      </c>
      <c r="AF673">
        <v>23268513.153121188</v>
      </c>
      <c r="AG673">
        <v>1047.4679530980061</v>
      </c>
      <c r="AH673">
        <v>1024.0472638688641</v>
      </c>
      <c r="AI673">
        <v>1024.0472638688641</v>
      </c>
      <c r="AJ673">
        <v>56750.38656324731</v>
      </c>
      <c r="AK673">
        <v>854.70085470085473</v>
      </c>
      <c r="AL673" t="s">
        <v>69</v>
      </c>
      <c r="AM673">
        <v>79363.662949836929</v>
      </c>
      <c r="AN673">
        <v>2715.933354907037</v>
      </c>
      <c r="AO673">
        <v>174088.03485770681</v>
      </c>
      <c r="AP673">
        <v>139684.68372269211</v>
      </c>
      <c r="AQ673">
        <v>-34403.351135014702</v>
      </c>
      <c r="AR673">
        <v>2.4389348038611112E-3</v>
      </c>
      <c r="AS673">
        <v>54.178637537694158</v>
      </c>
      <c r="AT673">
        <v>75.767151362588066</v>
      </c>
      <c r="AU673">
        <v>2.5928557975204432</v>
      </c>
      <c r="AV673">
        <v>166.1989126663222</v>
      </c>
      <c r="AW673">
        <v>133.3546131980064</v>
      </c>
      <c r="AX673">
        <v>-32.844299468315803</v>
      </c>
      <c r="AY673">
        <v>0.97764066274307171</v>
      </c>
      <c r="AZ673" t="str">
        <f>VLOOKUP(BA673,Sheet1!$A$1:$B$58,2,FALSE)</f>
        <v>Butanol (PW1)</v>
      </c>
      <c r="BA673" t="s">
        <v>110</v>
      </c>
      <c r="BB673" t="s">
        <v>111</v>
      </c>
      <c r="BC673">
        <v>74.120199999999997</v>
      </c>
      <c r="BD673">
        <v>6</v>
      </c>
      <c r="BE673">
        <v>117.7</v>
      </c>
      <c r="BF673" t="s">
        <v>199</v>
      </c>
      <c r="BG673">
        <v>37.685304120617509</v>
      </c>
      <c r="BH673">
        <v>1.48217636022515E-2</v>
      </c>
      <c r="BI673">
        <v>2.3867078630959201E-2</v>
      </c>
      <c r="BJ673">
        <v>90</v>
      </c>
      <c r="BK673">
        <v>6208.208165452982</v>
      </c>
      <c r="BL673">
        <v>-1529.0378282228751</v>
      </c>
      <c r="BM673">
        <v>7.8279076068875426</v>
      </c>
      <c r="BN673">
        <v>1330.744293170882</v>
      </c>
      <c r="BO673">
        <v>4877.4638722821001</v>
      </c>
    </row>
    <row r="674" spans="1:67" x14ac:dyDescent="0.25">
      <c r="A674" s="1">
        <v>672</v>
      </c>
      <c r="B674" t="s">
        <v>180</v>
      </c>
      <c r="C674" t="s">
        <v>195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67</v>
      </c>
      <c r="J674">
        <v>1.4</v>
      </c>
      <c r="K674">
        <v>500</v>
      </c>
      <c r="L674">
        <v>100</v>
      </c>
      <c r="N674" t="s">
        <v>179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263180.70258801611</v>
      </c>
      <c r="Z674">
        <v>1315903512.9400799</v>
      </c>
      <c r="AA674">
        <v>1842264918.116112</v>
      </c>
      <c r="AB674">
        <v>1842264.918116112</v>
      </c>
      <c r="AC674">
        <v>0</v>
      </c>
      <c r="AD674">
        <v>13638.37873994712</v>
      </c>
      <c r="AE674">
        <v>24549081.73190482</v>
      </c>
      <c r="AF674">
        <v>24549081.73190482</v>
      </c>
      <c r="AG674">
        <v>1105.114719747563</v>
      </c>
      <c r="AH674">
        <v>1080.4050870211311</v>
      </c>
      <c r="AI674">
        <v>1080.4050870211311</v>
      </c>
      <c r="AJ674">
        <v>59873.609838773657</v>
      </c>
      <c r="AK674">
        <v>854.70085470085473</v>
      </c>
      <c r="AL674" t="s">
        <v>69</v>
      </c>
      <c r="AM674">
        <v>83731.394244137642</v>
      </c>
      <c r="AN674">
        <v>2865.4031080226468</v>
      </c>
      <c r="AO674">
        <v>183668.86479359219</v>
      </c>
      <c r="AP674">
        <v>147325.10804563481</v>
      </c>
      <c r="AQ674">
        <v>-36343.756747957457</v>
      </c>
      <c r="AR674">
        <v>2.4389348038611112E-3</v>
      </c>
      <c r="AS674">
        <v>54.178637537694158</v>
      </c>
      <c r="AT674">
        <v>75.767151362588038</v>
      </c>
      <c r="AU674">
        <v>2.5928557975204432</v>
      </c>
      <c r="AV674">
        <v>166.19891266632209</v>
      </c>
      <c r="AW674">
        <v>133.3120493402601</v>
      </c>
      <c r="AX674">
        <v>-32.886863326062041</v>
      </c>
      <c r="AY674">
        <v>0.97764066274307138</v>
      </c>
      <c r="AZ674" t="str">
        <f>VLOOKUP(BA674,Sheet1!$A$1:$B$58,2,FALSE)</f>
        <v>Butanol (PW2)</v>
      </c>
      <c r="BA674" t="s">
        <v>112</v>
      </c>
      <c r="BB674" t="s">
        <v>111</v>
      </c>
      <c r="BC674">
        <v>74.120199999999997</v>
      </c>
      <c r="BD674">
        <v>6</v>
      </c>
      <c r="BE674">
        <v>117.7</v>
      </c>
      <c r="BF674" t="s">
        <v>199</v>
      </c>
      <c r="BG674">
        <v>39.890002141236543</v>
      </c>
      <c r="BH674">
        <v>1.4048606994665E-2</v>
      </c>
      <c r="BI674">
        <v>2.2622085791881099E-2</v>
      </c>
      <c r="BJ674">
        <v>90</v>
      </c>
      <c r="BK674">
        <v>6547.7825798059903</v>
      </c>
      <c r="BL674">
        <v>-1615.2780776869979</v>
      </c>
      <c r="BM674">
        <v>8.1280017263692699</v>
      </c>
      <c r="BN674">
        <v>1381.760293482776</v>
      </c>
      <c r="BO674">
        <v>5166.0222863232138</v>
      </c>
    </row>
    <row r="675" spans="1:67" x14ac:dyDescent="0.25">
      <c r="A675" s="1">
        <v>673</v>
      </c>
      <c r="B675" t="s">
        <v>180</v>
      </c>
      <c r="C675" t="s">
        <v>195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67</v>
      </c>
      <c r="J675">
        <v>1.4</v>
      </c>
      <c r="K675">
        <v>500</v>
      </c>
      <c r="L675">
        <v>100</v>
      </c>
      <c r="N675" t="s">
        <v>179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172592.64322990141</v>
      </c>
      <c r="Z675">
        <v>862963216.14950693</v>
      </c>
      <c r="AA675">
        <v>1208148502.6093099</v>
      </c>
      <c r="AB675">
        <v>1208148.50260931</v>
      </c>
      <c r="AC675">
        <v>0</v>
      </c>
      <c r="AD675">
        <v>8943.9834036112552</v>
      </c>
      <c r="AE675">
        <v>16099170.12650026</v>
      </c>
      <c r="AF675">
        <v>16099170.12650026</v>
      </c>
      <c r="AG675">
        <v>724.72893596640392</v>
      </c>
      <c r="AH675">
        <v>708.52447726727644</v>
      </c>
      <c r="AI675">
        <v>708.52447726727644</v>
      </c>
      <c r="AJ675">
        <v>39264.826334802558</v>
      </c>
      <c r="AK675">
        <v>854.70085470085473</v>
      </c>
      <c r="AL675" t="s">
        <v>69</v>
      </c>
      <c r="AM675">
        <v>54910.646988213921</v>
      </c>
      <c r="AN675">
        <v>1879.117623251313</v>
      </c>
      <c r="AO675">
        <v>120449.161135437</v>
      </c>
      <c r="AP675">
        <v>96909.291800968655</v>
      </c>
      <c r="AQ675">
        <v>-23539.869334468342</v>
      </c>
      <c r="AR675">
        <v>2.4389348038611112E-3</v>
      </c>
      <c r="AS675">
        <v>54.178637537694172</v>
      </c>
      <c r="AT675">
        <v>75.767151362588066</v>
      </c>
      <c r="AU675">
        <v>2.592855797520444</v>
      </c>
      <c r="AV675">
        <v>166.1989126663222</v>
      </c>
      <c r="AW675">
        <v>133.71798336124539</v>
      </c>
      <c r="AX675">
        <v>-32.48092930507687</v>
      </c>
      <c r="AY675">
        <v>0.97764066274307193</v>
      </c>
      <c r="AZ675" t="str">
        <f>VLOOKUP(BA675,Sheet1!$A$1:$B$58,2,FALSE)</f>
        <v>Butyrate</v>
      </c>
      <c r="BA675" t="s">
        <v>113</v>
      </c>
      <c r="BB675" t="s">
        <v>114</v>
      </c>
      <c r="BC675">
        <v>87.095680000000002</v>
      </c>
      <c r="BD675">
        <v>4.75</v>
      </c>
      <c r="BE675">
        <v>163.5</v>
      </c>
      <c r="BF675" t="s">
        <v>199</v>
      </c>
      <c r="BG675">
        <v>25.69600045503255</v>
      </c>
      <c r="BH675">
        <v>1.8230769230769401E-2</v>
      </c>
      <c r="BI675">
        <v>3.4495655905698398E-2</v>
      </c>
      <c r="BJ675">
        <v>90</v>
      </c>
      <c r="BK675">
        <v>4307.0796355986067</v>
      </c>
      <c r="BL675">
        <v>-1046.21641486526</v>
      </c>
      <c r="BM675">
        <v>5.7939763124019663</v>
      </c>
      <c r="BN675">
        <v>984.9759731083343</v>
      </c>
      <c r="BO675">
        <v>3322.1036624902731</v>
      </c>
    </row>
    <row r="676" spans="1:67" x14ac:dyDescent="0.25">
      <c r="A676" s="1">
        <v>674</v>
      </c>
      <c r="B676" t="s">
        <v>180</v>
      </c>
      <c r="C676" t="s">
        <v>195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67</v>
      </c>
      <c r="J676">
        <v>1.4</v>
      </c>
      <c r="K676">
        <v>500</v>
      </c>
      <c r="L676">
        <v>100</v>
      </c>
      <c r="N676" t="s">
        <v>179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194172.93179322241</v>
      </c>
      <c r="Z676">
        <v>970864658.96611226</v>
      </c>
      <c r="AA676">
        <v>1359210522.552557</v>
      </c>
      <c r="AB676">
        <v>1359210.5225525571</v>
      </c>
      <c r="AC676">
        <v>0</v>
      </c>
      <c r="AD676">
        <v>10062.30304426003</v>
      </c>
      <c r="AE676">
        <v>18112145.479668051</v>
      </c>
      <c r="AF676">
        <v>18112145.479668051</v>
      </c>
      <c r="AG676">
        <v>815.34612147129599</v>
      </c>
      <c r="AH676">
        <v>797.11552256019093</v>
      </c>
      <c r="AI676">
        <v>797.11552256019093</v>
      </c>
      <c r="AJ676">
        <v>44174.341982958103</v>
      </c>
      <c r="AK676">
        <v>854.70085470085473</v>
      </c>
      <c r="AL676" t="s">
        <v>69</v>
      </c>
      <c r="AM676">
        <v>61776.452998414803</v>
      </c>
      <c r="AN676">
        <v>2114.0749180426569</v>
      </c>
      <c r="AO676">
        <v>135509.63883523241</v>
      </c>
      <c r="AP676">
        <v>108919.5707541164</v>
      </c>
      <c r="AQ676">
        <v>-26590.068081116031</v>
      </c>
      <c r="AR676">
        <v>2.4389348038611112E-3</v>
      </c>
      <c r="AS676">
        <v>54.178637537694158</v>
      </c>
      <c r="AT676">
        <v>75.767151362588066</v>
      </c>
      <c r="AU676">
        <v>2.592855797520444</v>
      </c>
      <c r="AV676">
        <v>166.1989126663222</v>
      </c>
      <c r="AW676">
        <v>133.58691221535531</v>
      </c>
      <c r="AX676">
        <v>-32.612000450966889</v>
      </c>
      <c r="AY676">
        <v>0.97764066274307182</v>
      </c>
      <c r="AZ676" t="str">
        <f>VLOOKUP(BA676,Sheet1!$A$1:$B$58,2,FALSE)</f>
        <v>Catechol</v>
      </c>
      <c r="BA676" t="s">
        <v>115</v>
      </c>
      <c r="BB676" t="s">
        <v>116</v>
      </c>
      <c r="BC676">
        <v>110.10924</v>
      </c>
      <c r="BD676">
        <v>4.333333333333333</v>
      </c>
      <c r="BE676">
        <v>245</v>
      </c>
      <c r="BF676" t="s">
        <v>199</v>
      </c>
      <c r="BG676">
        <v>28.784712207714051</v>
      </c>
      <c r="BH676">
        <v>1.2817739318550601E-2</v>
      </c>
      <c r="BI676">
        <v>3.06618248884135E-2</v>
      </c>
      <c r="BJ676">
        <v>90</v>
      </c>
      <c r="BK676">
        <v>4840.8698112940629</v>
      </c>
      <c r="BL676">
        <v>-1181.7808036051561</v>
      </c>
      <c r="BM676">
        <v>6.642644350516651</v>
      </c>
      <c r="BN676">
        <v>1129.2495395878309</v>
      </c>
      <c r="BO676">
        <v>3711.620271706232</v>
      </c>
    </row>
    <row r="677" spans="1:67" x14ac:dyDescent="0.25">
      <c r="A677" s="1">
        <v>675</v>
      </c>
      <c r="B677" t="s">
        <v>180</v>
      </c>
      <c r="C677" t="s">
        <v>195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67</v>
      </c>
      <c r="J677">
        <v>1.4</v>
      </c>
      <c r="K677">
        <v>500</v>
      </c>
      <c r="L677">
        <v>100</v>
      </c>
      <c r="N677" t="s">
        <v>179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153441.54411515669</v>
      </c>
      <c r="Z677">
        <v>767207720.57578325</v>
      </c>
      <c r="AA677">
        <v>1074090808.806097</v>
      </c>
      <c r="AB677">
        <v>1074090.8088060969</v>
      </c>
      <c r="AC677">
        <v>0</v>
      </c>
      <c r="AD677">
        <v>7951.5476344050976</v>
      </c>
      <c r="AE677">
        <v>14312785.741929181</v>
      </c>
      <c r="AF677">
        <v>14312785.741929181</v>
      </c>
      <c r="AG677">
        <v>644.3120918629844</v>
      </c>
      <c r="AH677">
        <v>629.90570050230303</v>
      </c>
      <c r="AI677">
        <v>629.90570050230303</v>
      </c>
      <c r="AJ677">
        <v>34907.951286198142</v>
      </c>
      <c r="AK677">
        <v>854.70085470085473</v>
      </c>
      <c r="AL677" t="s">
        <v>69</v>
      </c>
      <c r="AM677">
        <v>48817.691788928489</v>
      </c>
      <c r="AN677">
        <v>1670.608342799464</v>
      </c>
      <c r="AO677">
        <v>107083.96908539149</v>
      </c>
      <c r="AP677">
        <v>86250.95227262695</v>
      </c>
      <c r="AQ677">
        <v>-20833.016812764559</v>
      </c>
      <c r="AR677">
        <v>2.4389348038611112E-3</v>
      </c>
      <c r="AS677">
        <v>54.178637537694172</v>
      </c>
      <c r="AT677">
        <v>75.767151362588066</v>
      </c>
      <c r="AU677">
        <v>2.592855797520444</v>
      </c>
      <c r="AV677">
        <v>166.1989126663222</v>
      </c>
      <c r="AW677">
        <v>133.86517708093641</v>
      </c>
      <c r="AX677">
        <v>-32.333735585385817</v>
      </c>
      <c r="AY677">
        <v>0.97764066274307182</v>
      </c>
      <c r="AZ677" t="str">
        <f>VLOOKUP(BA677,Sheet1!$A$1:$B$58,2,FALSE)</f>
        <v>cis,cis-Muconate</v>
      </c>
      <c r="BA677" t="s">
        <v>117</v>
      </c>
      <c r="BB677" t="s">
        <v>118</v>
      </c>
      <c r="BC677">
        <v>140.09155999999999</v>
      </c>
      <c r="BD677">
        <v>3.333333333333333</v>
      </c>
      <c r="BE677">
        <v>345.4</v>
      </c>
      <c r="BF677" t="s">
        <v>199</v>
      </c>
      <c r="BG677">
        <v>22.756777103940191</v>
      </c>
      <c r="BH677">
        <v>1.2748789671866699E-2</v>
      </c>
      <c r="BI677">
        <v>3.8801072206660299E-2</v>
      </c>
      <c r="BJ677">
        <v>90</v>
      </c>
      <c r="BK677">
        <v>3833.375656561198</v>
      </c>
      <c r="BL677">
        <v>-925.91185834509145</v>
      </c>
      <c r="BM677">
        <v>5.2390318072732818</v>
      </c>
      <c r="BN677">
        <v>890.63540723645792</v>
      </c>
      <c r="BO677">
        <v>2942.74024932474</v>
      </c>
    </row>
    <row r="678" spans="1:67" x14ac:dyDescent="0.25">
      <c r="A678" s="1">
        <v>676</v>
      </c>
      <c r="B678" t="s">
        <v>180</v>
      </c>
      <c r="C678" t="s">
        <v>195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67</v>
      </c>
      <c r="J678">
        <v>1.4</v>
      </c>
      <c r="K678">
        <v>500</v>
      </c>
      <c r="L678">
        <v>100</v>
      </c>
      <c r="N678" t="s">
        <v>179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75825.270135440878</v>
      </c>
      <c r="Z678">
        <v>379126350.67720437</v>
      </c>
      <c r="AA678">
        <v>530776890.94808608</v>
      </c>
      <c r="AB678">
        <v>530776.89094808605</v>
      </c>
      <c r="AC678">
        <v>0</v>
      </c>
      <c r="AD678">
        <v>3929.367700582442</v>
      </c>
      <c r="AE678">
        <v>7072861.8610483948</v>
      </c>
      <c r="AF678">
        <v>7072861.8610483948</v>
      </c>
      <c r="AG678">
        <v>318.3957688823595</v>
      </c>
      <c r="AH678">
        <v>311.27665050473979</v>
      </c>
      <c r="AI678">
        <v>311.27665050473979</v>
      </c>
      <c r="AJ678">
        <v>17250.2489558128</v>
      </c>
      <c r="AK678">
        <v>854.70085470085473</v>
      </c>
      <c r="AL678" t="s">
        <v>69</v>
      </c>
      <c r="AM678">
        <v>24123.94041411734</v>
      </c>
      <c r="AN678">
        <v>825.55431525260485</v>
      </c>
      <c r="AO678">
        <v>52917.030585805784</v>
      </c>
      <c r="AP678">
        <v>43054.444539883603</v>
      </c>
      <c r="AQ678">
        <v>-9862.5860459221803</v>
      </c>
      <c r="AR678">
        <v>2.4389348038611112E-3</v>
      </c>
      <c r="AS678">
        <v>54.178637537694158</v>
      </c>
      <c r="AT678">
        <v>75.767151362588066</v>
      </c>
      <c r="AU678">
        <v>2.5928557975204432</v>
      </c>
      <c r="AV678">
        <v>166.1989126663222</v>
      </c>
      <c r="AW678">
        <v>135.2230423507647</v>
      </c>
      <c r="AX678">
        <v>-30.975870315557469</v>
      </c>
      <c r="AY678">
        <v>0.97764066274307171</v>
      </c>
      <c r="AZ678" t="str">
        <f>VLOOKUP(BA678,Sheet1!$A$1:$B$58,2,FALSE)</f>
        <v>Citrate</v>
      </c>
      <c r="BA678" t="s">
        <v>119</v>
      </c>
      <c r="BB678" t="s">
        <v>120</v>
      </c>
      <c r="BC678">
        <v>189.09639999999999</v>
      </c>
      <c r="BD678">
        <v>2.5</v>
      </c>
      <c r="BF678" t="s">
        <v>199</v>
      </c>
      <c r="BG678">
        <v>10.780601383169691</v>
      </c>
      <c r="BH678">
        <v>1.9112903225806398E-2</v>
      </c>
      <c r="BI678">
        <v>7.8518631349140097E-2</v>
      </c>
      <c r="BJ678">
        <v>90</v>
      </c>
      <c r="BK678">
        <v>1913.530868439271</v>
      </c>
      <c r="BL678">
        <v>-438.33715759654132</v>
      </c>
      <c r="BM678">
        <v>3.0539164170409658</v>
      </c>
      <c r="BN678">
        <v>519.16579089696427</v>
      </c>
      <c r="BO678">
        <v>1394.3650775423071</v>
      </c>
    </row>
    <row r="679" spans="1:67" x14ac:dyDescent="0.25">
      <c r="A679" s="1">
        <v>677</v>
      </c>
      <c r="B679" t="s">
        <v>180</v>
      </c>
      <c r="C679" t="s">
        <v>195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67</v>
      </c>
      <c r="J679">
        <v>1.4</v>
      </c>
      <c r="K679">
        <v>500</v>
      </c>
      <c r="L679">
        <v>100</v>
      </c>
      <c r="N679" t="s">
        <v>179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192921.8551151469</v>
      </c>
      <c r="Z679">
        <v>964609275.57573438</v>
      </c>
      <c r="AA679">
        <v>1350452985.8060279</v>
      </c>
      <c r="AB679">
        <v>1350452.9858060279</v>
      </c>
      <c r="AC679">
        <v>0</v>
      </c>
      <c r="AD679">
        <v>9997.4705645207396</v>
      </c>
      <c r="AE679">
        <v>17995447.016137332</v>
      </c>
      <c r="AF679">
        <v>17995447.016137332</v>
      </c>
      <c r="AG679">
        <v>810.09276041982685</v>
      </c>
      <c r="AH679">
        <v>791.97962318020382</v>
      </c>
      <c r="AI679">
        <v>791.97962318020382</v>
      </c>
      <c r="AJ679">
        <v>43889.722038695923</v>
      </c>
      <c r="AK679">
        <v>854.70085470085473</v>
      </c>
      <c r="AL679" t="s">
        <v>69</v>
      </c>
      <c r="AM679">
        <v>61378.420796465798</v>
      </c>
      <c r="AN679">
        <v>2100.453710383887</v>
      </c>
      <c r="AO679">
        <v>134636.53594063461</v>
      </c>
      <c r="AP679">
        <v>108223.2974002464</v>
      </c>
      <c r="AQ679">
        <v>-26413.238540388189</v>
      </c>
      <c r="AR679">
        <v>2.4389348038611112E-3</v>
      </c>
      <c r="AS679">
        <v>54.178637537694158</v>
      </c>
      <c r="AT679">
        <v>75.767151362588052</v>
      </c>
      <c r="AU679">
        <v>2.5928557975204432</v>
      </c>
      <c r="AV679">
        <v>166.19891266632209</v>
      </c>
      <c r="AW679">
        <v>133.59371011309889</v>
      </c>
      <c r="AX679">
        <v>-32.605202553223222</v>
      </c>
      <c r="AY679">
        <v>0.9776406627430716</v>
      </c>
      <c r="AZ679" t="str">
        <f>VLOOKUP(BA679,Sheet1!$A$1:$B$58,2,FALSE)</f>
        <v>Coumaric Acid</v>
      </c>
      <c r="BA679" t="s">
        <v>121</v>
      </c>
      <c r="BB679" t="s">
        <v>122</v>
      </c>
      <c r="BC679">
        <v>163.14818</v>
      </c>
      <c r="BD679">
        <v>4.1111111111111107</v>
      </c>
      <c r="BE679">
        <v>346</v>
      </c>
      <c r="BF679" t="s">
        <v>199</v>
      </c>
      <c r="BG679">
        <v>28.554168565725899</v>
      </c>
      <c r="BH679">
        <v>8.7068332108743707E-3</v>
      </c>
      <c r="BI679">
        <v>3.0860663397416201E-2</v>
      </c>
      <c r="BJ679">
        <v>90</v>
      </c>
      <c r="BK679">
        <v>4809.9243288998414</v>
      </c>
      <c r="BL679">
        <v>-1173.9217129061419</v>
      </c>
      <c r="BM679">
        <v>6.6449257978387104</v>
      </c>
      <c r="BN679">
        <v>1129.6373856325811</v>
      </c>
      <c r="BO679">
        <v>3680.286943267261</v>
      </c>
    </row>
    <row r="680" spans="1:67" x14ac:dyDescent="0.25">
      <c r="A680" s="1">
        <v>678</v>
      </c>
      <c r="B680" t="s">
        <v>180</v>
      </c>
      <c r="C680" t="s">
        <v>195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67</v>
      </c>
      <c r="J680">
        <v>1.4</v>
      </c>
      <c r="K680">
        <v>500</v>
      </c>
      <c r="L680">
        <v>100</v>
      </c>
      <c r="N680" t="s">
        <v>179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172586.98209188881</v>
      </c>
      <c r="Z680">
        <v>862934910.45944417</v>
      </c>
      <c r="AA680">
        <v>1208108874.6432221</v>
      </c>
      <c r="AB680">
        <v>1208108.874643222</v>
      </c>
      <c r="AC680">
        <v>0</v>
      </c>
      <c r="AD680">
        <v>8943.6900358089988</v>
      </c>
      <c r="AE680">
        <v>16098642.0644562</v>
      </c>
      <c r="AF680">
        <v>16098642.0644562</v>
      </c>
      <c r="AG680">
        <v>724.70516444027498</v>
      </c>
      <c r="AH680">
        <v>708.50123725671722</v>
      </c>
      <c r="AI680">
        <v>708.50123725671722</v>
      </c>
      <c r="AJ680">
        <v>39263.538425904713</v>
      </c>
      <c r="AK680">
        <v>854.70085470085473</v>
      </c>
      <c r="AL680" t="s">
        <v>69</v>
      </c>
      <c r="AM680">
        <v>54908.845887395582</v>
      </c>
      <c r="AN680">
        <v>1879.055987111974</v>
      </c>
      <c r="AO680">
        <v>120445.21033364189</v>
      </c>
      <c r="AP680">
        <v>96906.141155113131</v>
      </c>
      <c r="AQ680">
        <v>-23539.069178528789</v>
      </c>
      <c r="AR680">
        <v>2.438934803861112E-3</v>
      </c>
      <c r="AS680">
        <v>54.178637537694179</v>
      </c>
      <c r="AT680">
        <v>75.767151362588066</v>
      </c>
      <c r="AU680">
        <v>2.592855797520444</v>
      </c>
      <c r="AV680">
        <v>166.1989126663222</v>
      </c>
      <c r="AW680">
        <v>133.71802204550099</v>
      </c>
      <c r="AX680">
        <v>-32.480890620821157</v>
      </c>
      <c r="AY680">
        <v>0.97764066274307171</v>
      </c>
      <c r="AZ680" t="str">
        <f>VLOOKUP(BA680,Sheet1!$A$1:$B$58,2,FALSE)</f>
        <v>Ethyl Acetate</v>
      </c>
      <c r="BA680" t="s">
        <v>123</v>
      </c>
      <c r="BB680" t="s">
        <v>124</v>
      </c>
      <c r="BC680">
        <v>88.103520000000003</v>
      </c>
      <c r="BD680">
        <v>5</v>
      </c>
      <c r="BE680">
        <v>77.099999999999994</v>
      </c>
      <c r="BF680" t="s">
        <v>199</v>
      </c>
      <c r="BG680">
        <v>25.718212658144981</v>
      </c>
      <c r="BH680">
        <v>1.8022813688212999E-2</v>
      </c>
      <c r="BI680">
        <v>3.44967874201762E-2</v>
      </c>
      <c r="BJ680">
        <v>90</v>
      </c>
      <c r="BK680">
        <v>4306.9396068939177</v>
      </c>
      <c r="BL680">
        <v>-1046.1808523790569</v>
      </c>
      <c r="BM680">
        <v>5.7707312199313394</v>
      </c>
      <c r="BN680">
        <v>981.02430738832754</v>
      </c>
      <c r="BO680">
        <v>3325.9152995055902</v>
      </c>
    </row>
    <row r="681" spans="1:67" x14ac:dyDescent="0.25">
      <c r="A681" s="1">
        <v>679</v>
      </c>
      <c r="B681" t="s">
        <v>180</v>
      </c>
      <c r="C681" t="s">
        <v>195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67</v>
      </c>
      <c r="J681">
        <v>1.4</v>
      </c>
      <c r="K681">
        <v>500</v>
      </c>
      <c r="L681">
        <v>100</v>
      </c>
      <c r="N681" t="s">
        <v>179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319197.76914319478</v>
      </c>
      <c r="Z681">
        <v>1595988845.7159741</v>
      </c>
      <c r="AA681">
        <v>2234384384.0023632</v>
      </c>
      <c r="AB681">
        <v>2234384.3840023628</v>
      </c>
      <c r="AC681">
        <v>0</v>
      </c>
      <c r="AD681">
        <v>16541.25863223273</v>
      </c>
      <c r="AE681">
        <v>29774265.53801892</v>
      </c>
      <c r="AF681">
        <v>29774265.53801892</v>
      </c>
      <c r="AG681">
        <v>1340.3344155628499</v>
      </c>
      <c r="AH681">
        <v>1310.3654263282131</v>
      </c>
      <c r="AI681">
        <v>1310.3654263282131</v>
      </c>
      <c r="AJ681">
        <v>72617.492480076806</v>
      </c>
      <c r="AK681">
        <v>1835.336538461539</v>
      </c>
      <c r="AL681" t="s">
        <v>84</v>
      </c>
      <c r="AM681">
        <v>101553.3205404365</v>
      </c>
      <c r="AN681">
        <v>3475.2938600083112</v>
      </c>
      <c r="AO681">
        <v>222762.12247579609</v>
      </c>
      <c r="AP681">
        <v>179481.44341898311</v>
      </c>
      <c r="AQ681">
        <v>-43280.679056813038</v>
      </c>
      <c r="AR681">
        <v>2.4389348038611112E-3</v>
      </c>
      <c r="AS681">
        <v>54.178637537694158</v>
      </c>
      <c r="AT681">
        <v>75.767151362588052</v>
      </c>
      <c r="AU681">
        <v>2.592855797520444</v>
      </c>
      <c r="AV681">
        <v>166.1989126663222</v>
      </c>
      <c r="AW681">
        <v>133.907957100104</v>
      </c>
      <c r="AX681">
        <v>-32.290955566218202</v>
      </c>
      <c r="AY681">
        <v>0.97764066274307182</v>
      </c>
      <c r="AZ681" t="str">
        <f>VLOOKUP(BA681,Sheet1!$A$1:$B$58,2,FALSE)</f>
        <v>Farnesene</v>
      </c>
      <c r="BA681" t="s">
        <v>125</v>
      </c>
      <c r="BB681" t="s">
        <v>126</v>
      </c>
      <c r="BC681">
        <v>204.34866</v>
      </c>
      <c r="BD681">
        <v>5.6</v>
      </c>
      <c r="BE681" t="s">
        <v>127</v>
      </c>
      <c r="BF681" t="s">
        <v>199</v>
      </c>
      <c r="BG681">
        <v>48.030521877707088</v>
      </c>
      <c r="BH681">
        <v>4.2013827335578803E-3</v>
      </c>
      <c r="BI681">
        <v>1.8652061537569101E-2</v>
      </c>
      <c r="BJ681">
        <v>90</v>
      </c>
      <c r="BK681">
        <v>7976.953040843694</v>
      </c>
      <c r="BL681">
        <v>-1923.5857358583571</v>
      </c>
      <c r="BM681">
        <v>10.20794151465793</v>
      </c>
      <c r="BN681">
        <v>1735.3500574918471</v>
      </c>
      <c r="BO681">
        <v>6241.6029833518469</v>
      </c>
    </row>
    <row r="682" spans="1:67" x14ac:dyDescent="0.25">
      <c r="A682" s="1">
        <v>680</v>
      </c>
      <c r="B682" t="s">
        <v>180</v>
      </c>
      <c r="C682" t="s">
        <v>195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67</v>
      </c>
      <c r="J682">
        <v>1.4</v>
      </c>
      <c r="K682">
        <v>500</v>
      </c>
      <c r="L682">
        <v>100</v>
      </c>
      <c r="N682" t="s">
        <v>179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165613.90873246349</v>
      </c>
      <c r="Z682">
        <v>828069543.66231763</v>
      </c>
      <c r="AA682">
        <v>1159297361.1272449</v>
      </c>
      <c r="AB682">
        <v>1159297.361127245</v>
      </c>
      <c r="AC682">
        <v>0</v>
      </c>
      <c r="AD682">
        <v>8582.3359755679267</v>
      </c>
      <c r="AE682">
        <v>15448204.756022271</v>
      </c>
      <c r="AF682">
        <v>15448204.756022271</v>
      </c>
      <c r="AG682">
        <v>695.42472732766669</v>
      </c>
      <c r="AH682">
        <v>679.87549131253991</v>
      </c>
      <c r="AI682">
        <v>679.87549131253991</v>
      </c>
      <c r="AJ682">
        <v>37677.164236635457</v>
      </c>
      <c r="AK682">
        <v>1835.336538461539</v>
      </c>
      <c r="AL682" t="s">
        <v>84</v>
      </c>
      <c r="AM682">
        <v>52690.350576721838</v>
      </c>
      <c r="AN682">
        <v>1803.1360359906139</v>
      </c>
      <c r="AO682">
        <v>115578.83352313181</v>
      </c>
      <c r="AP682">
        <v>94005.987387809437</v>
      </c>
      <c r="AQ682">
        <v>-21572.84613532235</v>
      </c>
      <c r="AR682">
        <v>2.438934803861112E-3</v>
      </c>
      <c r="AS682">
        <v>54.178637537694179</v>
      </c>
      <c r="AT682">
        <v>75.767151362588066</v>
      </c>
      <c r="AU682">
        <v>2.592855797520444</v>
      </c>
      <c r="AV682">
        <v>166.1989126663222</v>
      </c>
      <c r="AW682">
        <v>135.17780385671591</v>
      </c>
      <c r="AX682">
        <v>-31.02110880960635</v>
      </c>
      <c r="AY682">
        <v>0.9776406627430716</v>
      </c>
      <c r="AZ682" t="str">
        <f>VLOOKUP(BA682,Sheet1!$A$1:$B$58,2,FALSE)</f>
        <v>Gamma Butyrolactone</v>
      </c>
      <c r="BA682" t="s">
        <v>128</v>
      </c>
      <c r="BB682" t="s">
        <v>129</v>
      </c>
      <c r="BC682">
        <v>86.08784</v>
      </c>
      <c r="BD682">
        <v>4.5</v>
      </c>
      <c r="BE682">
        <v>204</v>
      </c>
      <c r="BF682" t="s">
        <v>199</v>
      </c>
      <c r="BG682">
        <v>24.551599589619041</v>
      </c>
      <c r="BH682">
        <v>1.92214111922141E-2</v>
      </c>
      <c r="BI682">
        <v>3.5949253769086399E-2</v>
      </c>
      <c r="BJ682">
        <v>90</v>
      </c>
      <c r="BK682">
        <v>4178.043883902641</v>
      </c>
      <c r="BL682">
        <v>-958.79316156988307</v>
      </c>
      <c r="BM682">
        <v>5.6650889131605098</v>
      </c>
      <c r="BN682">
        <v>963.0651152372867</v>
      </c>
      <c r="BO682">
        <v>3214.978768665354</v>
      </c>
    </row>
    <row r="683" spans="1:67" x14ac:dyDescent="0.25">
      <c r="A683" s="1">
        <v>681</v>
      </c>
      <c r="B683" t="s">
        <v>180</v>
      </c>
      <c r="C683" t="s">
        <v>195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67</v>
      </c>
      <c r="J683">
        <v>1.4</v>
      </c>
      <c r="K683">
        <v>500</v>
      </c>
      <c r="L683">
        <v>100</v>
      </c>
      <c r="N683" t="s">
        <v>179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96940.48250748626</v>
      </c>
      <c r="Z683">
        <v>484702412.5374313</v>
      </c>
      <c r="AA683">
        <v>678583377.55240381</v>
      </c>
      <c r="AB683">
        <v>678583.37755240384</v>
      </c>
      <c r="AC683">
        <v>0</v>
      </c>
      <c r="AD683">
        <v>5023.5864661397809</v>
      </c>
      <c r="AE683">
        <v>9042455.639051605</v>
      </c>
      <c r="AF683">
        <v>9042455.639051605</v>
      </c>
      <c r="AG683">
        <v>407.06006597359209</v>
      </c>
      <c r="AH683">
        <v>397.9584726746611</v>
      </c>
      <c r="AI683">
        <v>397.9584726746611</v>
      </c>
      <c r="AJ683">
        <v>22053.95977045313</v>
      </c>
      <c r="AK683">
        <v>854.70085470085473</v>
      </c>
      <c r="AL683" t="s">
        <v>69</v>
      </c>
      <c r="AM683">
        <v>30841.781632286231</v>
      </c>
      <c r="AN683">
        <v>1055.448051998683</v>
      </c>
      <c r="AO683">
        <v>67652.940354692386</v>
      </c>
      <c r="AP683">
        <v>54805.890309438902</v>
      </c>
      <c r="AQ683">
        <v>-12847.050045253491</v>
      </c>
      <c r="AR683">
        <v>2.4389348038611112E-3</v>
      </c>
      <c r="AS683">
        <v>54.178637537694172</v>
      </c>
      <c r="AT683">
        <v>75.767151362588052</v>
      </c>
      <c r="AU683">
        <v>2.592855797520444</v>
      </c>
      <c r="AV683">
        <v>166.1989126663222</v>
      </c>
      <c r="AW683">
        <v>134.63833692051341</v>
      </c>
      <c r="AX683">
        <v>-31.560575745808791</v>
      </c>
      <c r="AY683">
        <v>0.97764066274307182</v>
      </c>
      <c r="AZ683" t="str">
        <f>VLOOKUP(BA683,Sheet1!$A$1:$B$58,2,FALSE)</f>
        <v>L-Glutamate</v>
      </c>
      <c r="BA683" t="s">
        <v>130</v>
      </c>
      <c r="BB683" t="s">
        <v>131</v>
      </c>
      <c r="BC683">
        <v>146.11892</v>
      </c>
      <c r="BD683">
        <v>3.4</v>
      </c>
      <c r="BE683">
        <v>333.8</v>
      </c>
      <c r="BF683" t="s">
        <v>199</v>
      </c>
      <c r="BG683">
        <v>14.06202893514857</v>
      </c>
      <c r="BH683">
        <v>1.9346938775510199E-2</v>
      </c>
      <c r="BI683">
        <v>6.1415997514287897E-2</v>
      </c>
      <c r="BJ683">
        <v>90</v>
      </c>
      <c r="BK683">
        <v>2435.817347086173</v>
      </c>
      <c r="BL683">
        <v>-570.98000201126558</v>
      </c>
      <c r="BM683">
        <v>3.6250142948363742</v>
      </c>
      <c r="BN683">
        <v>616.25243012218357</v>
      </c>
      <c r="BO683">
        <v>1819.5649169639889</v>
      </c>
    </row>
    <row r="684" spans="1:67" x14ac:dyDescent="0.25">
      <c r="A684" s="1">
        <v>682</v>
      </c>
      <c r="B684" t="s">
        <v>180</v>
      </c>
      <c r="C684" t="s">
        <v>195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67</v>
      </c>
      <c r="J684">
        <v>1.4</v>
      </c>
      <c r="K684">
        <v>500</v>
      </c>
      <c r="L684">
        <v>100</v>
      </c>
      <c r="N684" t="s">
        <v>179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151453.5250702778</v>
      </c>
      <c r="Z684">
        <v>757267625.35138893</v>
      </c>
      <c r="AA684">
        <v>1060174675.491944</v>
      </c>
      <c r="AB684">
        <v>1060174.675491944</v>
      </c>
      <c r="AC684">
        <v>0</v>
      </c>
      <c r="AD684">
        <v>7848.5258079198584</v>
      </c>
      <c r="AE684">
        <v>14127346.454255739</v>
      </c>
      <c r="AF684">
        <v>14127346.454255739</v>
      </c>
      <c r="AG684">
        <v>635.96425675186197</v>
      </c>
      <c r="AH684">
        <v>621.74451745179533</v>
      </c>
      <c r="AI684">
        <v>621.74451745179533</v>
      </c>
      <c r="AJ684">
        <v>34455.676953488197</v>
      </c>
      <c r="AK684">
        <v>854.70085470085473</v>
      </c>
      <c r="AL684" t="s">
        <v>69</v>
      </c>
      <c r="AM684">
        <v>48185.200102514144</v>
      </c>
      <c r="AN684">
        <v>1648.9636101348451</v>
      </c>
      <c r="AO684">
        <v>105696.5679668052</v>
      </c>
      <c r="AP684">
        <v>85144.541520838029</v>
      </c>
      <c r="AQ684">
        <v>-20552.026445967171</v>
      </c>
      <c r="AR684">
        <v>2.4389348038611112E-3</v>
      </c>
      <c r="AS684">
        <v>54.178637537694172</v>
      </c>
      <c r="AT684">
        <v>75.767151362588066</v>
      </c>
      <c r="AU684">
        <v>2.592855797520444</v>
      </c>
      <c r="AV684">
        <v>166.1989126663222</v>
      </c>
      <c r="AW684">
        <v>133.88258949599961</v>
      </c>
      <c r="AX684">
        <v>-32.31632317032259</v>
      </c>
      <c r="AY684">
        <v>0.97764066274307171</v>
      </c>
      <c r="AZ684" t="str">
        <f>VLOOKUP(BA684,Sheet1!$A$1:$B$58,2,FALSE)</f>
        <v>Glutarate</v>
      </c>
      <c r="BA684" t="s">
        <v>132</v>
      </c>
      <c r="BB684" t="s">
        <v>133</v>
      </c>
      <c r="BC684">
        <v>130.09654</v>
      </c>
      <c r="BD684">
        <v>3.6</v>
      </c>
      <c r="BE684">
        <v>200</v>
      </c>
      <c r="BF684" t="s">
        <v>199</v>
      </c>
      <c r="BG684">
        <v>22.630988427050031</v>
      </c>
      <c r="BH684">
        <v>1.3908450704225301E-2</v>
      </c>
      <c r="BI684">
        <v>3.93103853472608E-2</v>
      </c>
      <c r="BJ684">
        <v>90</v>
      </c>
      <c r="BK684">
        <v>3784.20184537058</v>
      </c>
      <c r="BL684">
        <v>-913.42339759854133</v>
      </c>
      <c r="BM684">
        <v>5.0021012374742106</v>
      </c>
      <c r="BN684">
        <v>850.3572103706158</v>
      </c>
      <c r="BO684">
        <v>2933.844634999964</v>
      </c>
    </row>
    <row r="685" spans="1:67" x14ac:dyDescent="0.25">
      <c r="A685" s="1">
        <v>683</v>
      </c>
      <c r="B685" t="s">
        <v>180</v>
      </c>
      <c r="C685" t="s">
        <v>195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67</v>
      </c>
      <c r="J685">
        <v>1.4</v>
      </c>
      <c r="K685">
        <v>500</v>
      </c>
      <c r="L685">
        <v>100</v>
      </c>
      <c r="N685" t="s">
        <v>179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75195.426452222222</v>
      </c>
      <c r="Z685">
        <v>375977132.26111108</v>
      </c>
      <c r="AA685">
        <v>526367985.16555548</v>
      </c>
      <c r="AB685">
        <v>526367.9851655555</v>
      </c>
      <c r="AC685">
        <v>0</v>
      </c>
      <c r="AD685">
        <v>3896.728351974326</v>
      </c>
      <c r="AE685">
        <v>7014111.0335537856</v>
      </c>
      <c r="AF685">
        <v>7014111.0335537856</v>
      </c>
      <c r="AG685">
        <v>315.75100990641528</v>
      </c>
      <c r="AH685">
        <v>308.69102658670209</v>
      </c>
      <c r="AI685">
        <v>308.69102658670209</v>
      </c>
      <c r="AJ685">
        <v>17106.95951788055</v>
      </c>
      <c r="AK685">
        <v>854.70085470085473</v>
      </c>
      <c r="AL685" t="s">
        <v>69</v>
      </c>
      <c r="AM685">
        <v>23923.554560469409</v>
      </c>
      <c r="AN685">
        <v>818.696836608784</v>
      </c>
      <c r="AO685">
        <v>52477.474519739357</v>
      </c>
      <c r="AP685">
        <v>42703.9117696596</v>
      </c>
      <c r="AQ685">
        <v>-9773.5627500797564</v>
      </c>
      <c r="AR685">
        <v>2.4389348038611112E-3</v>
      </c>
      <c r="AS685">
        <v>54.178637537694158</v>
      </c>
      <c r="AT685">
        <v>75.767151362588066</v>
      </c>
      <c r="AU685">
        <v>2.592855797520444</v>
      </c>
      <c r="AV685">
        <v>166.1989126663222</v>
      </c>
      <c r="AW685">
        <v>135.2455271079466</v>
      </c>
      <c r="AX685">
        <v>-30.953385558375629</v>
      </c>
      <c r="AY685">
        <v>0.97764066274307171</v>
      </c>
      <c r="AZ685" t="str">
        <f>VLOOKUP(BA685,Sheet1!$A$1:$B$58,2,FALSE)</f>
        <v>Glycolate</v>
      </c>
      <c r="BA685" t="s">
        <v>134</v>
      </c>
      <c r="BB685" t="s">
        <v>135</v>
      </c>
      <c r="BC685">
        <v>75.041920000000005</v>
      </c>
      <c r="BD685">
        <v>2.5</v>
      </c>
      <c r="BE685">
        <v>112</v>
      </c>
      <c r="BF685" t="s">
        <v>199</v>
      </c>
      <c r="BG685">
        <v>10.902938895412451</v>
      </c>
      <c r="BH685">
        <v>4.85655737704919E-2</v>
      </c>
      <c r="BI685">
        <v>7.9176310496709701E-2</v>
      </c>
      <c r="BJ685">
        <v>90</v>
      </c>
      <c r="BK685">
        <v>1897.9516342070931</v>
      </c>
      <c r="BL685">
        <v>-434.38056667021141</v>
      </c>
      <c r="BM685">
        <v>2.8166622862187558</v>
      </c>
      <c r="BN685">
        <v>478.83258865718858</v>
      </c>
      <c r="BO685">
        <v>1419.119045549905</v>
      </c>
    </row>
    <row r="686" spans="1:67" x14ac:dyDescent="0.25">
      <c r="A686" s="1">
        <v>684</v>
      </c>
      <c r="B686" t="s">
        <v>180</v>
      </c>
      <c r="C686" t="s">
        <v>195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67</v>
      </c>
      <c r="J686">
        <v>1.4</v>
      </c>
      <c r="K686">
        <v>500</v>
      </c>
      <c r="L686">
        <v>100</v>
      </c>
      <c r="N686" t="s">
        <v>179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349777.83322503557</v>
      </c>
      <c r="Z686">
        <v>1748889166.1251781</v>
      </c>
      <c r="AA686">
        <v>2448444832.5752492</v>
      </c>
      <c r="AB686">
        <v>2448444.832575249</v>
      </c>
      <c r="AC686">
        <v>0</v>
      </c>
      <c r="AD686">
        <v>18125.958770726051</v>
      </c>
      <c r="AE686">
        <v>32626725.787306901</v>
      </c>
      <c r="AF686">
        <v>32626725.787306901</v>
      </c>
      <c r="AG686">
        <v>1468.742306473333</v>
      </c>
      <c r="AH686">
        <v>1435.9022018993769</v>
      </c>
      <c r="AI686">
        <v>1435.9022018993769</v>
      </c>
      <c r="AJ686">
        <v>79574.457058695596</v>
      </c>
      <c r="AK686">
        <v>854.70085470085473</v>
      </c>
      <c r="AL686" t="s">
        <v>69</v>
      </c>
      <c r="AM686">
        <v>111282.4206472017</v>
      </c>
      <c r="AN686">
        <v>3808.237004402929</v>
      </c>
      <c r="AO686">
        <v>244103.374322894</v>
      </c>
      <c r="AP686">
        <v>195519.8155650011</v>
      </c>
      <c r="AQ686">
        <v>-48583.558757892963</v>
      </c>
      <c r="AR686">
        <v>2.4389348038611112E-3</v>
      </c>
      <c r="AS686">
        <v>54.178637537694158</v>
      </c>
      <c r="AT686">
        <v>75.767151362588066</v>
      </c>
      <c r="AU686">
        <v>2.592855797520444</v>
      </c>
      <c r="AV686">
        <v>166.1989126663222</v>
      </c>
      <c r="AW686">
        <v>133.1205717322006</v>
      </c>
      <c r="AX686">
        <v>-33.07834093412157</v>
      </c>
      <c r="AY686">
        <v>0.9776406627430716</v>
      </c>
      <c r="AZ686" t="str">
        <f>VLOOKUP(BA686,Sheet1!$A$1:$B$58,2,FALSE)</f>
        <v>Heptane</v>
      </c>
      <c r="BA686" t="s">
        <v>136</v>
      </c>
      <c r="BB686" t="s">
        <v>137</v>
      </c>
      <c r="BC686">
        <v>100.20034</v>
      </c>
      <c r="BD686">
        <v>6.2857142857142856</v>
      </c>
      <c r="BE686">
        <v>98</v>
      </c>
      <c r="BF686" t="s">
        <v>199</v>
      </c>
      <c r="BG686">
        <v>53.097443568895677</v>
      </c>
      <c r="BH686">
        <v>7.8192015836357903E-3</v>
      </c>
      <c r="BI686">
        <v>1.7021365756140501E-2</v>
      </c>
      <c r="BJ686">
        <v>90</v>
      </c>
      <c r="BK686">
        <v>8689.7695806667143</v>
      </c>
      <c r="BL686">
        <v>-2159.2692781285759</v>
      </c>
      <c r="BM686">
        <v>10.72043207107661</v>
      </c>
      <c r="BN686">
        <v>1822.4734520830229</v>
      </c>
      <c r="BO686">
        <v>6867.2961285836909</v>
      </c>
    </row>
    <row r="687" spans="1:67" x14ac:dyDescent="0.25">
      <c r="A687" s="1">
        <v>685</v>
      </c>
      <c r="B687" t="s">
        <v>180</v>
      </c>
      <c r="C687" t="s">
        <v>195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67</v>
      </c>
      <c r="J687">
        <v>1.4</v>
      </c>
      <c r="K687">
        <v>500</v>
      </c>
      <c r="L687">
        <v>100</v>
      </c>
      <c r="N687" t="s">
        <v>179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348206.48351804458</v>
      </c>
      <c r="Z687">
        <v>1741032417.5902231</v>
      </c>
      <c r="AA687">
        <v>2437445384.6263118</v>
      </c>
      <c r="AB687">
        <v>2437445.3846263122</v>
      </c>
      <c r="AC687">
        <v>0</v>
      </c>
      <c r="AD687">
        <v>18044.529310943832</v>
      </c>
      <c r="AE687">
        <v>32480152.75969889</v>
      </c>
      <c r="AF687">
        <v>32480152.75969889</v>
      </c>
      <c r="AG687">
        <v>1462.144095913095</v>
      </c>
      <c r="AH687">
        <v>1429.4515229543481</v>
      </c>
      <c r="AI687">
        <v>1429.4515229543481</v>
      </c>
      <c r="AJ687">
        <v>79216.975000355131</v>
      </c>
      <c r="AK687">
        <v>854.70085470085473</v>
      </c>
      <c r="AL687" t="s">
        <v>69</v>
      </c>
      <c r="AM687">
        <v>110782.493028962</v>
      </c>
      <c r="AN687">
        <v>3791.1287958985572</v>
      </c>
      <c r="AO687">
        <v>243006.75890223921</v>
      </c>
      <c r="AP687">
        <v>194645.29767991649</v>
      </c>
      <c r="AQ687">
        <v>-48361.461222322687</v>
      </c>
      <c r="AR687">
        <v>2.4389348038611112E-3</v>
      </c>
      <c r="AS687">
        <v>54.178637537694158</v>
      </c>
      <c r="AT687">
        <v>75.767151362588066</v>
      </c>
      <c r="AU687">
        <v>2.592855797520444</v>
      </c>
      <c r="AV687">
        <v>166.1989126663222</v>
      </c>
      <c r="AW687">
        <v>133.12319779150241</v>
      </c>
      <c r="AX687">
        <v>-33.075714874819766</v>
      </c>
      <c r="AY687">
        <v>0.97764066274307171</v>
      </c>
      <c r="AZ687" t="str">
        <f>VLOOKUP(BA687,Sheet1!$A$1:$B$58,2,FALSE)</f>
        <v>Hexane</v>
      </c>
      <c r="BA687" t="s">
        <v>138</v>
      </c>
      <c r="BB687" t="s">
        <v>139</v>
      </c>
      <c r="BC687">
        <v>86.173959999999994</v>
      </c>
      <c r="BD687">
        <v>6.333333333333333</v>
      </c>
      <c r="BE687">
        <v>69</v>
      </c>
      <c r="BF687" t="s">
        <v>199</v>
      </c>
      <c r="BG687">
        <v>52.855369019788313</v>
      </c>
      <c r="BH687">
        <v>9.1329479768780305E-3</v>
      </c>
      <c r="BI687">
        <v>1.7098177990718302E-2</v>
      </c>
      <c r="BJ687">
        <v>90</v>
      </c>
      <c r="BK687">
        <v>8650.9021191074007</v>
      </c>
      <c r="BL687">
        <v>-2149.398276547674</v>
      </c>
      <c r="BM687">
        <v>10.675809778182719</v>
      </c>
      <c r="BN687">
        <v>1814.887662291063</v>
      </c>
      <c r="BO687">
        <v>6836.0144568163378</v>
      </c>
    </row>
    <row r="688" spans="1:67" x14ac:dyDescent="0.25">
      <c r="A688" s="1">
        <v>686</v>
      </c>
      <c r="B688" t="s">
        <v>180</v>
      </c>
      <c r="C688" t="s">
        <v>195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67</v>
      </c>
      <c r="J688">
        <v>1.4</v>
      </c>
      <c r="K688">
        <v>500</v>
      </c>
      <c r="L688">
        <v>100</v>
      </c>
      <c r="N688" t="s">
        <v>179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215472.3724032531</v>
      </c>
      <c r="Z688">
        <v>1077361862.0162661</v>
      </c>
      <c r="AA688">
        <v>1508306606.822772</v>
      </c>
      <c r="AB688">
        <v>1508306.606822772</v>
      </c>
      <c r="AC688">
        <v>0</v>
      </c>
      <c r="AD688">
        <v>11166.068765424399</v>
      </c>
      <c r="AE688">
        <v>20098923.777763929</v>
      </c>
      <c r="AF688">
        <v>20098923.777763929</v>
      </c>
      <c r="AG688">
        <v>904.78400619866102</v>
      </c>
      <c r="AH688">
        <v>884.55363545939053</v>
      </c>
      <c r="AI688">
        <v>884.55363545939053</v>
      </c>
      <c r="AJ688">
        <v>49019.964721740093</v>
      </c>
      <c r="AK688">
        <v>854.70085470085473</v>
      </c>
      <c r="AL688" t="s">
        <v>69</v>
      </c>
      <c r="AM688">
        <v>68552.90674810276</v>
      </c>
      <c r="AN688">
        <v>2345.9744559759711</v>
      </c>
      <c r="AO688">
        <v>150374.11802809639</v>
      </c>
      <c r="AP688">
        <v>120773.5467805197</v>
      </c>
      <c r="AQ688">
        <v>-29600.57124757671</v>
      </c>
      <c r="AR688">
        <v>2.4389348038611112E-3</v>
      </c>
      <c r="AS688">
        <v>54.178637537694158</v>
      </c>
      <c r="AT688">
        <v>75.767151362588052</v>
      </c>
      <c r="AU688">
        <v>2.592855797520444</v>
      </c>
      <c r="AV688">
        <v>166.1989126663222</v>
      </c>
      <c r="AW688">
        <v>133.48329098779601</v>
      </c>
      <c r="AX688">
        <v>-32.715621678526219</v>
      </c>
      <c r="AY688">
        <v>0.97764066274307182</v>
      </c>
      <c r="AZ688" t="str">
        <f>VLOOKUP(BA688,Sheet1!$A$1:$B$58,2,FALSE)</f>
        <v>Isobutanol</v>
      </c>
      <c r="BA688" t="s">
        <v>140</v>
      </c>
      <c r="BB688" t="s">
        <v>141</v>
      </c>
      <c r="BC688">
        <v>86.130899999999997</v>
      </c>
      <c r="BD688">
        <v>5.6</v>
      </c>
      <c r="BE688">
        <v>108</v>
      </c>
      <c r="BF688" t="s">
        <v>199</v>
      </c>
      <c r="BG688">
        <v>32.559558191462123</v>
      </c>
      <c r="BH688">
        <v>1.4766355140186401E-2</v>
      </c>
      <c r="BI688">
        <v>2.76309039823045E-2</v>
      </c>
      <c r="BJ688">
        <v>90</v>
      </c>
      <c r="BK688">
        <v>5367.7131902453166</v>
      </c>
      <c r="BL688">
        <v>-1315.580944336743</v>
      </c>
      <c r="BM688">
        <v>6.7539367178441196</v>
      </c>
      <c r="BN688">
        <v>1148.1692420335</v>
      </c>
      <c r="BO688">
        <v>4219.5439482118172</v>
      </c>
    </row>
    <row r="689" spans="1:67" x14ac:dyDescent="0.25">
      <c r="A689" s="1">
        <v>687</v>
      </c>
      <c r="B689" t="s">
        <v>180</v>
      </c>
      <c r="C689" t="s">
        <v>195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67</v>
      </c>
      <c r="J689">
        <v>1.4</v>
      </c>
      <c r="K689">
        <v>500</v>
      </c>
      <c r="L689">
        <v>100</v>
      </c>
      <c r="N689" t="s">
        <v>179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175778.96895107019</v>
      </c>
      <c r="Z689">
        <v>878894844.75535119</v>
      </c>
      <c r="AA689">
        <v>1230452782.6574919</v>
      </c>
      <c r="AB689">
        <v>1230452.782657492</v>
      </c>
      <c r="AC689">
        <v>0</v>
      </c>
      <c r="AD689">
        <v>9109.1030972164608</v>
      </c>
      <c r="AE689">
        <v>16396385.57498963</v>
      </c>
      <c r="AF689">
        <v>16396385.57498963</v>
      </c>
      <c r="AG689">
        <v>738.10854709194359</v>
      </c>
      <c r="AH689">
        <v>721.60492915529346</v>
      </c>
      <c r="AI689">
        <v>721.60492915529346</v>
      </c>
      <c r="AJ689">
        <v>39989.715436368482</v>
      </c>
      <c r="AK689">
        <v>854.70085470085473</v>
      </c>
      <c r="AL689" t="s">
        <v>69</v>
      </c>
      <c r="AM689">
        <v>55924.382009535242</v>
      </c>
      <c r="AN689">
        <v>1913.8090255267371</v>
      </c>
      <c r="AO689">
        <v>122672.8379563999</v>
      </c>
      <c r="AP689">
        <v>98682.607326131314</v>
      </c>
      <c r="AQ689">
        <v>-23990.230630268579</v>
      </c>
      <c r="AR689">
        <v>2.4389348038611112E-3</v>
      </c>
      <c r="AS689">
        <v>54.178637537694172</v>
      </c>
      <c r="AT689">
        <v>75.767151362588038</v>
      </c>
      <c r="AU689">
        <v>2.592855797520444</v>
      </c>
      <c r="AV689">
        <v>166.19891266632209</v>
      </c>
      <c r="AW689">
        <v>133.6966056211225</v>
      </c>
      <c r="AX689">
        <v>-32.502307045199643</v>
      </c>
      <c r="AY689">
        <v>0.97764066274307171</v>
      </c>
      <c r="AZ689" t="str">
        <f>VLOOKUP(BA689,Sheet1!$A$1:$B$58,2,FALSE)</f>
        <v>Isobutyrate</v>
      </c>
      <c r="BA689" t="s">
        <v>142</v>
      </c>
      <c r="BB689" t="s">
        <v>114</v>
      </c>
      <c r="BC689">
        <v>87.095680000000002</v>
      </c>
      <c r="BD689">
        <v>4.75</v>
      </c>
      <c r="BE689">
        <v>155</v>
      </c>
      <c r="BF689" t="s">
        <v>199</v>
      </c>
      <c r="BG689">
        <v>26.20770308606571</v>
      </c>
      <c r="BH689">
        <v>1.7900302114803601E-2</v>
      </c>
      <c r="BI689">
        <v>3.3870357007105403E-2</v>
      </c>
      <c r="BJ689">
        <v>90</v>
      </c>
      <c r="BK689">
        <v>4385.8936589391697</v>
      </c>
      <c r="BL689">
        <v>-1066.23247245638</v>
      </c>
      <c r="BM689">
        <v>5.8636270986140033</v>
      </c>
      <c r="BN689">
        <v>996.81660676438059</v>
      </c>
      <c r="BO689">
        <v>3389.0770521747891</v>
      </c>
    </row>
    <row r="690" spans="1:67" x14ac:dyDescent="0.25">
      <c r="A690" s="1">
        <v>688</v>
      </c>
      <c r="B690" t="s">
        <v>180</v>
      </c>
      <c r="C690" t="s">
        <v>195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67</v>
      </c>
      <c r="J690">
        <v>1.4</v>
      </c>
      <c r="K690">
        <v>500</v>
      </c>
      <c r="L690">
        <v>100</v>
      </c>
      <c r="N690" t="s">
        <v>179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319480.69572459802</v>
      </c>
      <c r="Z690">
        <v>1597403478.6229899</v>
      </c>
      <c r="AA690">
        <v>2236364870.072186</v>
      </c>
      <c r="AB690">
        <v>2236364.870072186</v>
      </c>
      <c r="AC690">
        <v>66773.504273504266</v>
      </c>
      <c r="AD690">
        <v>16555.92026902764</v>
      </c>
      <c r="AE690">
        <v>29800656.484249759</v>
      </c>
      <c r="AF690">
        <v>29800656.484249759</v>
      </c>
      <c r="AG690">
        <v>1341.522444649489</v>
      </c>
      <c r="AH690">
        <v>1311.526891871832</v>
      </c>
      <c r="AI690">
        <v>1311.526891871832</v>
      </c>
      <c r="AJ690">
        <v>72681.858277346037</v>
      </c>
      <c r="AK690">
        <v>2170.1388888888891</v>
      </c>
      <c r="AL690" t="s">
        <v>107</v>
      </c>
      <c r="AM690">
        <v>101643.334120067</v>
      </c>
      <c r="AN690">
        <v>3478.3742481132249</v>
      </c>
      <c r="AO690">
        <v>222959.5716182114</v>
      </c>
      <c r="AP690">
        <v>179973.70553441509</v>
      </c>
      <c r="AQ690">
        <v>-42985.866083796282</v>
      </c>
      <c r="AR690">
        <v>2.438934803861112E-3</v>
      </c>
      <c r="AS690">
        <v>54.178637537694179</v>
      </c>
      <c r="AT690">
        <v>75.767151362588066</v>
      </c>
      <c r="AU690">
        <v>2.592855797520444</v>
      </c>
      <c r="AV690">
        <v>166.1989126663222</v>
      </c>
      <c r="AW690">
        <v>134.1563134125858</v>
      </c>
      <c r="AX690">
        <v>-32.04259925373637</v>
      </c>
      <c r="AY690">
        <v>0.97764066274307182</v>
      </c>
      <c r="AZ690" t="str">
        <f>VLOOKUP(BA690,Sheet1!$A$1:$B$58,2,FALSE)</f>
        <v>Isoprene</v>
      </c>
      <c r="BA690" t="s">
        <v>143</v>
      </c>
      <c r="BB690" t="s">
        <v>144</v>
      </c>
      <c r="BC690">
        <v>68.116219999999998</v>
      </c>
      <c r="BD690">
        <v>5.6</v>
      </c>
      <c r="BE690">
        <v>34.07</v>
      </c>
      <c r="BF690" t="s">
        <v>199</v>
      </c>
      <c r="BG690">
        <v>48.075957997163393</v>
      </c>
      <c r="BH690">
        <v>1.25929861849098E-2</v>
      </c>
      <c r="BI690">
        <v>1.86355435943019E-2</v>
      </c>
      <c r="BJ690">
        <v>90</v>
      </c>
      <c r="BK690">
        <v>7998.8313570851151</v>
      </c>
      <c r="BL690">
        <v>-1910.4829370576131</v>
      </c>
      <c r="BM690">
        <v>10.214126086029131</v>
      </c>
      <c r="BN690">
        <v>1736.401434624953</v>
      </c>
      <c r="BO690">
        <v>6262.4299224601627</v>
      </c>
    </row>
    <row r="691" spans="1:67" x14ac:dyDescent="0.25">
      <c r="A691" s="1">
        <v>689</v>
      </c>
      <c r="B691" t="s">
        <v>180</v>
      </c>
      <c r="C691" t="s">
        <v>195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67</v>
      </c>
      <c r="J691">
        <v>1.4</v>
      </c>
      <c r="K691">
        <v>500</v>
      </c>
      <c r="L691">
        <v>100</v>
      </c>
      <c r="N691" t="s">
        <v>179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222242.80731743961</v>
      </c>
      <c r="Z691">
        <v>1111214036.587198</v>
      </c>
      <c r="AA691">
        <v>1555699651.2220769</v>
      </c>
      <c r="AB691">
        <v>1555699.651222077</v>
      </c>
      <c r="AC691">
        <v>0</v>
      </c>
      <c r="AD691">
        <v>11516.92182830411</v>
      </c>
      <c r="AE691">
        <v>20730459.290947389</v>
      </c>
      <c r="AF691">
        <v>20730459.290947389</v>
      </c>
      <c r="AG691">
        <v>933.21354988930489</v>
      </c>
      <c r="AH691">
        <v>912.34751339459456</v>
      </c>
      <c r="AI691">
        <v>912.34751339459456</v>
      </c>
      <c r="AJ691">
        <v>50560.238664717523</v>
      </c>
      <c r="AK691">
        <v>854.70085470085473</v>
      </c>
      <c r="AL691" t="s">
        <v>69</v>
      </c>
      <c r="AM691">
        <v>70706.93228808108</v>
      </c>
      <c r="AN691">
        <v>2419.6881631551169</v>
      </c>
      <c r="AO691">
        <v>155099.07727708109</v>
      </c>
      <c r="AP691">
        <v>124541.55997065461</v>
      </c>
      <c r="AQ691">
        <v>-30557.517306426511</v>
      </c>
      <c r="AR691">
        <v>2.4389348038611112E-3</v>
      </c>
      <c r="AS691">
        <v>54.178637537694158</v>
      </c>
      <c r="AT691">
        <v>75.767151362588052</v>
      </c>
      <c r="AU691">
        <v>2.5928557975204418</v>
      </c>
      <c r="AV691">
        <v>166.1989126663222</v>
      </c>
      <c r="AW691">
        <v>133.45451315556591</v>
      </c>
      <c r="AX691">
        <v>-32.744399510756303</v>
      </c>
      <c r="AY691">
        <v>0.9776406627430716</v>
      </c>
      <c r="AZ691" t="str">
        <f>VLOOKUP(BA691,Sheet1!$A$1:$B$58,2,FALSE)</f>
        <v>Isopropanol</v>
      </c>
      <c r="BA691" t="s">
        <v>145</v>
      </c>
      <c r="BB691" t="s">
        <v>79</v>
      </c>
      <c r="BC691">
        <v>60.093820000000001</v>
      </c>
      <c r="BD691">
        <v>6</v>
      </c>
      <c r="BE691">
        <v>82.5</v>
      </c>
      <c r="BF691" t="s">
        <v>199</v>
      </c>
      <c r="BG691">
        <v>33.493646089407441</v>
      </c>
      <c r="BH691">
        <v>2.051948051948E-2</v>
      </c>
      <c r="BI691">
        <v>2.6789152389574099E-2</v>
      </c>
      <c r="BJ691">
        <v>90</v>
      </c>
      <c r="BK691">
        <v>5535.1804431402024</v>
      </c>
      <c r="BL691">
        <v>-1358.111880285622</v>
      </c>
      <c r="BM691">
        <v>7.0551322836856576</v>
      </c>
      <c r="BN691">
        <v>1199.3724882265619</v>
      </c>
      <c r="BO691">
        <v>4335.8079549136401</v>
      </c>
    </row>
    <row r="692" spans="1:67" x14ac:dyDescent="0.25">
      <c r="A692" s="1">
        <v>690</v>
      </c>
      <c r="B692" t="s">
        <v>180</v>
      </c>
      <c r="C692" t="s">
        <v>195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67</v>
      </c>
      <c r="J692">
        <v>1.4</v>
      </c>
      <c r="K692">
        <v>500</v>
      </c>
      <c r="L692">
        <v>100</v>
      </c>
      <c r="N692" t="s">
        <v>179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110592.9379945821</v>
      </c>
      <c r="Z692">
        <v>552964689.97291052</v>
      </c>
      <c r="AA692">
        <v>774150565.96207464</v>
      </c>
      <c r="AB692">
        <v>774150.56596207467</v>
      </c>
      <c r="AC692">
        <v>0</v>
      </c>
      <c r="AD692">
        <v>5731.0751111365089</v>
      </c>
      <c r="AE692">
        <v>10315935.20004572</v>
      </c>
      <c r="AF692">
        <v>10315935.20004572</v>
      </c>
      <c r="AG692">
        <v>464.38770957026588</v>
      </c>
      <c r="AH692">
        <v>454.00430815401188</v>
      </c>
      <c r="AI692">
        <v>454.00430815401188</v>
      </c>
      <c r="AJ692">
        <v>25159.89339376743</v>
      </c>
      <c r="AK692">
        <v>854.70085470085473</v>
      </c>
      <c r="AL692" t="s">
        <v>69</v>
      </c>
      <c r="AM692">
        <v>35185.333881935927</v>
      </c>
      <c r="AN692">
        <v>1204.090365056504</v>
      </c>
      <c r="AO692">
        <v>77180.732386182033</v>
      </c>
      <c r="AP692">
        <v>62404.018495460703</v>
      </c>
      <c r="AQ692">
        <v>-14776.71389072133</v>
      </c>
      <c r="AR692">
        <v>2.4389348038611112E-3</v>
      </c>
      <c r="AS692">
        <v>54.178637537694158</v>
      </c>
      <c r="AT692">
        <v>75.767151362588066</v>
      </c>
      <c r="AU692">
        <v>2.592855797520444</v>
      </c>
      <c r="AV692">
        <v>166.1989126663222</v>
      </c>
      <c r="AW692">
        <v>134.37913452362471</v>
      </c>
      <c r="AX692">
        <v>-31.81977814269754</v>
      </c>
      <c r="AY692">
        <v>0.97764066274307182</v>
      </c>
      <c r="AZ692" t="str">
        <f>VLOOKUP(BA692,Sheet1!$A$1:$B$58,2,FALSE)</f>
        <v>Itaconate</v>
      </c>
      <c r="BA692" t="s">
        <v>146</v>
      </c>
      <c r="BB692" t="s">
        <v>147</v>
      </c>
      <c r="BC692">
        <v>128.08086</v>
      </c>
      <c r="BD692">
        <v>3.2</v>
      </c>
      <c r="BE692">
        <v>381</v>
      </c>
      <c r="BF692" t="s">
        <v>199</v>
      </c>
      <c r="BG692">
        <v>16.042431952851182</v>
      </c>
      <c r="BH692">
        <v>1.9346938775510199E-2</v>
      </c>
      <c r="BI692">
        <v>5.3834327405293397E-2</v>
      </c>
      <c r="BJ692">
        <v>90</v>
      </c>
      <c r="BK692">
        <v>2773.5119331315868</v>
      </c>
      <c r="BL692">
        <v>-656.74283958761441</v>
      </c>
      <c r="BM692">
        <v>4.1355372984382406</v>
      </c>
      <c r="BN692">
        <v>703.04134073450086</v>
      </c>
      <c r="BO692">
        <v>2070.470592397086</v>
      </c>
    </row>
    <row r="693" spans="1:67" x14ac:dyDescent="0.25">
      <c r="A693" s="1">
        <v>691</v>
      </c>
      <c r="B693" t="s">
        <v>180</v>
      </c>
      <c r="C693" t="s">
        <v>195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67</v>
      </c>
      <c r="J693">
        <v>1.4</v>
      </c>
      <c r="K693">
        <v>500</v>
      </c>
      <c r="L693">
        <v>100</v>
      </c>
      <c r="N693" t="s">
        <v>179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319056.3058524974</v>
      </c>
      <c r="Z693">
        <v>1595281529.2624869</v>
      </c>
      <c r="AA693">
        <v>2233394140.9674821</v>
      </c>
      <c r="AB693">
        <v>2233394.1409674818</v>
      </c>
      <c r="AC693">
        <v>0</v>
      </c>
      <c r="AD693">
        <v>16533.9278138355</v>
      </c>
      <c r="AE693">
        <v>29761070.0649039</v>
      </c>
      <c r="AF693">
        <v>29761070.0649039</v>
      </c>
      <c r="AG693">
        <v>1339.7404010195489</v>
      </c>
      <c r="AH693">
        <v>1309.7846935564201</v>
      </c>
      <c r="AI693">
        <v>1309.7846935564201</v>
      </c>
      <c r="AJ693">
        <v>72585.309581443158</v>
      </c>
      <c r="AK693">
        <v>854.70085470085473</v>
      </c>
      <c r="AL693" t="s">
        <v>69</v>
      </c>
      <c r="AM693">
        <v>101508.3137506226</v>
      </c>
      <c r="AN693">
        <v>3473.7536659559</v>
      </c>
      <c r="AO693">
        <v>222663.39790459149</v>
      </c>
      <c r="AP693">
        <v>178422.07785272249</v>
      </c>
      <c r="AQ693">
        <v>-44241.32005186897</v>
      </c>
      <c r="AR693">
        <v>2.4389348038611112E-3</v>
      </c>
      <c r="AS693">
        <v>54.178637537694158</v>
      </c>
      <c r="AT693">
        <v>75.767151362588052</v>
      </c>
      <c r="AU693">
        <v>2.5928557975204432</v>
      </c>
      <c r="AV693">
        <v>166.1989126663222</v>
      </c>
      <c r="AW693">
        <v>133.1766047489069</v>
      </c>
      <c r="AX693">
        <v>-33.022307917415283</v>
      </c>
      <c r="AY693">
        <v>0.9776406627430716</v>
      </c>
      <c r="AZ693" t="str">
        <f>VLOOKUP(BA693,Sheet1!$A$1:$B$58,2,FALSE)</f>
        <v>Limonene</v>
      </c>
      <c r="BA693" t="s">
        <v>148</v>
      </c>
      <c r="BB693" t="s">
        <v>149</v>
      </c>
      <c r="BC693">
        <v>136.23244</v>
      </c>
      <c r="BD693">
        <v>5.6</v>
      </c>
      <c r="BE693">
        <v>176</v>
      </c>
      <c r="BF693" t="s">
        <v>199</v>
      </c>
      <c r="BG693">
        <v>48.007803817979493</v>
      </c>
      <c r="BH693">
        <v>6.3048683160413996E-3</v>
      </c>
      <c r="BI693">
        <v>1.86603314947992E-2</v>
      </c>
      <c r="BJ693">
        <v>90</v>
      </c>
      <c r="BK693">
        <v>7929.8701267876659</v>
      </c>
      <c r="BL693">
        <v>-1966.2808911941761</v>
      </c>
      <c r="BM693">
        <v>10.204849228972529</v>
      </c>
      <c r="BN693">
        <v>1734.8243689253311</v>
      </c>
      <c r="BO693">
        <v>6195.0457578623354</v>
      </c>
    </row>
    <row r="694" spans="1:67" x14ac:dyDescent="0.25">
      <c r="A694" s="1">
        <v>692</v>
      </c>
      <c r="B694" t="s">
        <v>180</v>
      </c>
      <c r="C694" t="s">
        <v>195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67</v>
      </c>
      <c r="J694">
        <v>1.4</v>
      </c>
      <c r="K694">
        <v>500</v>
      </c>
      <c r="L694">
        <v>100</v>
      </c>
      <c r="N694" t="s">
        <v>179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156329.47568209321</v>
      </c>
      <c r="Z694">
        <v>781647378.41046619</v>
      </c>
      <c r="AA694">
        <v>1094306329.774653</v>
      </c>
      <c r="AB694">
        <v>1094306.3297746531</v>
      </c>
      <c r="AC694">
        <v>0</v>
      </c>
      <c r="AD694">
        <v>8101.2041407432016</v>
      </c>
      <c r="AE694">
        <v>14582167.453337761</v>
      </c>
      <c r="AF694">
        <v>14582167.453337761</v>
      </c>
      <c r="AG694">
        <v>656.43872444987755</v>
      </c>
      <c r="AH694">
        <v>641.76118962139492</v>
      </c>
      <c r="AI694">
        <v>641.76118962139492</v>
      </c>
      <c r="AJ694">
        <v>35564.95571767621</v>
      </c>
      <c r="AK694">
        <v>854.70085470085473</v>
      </c>
      <c r="AL694" t="s">
        <v>69</v>
      </c>
      <c r="AM694">
        <v>49736.492195658109</v>
      </c>
      <c r="AN694">
        <v>1702.05095240679</v>
      </c>
      <c r="AO694">
        <v>109099.4022356371</v>
      </c>
      <c r="AP694">
        <v>87858.199720441975</v>
      </c>
      <c r="AQ694">
        <v>-21241.202515195171</v>
      </c>
      <c r="AR694">
        <v>2.4389348038611112E-3</v>
      </c>
      <c r="AS694">
        <v>54.178637537694158</v>
      </c>
      <c r="AT694">
        <v>75.767151362588066</v>
      </c>
      <c r="AU694">
        <v>2.592855797520444</v>
      </c>
      <c r="AV694">
        <v>166.1989126663222</v>
      </c>
      <c r="AW694">
        <v>133.84067156316951</v>
      </c>
      <c r="AX694">
        <v>-32.358241103152693</v>
      </c>
      <c r="AY694">
        <v>0.97764066274307171</v>
      </c>
      <c r="AZ694" t="str">
        <f>VLOOKUP(BA694,Sheet1!$A$1:$B$58,2,FALSE)</f>
        <v>L-Lysine</v>
      </c>
      <c r="BA694" t="s">
        <v>150</v>
      </c>
      <c r="BB694" t="s">
        <v>151</v>
      </c>
      <c r="BC694">
        <v>147.19319999999999</v>
      </c>
      <c r="BD694">
        <v>4.833333333333333</v>
      </c>
      <c r="BF694" t="s">
        <v>199</v>
      </c>
      <c r="BG694">
        <v>23.311501009419871</v>
      </c>
      <c r="BH694">
        <v>1.19095477386935E-2</v>
      </c>
      <c r="BI694">
        <v>3.8084285811978903E-2</v>
      </c>
      <c r="BJ694">
        <v>90</v>
      </c>
      <c r="BK694">
        <v>3904.8088764640879</v>
      </c>
      <c r="BL694">
        <v>-944.05344511978456</v>
      </c>
      <c r="BM694">
        <v>5.2112185293087947</v>
      </c>
      <c r="BN694">
        <v>885.90714998249507</v>
      </c>
      <c r="BO694">
        <v>3018.901726481593</v>
      </c>
    </row>
    <row r="695" spans="1:67" x14ac:dyDescent="0.25">
      <c r="A695" s="1">
        <v>693</v>
      </c>
      <c r="B695" t="s">
        <v>180</v>
      </c>
      <c r="C695" t="s">
        <v>195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67</v>
      </c>
      <c r="J695">
        <v>1.4</v>
      </c>
      <c r="K695">
        <v>500</v>
      </c>
      <c r="L695">
        <v>100</v>
      </c>
      <c r="N695" t="s">
        <v>179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75208.562893317881</v>
      </c>
      <c r="Z695">
        <v>376042814.46658939</v>
      </c>
      <c r="AA695">
        <v>526459940.25322509</v>
      </c>
      <c r="AB695">
        <v>526459.94025322504</v>
      </c>
      <c r="AC695">
        <v>0</v>
      </c>
      <c r="AD695">
        <v>3897.4091000580402</v>
      </c>
      <c r="AE695">
        <v>7015336.3801044719</v>
      </c>
      <c r="AF695">
        <v>7015336.3801044719</v>
      </c>
      <c r="AG695">
        <v>315.80617076842822</v>
      </c>
      <c r="AH695">
        <v>308.74495408839778</v>
      </c>
      <c r="AI695">
        <v>308.74495408839778</v>
      </c>
      <c r="AJ695">
        <v>17109.948058229809</v>
      </c>
      <c r="AK695">
        <v>854.70085470085473</v>
      </c>
      <c r="AL695" t="s">
        <v>69</v>
      </c>
      <c r="AM695">
        <v>23927.733941850831</v>
      </c>
      <c r="AN695">
        <v>818.83986076965027</v>
      </c>
      <c r="AO695">
        <v>52486.642195027627</v>
      </c>
      <c r="AP695">
        <v>42711.22271555115</v>
      </c>
      <c r="AQ695">
        <v>-9775.4194794764844</v>
      </c>
      <c r="AR695">
        <v>2.4389348038611099E-3</v>
      </c>
      <c r="AS695">
        <v>54.178637537694158</v>
      </c>
      <c r="AT695">
        <v>75.767151362588066</v>
      </c>
      <c r="AU695">
        <v>2.592855797520444</v>
      </c>
      <c r="AV695">
        <v>166.1989126663222</v>
      </c>
      <c r="AW695">
        <v>135.24505430538309</v>
      </c>
      <c r="AX695">
        <v>-30.95385836093914</v>
      </c>
      <c r="AY695">
        <v>0.97764066274307182</v>
      </c>
      <c r="AZ695" t="str">
        <f>VLOOKUP(BA695,Sheet1!$A$1:$B$58,2,FALSE)</f>
        <v>L-Malate</v>
      </c>
      <c r="BA695" t="s">
        <v>152</v>
      </c>
      <c r="BB695" t="s">
        <v>153</v>
      </c>
      <c r="BC695">
        <v>132.06916000000001</v>
      </c>
      <c r="BD695">
        <v>2.5</v>
      </c>
      <c r="BF695" t="s">
        <v>199</v>
      </c>
      <c r="BG695">
        <v>10.74505493748009</v>
      </c>
      <c r="BH695">
        <v>2.7590221187426999E-2</v>
      </c>
      <c r="BI695">
        <v>7.9162481021727099E-2</v>
      </c>
      <c r="BJ695">
        <v>90</v>
      </c>
      <c r="BK695">
        <v>1898.2765651356069</v>
      </c>
      <c r="BL695">
        <v>-434.46308797673248</v>
      </c>
      <c r="BM695">
        <v>2.9769430220042579</v>
      </c>
      <c r="BN695">
        <v>506.08031374072391</v>
      </c>
      <c r="BO695">
        <v>1392.1962513948829</v>
      </c>
    </row>
    <row r="696" spans="1:67" x14ac:dyDescent="0.25">
      <c r="A696" s="1">
        <v>694</v>
      </c>
      <c r="B696" t="s">
        <v>180</v>
      </c>
      <c r="C696" t="s">
        <v>195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67</v>
      </c>
      <c r="J696">
        <v>1.4</v>
      </c>
      <c r="K696">
        <v>500</v>
      </c>
      <c r="L696">
        <v>100</v>
      </c>
      <c r="N696" t="s">
        <v>179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63796.580183785249</v>
      </c>
      <c r="Z696">
        <v>318982900.91892618</v>
      </c>
      <c r="AA696">
        <v>446576061.2864967</v>
      </c>
      <c r="AB696">
        <v>446576.0612864967</v>
      </c>
      <c r="AC696">
        <v>0</v>
      </c>
      <c r="AD696">
        <v>3306.0247742475922</v>
      </c>
      <c r="AE696">
        <v>5950844.5936456658</v>
      </c>
      <c r="AF696">
        <v>5950844.5936456658</v>
      </c>
      <c r="AG696">
        <v>267.88643368363392</v>
      </c>
      <c r="AH696">
        <v>261.89667056634568</v>
      </c>
      <c r="AI696">
        <v>261.89667056634568</v>
      </c>
      <c r="AJ696">
        <v>14513.72199181114</v>
      </c>
      <c r="AK696">
        <v>854.70085470085473</v>
      </c>
      <c r="AL696" t="s">
        <v>69</v>
      </c>
      <c r="AM696">
        <v>20296.991968891791</v>
      </c>
      <c r="AN696">
        <v>694.59089265368584</v>
      </c>
      <c r="AO696">
        <v>44522.433996278778</v>
      </c>
      <c r="AP696">
        <v>36360.005708057477</v>
      </c>
      <c r="AQ696">
        <v>-8162.428288221301</v>
      </c>
      <c r="AR696">
        <v>2.4389348038611112E-3</v>
      </c>
      <c r="AS696">
        <v>54.178637537694158</v>
      </c>
      <c r="AT696">
        <v>75.767151362588052</v>
      </c>
      <c r="AU696">
        <v>2.592855797520444</v>
      </c>
      <c r="AV696">
        <v>166.1989126663222</v>
      </c>
      <c r="AW696">
        <v>135.72917899604269</v>
      </c>
      <c r="AX696">
        <v>-30.469733670279449</v>
      </c>
      <c r="AY696">
        <v>0.97764066274307171</v>
      </c>
      <c r="AZ696" t="str">
        <f>VLOOKUP(BA696,Sheet1!$A$1:$B$58,2,FALSE)</f>
        <v>Malonate</v>
      </c>
      <c r="BA696" t="s">
        <v>154</v>
      </c>
      <c r="BB696" t="s">
        <v>155</v>
      </c>
      <c r="BC696">
        <v>102.04378</v>
      </c>
      <c r="BD696">
        <v>2</v>
      </c>
      <c r="BE696">
        <v>199</v>
      </c>
      <c r="BF696" t="s">
        <v>199</v>
      </c>
      <c r="BG696">
        <v>8.9514482926167549</v>
      </c>
      <c r="BH696">
        <v>4.2095914742451397E-2</v>
      </c>
      <c r="BI696">
        <v>9.3323128223522803E-2</v>
      </c>
      <c r="BJ696">
        <v>90</v>
      </c>
      <c r="BK696">
        <v>1616.000253691443</v>
      </c>
      <c r="BL696">
        <v>-362.77459058761337</v>
      </c>
      <c r="BM696">
        <v>2.6884037325541659</v>
      </c>
      <c r="BN696">
        <v>457.02863453420821</v>
      </c>
      <c r="BO696">
        <v>1158.971619157235</v>
      </c>
    </row>
    <row r="697" spans="1:67" x14ac:dyDescent="0.25">
      <c r="A697" s="1">
        <v>695</v>
      </c>
      <c r="B697" t="s">
        <v>180</v>
      </c>
      <c r="C697" t="s">
        <v>195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67</v>
      </c>
      <c r="J697">
        <v>1.4</v>
      </c>
      <c r="K697">
        <v>500</v>
      </c>
      <c r="L697">
        <v>100</v>
      </c>
      <c r="N697" t="s">
        <v>179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345578.32073412993</v>
      </c>
      <c r="Z697">
        <v>1727891603.67065</v>
      </c>
      <c r="AA697">
        <v>2419048245.1389089</v>
      </c>
      <c r="AB697">
        <v>2419048.2451389092</v>
      </c>
      <c r="AC697">
        <v>0</v>
      </c>
      <c r="AD697">
        <v>17908.334373074951</v>
      </c>
      <c r="AE697">
        <v>32235001.871534921</v>
      </c>
      <c r="AF697">
        <v>32235001.871534921</v>
      </c>
      <c r="AG697">
        <v>1451.108251150026</v>
      </c>
      <c r="AH697">
        <v>1418.662432366252</v>
      </c>
      <c r="AI697">
        <v>1418.662432366252</v>
      </c>
      <c r="AJ697">
        <v>78619.067967014547</v>
      </c>
      <c r="AK697">
        <v>854.70085470085473</v>
      </c>
      <c r="AL697" t="s">
        <v>69</v>
      </c>
      <c r="AM697">
        <v>109946.33850838451</v>
      </c>
      <c r="AN697">
        <v>3762.514441824097</v>
      </c>
      <c r="AO697">
        <v>241172.6135022628</v>
      </c>
      <c r="AP697">
        <v>193182.62177192399</v>
      </c>
      <c r="AQ697">
        <v>-47989.991730338807</v>
      </c>
      <c r="AR697">
        <v>2.4389348038611099E-3</v>
      </c>
      <c r="AS697">
        <v>54.178637537694158</v>
      </c>
      <c r="AT697">
        <v>75.767151362588052</v>
      </c>
      <c r="AU697">
        <v>2.5928557975204432</v>
      </c>
      <c r="AV697">
        <v>166.1989126663222</v>
      </c>
      <c r="AW697">
        <v>133.12764338485681</v>
      </c>
      <c r="AX697">
        <v>-33.071269281465362</v>
      </c>
      <c r="AY697">
        <v>0.97764066274307182</v>
      </c>
      <c r="AZ697" t="str">
        <f>VLOOKUP(BA697,Sheet1!$A$1:$B$58,2,FALSE)</f>
        <v>Nonane</v>
      </c>
      <c r="BA697" t="s">
        <v>156</v>
      </c>
      <c r="BB697" t="s">
        <v>157</v>
      </c>
      <c r="BC697">
        <v>128.25309999999999</v>
      </c>
      <c r="BD697">
        <v>6.2222222222222223</v>
      </c>
      <c r="BE697">
        <v>151</v>
      </c>
      <c r="BF697" t="s">
        <v>199</v>
      </c>
      <c r="BG697">
        <v>52.409223972270091</v>
      </c>
      <c r="BH697">
        <v>6.1831463605531104E-3</v>
      </c>
      <c r="BI697">
        <v>1.7228211596334801E-2</v>
      </c>
      <c r="BJ697">
        <v>90</v>
      </c>
      <c r="BK697">
        <v>8585.894300974398</v>
      </c>
      <c r="BL697">
        <v>-2132.8885213483909</v>
      </c>
      <c r="BM697">
        <v>10.64243968845221</v>
      </c>
      <c r="BN697">
        <v>1809.2147470368759</v>
      </c>
      <c r="BO697">
        <v>6776.6795539375216</v>
      </c>
    </row>
    <row r="698" spans="1:67" x14ac:dyDescent="0.25">
      <c r="A698" s="1">
        <v>696</v>
      </c>
      <c r="B698" t="s">
        <v>180</v>
      </c>
      <c r="C698" t="s">
        <v>195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67</v>
      </c>
      <c r="J698">
        <v>1.4</v>
      </c>
      <c r="K698">
        <v>500</v>
      </c>
      <c r="L698">
        <v>100</v>
      </c>
      <c r="N698" t="s">
        <v>179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343877.20049877762</v>
      </c>
      <c r="Z698">
        <v>1719386002.4938879</v>
      </c>
      <c r="AA698">
        <v>2407140403.4914432</v>
      </c>
      <c r="AB698">
        <v>2407140.403491443</v>
      </c>
      <c r="AC698">
        <v>0</v>
      </c>
      <c r="AD698">
        <v>17820.1800296</v>
      </c>
      <c r="AE698">
        <v>32076324.05328</v>
      </c>
      <c r="AF698">
        <v>32076324.05328</v>
      </c>
      <c r="AG698">
        <v>1443.9651247974409</v>
      </c>
      <c r="AH698">
        <v>1411.679021584853</v>
      </c>
      <c r="AI698">
        <v>1411.679021584853</v>
      </c>
      <c r="AJ698">
        <v>78232.063113471886</v>
      </c>
      <c r="AK698">
        <v>854.70085470085473</v>
      </c>
      <c r="AL698" t="s">
        <v>69</v>
      </c>
      <c r="AM698">
        <v>109405.12417282609</v>
      </c>
      <c r="AN698">
        <v>3743.993345248376</v>
      </c>
      <c r="AO698">
        <v>239985.43366942491</v>
      </c>
      <c r="AP698">
        <v>192235.88148624721</v>
      </c>
      <c r="AQ698">
        <v>-47749.552183177759</v>
      </c>
      <c r="AR698">
        <v>2.4389348038611112E-3</v>
      </c>
      <c r="AS698">
        <v>54.178637537694158</v>
      </c>
      <c r="AT698">
        <v>75.767151362588038</v>
      </c>
      <c r="AU698">
        <v>2.592855797520444</v>
      </c>
      <c r="AV698">
        <v>166.1989126663222</v>
      </c>
      <c r="AW698">
        <v>133.1305570923771</v>
      </c>
      <c r="AX698">
        <v>-33.06835557394507</v>
      </c>
      <c r="AY698">
        <v>0.97764066274307171</v>
      </c>
      <c r="AZ698" t="str">
        <f>VLOOKUP(BA698,Sheet1!$A$1:$B$58,2,FALSE)</f>
        <v>Octane</v>
      </c>
      <c r="BA698" t="s">
        <v>158</v>
      </c>
      <c r="BB698" t="s">
        <v>159</v>
      </c>
      <c r="BC698">
        <v>114.22672</v>
      </c>
      <c r="BD698">
        <v>6.25</v>
      </c>
      <c r="BE698">
        <v>126</v>
      </c>
      <c r="BF698" t="s">
        <v>199</v>
      </c>
      <c r="BG698">
        <v>52.142090747244431</v>
      </c>
      <c r="BH698">
        <v>6.97674418604641E-3</v>
      </c>
      <c r="BI698">
        <v>1.7313437541302799E-2</v>
      </c>
      <c r="BJ698">
        <v>90</v>
      </c>
      <c r="BK698">
        <v>8543.8169549443191</v>
      </c>
      <c r="BL698">
        <v>-2122.2023192523438</v>
      </c>
      <c r="BM698">
        <v>10.599199100971241</v>
      </c>
      <c r="BN698">
        <v>1801.8638471651111</v>
      </c>
      <c r="BO698">
        <v>6741.953107779208</v>
      </c>
    </row>
    <row r="699" spans="1:67" x14ac:dyDescent="0.25">
      <c r="A699" s="1">
        <v>697</v>
      </c>
      <c r="B699" t="s">
        <v>180</v>
      </c>
      <c r="C699" t="s">
        <v>195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67</v>
      </c>
      <c r="J699">
        <v>1.4</v>
      </c>
      <c r="K699">
        <v>500</v>
      </c>
      <c r="L699">
        <v>100</v>
      </c>
      <c r="N699" t="s">
        <v>179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358044.44678624353</v>
      </c>
      <c r="Z699">
        <v>1790222233.9312179</v>
      </c>
      <c r="AA699">
        <v>2506311127.503705</v>
      </c>
      <c r="AB699">
        <v>2506311.1275037052</v>
      </c>
      <c r="AC699">
        <v>66773.504273504266</v>
      </c>
      <c r="AD699">
        <v>18554.34582773998</v>
      </c>
      <c r="AE699">
        <v>33397822.48993196</v>
      </c>
      <c r="AF699">
        <v>33397822.48993196</v>
      </c>
      <c r="AG699">
        <v>1503.454412030922</v>
      </c>
      <c r="AH699">
        <v>1469.838167781905</v>
      </c>
      <c r="AI699">
        <v>1469.838167781905</v>
      </c>
      <c r="AJ699">
        <v>81455.111643870405</v>
      </c>
      <c r="AK699">
        <v>2170.1388888888891</v>
      </c>
      <c r="AL699" t="s">
        <v>107</v>
      </c>
      <c r="AM699">
        <v>113912.45800309769</v>
      </c>
      <c r="AN699">
        <v>3898.2404885420642</v>
      </c>
      <c r="AO699">
        <v>249872.4885229239</v>
      </c>
      <c r="AP699">
        <v>201435.94902439899</v>
      </c>
      <c r="AQ699">
        <v>-48436.539498524908</v>
      </c>
      <c r="AR699">
        <v>2.4389348038611112E-3</v>
      </c>
      <c r="AS699">
        <v>54.178637537694172</v>
      </c>
      <c r="AT699">
        <v>75.767151362588066</v>
      </c>
      <c r="AU699">
        <v>2.592855797520444</v>
      </c>
      <c r="AV699">
        <v>166.1989126663222</v>
      </c>
      <c r="AW699">
        <v>133.9820798106488</v>
      </c>
      <c r="AX699">
        <v>-32.216832855673402</v>
      </c>
      <c r="AY699">
        <v>0.97764066274307182</v>
      </c>
      <c r="AZ699" t="str">
        <f>VLOOKUP(BA699,Sheet1!$A$1:$B$58,2,FALSE)</f>
        <v>Pentane</v>
      </c>
      <c r="BA699" t="s">
        <v>160</v>
      </c>
      <c r="BB699" t="s">
        <v>161</v>
      </c>
      <c r="BC699">
        <v>72.147580000000005</v>
      </c>
      <c r="BD699">
        <v>6.4</v>
      </c>
      <c r="BE699">
        <v>36.1</v>
      </c>
      <c r="BF699" t="s">
        <v>199</v>
      </c>
      <c r="BG699">
        <v>54.449548613507687</v>
      </c>
      <c r="BH699">
        <v>1.0608773500447701E-2</v>
      </c>
      <c r="BI699">
        <v>1.6628372499987599E-2</v>
      </c>
      <c r="BJ699">
        <v>90</v>
      </c>
      <c r="BK699">
        <v>8952.7088455288467</v>
      </c>
      <c r="BL699">
        <v>-2152.73508882333</v>
      </c>
      <c r="BM699">
        <v>10.87659217679921</v>
      </c>
      <c r="BN699">
        <v>1849.020670055866</v>
      </c>
      <c r="BO699">
        <v>7103.6881754729802</v>
      </c>
    </row>
    <row r="700" spans="1:67" x14ac:dyDescent="0.25">
      <c r="A700" s="1">
        <v>698</v>
      </c>
      <c r="B700" t="s">
        <v>180</v>
      </c>
      <c r="C700" t="s">
        <v>195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67</v>
      </c>
      <c r="J700">
        <v>1.4</v>
      </c>
      <c r="K700">
        <v>500</v>
      </c>
      <c r="L700">
        <v>100</v>
      </c>
      <c r="N700" t="s">
        <v>179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260656.12958887621</v>
      </c>
      <c r="Z700">
        <v>1303280647.944381</v>
      </c>
      <c r="AA700">
        <v>1824592907.122134</v>
      </c>
      <c r="AB700">
        <v>1824592.907122134</v>
      </c>
      <c r="AC700">
        <v>0</v>
      </c>
      <c r="AD700">
        <v>13507.55196435023</v>
      </c>
      <c r="AE700">
        <v>24313593.53583042</v>
      </c>
      <c r="AF700">
        <v>24313593.53583042</v>
      </c>
      <c r="AG700">
        <v>1094.513855949451</v>
      </c>
      <c r="AH700">
        <v>1070.0412515118969</v>
      </c>
      <c r="AI700">
        <v>1070.0412515118969</v>
      </c>
      <c r="AJ700">
        <v>59299.269481469353</v>
      </c>
      <c r="AK700">
        <v>854.70085470085473</v>
      </c>
      <c r="AL700" t="s">
        <v>69</v>
      </c>
      <c r="AM700">
        <v>82928.196992172016</v>
      </c>
      <c r="AN700">
        <v>2837.9165968649909</v>
      </c>
      <c r="AO700">
        <v>181907.01275702249</v>
      </c>
      <c r="AP700">
        <v>145920.0839252072</v>
      </c>
      <c r="AQ700">
        <v>-35986.928831815283</v>
      </c>
      <c r="AR700">
        <v>2.4389348038611112E-3</v>
      </c>
      <c r="AS700">
        <v>54.178637537694172</v>
      </c>
      <c r="AT700">
        <v>75.767151362588081</v>
      </c>
      <c r="AU700">
        <v>2.592855797520444</v>
      </c>
      <c r="AV700">
        <v>166.1989126663222</v>
      </c>
      <c r="AW700">
        <v>133.3195401154851</v>
      </c>
      <c r="AX700">
        <v>-32.879372550837097</v>
      </c>
      <c r="AY700">
        <v>0.97764066274307193</v>
      </c>
      <c r="AZ700" t="str">
        <f>VLOOKUP(BA700,Sheet1!$A$1:$B$58,2,FALSE)</f>
        <v>Pentanol (PW1)</v>
      </c>
      <c r="BA700" t="s">
        <v>162</v>
      </c>
      <c r="BB700" t="s">
        <v>83</v>
      </c>
      <c r="BC700">
        <v>88.14658</v>
      </c>
      <c r="BD700">
        <v>6</v>
      </c>
      <c r="BE700">
        <v>138</v>
      </c>
      <c r="BF700" t="s">
        <v>199</v>
      </c>
      <c r="BG700">
        <v>39.363223670206807</v>
      </c>
      <c r="BH700">
        <v>1.19275289380977E-2</v>
      </c>
      <c r="BI700">
        <v>2.28411909672111E-2</v>
      </c>
      <c r="BJ700">
        <v>90</v>
      </c>
      <c r="BK700">
        <v>6485.337063342542</v>
      </c>
      <c r="BL700">
        <v>-1599.41905919179</v>
      </c>
      <c r="BM700">
        <v>8.1941652858774887</v>
      </c>
      <c r="BN700">
        <v>1393.0080985991731</v>
      </c>
      <c r="BO700">
        <v>5092.3289647433676</v>
      </c>
    </row>
    <row r="701" spans="1:67" x14ac:dyDescent="0.25">
      <c r="A701" s="1">
        <v>699</v>
      </c>
      <c r="B701" t="s">
        <v>180</v>
      </c>
      <c r="C701" t="s">
        <v>195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67</v>
      </c>
      <c r="J701">
        <v>1.4</v>
      </c>
      <c r="K701">
        <v>500</v>
      </c>
      <c r="L701">
        <v>100</v>
      </c>
      <c r="N701" t="s">
        <v>179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270625.86579861777</v>
      </c>
      <c r="Z701">
        <v>1353129328.993089</v>
      </c>
      <c r="AA701">
        <v>1894381060.5903239</v>
      </c>
      <c r="AB701">
        <v>1894381.060590324</v>
      </c>
      <c r="AC701">
        <v>0</v>
      </c>
      <c r="AD701">
        <v>14024.197132589141</v>
      </c>
      <c r="AE701">
        <v>25243554.83866046</v>
      </c>
      <c r="AF701">
        <v>25243554.83866046</v>
      </c>
      <c r="AG701">
        <v>1136.3774961367519</v>
      </c>
      <c r="AH701">
        <v>1110.9688484494461</v>
      </c>
      <c r="AI701">
        <v>1110.9688484494461</v>
      </c>
      <c r="AJ701">
        <v>61567.384469185541</v>
      </c>
      <c r="AK701">
        <v>854.70085470085473</v>
      </c>
      <c r="AL701" t="s">
        <v>69</v>
      </c>
      <c r="AM701">
        <v>86100.085754832093</v>
      </c>
      <c r="AN701">
        <v>2946.4629790299432</v>
      </c>
      <c r="AO701">
        <v>188864.7042364059</v>
      </c>
      <c r="AP701">
        <v>151468.63405774839</v>
      </c>
      <c r="AQ701">
        <v>-37396.07017865745</v>
      </c>
      <c r="AR701">
        <v>2.4389348038611112E-3</v>
      </c>
      <c r="AS701">
        <v>54.178637537694172</v>
      </c>
      <c r="AT701">
        <v>75.767151362588038</v>
      </c>
      <c r="AU701">
        <v>2.592855797520444</v>
      </c>
      <c r="AV701">
        <v>166.19891266632209</v>
      </c>
      <c r="AW701">
        <v>133.29077227653991</v>
      </c>
      <c r="AX701">
        <v>-32.908140389782233</v>
      </c>
      <c r="AY701">
        <v>0.97764066274307149</v>
      </c>
      <c r="AZ701" t="str">
        <f>VLOOKUP(BA701,Sheet1!$A$1:$B$58,2,FALSE)</f>
        <v>Pentanol (PW2)</v>
      </c>
      <c r="BA701" t="s">
        <v>163</v>
      </c>
      <c r="BB701" t="s">
        <v>83</v>
      </c>
      <c r="BC701">
        <v>88.14658</v>
      </c>
      <c r="BD701">
        <v>6</v>
      </c>
      <c r="BE701">
        <v>138</v>
      </c>
      <c r="BF701" t="s">
        <v>199</v>
      </c>
      <c r="BG701">
        <v>40.964296722888797</v>
      </c>
      <c r="BH701">
        <v>1.14881240911294E-2</v>
      </c>
      <c r="BI701">
        <v>2.1999731678065099E-2</v>
      </c>
      <c r="BJ701">
        <v>90</v>
      </c>
      <c r="BK701">
        <v>6731.9392914554846</v>
      </c>
      <c r="BL701">
        <v>-1662.0475634958871</v>
      </c>
      <c r="BM701">
        <v>8.412096541531028</v>
      </c>
      <c r="BN701">
        <v>1430.0564120602751</v>
      </c>
      <c r="BO701">
        <v>5301.8828793952098</v>
      </c>
    </row>
    <row r="702" spans="1:67" x14ac:dyDescent="0.25">
      <c r="A702" s="1">
        <v>700</v>
      </c>
      <c r="B702" t="s">
        <v>180</v>
      </c>
      <c r="C702" t="s">
        <v>195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67</v>
      </c>
      <c r="J702">
        <v>1.4</v>
      </c>
      <c r="K702">
        <v>500</v>
      </c>
      <c r="L702">
        <v>100</v>
      </c>
      <c r="N702" t="s">
        <v>179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252493.66552698959</v>
      </c>
      <c r="Z702">
        <v>1262468327.634948</v>
      </c>
      <c r="AA702">
        <v>1767455658.6889269</v>
      </c>
      <c r="AB702">
        <v>1767455.6586889271</v>
      </c>
      <c r="AC702">
        <v>0</v>
      </c>
      <c r="AD702">
        <v>13084.56207477052</v>
      </c>
      <c r="AE702">
        <v>23552211.734586932</v>
      </c>
      <c r="AF702">
        <v>23552211.734586932</v>
      </c>
      <c r="AG702">
        <v>1060.2390816385021</v>
      </c>
      <c r="AH702">
        <v>1036.532838439171</v>
      </c>
      <c r="AI702">
        <v>1036.532838439171</v>
      </c>
      <c r="AJ702">
        <v>57442.308907390106</v>
      </c>
      <c r="AK702">
        <v>854.70085470085473</v>
      </c>
      <c r="AL702" t="s">
        <v>69</v>
      </c>
      <c r="AM702">
        <v>80331.294979035709</v>
      </c>
      <c r="AN702">
        <v>2749.04704958414</v>
      </c>
      <c r="AO702">
        <v>176210.58253465901</v>
      </c>
      <c r="AP702">
        <v>141377.35179071079</v>
      </c>
      <c r="AQ702">
        <v>-34833.230743948203</v>
      </c>
      <c r="AR702">
        <v>2.4389348038611099E-3</v>
      </c>
      <c r="AS702">
        <v>54.178637537694158</v>
      </c>
      <c r="AT702">
        <v>75.767151362588038</v>
      </c>
      <c r="AU702">
        <v>2.5928557975204432</v>
      </c>
      <c r="AV702">
        <v>166.19891266632209</v>
      </c>
      <c r="AW702">
        <v>133.34478443505881</v>
      </c>
      <c r="AX702">
        <v>-32.854128231263303</v>
      </c>
      <c r="AY702">
        <v>0.9776406627430716</v>
      </c>
      <c r="AZ702" t="str">
        <f>VLOOKUP(BA702,Sheet1!$A$1:$B$58,2,FALSE)</f>
        <v>Phenol</v>
      </c>
      <c r="BA702" t="s">
        <v>164</v>
      </c>
      <c r="BB702" t="s">
        <v>165</v>
      </c>
      <c r="BC702">
        <v>94.11023999999999</v>
      </c>
      <c r="BD702">
        <v>4.666666666666667</v>
      </c>
      <c r="BE702">
        <v>181.7</v>
      </c>
      <c r="BF702" t="s">
        <v>199</v>
      </c>
      <c r="BG702">
        <v>37.742938090746662</v>
      </c>
      <c r="BH702">
        <v>1.1532846715328501E-2</v>
      </c>
      <c r="BI702">
        <v>2.3579587314744899E-2</v>
      </c>
      <c r="BJ702">
        <v>90</v>
      </c>
      <c r="BK702">
        <v>6283.4378573649237</v>
      </c>
      <c r="BL702">
        <v>-1548.143588619919</v>
      </c>
      <c r="BM702">
        <v>8.3251880621053687</v>
      </c>
      <c r="BN702">
        <v>1415.2819705579129</v>
      </c>
      <c r="BO702">
        <v>4868.1558868070106</v>
      </c>
    </row>
    <row r="703" spans="1:67" x14ac:dyDescent="0.25">
      <c r="A703" s="1">
        <v>701</v>
      </c>
      <c r="B703" t="s">
        <v>180</v>
      </c>
      <c r="C703" t="s">
        <v>195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67</v>
      </c>
      <c r="J703">
        <v>1.4</v>
      </c>
      <c r="K703">
        <v>500</v>
      </c>
      <c r="L703">
        <v>100</v>
      </c>
      <c r="N703" t="s">
        <v>179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375518.19589539029</v>
      </c>
      <c r="Z703">
        <v>1877590979.4769521</v>
      </c>
      <c r="AA703">
        <v>2628627371.2677321</v>
      </c>
      <c r="AB703">
        <v>2628627.3712677322</v>
      </c>
      <c r="AC703">
        <v>66773.504273504266</v>
      </c>
      <c r="AD703">
        <v>19459.859058816099</v>
      </c>
      <c r="AE703">
        <v>35027746.305868968</v>
      </c>
      <c r="AF703">
        <v>35027746.305868968</v>
      </c>
      <c r="AG703">
        <v>1576.8279426880031</v>
      </c>
      <c r="AH703">
        <v>1541.571114921293</v>
      </c>
      <c r="AI703">
        <v>1541.571114921293</v>
      </c>
      <c r="AJ703">
        <v>85430.389566201295</v>
      </c>
      <c r="AK703">
        <v>2170.1388888888891</v>
      </c>
      <c r="AL703" t="s">
        <v>107</v>
      </c>
      <c r="AM703">
        <v>119471.7614064002</v>
      </c>
      <c r="AN703">
        <v>4088.4874728908212</v>
      </c>
      <c r="AO703">
        <v>262067.08953661981</v>
      </c>
      <c r="AP703">
        <v>211160.77733438119</v>
      </c>
      <c r="AQ703">
        <v>-50906.312202238623</v>
      </c>
      <c r="AR703">
        <v>2.4389348038611112E-3</v>
      </c>
      <c r="AS703">
        <v>54.178637537694172</v>
      </c>
      <c r="AT703">
        <v>75.767151362588066</v>
      </c>
      <c r="AU703">
        <v>2.592855797520444</v>
      </c>
      <c r="AV703">
        <v>166.1989126663222</v>
      </c>
      <c r="AW703">
        <v>133.91491336360869</v>
      </c>
      <c r="AX703">
        <v>-32.283999302713482</v>
      </c>
      <c r="AY703">
        <v>0.97764066274307171</v>
      </c>
      <c r="AZ703" t="str">
        <f>VLOOKUP(BA703,Sheet1!$A$1:$B$58,2,FALSE)</f>
        <v>Propane (PW1)</v>
      </c>
      <c r="BA703" t="s">
        <v>166</v>
      </c>
      <c r="BB703" t="s">
        <v>167</v>
      </c>
      <c r="BC703">
        <v>44.094819999999999</v>
      </c>
      <c r="BD703">
        <v>6.666666666666667</v>
      </c>
      <c r="BE703">
        <v>-42</v>
      </c>
      <c r="BF703" t="s">
        <v>199</v>
      </c>
      <c r="BG703">
        <v>57.311485118958863</v>
      </c>
      <c r="BH703">
        <v>1.65502793296089E-2</v>
      </c>
      <c r="BI703">
        <v>1.5854615030085499E-2</v>
      </c>
      <c r="BJ703">
        <v>90</v>
      </c>
      <c r="BK703">
        <v>9384.9234370836075</v>
      </c>
      <c r="BL703">
        <v>-2262.5027645439382</v>
      </c>
      <c r="BM703">
        <v>11.20278665532083</v>
      </c>
      <c r="BN703">
        <v>1904.473731404541</v>
      </c>
      <c r="BO703">
        <v>7480.4497056790669</v>
      </c>
    </row>
    <row r="704" spans="1:67" x14ac:dyDescent="0.25">
      <c r="A704" s="1">
        <v>702</v>
      </c>
      <c r="B704" t="s">
        <v>180</v>
      </c>
      <c r="C704" t="s">
        <v>195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67</v>
      </c>
      <c r="J704">
        <v>1.4</v>
      </c>
      <c r="K704">
        <v>500</v>
      </c>
      <c r="L704">
        <v>100</v>
      </c>
      <c r="N704" t="s">
        <v>179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452614.80873983708</v>
      </c>
      <c r="Z704">
        <v>2263074043.6991858</v>
      </c>
      <c r="AA704">
        <v>3168303661.1788602</v>
      </c>
      <c r="AB704">
        <v>3168303.6611788599</v>
      </c>
      <c r="AC704">
        <v>66773.504273504266</v>
      </c>
      <c r="AD704">
        <v>23455.109452176501</v>
      </c>
      <c r="AE704">
        <v>42219197.013917692</v>
      </c>
      <c r="AF704">
        <v>42219197.013917692</v>
      </c>
      <c r="AG704">
        <v>1900.562171144906</v>
      </c>
      <c r="AH704">
        <v>1858.0668605825181</v>
      </c>
      <c r="AI704">
        <v>1858.0668605825181</v>
      </c>
      <c r="AJ704">
        <v>102969.868988313</v>
      </c>
      <c r="AK704">
        <v>2170.1388888888891</v>
      </c>
      <c r="AL704" t="s">
        <v>107</v>
      </c>
      <c r="AM704">
        <v>144000.18169514509</v>
      </c>
      <c r="AN704">
        <v>4927.8836440011128</v>
      </c>
      <c r="AO704">
        <v>315871.36629902798</v>
      </c>
      <c r="AP704">
        <v>254068.0732163481</v>
      </c>
      <c r="AQ704">
        <v>-61803.293082679942</v>
      </c>
      <c r="AR704">
        <v>2.438934803861112E-3</v>
      </c>
      <c r="AS704">
        <v>54.178637537694179</v>
      </c>
      <c r="AT704">
        <v>75.767151362588081</v>
      </c>
      <c r="AU704">
        <v>2.592855797520444</v>
      </c>
      <c r="AV704">
        <v>166.1989126663222</v>
      </c>
      <c r="AW704">
        <v>133.680485213118</v>
      </c>
      <c r="AX704">
        <v>-32.518427453204232</v>
      </c>
      <c r="AY704">
        <v>0.97764066274307193</v>
      </c>
      <c r="AZ704" t="str">
        <f>VLOOKUP(BA704,Sheet1!$A$1:$B$58,2,FALSE)</f>
        <v>Propane (PW2)</v>
      </c>
      <c r="BA704" t="s">
        <v>168</v>
      </c>
      <c r="BB704" t="s">
        <v>167</v>
      </c>
      <c r="BC704">
        <v>44.094819999999999</v>
      </c>
      <c r="BD704">
        <v>6.666666666666667</v>
      </c>
      <c r="BE704">
        <v>-42</v>
      </c>
      <c r="BF704" t="s">
        <v>199</v>
      </c>
      <c r="BG704">
        <v>69.692686254218529</v>
      </c>
      <c r="BH704">
        <v>1.3731170336036901E-2</v>
      </c>
      <c r="BI704">
        <v>1.3154002736432399E-2</v>
      </c>
      <c r="BJ704">
        <v>90</v>
      </c>
      <c r="BK704">
        <v>11291.914365171029</v>
      </c>
      <c r="BL704">
        <v>-2746.8130258968872</v>
      </c>
      <c r="BM704">
        <v>12.888063105004511</v>
      </c>
      <c r="BN704">
        <v>2190.9707278507658</v>
      </c>
      <c r="BO704">
        <v>9100.9436373202625</v>
      </c>
    </row>
    <row r="705" spans="1:67" x14ac:dyDescent="0.25">
      <c r="A705" s="1">
        <v>703</v>
      </c>
      <c r="B705" t="s">
        <v>180</v>
      </c>
      <c r="C705" t="s">
        <v>195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67</v>
      </c>
      <c r="J705">
        <v>1.4</v>
      </c>
      <c r="K705">
        <v>500</v>
      </c>
      <c r="L705">
        <v>100</v>
      </c>
      <c r="N705" t="s">
        <v>179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133435.82920151559</v>
      </c>
      <c r="Z705">
        <v>667179146.00757778</v>
      </c>
      <c r="AA705">
        <v>934050804.41060889</v>
      </c>
      <c r="AB705">
        <v>934050.80441060883</v>
      </c>
      <c r="AC705">
        <v>0</v>
      </c>
      <c r="AD705">
        <v>6914.8245225941264</v>
      </c>
      <c r="AE705">
        <v>12446684.14066943</v>
      </c>
      <c r="AF705">
        <v>12446684.14066943</v>
      </c>
      <c r="AG705">
        <v>560.3066544858109</v>
      </c>
      <c r="AH705">
        <v>547.77856903086138</v>
      </c>
      <c r="AI705">
        <v>547.77856903086138</v>
      </c>
      <c r="AJ705">
        <v>30356.651143344789</v>
      </c>
      <c r="AK705">
        <v>854.70085470085473</v>
      </c>
      <c r="AL705" t="s">
        <v>69</v>
      </c>
      <c r="AM705">
        <v>42452.83909989176</v>
      </c>
      <c r="AN705">
        <v>1452.794357472819</v>
      </c>
      <c r="AO705">
        <v>93122.356735246431</v>
      </c>
      <c r="AP705">
        <v>75116.98545541022</v>
      </c>
      <c r="AQ705">
        <v>-18005.37127983621</v>
      </c>
      <c r="AR705">
        <v>2.4389348038611112E-3</v>
      </c>
      <c r="AS705">
        <v>54.178637537694158</v>
      </c>
      <c r="AT705">
        <v>75.767151362588052</v>
      </c>
      <c r="AU705">
        <v>2.592855797520444</v>
      </c>
      <c r="AV705">
        <v>166.19891266632209</v>
      </c>
      <c r="AW705">
        <v>134.06406091026079</v>
      </c>
      <c r="AX705">
        <v>-32.134851756061288</v>
      </c>
      <c r="AY705">
        <v>0.9776406627430716</v>
      </c>
      <c r="AZ705" t="str">
        <f>VLOOKUP(BA705,Sheet1!$A$1:$B$58,2,FALSE)</f>
        <v>Shikimate</v>
      </c>
      <c r="BA705" t="s">
        <v>169</v>
      </c>
      <c r="BB705" t="s">
        <v>170</v>
      </c>
      <c r="BC705">
        <v>173.14045999999999</v>
      </c>
      <c r="BD705">
        <v>3.8571428571428572</v>
      </c>
      <c r="BE705">
        <v>400.5</v>
      </c>
      <c r="BF705" t="s">
        <v>199</v>
      </c>
      <c r="BG705">
        <v>19.649596209818871</v>
      </c>
      <c r="BH705">
        <v>1.18618618618618E-2</v>
      </c>
      <c r="BI705">
        <v>4.46184242144015E-2</v>
      </c>
      <c r="BJ705">
        <v>90</v>
      </c>
      <c r="BK705">
        <v>3338.5326869071209</v>
      </c>
      <c r="BL705">
        <v>-800.23872354827506</v>
      </c>
      <c r="BM705">
        <v>4.6961179693305226</v>
      </c>
      <c r="BN705">
        <v>798.34005478618883</v>
      </c>
      <c r="BO705">
        <v>2540.192632120933</v>
      </c>
    </row>
    <row r="706" spans="1:67" x14ac:dyDescent="0.25">
      <c r="A706" s="1">
        <v>704</v>
      </c>
      <c r="B706" t="s">
        <v>180</v>
      </c>
      <c r="C706" t="s">
        <v>195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67</v>
      </c>
      <c r="J706">
        <v>1.4</v>
      </c>
      <c r="K706">
        <v>500</v>
      </c>
      <c r="L706">
        <v>100</v>
      </c>
      <c r="N706" t="s">
        <v>179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317422.2958341777</v>
      </c>
      <c r="Z706">
        <v>1587111479.1708879</v>
      </c>
      <c r="AA706">
        <v>2221956070.8392439</v>
      </c>
      <c r="AB706">
        <v>2221956.0708392439</v>
      </c>
      <c r="AC706">
        <v>0</v>
      </c>
      <c r="AD706">
        <v>16449.251212262629</v>
      </c>
      <c r="AE706">
        <v>29608652.18207274</v>
      </c>
      <c r="AF706">
        <v>29608652.18207274</v>
      </c>
      <c r="AG706">
        <v>1332.879075300365</v>
      </c>
      <c r="AH706">
        <v>1303.0767825330211</v>
      </c>
      <c r="AI706">
        <v>1303.0767825330211</v>
      </c>
      <c r="AJ706">
        <v>72213.572302275425</v>
      </c>
      <c r="AK706">
        <v>854.70085470085473</v>
      </c>
      <c r="AL706" t="s">
        <v>69</v>
      </c>
      <c r="AM706">
        <v>100988.45064630909</v>
      </c>
      <c r="AN706">
        <v>3455.963237786239</v>
      </c>
      <c r="AO706">
        <v>221523.05303061361</v>
      </c>
      <c r="AP706">
        <v>177512.68704107171</v>
      </c>
      <c r="AQ706">
        <v>-44010.365989541933</v>
      </c>
      <c r="AR706">
        <v>2.4389348038611112E-3</v>
      </c>
      <c r="AS706">
        <v>54.178637537694158</v>
      </c>
      <c r="AT706">
        <v>75.767151362588052</v>
      </c>
      <c r="AU706">
        <v>2.592855797520444</v>
      </c>
      <c r="AV706">
        <v>166.19891266632209</v>
      </c>
      <c r="AW706">
        <v>133.17988880654389</v>
      </c>
      <c r="AX706">
        <v>-33.01902385977823</v>
      </c>
      <c r="AY706">
        <v>0.9776406627430716</v>
      </c>
      <c r="AZ706" t="str">
        <f>VLOOKUP(BA706,Sheet1!$A$1:$B$58,2,FALSE)</f>
        <v>Styrene</v>
      </c>
      <c r="BA706" t="s">
        <v>171</v>
      </c>
      <c r="BB706" t="s">
        <v>172</v>
      </c>
      <c r="BC706">
        <v>104.14832</v>
      </c>
      <c r="BD706">
        <v>5</v>
      </c>
      <c r="BE706">
        <v>145</v>
      </c>
      <c r="BF706" t="s">
        <v>199</v>
      </c>
      <c r="BG706">
        <v>47.595337403228449</v>
      </c>
      <c r="BH706">
        <v>8.2896117523615608E-3</v>
      </c>
      <c r="BI706">
        <v>1.8756390180681801E-2</v>
      </c>
      <c r="BJ706">
        <v>90</v>
      </c>
      <c r="BK706">
        <v>7889.4527573809619</v>
      </c>
      <c r="BL706">
        <v>-1956.016266201862</v>
      </c>
      <c r="BM706">
        <v>10.31918626490582</v>
      </c>
      <c r="BN706">
        <v>1754.2616650339901</v>
      </c>
      <c r="BO706">
        <v>6135.1910923469713</v>
      </c>
    </row>
    <row r="707" spans="1:67" x14ac:dyDescent="0.25">
      <c r="A707" s="1">
        <v>705</v>
      </c>
      <c r="B707" t="s">
        <v>180</v>
      </c>
      <c r="C707" t="s">
        <v>195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67</v>
      </c>
      <c r="J707">
        <v>1.4</v>
      </c>
      <c r="K707">
        <v>500</v>
      </c>
      <c r="L707">
        <v>100</v>
      </c>
      <c r="N707" t="s">
        <v>179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87567.678008568313</v>
      </c>
      <c r="Z707">
        <v>437838390.04284161</v>
      </c>
      <c r="AA707">
        <v>612973746.05997813</v>
      </c>
      <c r="AB707">
        <v>612973.74605997815</v>
      </c>
      <c r="AC707">
        <v>0</v>
      </c>
      <c r="AD707">
        <v>4537.8751037386073</v>
      </c>
      <c r="AE707">
        <v>8168175.1867294936</v>
      </c>
      <c r="AF707">
        <v>8168175.1867294936</v>
      </c>
      <c r="AG707">
        <v>367.70298502041572</v>
      </c>
      <c r="AH707">
        <v>359.48138996796501</v>
      </c>
      <c r="AI707">
        <v>359.48138996796501</v>
      </c>
      <c r="AJ707">
        <v>19921.646746949289</v>
      </c>
      <c r="AK707">
        <v>854.70085470085473</v>
      </c>
      <c r="AL707" t="s">
        <v>69</v>
      </c>
      <c r="AM707">
        <v>27859.807722517289</v>
      </c>
      <c r="AN707">
        <v>953.40081647575755</v>
      </c>
      <c r="AO707">
        <v>61111.836294554043</v>
      </c>
      <c r="AP707">
        <v>49589.556140643181</v>
      </c>
      <c r="AQ707">
        <v>-11522.28015391086</v>
      </c>
      <c r="AR707">
        <v>2.4389348038611112E-3</v>
      </c>
      <c r="AS707">
        <v>54.178637537694158</v>
      </c>
      <c r="AT707">
        <v>75.767151362588052</v>
      </c>
      <c r="AU707">
        <v>2.5928557975204432</v>
      </c>
      <c r="AV707">
        <v>166.1989126663222</v>
      </c>
      <c r="AW707">
        <v>134.863077431612</v>
      </c>
      <c r="AX707">
        <v>-31.335835234710199</v>
      </c>
      <c r="AY707">
        <v>0.9776406627430716</v>
      </c>
      <c r="AZ707" t="str">
        <f>VLOOKUP(BA707,Sheet1!$A$1:$B$58,2,FALSE)</f>
        <v>Succinate</v>
      </c>
      <c r="BA707" t="s">
        <v>173</v>
      </c>
      <c r="BB707" t="s">
        <v>174</v>
      </c>
      <c r="BC707">
        <v>116.07016</v>
      </c>
      <c r="BD707">
        <v>3</v>
      </c>
      <c r="BE707">
        <v>235</v>
      </c>
      <c r="BF707" t="s">
        <v>199</v>
      </c>
      <c r="BG707">
        <v>12.546115386186729</v>
      </c>
      <c r="BH707">
        <v>2.6962457337884101E-2</v>
      </c>
      <c r="BI707">
        <v>6.7989657463922798E-2</v>
      </c>
      <c r="BJ707">
        <v>90</v>
      </c>
      <c r="BK707">
        <v>2203.9802729174739</v>
      </c>
      <c r="BL707">
        <v>-512.10134017381597</v>
      </c>
      <c r="BM707">
        <v>3.4308352790561631</v>
      </c>
      <c r="BN707">
        <v>583.24199743954773</v>
      </c>
      <c r="BO707">
        <v>1620.7382754779269</v>
      </c>
    </row>
    <row r="708" spans="1:67" x14ac:dyDescent="0.25">
      <c r="A708" s="1">
        <v>706</v>
      </c>
      <c r="B708" t="s">
        <v>200</v>
      </c>
      <c r="C708" t="s">
        <v>195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67</v>
      </c>
      <c r="J708">
        <v>1.4</v>
      </c>
      <c r="K708">
        <v>500</v>
      </c>
      <c r="L708">
        <v>66.666666666666657</v>
      </c>
      <c r="N708" t="s">
        <v>183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34184.509872961171</v>
      </c>
      <c r="Z708">
        <v>170922549.36480579</v>
      </c>
      <c r="AA708">
        <v>239291569.1107282</v>
      </c>
      <c r="AB708">
        <v>239291.56911072819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93.555791390694623</v>
      </c>
      <c r="AI708">
        <v>93.555791390694623</v>
      </c>
      <c r="AJ708">
        <v>7776.9759960986657</v>
      </c>
      <c r="AK708">
        <v>854.70085470085473</v>
      </c>
      <c r="AL708" t="s">
        <v>69</v>
      </c>
      <c r="AM708">
        <v>7250.5738327788331</v>
      </c>
      <c r="AN708">
        <v>372.18686580356467</v>
      </c>
      <c r="AO708">
        <v>15904.484536418089</v>
      </c>
      <c r="AP708">
        <v>16254.437549381921</v>
      </c>
      <c r="AQ708">
        <v>349.95301296383332</v>
      </c>
      <c r="AR708">
        <v>3.658402205791667E-3</v>
      </c>
      <c r="AS708">
        <v>79.48462356265901</v>
      </c>
      <c r="AT708">
        <v>74.104527518253605</v>
      </c>
      <c r="AU708">
        <v>3.8039377951279079</v>
      </c>
      <c r="AV708">
        <v>162.5518668142337</v>
      </c>
      <c r="AW708">
        <v>166.1285634009279</v>
      </c>
      <c r="AX708">
        <v>3.5766965866942031</v>
      </c>
      <c r="AY708">
        <v>0.97764066274307171</v>
      </c>
      <c r="AZ708" t="str">
        <f>VLOOKUP(BA708,Sheet1!$A$1:$B$58,2,FALSE)</f>
        <v>1,3-Butanediol (PW1)</v>
      </c>
      <c r="BA708" t="s">
        <v>70</v>
      </c>
      <c r="BB708" t="s">
        <v>71</v>
      </c>
      <c r="BC708">
        <v>90.119200000000006</v>
      </c>
      <c r="BD708">
        <v>5.5</v>
      </c>
      <c r="BE708">
        <v>207</v>
      </c>
      <c r="BF708" t="s">
        <v>201</v>
      </c>
      <c r="BG708">
        <v>1.627844011043158</v>
      </c>
      <c r="BH708">
        <v>0.13636363636363599</v>
      </c>
      <c r="BI708">
        <v>0.26124536178107499</v>
      </c>
      <c r="BJ708">
        <v>90</v>
      </c>
      <c r="BK708">
        <v>706.56677465677956</v>
      </c>
      <c r="BL708">
        <v>15.212164118264569</v>
      </c>
      <c r="BM708">
        <v>2.5301911618766009</v>
      </c>
      <c r="BN708">
        <v>430.13249751902219</v>
      </c>
      <c r="BO708">
        <v>276.43427713775742</v>
      </c>
    </row>
    <row r="709" spans="1:67" x14ac:dyDescent="0.25">
      <c r="A709" s="1">
        <v>707</v>
      </c>
      <c r="B709" t="s">
        <v>200</v>
      </c>
      <c r="C709" t="s">
        <v>195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67</v>
      </c>
      <c r="J709">
        <v>1.4</v>
      </c>
      <c r="K709">
        <v>500</v>
      </c>
      <c r="L709">
        <v>66.666666666666657</v>
      </c>
      <c r="N709" t="s">
        <v>183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34184.21918835328</v>
      </c>
      <c r="Z709">
        <v>170921095.94176641</v>
      </c>
      <c r="AA709">
        <v>239289534.31847289</v>
      </c>
      <c r="AB709">
        <v>239289.5343184729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93.554995848250485</v>
      </c>
      <c r="AI709">
        <v>93.554995848250485</v>
      </c>
      <c r="AJ709">
        <v>7776.9098653503706</v>
      </c>
      <c r="AK709">
        <v>854.70085470085473</v>
      </c>
      <c r="AL709" t="s">
        <v>69</v>
      </c>
      <c r="AM709">
        <v>7250.5121782394126</v>
      </c>
      <c r="AN709">
        <v>372.18370094926217</v>
      </c>
      <c r="AO709">
        <v>15904.34929420258</v>
      </c>
      <c r="AP709">
        <v>16254.306599239901</v>
      </c>
      <c r="AQ709">
        <v>349.95730503732011</v>
      </c>
      <c r="AR709">
        <v>3.6584022057916678E-3</v>
      </c>
      <c r="AS709">
        <v>79.48462356265901</v>
      </c>
      <c r="AT709">
        <v>74.104527518253619</v>
      </c>
      <c r="AU709">
        <v>3.8039377951279079</v>
      </c>
      <c r="AV709">
        <v>162.55186681423379</v>
      </c>
      <c r="AW709">
        <v>166.12863768280559</v>
      </c>
      <c r="AX709">
        <v>3.5767708685718391</v>
      </c>
      <c r="AY709">
        <v>0.97764066274307215</v>
      </c>
      <c r="AZ709" t="str">
        <f>VLOOKUP(BA709,Sheet1!$A$1:$B$58,2,FALSE)</f>
        <v>1,3-Butanediol (PW2)</v>
      </c>
      <c r="BA709" t="s">
        <v>72</v>
      </c>
      <c r="BB709" t="s">
        <v>71</v>
      </c>
      <c r="BC709">
        <v>90.119200000000006</v>
      </c>
      <c r="BD709">
        <v>5.5</v>
      </c>
      <c r="BE709">
        <v>207</v>
      </c>
      <c r="BF709" t="s">
        <v>201</v>
      </c>
      <c r="BG709">
        <v>1.627844011043158</v>
      </c>
      <c r="BH709">
        <v>0.13636363636363599</v>
      </c>
      <c r="BI709">
        <v>0.261247583274131</v>
      </c>
      <c r="BJ709">
        <v>90</v>
      </c>
      <c r="BK709">
        <v>706.56108236387774</v>
      </c>
      <c r="BL709">
        <v>15.21235069110107</v>
      </c>
      <c r="BM709">
        <v>2.5301558044346422</v>
      </c>
      <c r="BN709">
        <v>430.12648675388908</v>
      </c>
      <c r="BO709">
        <v>276.43459560998861</v>
      </c>
    </row>
    <row r="710" spans="1:67" x14ac:dyDescent="0.25">
      <c r="A710" s="1">
        <v>708</v>
      </c>
      <c r="B710" t="s">
        <v>200</v>
      </c>
      <c r="C710" t="s">
        <v>195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67</v>
      </c>
      <c r="J710">
        <v>1.4</v>
      </c>
      <c r="K710">
        <v>500</v>
      </c>
      <c r="L710">
        <v>66.666666666666657</v>
      </c>
      <c r="N710" t="s">
        <v>183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49637.122199198297</v>
      </c>
      <c r="Z710">
        <v>248185610.9959915</v>
      </c>
      <c r="AA710">
        <v>347459855.39438808</v>
      </c>
      <c r="AB710">
        <v>347459.85539438808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135.8463311880256</v>
      </c>
      <c r="AI710">
        <v>135.8463311880256</v>
      </c>
      <c r="AJ710">
        <v>11292.44530031761</v>
      </c>
      <c r="AK710">
        <v>854.70085470085473</v>
      </c>
      <c r="AL710" t="s">
        <v>69</v>
      </c>
      <c r="AM710">
        <v>10528.09066707198</v>
      </c>
      <c r="AN710">
        <v>540.42854519440436</v>
      </c>
      <c r="AO710">
        <v>23093.876301964348</v>
      </c>
      <c r="AP710">
        <v>23215.665367284859</v>
      </c>
      <c r="AQ710">
        <v>121.7890653205031</v>
      </c>
      <c r="AR710">
        <v>3.6584022057916678E-3</v>
      </c>
      <c r="AS710">
        <v>79.48462356265901</v>
      </c>
      <c r="AT710">
        <v>74.104527518253605</v>
      </c>
      <c r="AU710">
        <v>3.8039377951279079</v>
      </c>
      <c r="AV710">
        <v>162.55186681423379</v>
      </c>
      <c r="AW710">
        <v>163.40910878030959</v>
      </c>
      <c r="AX710">
        <v>0.85724196607584946</v>
      </c>
      <c r="AY710">
        <v>0.97764066274307204</v>
      </c>
      <c r="AZ710" t="str">
        <f>VLOOKUP(BA710,Sheet1!$A$1:$B$58,2,FALSE)</f>
        <v>1,3-Diaminopropane</v>
      </c>
      <c r="BA710" t="s">
        <v>73</v>
      </c>
      <c r="BB710" t="s">
        <v>74</v>
      </c>
      <c r="BC710">
        <v>76.139580000000009</v>
      </c>
      <c r="BD710">
        <v>6</v>
      </c>
      <c r="BE710">
        <v>139.30000000000001</v>
      </c>
      <c r="BF710" t="s">
        <v>201</v>
      </c>
      <c r="BG710">
        <v>1.8780564466699721</v>
      </c>
      <c r="BH710">
        <v>0.11115384615384601</v>
      </c>
      <c r="BI710">
        <v>0.17991664813345501</v>
      </c>
      <c r="BJ710">
        <v>90</v>
      </c>
      <c r="BK710">
        <v>1009.165512509371</v>
      </c>
      <c r="BL710">
        <v>5.2940685773063674</v>
      </c>
      <c r="BM710">
        <v>4.1595582727978329</v>
      </c>
      <c r="BN710">
        <v>707.12490637563155</v>
      </c>
      <c r="BO710">
        <v>302.04060613373889</v>
      </c>
    </row>
    <row r="711" spans="1:67" x14ac:dyDescent="0.25">
      <c r="A711" s="1">
        <v>709</v>
      </c>
      <c r="B711" t="s">
        <v>200</v>
      </c>
      <c r="C711" t="s">
        <v>195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67</v>
      </c>
      <c r="J711">
        <v>1.4</v>
      </c>
      <c r="K711">
        <v>500</v>
      </c>
      <c r="L711">
        <v>66.666666666666657</v>
      </c>
      <c r="N711" t="s">
        <v>183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29443.986827275039</v>
      </c>
      <c r="Z711">
        <v>147219934.13637519</v>
      </c>
      <c r="AA711">
        <v>206107907.79092529</v>
      </c>
      <c r="AB711">
        <v>206107.9077909253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80.581979954076985</v>
      </c>
      <c r="AI711">
        <v>80.581979954076985</v>
      </c>
      <c r="AJ711">
        <v>6698.5070032050717</v>
      </c>
      <c r="AK711">
        <v>854.70085470085473</v>
      </c>
      <c r="AL711" t="s">
        <v>69</v>
      </c>
      <c r="AM711">
        <v>6245.1034464409668</v>
      </c>
      <c r="AN711">
        <v>320.57400310053549</v>
      </c>
      <c r="AO711">
        <v>13698.936592193089</v>
      </c>
      <c r="AP711">
        <v>14118.88530744743</v>
      </c>
      <c r="AQ711">
        <v>419.94871525434252</v>
      </c>
      <c r="AR711">
        <v>3.658402205791667E-3</v>
      </c>
      <c r="AS711">
        <v>79.48462356265901</v>
      </c>
      <c r="AT711">
        <v>74.10452751825359</v>
      </c>
      <c r="AU711">
        <v>3.8039377951279079</v>
      </c>
      <c r="AV711">
        <v>162.5518668142337</v>
      </c>
      <c r="AW711">
        <v>167.53498701275589</v>
      </c>
      <c r="AX711">
        <v>4.9831201985222107</v>
      </c>
      <c r="AY711">
        <v>0.97764066274307171</v>
      </c>
      <c r="AZ711" t="str">
        <f>VLOOKUP(BA711,Sheet1!$A$1:$B$58,2,FALSE)</f>
        <v>1,3-Propanediol</v>
      </c>
      <c r="BA711" t="s">
        <v>75</v>
      </c>
      <c r="BB711" t="s">
        <v>76</v>
      </c>
      <c r="BC711">
        <v>76.092820000000003</v>
      </c>
      <c r="BD711">
        <v>5.333333333333333</v>
      </c>
      <c r="BE711">
        <v>213</v>
      </c>
      <c r="BF711" t="s">
        <v>201</v>
      </c>
      <c r="BG711">
        <v>1.349536000899956</v>
      </c>
      <c r="BH711">
        <v>0.1875</v>
      </c>
      <c r="BI711">
        <v>0.30330623028257098</v>
      </c>
      <c r="BJ711">
        <v>90</v>
      </c>
      <c r="BK711">
        <v>613.73610887024881</v>
      </c>
      <c r="BL711">
        <v>18.254818621503269</v>
      </c>
      <c r="BM711">
        <v>2.231885330392354</v>
      </c>
      <c r="BN711">
        <v>379.42050616670008</v>
      </c>
      <c r="BO711">
        <v>234.31560270354871</v>
      </c>
    </row>
    <row r="712" spans="1:67" x14ac:dyDescent="0.25">
      <c r="A712" s="1">
        <v>710</v>
      </c>
      <c r="B712" t="s">
        <v>200</v>
      </c>
      <c r="C712" t="s">
        <v>195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67</v>
      </c>
      <c r="J712">
        <v>1.4</v>
      </c>
      <c r="K712">
        <v>500</v>
      </c>
      <c r="L712">
        <v>66.666666666666657</v>
      </c>
      <c r="N712" t="s">
        <v>183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63712.330509906533</v>
      </c>
      <c r="Z712">
        <v>318561652.54953271</v>
      </c>
      <c r="AA712">
        <v>445986313.56934571</v>
      </c>
      <c r="AB712">
        <v>445986.31356934569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174.36720679486729</v>
      </c>
      <c r="AI712">
        <v>174.36720679486729</v>
      </c>
      <c r="AJ712">
        <v>14494.555191003739</v>
      </c>
      <c r="AK712">
        <v>854.70085470085473</v>
      </c>
      <c r="AL712" t="s">
        <v>69</v>
      </c>
      <c r="AM712">
        <v>13513.45852660222</v>
      </c>
      <c r="AN712">
        <v>693.67361689977213</v>
      </c>
      <c r="AO712">
        <v>29642.42515512745</v>
      </c>
      <c r="AP712">
        <v>29556.38818920658</v>
      </c>
      <c r="AQ712">
        <v>-86.036965920869989</v>
      </c>
      <c r="AR712">
        <v>3.658402205791667E-3</v>
      </c>
      <c r="AS712">
        <v>79.48462356265901</v>
      </c>
      <c r="AT712">
        <v>74.104527518253605</v>
      </c>
      <c r="AU712">
        <v>3.8039377951279079</v>
      </c>
      <c r="AV712">
        <v>162.55186681423379</v>
      </c>
      <c r="AW712">
        <v>162.08006096999941</v>
      </c>
      <c r="AX712">
        <v>-0.47180584423438421</v>
      </c>
      <c r="AY712">
        <v>0.97764066274307193</v>
      </c>
      <c r="AZ712" t="str">
        <f>VLOOKUP(BA712,Sheet1!$A$1:$B$58,2,FALSE)</f>
        <v>1,4-Butanediol</v>
      </c>
      <c r="BA712" t="s">
        <v>77</v>
      </c>
      <c r="BB712" t="s">
        <v>71</v>
      </c>
      <c r="BC712">
        <v>90.119200000000006</v>
      </c>
      <c r="BD712">
        <v>5.5</v>
      </c>
      <c r="BE712">
        <v>230</v>
      </c>
      <c r="BF712" t="s">
        <v>201</v>
      </c>
      <c r="BG712">
        <v>2.4012107332446222</v>
      </c>
      <c r="BH712">
        <v>7.3164556962025007E-2</v>
      </c>
      <c r="BI712">
        <v>0.14016980037611201</v>
      </c>
      <c r="BJ712">
        <v>90</v>
      </c>
      <c r="BK712">
        <v>1284.791418337667</v>
      </c>
      <c r="BL712">
        <v>-3.739954786333008</v>
      </c>
      <c r="BM712">
        <v>5.3484429020828159</v>
      </c>
      <c r="BN712">
        <v>909.23529335407875</v>
      </c>
      <c r="BO712">
        <v>375.55612498358852</v>
      </c>
    </row>
    <row r="713" spans="1:67" x14ac:dyDescent="0.25">
      <c r="A713" s="1">
        <v>711</v>
      </c>
      <c r="B713" t="s">
        <v>200</v>
      </c>
      <c r="C713" t="s">
        <v>195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67</v>
      </c>
      <c r="J713">
        <v>1.4</v>
      </c>
      <c r="K713">
        <v>500</v>
      </c>
      <c r="L713">
        <v>66.666666666666657</v>
      </c>
      <c r="N713" t="s">
        <v>183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64100.259184065151</v>
      </c>
      <c r="Z713">
        <v>320501295.92032582</v>
      </c>
      <c r="AA713">
        <v>448701814.28845602</v>
      </c>
      <c r="AB713">
        <v>448701.81428845611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175.42888573216749</v>
      </c>
      <c r="AI713">
        <v>175.42888573216749</v>
      </c>
      <c r="AJ713">
        <v>14582.808964374821</v>
      </c>
      <c r="AK713">
        <v>854.70085470085473</v>
      </c>
      <c r="AL713" t="s">
        <v>69</v>
      </c>
      <c r="AM713">
        <v>13595.73864424298</v>
      </c>
      <c r="AN713">
        <v>697.89722454917205</v>
      </c>
      <c r="AO713">
        <v>29822.910574468471</v>
      </c>
      <c r="AP713">
        <v>29731.145687867829</v>
      </c>
      <c r="AQ713">
        <v>-91.764886600642058</v>
      </c>
      <c r="AR713">
        <v>3.658402205791667E-3</v>
      </c>
      <c r="AS713">
        <v>79.48462356265901</v>
      </c>
      <c r="AT713">
        <v>74.10452751825359</v>
      </c>
      <c r="AU713">
        <v>3.8039377951279079</v>
      </c>
      <c r="AV713">
        <v>162.5518668142337</v>
      </c>
      <c r="AW713">
        <v>162.05169586050721</v>
      </c>
      <c r="AX713">
        <v>-0.50017095372644549</v>
      </c>
      <c r="AY713">
        <v>0.97764066274307171</v>
      </c>
      <c r="AZ713" t="str">
        <f>VLOOKUP(BA713,Sheet1!$A$1:$B$58,2,FALSE)</f>
        <v>1-Propanol (PW1)</v>
      </c>
      <c r="BA713" t="s">
        <v>78</v>
      </c>
      <c r="BB713" t="s">
        <v>79</v>
      </c>
      <c r="BC713">
        <v>60.093820000000001</v>
      </c>
      <c r="BD713">
        <v>6</v>
      </c>
      <c r="BE713">
        <v>97</v>
      </c>
      <c r="BF713" t="s">
        <v>201</v>
      </c>
      <c r="BG713">
        <v>2.7773733768055759</v>
      </c>
      <c r="BH713">
        <v>0.109056603773585</v>
      </c>
      <c r="BI713">
        <v>0.13932150607107899</v>
      </c>
      <c r="BJ713">
        <v>90</v>
      </c>
      <c r="BK713">
        <v>1292.387980310423</v>
      </c>
      <c r="BL713">
        <v>-3.98894269673603</v>
      </c>
      <c r="BM713">
        <v>5.019465989068534</v>
      </c>
      <c r="BN713">
        <v>853.30921814165083</v>
      </c>
      <c r="BO713">
        <v>439.07876216877168</v>
      </c>
    </row>
    <row r="714" spans="1:67" x14ac:dyDescent="0.25">
      <c r="A714" s="1">
        <v>712</v>
      </c>
      <c r="B714" t="s">
        <v>200</v>
      </c>
      <c r="C714" t="s">
        <v>195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67</v>
      </c>
      <c r="J714">
        <v>1.4</v>
      </c>
      <c r="K714">
        <v>500</v>
      </c>
      <c r="L714">
        <v>66.666666666666657</v>
      </c>
      <c r="N714" t="s">
        <v>183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41943.339405724037</v>
      </c>
      <c r="Z714">
        <v>209716697.02862021</v>
      </c>
      <c r="AA714">
        <v>293603375.84006822</v>
      </c>
      <c r="AB714">
        <v>293603.37584006821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114.7900708904067</v>
      </c>
      <c r="AI714">
        <v>114.7900708904067</v>
      </c>
      <c r="AJ714">
        <v>9542.1097148022163</v>
      </c>
      <c r="AK714">
        <v>854.70085470085473</v>
      </c>
      <c r="AL714" t="s">
        <v>69</v>
      </c>
      <c r="AM714">
        <v>8896.2304940065187</v>
      </c>
      <c r="AN714">
        <v>456.66180655406089</v>
      </c>
      <c r="AO714">
        <v>19514.312051369139</v>
      </c>
      <c r="AP714">
        <v>19749.702870063651</v>
      </c>
      <c r="AQ714">
        <v>235.3908186945155</v>
      </c>
      <c r="AR714">
        <v>3.6584022057916661E-3</v>
      </c>
      <c r="AS714">
        <v>79.484623562658996</v>
      </c>
      <c r="AT714">
        <v>74.104527518253605</v>
      </c>
      <c r="AU714">
        <v>3.8039377951279079</v>
      </c>
      <c r="AV714">
        <v>162.5518668142337</v>
      </c>
      <c r="AW714">
        <v>164.51264395610789</v>
      </c>
      <c r="AX714">
        <v>1.9607771418741999</v>
      </c>
      <c r="AY714">
        <v>0.97764066274307171</v>
      </c>
      <c r="AZ714" t="str">
        <f>VLOOKUP(BA714,Sheet1!$A$1:$B$58,2,FALSE)</f>
        <v>1-Propanol (PW2)</v>
      </c>
      <c r="BA714" t="s">
        <v>80</v>
      </c>
      <c r="BB714" t="s">
        <v>79</v>
      </c>
      <c r="BC714">
        <v>60.093820000000001</v>
      </c>
      <c r="BD714">
        <v>6</v>
      </c>
      <c r="BE714">
        <v>97</v>
      </c>
      <c r="BF714" t="s">
        <v>201</v>
      </c>
      <c r="BG714">
        <v>2.1970645234401762</v>
      </c>
      <c r="BH714">
        <v>0.16666666666666699</v>
      </c>
      <c r="BI714">
        <v>0.212919256683022</v>
      </c>
      <c r="BJ714">
        <v>90</v>
      </c>
      <c r="BK714">
        <v>858.50302816914393</v>
      </c>
      <c r="BL714">
        <v>10.232241567480701</v>
      </c>
      <c r="BM714">
        <v>2.9047164050223442</v>
      </c>
      <c r="BN714">
        <v>493.80178885379843</v>
      </c>
      <c r="BO714">
        <v>364.7012393153455</v>
      </c>
    </row>
    <row r="715" spans="1:67" x14ac:dyDescent="0.25">
      <c r="A715" s="1">
        <v>713</v>
      </c>
      <c r="B715" t="s">
        <v>200</v>
      </c>
      <c r="C715" t="s">
        <v>195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67</v>
      </c>
      <c r="J715">
        <v>1.4</v>
      </c>
      <c r="K715">
        <v>500</v>
      </c>
      <c r="L715">
        <v>66.666666666666657</v>
      </c>
      <c r="N715" t="s">
        <v>183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34184.21918835328</v>
      </c>
      <c r="Z715">
        <v>170921095.94176641</v>
      </c>
      <c r="AA715">
        <v>239289534.31847289</v>
      </c>
      <c r="AB715">
        <v>239289.5343184729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93.554995848250485</v>
      </c>
      <c r="AI715">
        <v>93.554995848250485</v>
      </c>
      <c r="AJ715">
        <v>7776.9098653503706</v>
      </c>
      <c r="AK715">
        <v>854.70085470085473</v>
      </c>
      <c r="AL715" t="s">
        <v>69</v>
      </c>
      <c r="AM715">
        <v>7250.5121782394126</v>
      </c>
      <c r="AN715">
        <v>372.18370094926217</v>
      </c>
      <c r="AO715">
        <v>15904.34929420258</v>
      </c>
      <c r="AP715">
        <v>16254.306599239901</v>
      </c>
      <c r="AQ715">
        <v>349.95730503732011</v>
      </c>
      <c r="AR715">
        <v>3.6584022057916678E-3</v>
      </c>
      <c r="AS715">
        <v>79.48462356265901</v>
      </c>
      <c r="AT715">
        <v>74.104527518253619</v>
      </c>
      <c r="AU715">
        <v>3.8039377951279079</v>
      </c>
      <c r="AV715">
        <v>162.55186681423379</v>
      </c>
      <c r="AW715">
        <v>166.12863768280559</v>
      </c>
      <c r="AX715">
        <v>3.5767708685718391</v>
      </c>
      <c r="AY715">
        <v>0.97764066274307215</v>
      </c>
      <c r="AZ715" t="str">
        <f>VLOOKUP(BA715,Sheet1!$A$1:$B$58,2,FALSE)</f>
        <v>2,3-Butanediol</v>
      </c>
      <c r="BA715" t="s">
        <v>81</v>
      </c>
      <c r="BB715" t="s">
        <v>71</v>
      </c>
      <c r="BC715">
        <v>90.119200000000006</v>
      </c>
      <c r="BD715">
        <v>5.5</v>
      </c>
      <c r="BE715">
        <v>177</v>
      </c>
      <c r="BF715" t="s">
        <v>201</v>
      </c>
      <c r="BG715">
        <v>1.627844011043158</v>
      </c>
      <c r="BH715">
        <v>0.13636363636363599</v>
      </c>
      <c r="BI715">
        <v>0.261247583274131</v>
      </c>
      <c r="BJ715">
        <v>90</v>
      </c>
      <c r="BK715">
        <v>706.56108236387774</v>
      </c>
      <c r="BL715">
        <v>15.21235069110107</v>
      </c>
      <c r="BM715">
        <v>2.5301558044346422</v>
      </c>
      <c r="BN715">
        <v>430.12648675388908</v>
      </c>
      <c r="BO715">
        <v>276.43459560998861</v>
      </c>
    </row>
    <row r="716" spans="1:67" x14ac:dyDescent="0.25">
      <c r="A716" s="1">
        <v>714</v>
      </c>
      <c r="B716" t="s">
        <v>200</v>
      </c>
      <c r="C716" t="s">
        <v>195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67</v>
      </c>
      <c r="J716">
        <v>1.4</v>
      </c>
      <c r="K716">
        <v>500</v>
      </c>
      <c r="L716">
        <v>66.666666666666657</v>
      </c>
      <c r="N716" t="s">
        <v>183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47658.031437455007</v>
      </c>
      <c r="Z716">
        <v>238290157.18727499</v>
      </c>
      <c r="AA716">
        <v>333606220.06218499</v>
      </c>
      <c r="AB716">
        <v>333606.22006218502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130.42997731497039</v>
      </c>
      <c r="AI716">
        <v>130.42997731497039</v>
      </c>
      <c r="AJ716">
        <v>10842.202152021009</v>
      </c>
      <c r="AK716">
        <v>854.70085470085473</v>
      </c>
      <c r="AL716" t="s">
        <v>69</v>
      </c>
      <c r="AM716">
        <v>10108.323241910201</v>
      </c>
      <c r="AN716">
        <v>518.88101999976504</v>
      </c>
      <c r="AO716">
        <v>22173.096143544961</v>
      </c>
      <c r="AP716">
        <v>22324.10726863184</v>
      </c>
      <c r="AQ716">
        <v>151.0111250868722</v>
      </c>
      <c r="AR716">
        <v>3.658402205791667E-3</v>
      </c>
      <c r="AS716">
        <v>79.48462356265901</v>
      </c>
      <c r="AT716">
        <v>74.10452751825359</v>
      </c>
      <c r="AU716">
        <v>3.8039377951279079</v>
      </c>
      <c r="AV716">
        <v>162.5518668142337</v>
      </c>
      <c r="AW716">
        <v>163.65893549483991</v>
      </c>
      <c r="AX716">
        <v>1.107068680606218</v>
      </c>
      <c r="AY716">
        <v>0.97764066274307182</v>
      </c>
      <c r="AZ716" t="str">
        <f>VLOOKUP(BA716,Sheet1!$A$1:$B$58,2,FALSE)</f>
        <v>2-Methyl-1-Butanol</v>
      </c>
      <c r="BA716" t="s">
        <v>82</v>
      </c>
      <c r="BB716" t="s">
        <v>83</v>
      </c>
      <c r="BC716">
        <v>88.14658</v>
      </c>
      <c r="BD716">
        <v>6</v>
      </c>
      <c r="BE716">
        <v>129</v>
      </c>
      <c r="BF716" t="s">
        <v>201</v>
      </c>
      <c r="BG716">
        <v>2.496409957141843</v>
      </c>
      <c r="BH716">
        <v>0.1</v>
      </c>
      <c r="BI716">
        <v>0.18738803051046399</v>
      </c>
      <c r="BJ716">
        <v>90</v>
      </c>
      <c r="BK716">
        <v>970.4102293277416</v>
      </c>
      <c r="BL716">
        <v>6.5643270193610217</v>
      </c>
      <c r="BM716">
        <v>3.3004779235235091</v>
      </c>
      <c r="BN716">
        <v>561.08124699899645</v>
      </c>
      <c r="BO716">
        <v>409.32898232874521</v>
      </c>
    </row>
    <row r="717" spans="1:67" x14ac:dyDescent="0.25">
      <c r="A717" s="1">
        <v>715</v>
      </c>
      <c r="B717" t="s">
        <v>200</v>
      </c>
      <c r="C717" t="s">
        <v>195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67</v>
      </c>
      <c r="J717">
        <v>1.4</v>
      </c>
      <c r="K717">
        <v>500</v>
      </c>
      <c r="L717">
        <v>66.666666666666657</v>
      </c>
      <c r="N717" t="s">
        <v>183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55484.586675216873</v>
      </c>
      <c r="Z717">
        <v>277422933.37608433</v>
      </c>
      <c r="AA717">
        <v>388392106.72651798</v>
      </c>
      <c r="AB717">
        <v>388392.10672651802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151.84960778072579</v>
      </c>
      <c r="AI717">
        <v>151.84960778072579</v>
      </c>
      <c r="AJ717">
        <v>12622.743468611839</v>
      </c>
      <c r="AK717">
        <v>854.70085470085473</v>
      </c>
      <c r="AL717" t="s">
        <v>69</v>
      </c>
      <c r="AM717">
        <v>11768.34460300625</v>
      </c>
      <c r="AN717">
        <v>604.09333033583061</v>
      </c>
      <c r="AO717">
        <v>25814.433322723391</v>
      </c>
      <c r="AP717">
        <v>25849.882256654779</v>
      </c>
      <c r="AQ717">
        <v>35.44893393138409</v>
      </c>
      <c r="AR717">
        <v>3.658402205791667E-3</v>
      </c>
      <c r="AS717">
        <v>79.48462356265901</v>
      </c>
      <c r="AT717">
        <v>74.104527518253605</v>
      </c>
      <c r="AU717">
        <v>3.8039377951279079</v>
      </c>
      <c r="AV717">
        <v>162.55186681423379</v>
      </c>
      <c r="AW717">
        <v>162.77508652682951</v>
      </c>
      <c r="AX717">
        <v>0.22321971259577719</v>
      </c>
      <c r="AY717">
        <v>0.97764066274307193</v>
      </c>
      <c r="AZ717" t="str">
        <f>VLOOKUP(BA717,Sheet1!$A$1:$B$58,2,FALSE)</f>
        <v>3-Methyl-1-Pentanol</v>
      </c>
      <c r="BA717" t="s">
        <v>87</v>
      </c>
      <c r="BB717" t="s">
        <v>88</v>
      </c>
      <c r="BC717">
        <v>102.17296</v>
      </c>
      <c r="BD717">
        <v>6</v>
      </c>
      <c r="BE717">
        <v>153</v>
      </c>
      <c r="BF717" t="s">
        <v>201</v>
      </c>
      <c r="BG717">
        <v>2.745409779638524</v>
      </c>
      <c r="BH717">
        <v>7.4102564102563995E-2</v>
      </c>
      <c r="BI717">
        <v>0.16095541454325099</v>
      </c>
      <c r="BJ717">
        <v>90</v>
      </c>
      <c r="BK717">
        <v>1123.6727125040759</v>
      </c>
      <c r="BL717">
        <v>1.540935442203156</v>
      </c>
      <c r="BM717">
        <v>4.0034616772826244</v>
      </c>
      <c r="BN717">
        <v>680.58848513804617</v>
      </c>
      <c r="BO717">
        <v>443.08422736602949</v>
      </c>
    </row>
    <row r="718" spans="1:67" x14ac:dyDescent="0.25">
      <c r="A718" s="1">
        <v>716</v>
      </c>
      <c r="B718" t="s">
        <v>200</v>
      </c>
      <c r="C718" t="s">
        <v>195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67</v>
      </c>
      <c r="J718">
        <v>1.4</v>
      </c>
      <c r="K718">
        <v>500</v>
      </c>
      <c r="L718">
        <v>66.666666666666657</v>
      </c>
      <c r="N718" t="s">
        <v>183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127638.6185620903</v>
      </c>
      <c r="Z718">
        <v>638193092.81045127</v>
      </c>
      <c r="AA718">
        <v>893470329.93463171</v>
      </c>
      <c r="AB718">
        <v>893470.32993463171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349.31997024291292</v>
      </c>
      <c r="AI718">
        <v>349.31997024291292</v>
      </c>
      <c r="AJ718">
        <v>29037.785722875531</v>
      </c>
      <c r="AK718">
        <v>854.70085470085473</v>
      </c>
      <c r="AL718" t="s">
        <v>69</v>
      </c>
      <c r="AM718">
        <v>27072.297693825749</v>
      </c>
      <c r="AN718">
        <v>1389.6767154089371</v>
      </c>
      <c r="AO718">
        <v>59384.394941295199</v>
      </c>
      <c r="AP718">
        <v>58354.460986811071</v>
      </c>
      <c r="AQ718">
        <v>-1029.933954484128</v>
      </c>
      <c r="AR718">
        <v>3.658402205791667E-3</v>
      </c>
      <c r="AS718">
        <v>79.48462356265901</v>
      </c>
      <c r="AT718">
        <v>74.104527518253605</v>
      </c>
      <c r="AU718">
        <v>3.8039377951279079</v>
      </c>
      <c r="AV718">
        <v>162.5518668142337</v>
      </c>
      <c r="AW718">
        <v>159.73264659379939</v>
      </c>
      <c r="AX718">
        <v>-2.8192202204343708</v>
      </c>
      <c r="AY718">
        <v>0.97764066274307171</v>
      </c>
      <c r="AZ718" t="str">
        <f>VLOOKUP(BA718,Sheet1!$A$1:$B$58,2,FALSE)</f>
        <v>4-Hydroxystyrene</v>
      </c>
      <c r="BA718" t="s">
        <v>89</v>
      </c>
      <c r="BB718" t="s">
        <v>90</v>
      </c>
      <c r="BC718">
        <v>120.14731999999999</v>
      </c>
      <c r="BD718">
        <v>4.75</v>
      </c>
      <c r="BE718">
        <v>229</v>
      </c>
      <c r="BF718" t="s">
        <v>201</v>
      </c>
      <c r="BG718">
        <v>3.8924160472442089</v>
      </c>
      <c r="BH718">
        <v>2.7393364928910001E-2</v>
      </c>
      <c r="BI718">
        <v>6.9967418557778993E-2</v>
      </c>
      <c r="BJ718">
        <v>90</v>
      </c>
      <c r="BK718">
        <v>2536.6195022757852</v>
      </c>
      <c r="BL718">
        <v>-44.770365638214287</v>
      </c>
      <c r="BM718">
        <v>11.63291596355192</v>
      </c>
      <c r="BN718">
        <v>1977.595713803827</v>
      </c>
      <c r="BO718">
        <v>559.02378847195769</v>
      </c>
    </row>
    <row r="719" spans="1:67" x14ac:dyDescent="0.25">
      <c r="A719" s="1">
        <v>717</v>
      </c>
      <c r="B719" t="s">
        <v>200</v>
      </c>
      <c r="C719" t="s">
        <v>195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67</v>
      </c>
      <c r="J719">
        <v>1.4</v>
      </c>
      <c r="K719">
        <v>500</v>
      </c>
      <c r="L719">
        <v>66.666666666666657</v>
      </c>
      <c r="N719" t="s">
        <v>183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38576.923946431663</v>
      </c>
      <c r="Z719">
        <v>192884619.7321583</v>
      </c>
      <c r="AA719">
        <v>270038467.62502158</v>
      </c>
      <c r="AB719">
        <v>270038.46762502159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105.5769020132048</v>
      </c>
      <c r="AI719">
        <v>105.5769020132048</v>
      </c>
      <c r="AJ719">
        <v>8776.2501978132041</v>
      </c>
      <c r="AK719">
        <v>854.70085470085473</v>
      </c>
      <c r="AL719" t="s">
        <v>69</v>
      </c>
      <c r="AM719">
        <v>8182.2099060233722</v>
      </c>
      <c r="AN719">
        <v>420.00966137359927</v>
      </c>
      <c r="AO719">
        <v>17948.073342244821</v>
      </c>
      <c r="AP719">
        <v>18233.17061991103</v>
      </c>
      <c r="AQ719">
        <v>285.0972776662129</v>
      </c>
      <c r="AR719">
        <v>3.658402205791667E-3</v>
      </c>
      <c r="AS719">
        <v>79.48462356265901</v>
      </c>
      <c r="AT719">
        <v>74.104527518253605</v>
      </c>
      <c r="AU719">
        <v>3.8039377951279079</v>
      </c>
      <c r="AV719">
        <v>162.55186681423379</v>
      </c>
      <c r="AW719">
        <v>165.1339319654397</v>
      </c>
      <c r="AX719">
        <v>2.5820651512059469</v>
      </c>
      <c r="AY719">
        <v>0.97764066274307182</v>
      </c>
      <c r="AZ719" t="str">
        <f>VLOOKUP(BA719,Sheet1!$A$1:$B$58,2,FALSE)</f>
        <v>Acetone</v>
      </c>
      <c r="BA719" t="s">
        <v>93</v>
      </c>
      <c r="BB719" t="s">
        <v>94</v>
      </c>
      <c r="BC719">
        <v>58.078139999999998</v>
      </c>
      <c r="BD719">
        <v>5.333333333333333</v>
      </c>
      <c r="BE719">
        <v>56</v>
      </c>
      <c r="BF719" t="s">
        <v>201</v>
      </c>
      <c r="BG719">
        <v>1.7681351365591249</v>
      </c>
      <c r="BH719">
        <v>0.1875</v>
      </c>
      <c r="BI719">
        <v>0.231499656672251</v>
      </c>
      <c r="BJ719">
        <v>90</v>
      </c>
      <c r="BK719">
        <v>792.58064251919734</v>
      </c>
      <c r="BL719">
        <v>12.392939671523971</v>
      </c>
      <c r="BM719">
        <v>2.9241716195833098</v>
      </c>
      <c r="BN719">
        <v>497.10917532916272</v>
      </c>
      <c r="BO719">
        <v>295.47146719003467</v>
      </c>
    </row>
    <row r="720" spans="1:67" x14ac:dyDescent="0.25">
      <c r="A720" s="1">
        <v>718</v>
      </c>
      <c r="B720" t="s">
        <v>200</v>
      </c>
      <c r="C720" t="s">
        <v>195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67</v>
      </c>
      <c r="J720">
        <v>1.4</v>
      </c>
      <c r="K720">
        <v>500</v>
      </c>
      <c r="L720">
        <v>66.666666666666657</v>
      </c>
      <c r="N720" t="s">
        <v>183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87968.253561504302</v>
      </c>
      <c r="Z720">
        <v>439841267.80752152</v>
      </c>
      <c r="AA720">
        <v>615777774.93053007</v>
      </c>
      <c r="AB720">
        <v>615777.77493053011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240.75055075496161</v>
      </c>
      <c r="AI720">
        <v>240.75055075496161</v>
      </c>
      <c r="AJ720">
        <v>20012.777685242228</v>
      </c>
      <c r="AK720">
        <v>854.70085470085473</v>
      </c>
      <c r="AL720" t="s">
        <v>69</v>
      </c>
      <c r="AM720">
        <v>18658.167683509531</v>
      </c>
      <c r="AN720">
        <v>957.76211813311147</v>
      </c>
      <c r="AO720">
        <v>40927.593628343478</v>
      </c>
      <c r="AP720">
        <v>40483.408341585717</v>
      </c>
      <c r="AQ720">
        <v>-444.18528675776179</v>
      </c>
      <c r="AR720">
        <v>3.658402205791667E-3</v>
      </c>
      <c r="AS720">
        <v>79.48462356265901</v>
      </c>
      <c r="AT720">
        <v>74.104527518253605</v>
      </c>
      <c r="AU720">
        <v>3.8039377951279079</v>
      </c>
      <c r="AV720">
        <v>162.5518668142337</v>
      </c>
      <c r="AW720">
        <v>160.78769889785059</v>
      </c>
      <c r="AX720">
        <v>-1.7641679163830799</v>
      </c>
      <c r="AY720">
        <v>0.97764066274307171</v>
      </c>
      <c r="AZ720" t="str">
        <f>VLOOKUP(BA720,Sheet1!$A$1:$B$58,2,FALSE)</f>
        <v>Acrylate (PW1)</v>
      </c>
      <c r="BA720" t="s">
        <v>95</v>
      </c>
      <c r="BB720" t="s">
        <v>96</v>
      </c>
      <c r="BC720">
        <v>71.053619999999995</v>
      </c>
      <c r="BD720">
        <v>3.666666666666667</v>
      </c>
      <c r="BE720">
        <v>80</v>
      </c>
      <c r="BF720" t="s">
        <v>201</v>
      </c>
      <c r="BG720">
        <v>2.30396448908638</v>
      </c>
      <c r="BH720">
        <v>6.7209302325581505E-2</v>
      </c>
      <c r="BI720">
        <v>0.10152008579807199</v>
      </c>
      <c r="BJ720">
        <v>90</v>
      </c>
      <c r="BK720">
        <v>1759.779824563371</v>
      </c>
      <c r="BL720">
        <v>-19.30836206795448</v>
      </c>
      <c r="BM720">
        <v>8.3960599889119152</v>
      </c>
      <c r="BN720">
        <v>1427.330198115025</v>
      </c>
      <c r="BO720">
        <v>332.44962644834573</v>
      </c>
    </row>
    <row r="721" spans="1:67" x14ac:dyDescent="0.25">
      <c r="A721" s="1">
        <v>719</v>
      </c>
      <c r="B721" t="s">
        <v>200</v>
      </c>
      <c r="C721" t="s">
        <v>195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67</v>
      </c>
      <c r="J721">
        <v>1.4</v>
      </c>
      <c r="K721">
        <v>500</v>
      </c>
      <c r="L721">
        <v>66.666666666666657</v>
      </c>
      <c r="N721" t="s">
        <v>183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34778.146756873903</v>
      </c>
      <c r="Z721">
        <v>173890733.7843695</v>
      </c>
      <c r="AA721">
        <v>243447027.29811731</v>
      </c>
      <c r="AB721">
        <v>243447.02729811729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95.180450298473517</v>
      </c>
      <c r="AI721">
        <v>95.180450298473517</v>
      </c>
      <c r="AJ721">
        <v>7912.0283871888132</v>
      </c>
      <c r="AK721">
        <v>854.70085470085473</v>
      </c>
      <c r="AL721" t="s">
        <v>69</v>
      </c>
      <c r="AM721">
        <v>7376.4848981316973</v>
      </c>
      <c r="AN721">
        <v>378.65013972704531</v>
      </c>
      <c r="AO721">
        <v>16180.6765507405</v>
      </c>
      <c r="AP721">
        <v>16521.86427974841</v>
      </c>
      <c r="AQ721">
        <v>341.18772900791191</v>
      </c>
      <c r="AR721">
        <v>3.658402205791667E-3</v>
      </c>
      <c r="AS721">
        <v>79.48462356265901</v>
      </c>
      <c r="AT721">
        <v>74.10452751825359</v>
      </c>
      <c r="AU721">
        <v>3.8039377951279079</v>
      </c>
      <c r="AV721">
        <v>162.5518668142337</v>
      </c>
      <c r="AW721">
        <v>165.97945540179541</v>
      </c>
      <c r="AX721">
        <v>3.4275885875616998</v>
      </c>
      <c r="AY721">
        <v>0.97764066274307171</v>
      </c>
      <c r="AZ721" t="str">
        <f>VLOOKUP(BA721,Sheet1!$A$1:$B$58,2,FALSE)</f>
        <v>Acrylate (PW2)</v>
      </c>
      <c r="BA721" t="s">
        <v>97</v>
      </c>
      <c r="BB721" t="s">
        <v>96</v>
      </c>
      <c r="BC721">
        <v>71.053619999999995</v>
      </c>
      <c r="BD721">
        <v>3.666666666666667</v>
      </c>
      <c r="BE721">
        <v>80</v>
      </c>
      <c r="BF721" t="s">
        <v>201</v>
      </c>
      <c r="BG721">
        <v>0.91086968173182625</v>
      </c>
      <c r="BH721">
        <v>0.17</v>
      </c>
      <c r="BI721">
        <v>0.25678609937159302</v>
      </c>
      <c r="BJ721">
        <v>90</v>
      </c>
      <c r="BK721">
        <v>718.1915904498826</v>
      </c>
      <c r="BL721">
        <v>14.831144572379269</v>
      </c>
      <c r="BM721">
        <v>3.319372553755886</v>
      </c>
      <c r="BN721">
        <v>564.29333413850065</v>
      </c>
      <c r="BO721">
        <v>153.89825631138191</v>
      </c>
    </row>
    <row r="722" spans="1:67" x14ac:dyDescent="0.25">
      <c r="A722" s="1">
        <v>720</v>
      </c>
      <c r="B722" t="s">
        <v>200</v>
      </c>
      <c r="C722" t="s">
        <v>195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67</v>
      </c>
      <c r="J722">
        <v>1.4</v>
      </c>
      <c r="K722">
        <v>500</v>
      </c>
      <c r="L722">
        <v>66.666666666666657</v>
      </c>
      <c r="N722" t="s">
        <v>183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129022.26244575781</v>
      </c>
      <c r="Z722">
        <v>645111312.22878885</v>
      </c>
      <c r="AA722">
        <v>903155837.12030435</v>
      </c>
      <c r="AB722">
        <v>903155.83712030435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353.10671163603132</v>
      </c>
      <c r="AI722">
        <v>353.10671163603132</v>
      </c>
      <c r="AJ722">
        <v>29352.564706409888</v>
      </c>
      <c r="AK722">
        <v>854.70085470085473</v>
      </c>
      <c r="AL722" t="s">
        <v>69</v>
      </c>
      <c r="AM722">
        <v>27365.770151792429</v>
      </c>
      <c r="AN722">
        <v>1404.741260209031</v>
      </c>
      <c r="AO722">
        <v>60028.140978125317</v>
      </c>
      <c r="AP722">
        <v>58977.776973112203</v>
      </c>
      <c r="AQ722">
        <v>-1050.3640050131221</v>
      </c>
      <c r="AR722">
        <v>3.658402205791667E-3</v>
      </c>
      <c r="AS722">
        <v>79.48462356265901</v>
      </c>
      <c r="AT722">
        <v>74.104527518253576</v>
      </c>
      <c r="AU722">
        <v>3.8039377951279079</v>
      </c>
      <c r="AV722">
        <v>162.5518668142337</v>
      </c>
      <c r="AW722">
        <v>159.70755701107689</v>
      </c>
      <c r="AX722">
        <v>-2.844309803156734</v>
      </c>
      <c r="AY722">
        <v>0.9776406627430716</v>
      </c>
      <c r="AZ722" t="str">
        <f>VLOOKUP(BA722,Sheet1!$A$1:$B$58,2,FALSE)</f>
        <v>Benzoate (PW1)</v>
      </c>
      <c r="BA722" t="s">
        <v>100</v>
      </c>
      <c r="BB722" t="s">
        <v>101</v>
      </c>
      <c r="BC722">
        <v>121.1121</v>
      </c>
      <c r="BD722">
        <v>4.1428571428571432</v>
      </c>
      <c r="BE722">
        <v>249.2</v>
      </c>
      <c r="BF722" t="s">
        <v>201</v>
      </c>
      <c r="BG722">
        <v>3.5608955938555731</v>
      </c>
      <c r="BH722">
        <v>2.6883720930233002E-2</v>
      </c>
      <c r="BI722">
        <v>6.9217083003989002E-2</v>
      </c>
      <c r="BJ722">
        <v>90</v>
      </c>
      <c r="BK722">
        <v>2563.7145256929148</v>
      </c>
      <c r="BL722">
        <v>-45.658442808801603</v>
      </c>
      <c r="BM722">
        <v>12.13273603441249</v>
      </c>
      <c r="BN722">
        <v>2062.565125850123</v>
      </c>
      <c r="BO722">
        <v>501.14939984279232</v>
      </c>
    </row>
    <row r="723" spans="1:67" x14ac:dyDescent="0.25">
      <c r="A723" s="1">
        <v>721</v>
      </c>
      <c r="B723" t="s">
        <v>200</v>
      </c>
      <c r="C723" t="s">
        <v>195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67</v>
      </c>
      <c r="J723">
        <v>1.4</v>
      </c>
      <c r="K723">
        <v>500</v>
      </c>
      <c r="L723">
        <v>66.666666666666657</v>
      </c>
      <c r="N723" t="s">
        <v>183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138623.91918590909</v>
      </c>
      <c r="Z723">
        <v>693119595.9295454</v>
      </c>
      <c r="AA723">
        <v>970367434.30136347</v>
      </c>
      <c r="AB723">
        <v>970367.43430136342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379.38442040895052</v>
      </c>
      <c r="AI723">
        <v>379.38442040895052</v>
      </c>
      <c r="AJ723">
        <v>31536.941614794308</v>
      </c>
      <c r="AK723">
        <v>854.70085470085473</v>
      </c>
      <c r="AL723" t="s">
        <v>69</v>
      </c>
      <c r="AM723">
        <v>29402.292581693669</v>
      </c>
      <c r="AN723">
        <v>1509.280144689724</v>
      </c>
      <c r="AO723">
        <v>64495.351469521593</v>
      </c>
      <c r="AP723">
        <v>63303.215195878547</v>
      </c>
      <c r="AQ723">
        <v>-1192.1362736430381</v>
      </c>
      <c r="AR723">
        <v>3.658402205791667E-3</v>
      </c>
      <c r="AS723">
        <v>79.48462356265901</v>
      </c>
      <c r="AT723">
        <v>74.104527518253605</v>
      </c>
      <c r="AU723">
        <v>3.8039377951279092</v>
      </c>
      <c r="AV723">
        <v>162.5518668142337</v>
      </c>
      <c r="AW723">
        <v>159.5472475298622</v>
      </c>
      <c r="AX723">
        <v>-3.0046192843714778</v>
      </c>
      <c r="AY723">
        <v>0.97764066274307182</v>
      </c>
      <c r="AZ723" t="str">
        <f>VLOOKUP(BA723,Sheet1!$A$1:$B$58,2,FALSE)</f>
        <v>Benzoate (PW2)</v>
      </c>
      <c r="BA723" t="s">
        <v>102</v>
      </c>
      <c r="BB723" t="s">
        <v>101</v>
      </c>
      <c r="BC723">
        <v>121.1121</v>
      </c>
      <c r="BD723">
        <v>4.1428571428571432</v>
      </c>
      <c r="BE723">
        <v>249.2</v>
      </c>
      <c r="BF723" t="s">
        <v>201</v>
      </c>
      <c r="BG723">
        <v>3.8123712713877378</v>
      </c>
      <c r="BH723">
        <v>2.5021645021645E-2</v>
      </c>
      <c r="BI723">
        <v>6.4422826172542996E-2</v>
      </c>
      <c r="BJ723">
        <v>90</v>
      </c>
      <c r="BK723">
        <v>2751.7376993494772</v>
      </c>
      <c r="BL723">
        <v>-51.82116448263983</v>
      </c>
      <c r="BM723">
        <v>13.04915852456562</v>
      </c>
      <c r="BN723">
        <v>2218.356949176155</v>
      </c>
      <c r="BO723">
        <v>533.3807501733213</v>
      </c>
    </row>
    <row r="724" spans="1:67" x14ac:dyDescent="0.25">
      <c r="A724" s="1">
        <v>722</v>
      </c>
      <c r="B724" t="s">
        <v>200</v>
      </c>
      <c r="C724" t="s">
        <v>195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67</v>
      </c>
      <c r="J724">
        <v>1.4</v>
      </c>
      <c r="K724">
        <v>500</v>
      </c>
      <c r="L724">
        <v>66.666666666666657</v>
      </c>
      <c r="N724" t="s">
        <v>183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91285.545574745076</v>
      </c>
      <c r="Z724">
        <v>456427727.87372541</v>
      </c>
      <c r="AA724">
        <v>638998819.02321553</v>
      </c>
      <c r="AB724">
        <v>638998.81902321556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249.82927912421781</v>
      </c>
      <c r="AI724">
        <v>249.82927912421781</v>
      </c>
      <c r="AJ724">
        <v>20767.461618254511</v>
      </c>
      <c r="AK724">
        <v>2170.1388888888891</v>
      </c>
      <c r="AL724" t="s">
        <v>107</v>
      </c>
      <c r="AM724">
        <v>19361.769132126879</v>
      </c>
      <c r="AN724">
        <v>993.87942746273416</v>
      </c>
      <c r="AO724">
        <v>42470.977451117033</v>
      </c>
      <c r="AP724">
        <v>43293.24906673302</v>
      </c>
      <c r="AQ724">
        <v>822.27161561598768</v>
      </c>
      <c r="AR724">
        <v>3.6584022057916678E-3</v>
      </c>
      <c r="AS724">
        <v>79.48462356265901</v>
      </c>
      <c r="AT724">
        <v>74.104527518253605</v>
      </c>
      <c r="AU724">
        <v>3.8039377951279079</v>
      </c>
      <c r="AV724">
        <v>162.5518668142337</v>
      </c>
      <c r="AW724">
        <v>165.69899914243541</v>
      </c>
      <c r="AX724">
        <v>3.147132328201713</v>
      </c>
      <c r="AY724">
        <v>0.97764066274307171</v>
      </c>
      <c r="AZ724" t="str">
        <f>VLOOKUP(BA724,Sheet1!$A$1:$B$58,2,FALSE)</f>
        <v>Butane</v>
      </c>
      <c r="BA724" t="s">
        <v>108</v>
      </c>
      <c r="BB724" t="s">
        <v>109</v>
      </c>
      <c r="BC724">
        <v>58.121200000000002</v>
      </c>
      <c r="BD724">
        <v>6.5</v>
      </c>
      <c r="BE724">
        <v>-1</v>
      </c>
      <c r="BF724" t="s">
        <v>201</v>
      </c>
      <c r="BG724">
        <v>4.2838742151676614</v>
      </c>
      <c r="BH724">
        <v>7.9178082191781005E-2</v>
      </c>
      <c r="BI724">
        <v>9.7830873363823997E-2</v>
      </c>
      <c r="BJ724">
        <v>90</v>
      </c>
      <c r="BK724">
        <v>1881.9212454790461</v>
      </c>
      <c r="BL724">
        <v>35.743457844821393</v>
      </c>
      <c r="BM724">
        <v>6.819649301464243</v>
      </c>
      <c r="BN724">
        <v>1159.3403812489209</v>
      </c>
      <c r="BO724">
        <v>722.58086423012423</v>
      </c>
    </row>
    <row r="725" spans="1:67" x14ac:dyDescent="0.25">
      <c r="A725" s="1">
        <v>723</v>
      </c>
      <c r="B725" t="s">
        <v>200</v>
      </c>
      <c r="C725" t="s">
        <v>195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67</v>
      </c>
      <c r="J725">
        <v>1.4</v>
      </c>
      <c r="K725">
        <v>500</v>
      </c>
      <c r="L725">
        <v>66.666666666666657</v>
      </c>
      <c r="N725" t="s">
        <v>183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45341.404699330531</v>
      </c>
      <c r="Z725">
        <v>226707023.49665269</v>
      </c>
      <c r="AA725">
        <v>317389832.89531368</v>
      </c>
      <c r="AB725">
        <v>317389.83289531368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124.089858686752</v>
      </c>
      <c r="AI725">
        <v>124.089858686752</v>
      </c>
      <c r="AJ725">
        <v>10315.169569097699</v>
      </c>
      <c r="AK725">
        <v>854.70085470085473</v>
      </c>
      <c r="AL725" t="s">
        <v>69</v>
      </c>
      <c r="AM725">
        <v>9616.9640482232771</v>
      </c>
      <c r="AN725">
        <v>493.65854209665878</v>
      </c>
      <c r="AO725">
        <v>21095.275976747831</v>
      </c>
      <c r="AP725">
        <v>21280.493014118489</v>
      </c>
      <c r="AQ725">
        <v>185.217037370654</v>
      </c>
      <c r="AR725">
        <v>3.658402205791667E-3</v>
      </c>
      <c r="AS725">
        <v>79.48462356265901</v>
      </c>
      <c r="AT725">
        <v>74.104527518253605</v>
      </c>
      <c r="AU725">
        <v>3.8039377951279079</v>
      </c>
      <c r="AV725">
        <v>162.5518668142337</v>
      </c>
      <c r="AW725">
        <v>163.97907616781541</v>
      </c>
      <c r="AX725">
        <v>1.4272093535816901</v>
      </c>
      <c r="AY725">
        <v>0.97764066274307171</v>
      </c>
      <c r="AZ725" t="str">
        <f>VLOOKUP(BA725,Sheet1!$A$1:$B$58,2,FALSE)</f>
        <v>Butanol (PW1)</v>
      </c>
      <c r="BA725" t="s">
        <v>110</v>
      </c>
      <c r="BB725" t="s">
        <v>111</v>
      </c>
      <c r="BC725">
        <v>74.120199999999997</v>
      </c>
      <c r="BD725">
        <v>6</v>
      </c>
      <c r="BE725">
        <v>117.7</v>
      </c>
      <c r="BF725" t="s">
        <v>201</v>
      </c>
      <c r="BG725">
        <v>2.3750610494844859</v>
      </c>
      <c r="BH725">
        <v>0.125</v>
      </c>
      <c r="BI725">
        <v>0.19696224032517301</v>
      </c>
      <c r="BJ725">
        <v>90</v>
      </c>
      <c r="BK725">
        <v>925.04519251504826</v>
      </c>
      <c r="BL725">
        <v>8.0512293525311236</v>
      </c>
      <c r="BM725">
        <v>3.1400437810378228</v>
      </c>
      <c r="BN725">
        <v>533.80744277642987</v>
      </c>
      <c r="BO725">
        <v>391.23774973861839</v>
      </c>
    </row>
    <row r="726" spans="1:67" x14ac:dyDescent="0.25">
      <c r="A726" s="1">
        <v>724</v>
      </c>
      <c r="B726" t="s">
        <v>200</v>
      </c>
      <c r="C726" t="s">
        <v>195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67</v>
      </c>
      <c r="J726">
        <v>1.4</v>
      </c>
      <c r="K726">
        <v>500</v>
      </c>
      <c r="L726">
        <v>66.666666666666657</v>
      </c>
      <c r="N726" t="s">
        <v>183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45341.404699330531</v>
      </c>
      <c r="Z726">
        <v>226707023.49665269</v>
      </c>
      <c r="AA726">
        <v>317389832.89531368</v>
      </c>
      <c r="AB726">
        <v>317389.83289531368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124.089858686752</v>
      </c>
      <c r="AI726">
        <v>124.089858686752</v>
      </c>
      <c r="AJ726">
        <v>10315.169569097699</v>
      </c>
      <c r="AK726">
        <v>854.70085470085473</v>
      </c>
      <c r="AL726" t="s">
        <v>69</v>
      </c>
      <c r="AM726">
        <v>9616.9640482232771</v>
      </c>
      <c r="AN726">
        <v>493.65854209665878</v>
      </c>
      <c r="AO726">
        <v>21095.275976747831</v>
      </c>
      <c r="AP726">
        <v>21280.493014118489</v>
      </c>
      <c r="AQ726">
        <v>185.217037370654</v>
      </c>
      <c r="AR726">
        <v>3.658402205791667E-3</v>
      </c>
      <c r="AS726">
        <v>79.48462356265901</v>
      </c>
      <c r="AT726">
        <v>74.104527518253605</v>
      </c>
      <c r="AU726">
        <v>3.8039377951279079</v>
      </c>
      <c r="AV726">
        <v>162.5518668142337</v>
      </c>
      <c r="AW726">
        <v>163.97907616781541</v>
      </c>
      <c r="AX726">
        <v>1.4272093535816901</v>
      </c>
      <c r="AY726">
        <v>0.97764066274307171</v>
      </c>
      <c r="AZ726" t="str">
        <f>VLOOKUP(BA726,Sheet1!$A$1:$B$58,2,FALSE)</f>
        <v>Butanol (PW2)</v>
      </c>
      <c r="BA726" t="s">
        <v>112</v>
      </c>
      <c r="BB726" t="s">
        <v>111</v>
      </c>
      <c r="BC726">
        <v>74.120199999999997</v>
      </c>
      <c r="BD726">
        <v>6</v>
      </c>
      <c r="BE726">
        <v>117.7</v>
      </c>
      <c r="BF726" t="s">
        <v>201</v>
      </c>
      <c r="BG726">
        <v>2.3750610494844859</v>
      </c>
      <c r="BH726">
        <v>0.125</v>
      </c>
      <c r="BI726">
        <v>0.19696224032517301</v>
      </c>
      <c r="BJ726">
        <v>90</v>
      </c>
      <c r="BK726">
        <v>925.04519251504826</v>
      </c>
      <c r="BL726">
        <v>8.0512293525311236</v>
      </c>
      <c r="BM726">
        <v>3.1400437810378228</v>
      </c>
      <c r="BN726">
        <v>533.80744277642987</v>
      </c>
      <c r="BO726">
        <v>391.23774973861839</v>
      </c>
    </row>
    <row r="727" spans="1:67" x14ac:dyDescent="0.25">
      <c r="A727" s="1">
        <v>725</v>
      </c>
      <c r="B727" t="s">
        <v>200</v>
      </c>
      <c r="C727" t="s">
        <v>195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67</v>
      </c>
      <c r="J727">
        <v>1.4</v>
      </c>
      <c r="K727">
        <v>500</v>
      </c>
      <c r="L727">
        <v>66.666666666666657</v>
      </c>
      <c r="N727" t="s">
        <v>183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32155.383449130491</v>
      </c>
      <c r="Z727">
        <v>160776917.24565241</v>
      </c>
      <c r="AA727">
        <v>225087684.14391339</v>
      </c>
      <c r="AB727">
        <v>225087.68414391339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88.002500466860013</v>
      </c>
      <c r="AI727">
        <v>88.002500466860013</v>
      </c>
      <c r="AJ727">
        <v>7315.3497346771856</v>
      </c>
      <c r="AK727">
        <v>854.70085470085473</v>
      </c>
      <c r="AL727" t="s">
        <v>69</v>
      </c>
      <c r="AM727">
        <v>6820.1937861816514</v>
      </c>
      <c r="AN727">
        <v>350.09457292555311</v>
      </c>
      <c r="AO727">
        <v>14960.425079366199</v>
      </c>
      <c r="AP727">
        <v>15340.338948485251</v>
      </c>
      <c r="AQ727">
        <v>379.91386911904192</v>
      </c>
      <c r="AR727">
        <v>3.658402205791667E-3</v>
      </c>
      <c r="AS727">
        <v>79.48462356265901</v>
      </c>
      <c r="AT727">
        <v>74.10452751825359</v>
      </c>
      <c r="AU727">
        <v>3.8039377951279079</v>
      </c>
      <c r="AV727">
        <v>162.5518668142337</v>
      </c>
      <c r="AW727">
        <v>166.67980491267011</v>
      </c>
      <c r="AX727">
        <v>4.1279380984363767</v>
      </c>
      <c r="AY727">
        <v>0.9776406627430716</v>
      </c>
      <c r="AZ727" t="str">
        <f>VLOOKUP(BA727,Sheet1!$A$1:$B$58,2,FALSE)</f>
        <v>Butyrate</v>
      </c>
      <c r="BA727" t="s">
        <v>113</v>
      </c>
      <c r="BB727" t="s">
        <v>114</v>
      </c>
      <c r="BC727">
        <v>87.095680000000002</v>
      </c>
      <c r="BD727">
        <v>4.75</v>
      </c>
      <c r="BE727">
        <v>163.5</v>
      </c>
      <c r="BF727" t="s">
        <v>201</v>
      </c>
      <c r="BG727">
        <v>1.347483595053165</v>
      </c>
      <c r="BH727">
        <v>0.15</v>
      </c>
      <c r="BI727">
        <v>0.27773093308616598</v>
      </c>
      <c r="BJ727">
        <v>90</v>
      </c>
      <c r="BK727">
        <v>666.83167473765639</v>
      </c>
      <c r="BL727">
        <v>16.514537420030699</v>
      </c>
      <c r="BM727">
        <v>2.5637386479183921</v>
      </c>
      <c r="BN727">
        <v>435.8355701461266</v>
      </c>
      <c r="BO727">
        <v>230.99610459152979</v>
      </c>
    </row>
    <row r="728" spans="1:67" x14ac:dyDescent="0.25">
      <c r="A728" s="1">
        <v>726</v>
      </c>
      <c r="B728" t="s">
        <v>200</v>
      </c>
      <c r="C728" t="s">
        <v>195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67</v>
      </c>
      <c r="J728">
        <v>1.4</v>
      </c>
      <c r="K728">
        <v>500</v>
      </c>
      <c r="L728">
        <v>66.666666666666657</v>
      </c>
      <c r="N728" t="s">
        <v>183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90429.583353527021</v>
      </c>
      <c r="Z728">
        <v>452147916.76763511</v>
      </c>
      <c r="AA728">
        <v>633007083.47468913</v>
      </c>
      <c r="AB728">
        <v>633007.08347468916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247.4866911127416</v>
      </c>
      <c r="AI728">
        <v>247.4866911127416</v>
      </c>
      <c r="AJ728">
        <v>20572.730212927399</v>
      </c>
      <c r="AK728">
        <v>854.70085470085473</v>
      </c>
      <c r="AL728" t="s">
        <v>69</v>
      </c>
      <c r="AM728">
        <v>19180.218561237471</v>
      </c>
      <c r="AN728">
        <v>984.56006329617674</v>
      </c>
      <c r="AO728">
        <v>42072.737489166073</v>
      </c>
      <c r="AP728">
        <v>41592.209692161901</v>
      </c>
      <c r="AQ728">
        <v>-480.52779700416431</v>
      </c>
      <c r="AR728">
        <v>3.658402205791667E-3</v>
      </c>
      <c r="AS728">
        <v>79.48462356265901</v>
      </c>
      <c r="AT728">
        <v>74.10452751825359</v>
      </c>
      <c r="AU728">
        <v>3.8039377951279079</v>
      </c>
      <c r="AV728">
        <v>162.5518668142337</v>
      </c>
      <c r="AW728">
        <v>160.6953037493922</v>
      </c>
      <c r="AX728">
        <v>-1.856563064841491</v>
      </c>
      <c r="AY728">
        <v>0.97764066274307171</v>
      </c>
      <c r="AZ728" t="str">
        <f>VLOOKUP(BA728,Sheet1!$A$1:$B$58,2,FALSE)</f>
        <v>Catechol</v>
      </c>
      <c r="BA728" t="s">
        <v>115</v>
      </c>
      <c r="BB728" t="s">
        <v>116</v>
      </c>
      <c r="BC728">
        <v>110.10924</v>
      </c>
      <c r="BD728">
        <v>4.333333333333333</v>
      </c>
      <c r="BE728">
        <v>245</v>
      </c>
      <c r="BF728" t="s">
        <v>201</v>
      </c>
      <c r="BG728">
        <v>2.5682758291127921</v>
      </c>
      <c r="BH728">
        <v>4.2189781021897799E-2</v>
      </c>
      <c r="BI728">
        <v>9.8756892577479202E-2</v>
      </c>
      <c r="BJ728">
        <v>90</v>
      </c>
      <c r="BK728">
        <v>1807.9784897974989</v>
      </c>
      <c r="BL728">
        <v>-20.888140523513151</v>
      </c>
      <c r="BM728">
        <v>8.4311326647868299</v>
      </c>
      <c r="BN728">
        <v>1433.2925530137611</v>
      </c>
      <c r="BO728">
        <v>374.68593678373799</v>
      </c>
    </row>
    <row r="729" spans="1:67" x14ac:dyDescent="0.25">
      <c r="A729" s="1">
        <v>727</v>
      </c>
      <c r="B729" t="s">
        <v>200</v>
      </c>
      <c r="C729" t="s">
        <v>195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67</v>
      </c>
      <c r="J729">
        <v>1.4</v>
      </c>
      <c r="K729">
        <v>500</v>
      </c>
      <c r="L729">
        <v>66.666666666666657</v>
      </c>
      <c r="N729" t="s">
        <v>183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26520.368704212349</v>
      </c>
      <c r="Z729">
        <v>132601843.5210617</v>
      </c>
      <c r="AA729">
        <v>185642580.92948639</v>
      </c>
      <c r="AB729">
        <v>185642.5809294864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72.580653966260087</v>
      </c>
      <c r="AI729">
        <v>72.580653966260087</v>
      </c>
      <c r="AJ729">
        <v>6033.3838802083083</v>
      </c>
      <c r="AK729">
        <v>854.70085470085473</v>
      </c>
      <c r="AL729" t="s">
        <v>69</v>
      </c>
      <c r="AM729">
        <v>5625.0006823851563</v>
      </c>
      <c r="AN729">
        <v>288.74285296636668</v>
      </c>
      <c r="AO729">
        <v>12338.711174264219</v>
      </c>
      <c r="AP729">
        <v>12801.82827026069</v>
      </c>
      <c r="AQ729">
        <v>463.11709599647111</v>
      </c>
      <c r="AR729">
        <v>3.658402205791667E-3</v>
      </c>
      <c r="AS729">
        <v>79.48462356265901</v>
      </c>
      <c r="AT729">
        <v>74.10452751825359</v>
      </c>
      <c r="AU729">
        <v>3.8039377951279079</v>
      </c>
      <c r="AV729">
        <v>162.5518668142337</v>
      </c>
      <c r="AW729">
        <v>168.65303471131779</v>
      </c>
      <c r="AX729">
        <v>6.1011678970840331</v>
      </c>
      <c r="AY729">
        <v>0.97764066274307171</v>
      </c>
      <c r="AZ729" t="str">
        <f>VLOOKUP(BA729,Sheet1!$A$1:$B$58,2,FALSE)</f>
        <v>Citrate</v>
      </c>
      <c r="BA729" t="s">
        <v>119</v>
      </c>
      <c r="BB729" t="s">
        <v>120</v>
      </c>
      <c r="BC729">
        <v>189.09639999999999</v>
      </c>
      <c r="BD729">
        <v>2.5</v>
      </c>
      <c r="BF729" t="s">
        <v>201</v>
      </c>
      <c r="BG729">
        <v>0.34548369605868118</v>
      </c>
      <c r="BH729">
        <v>8.3768115942028903E-2</v>
      </c>
      <c r="BI729">
        <v>0.33674285409357801</v>
      </c>
      <c r="BJ729">
        <v>90</v>
      </c>
      <c r="BK729">
        <v>556.48474351375046</v>
      </c>
      <c r="BL729">
        <v>20.131311945585139</v>
      </c>
      <c r="BM729">
        <v>2.8803231468862109</v>
      </c>
      <c r="BN729">
        <v>489.65493497065592</v>
      </c>
      <c r="BO729">
        <v>66.829808543094543</v>
      </c>
    </row>
    <row r="730" spans="1:67" x14ac:dyDescent="0.25">
      <c r="A730" s="1">
        <v>728</v>
      </c>
      <c r="B730" t="s">
        <v>200</v>
      </c>
      <c r="C730" t="s">
        <v>195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67</v>
      </c>
      <c r="J730">
        <v>1.4</v>
      </c>
      <c r="K730">
        <v>500</v>
      </c>
      <c r="L730">
        <v>66.666666666666657</v>
      </c>
      <c r="N730" t="s">
        <v>183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95778.924113998568</v>
      </c>
      <c r="Z730">
        <v>478894620.56999278</v>
      </c>
      <c r="AA730">
        <v>670452468.79798996</v>
      </c>
      <c r="AB730">
        <v>670452.46879799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262.12670818843651</v>
      </c>
      <c r="AI730">
        <v>262.12670818843651</v>
      </c>
      <c r="AJ730">
        <v>21789.705235934671</v>
      </c>
      <c r="AK730">
        <v>854.70085470085473</v>
      </c>
      <c r="AL730" t="s">
        <v>69</v>
      </c>
      <c r="AM730">
        <v>20314.819884603829</v>
      </c>
      <c r="AN730">
        <v>1042.8014825575351</v>
      </c>
      <c r="AO730">
        <v>44561.540392034207</v>
      </c>
      <c r="AP730">
        <v>44002.027457796888</v>
      </c>
      <c r="AQ730">
        <v>-559.5129342373184</v>
      </c>
      <c r="AR730">
        <v>3.658402205791667E-3</v>
      </c>
      <c r="AS730">
        <v>79.48462356265901</v>
      </c>
      <c r="AT730">
        <v>74.104527518253576</v>
      </c>
      <c r="AU730">
        <v>3.8039377951279079</v>
      </c>
      <c r="AV730">
        <v>162.5518668142337</v>
      </c>
      <c r="AW730">
        <v>160.5108720199145</v>
      </c>
      <c r="AX730">
        <v>-2.0409947943191882</v>
      </c>
      <c r="AY730">
        <v>0.97764066274307149</v>
      </c>
      <c r="AZ730" t="str">
        <f>VLOOKUP(BA730,Sheet1!$A$1:$B$58,2,FALSE)</f>
        <v>Coumaric Acid</v>
      </c>
      <c r="BA730" t="s">
        <v>121</v>
      </c>
      <c r="BB730" t="s">
        <v>122</v>
      </c>
      <c r="BC730">
        <v>163.14818</v>
      </c>
      <c r="BD730">
        <v>4.1111111111111107</v>
      </c>
      <c r="BE730">
        <v>346</v>
      </c>
      <c r="BF730" t="s">
        <v>201</v>
      </c>
      <c r="BG730">
        <v>2.643410078203726</v>
      </c>
      <c r="BH730">
        <v>2.6883720930232499E-2</v>
      </c>
      <c r="BI730">
        <v>9.3241229546921003E-2</v>
      </c>
      <c r="BJ730">
        <v>90</v>
      </c>
      <c r="BK730">
        <v>1912.7312479906029</v>
      </c>
      <c r="BL730">
        <v>-24.321558228131199</v>
      </c>
      <c r="BM730">
        <v>9.0066658412823415</v>
      </c>
      <c r="BN730">
        <v>1531.1331930179981</v>
      </c>
      <c r="BO730">
        <v>381.59805497260498</v>
      </c>
    </row>
    <row r="731" spans="1:67" x14ac:dyDescent="0.25">
      <c r="A731" s="1">
        <v>729</v>
      </c>
      <c r="B731" t="s">
        <v>200</v>
      </c>
      <c r="C731" t="s">
        <v>195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67</v>
      </c>
      <c r="J731">
        <v>1.4</v>
      </c>
      <c r="K731">
        <v>500</v>
      </c>
      <c r="L731">
        <v>66.666666666666657</v>
      </c>
      <c r="N731" t="s">
        <v>183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31787.549318832789</v>
      </c>
      <c r="Z731">
        <v>158937746.59416401</v>
      </c>
      <c r="AA731">
        <v>222512845.23182949</v>
      </c>
      <c r="AB731">
        <v>222512.8452318295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86.995816056628684</v>
      </c>
      <c r="AI731">
        <v>86.995816056628684</v>
      </c>
      <c r="AJ731">
        <v>7231.6674700344602</v>
      </c>
      <c r="AK731">
        <v>854.70085470085473</v>
      </c>
      <c r="AL731" t="s">
        <v>69</v>
      </c>
      <c r="AM731">
        <v>6742.1757443887227</v>
      </c>
      <c r="AN731">
        <v>346.08974639447661</v>
      </c>
      <c r="AO731">
        <v>14789.28872962688</v>
      </c>
      <c r="AP731">
        <v>15174.633815518509</v>
      </c>
      <c r="AQ731">
        <v>385.34508589163852</v>
      </c>
      <c r="AR731">
        <v>3.6584022057916678E-3</v>
      </c>
      <c r="AS731">
        <v>79.48462356265901</v>
      </c>
      <c r="AT731">
        <v>74.10452751825359</v>
      </c>
      <c r="AU731">
        <v>3.8039377951279079</v>
      </c>
      <c r="AV731">
        <v>162.5518668142337</v>
      </c>
      <c r="AW731">
        <v>166.78726746294069</v>
      </c>
      <c r="AX731">
        <v>4.2354006487070066</v>
      </c>
      <c r="AY731">
        <v>0.97764066274307182</v>
      </c>
      <c r="AZ731" t="str">
        <f>VLOOKUP(BA731,Sheet1!$A$1:$B$58,2,FALSE)</f>
        <v>Ethyl Acetate</v>
      </c>
      <c r="BA731" t="s">
        <v>123</v>
      </c>
      <c r="BB731" t="s">
        <v>124</v>
      </c>
      <c r="BC731">
        <v>88.103520000000003</v>
      </c>
      <c r="BD731">
        <v>5</v>
      </c>
      <c r="BE731">
        <v>77.099999999999994</v>
      </c>
      <c r="BF731" t="s">
        <v>201</v>
      </c>
      <c r="BG731">
        <v>1.332069365673471</v>
      </c>
      <c r="BH731">
        <v>0.15</v>
      </c>
      <c r="BI731">
        <v>0.28094473592462499</v>
      </c>
      <c r="BJ731">
        <v>90</v>
      </c>
      <c r="BK731">
        <v>659.62861151331083</v>
      </c>
      <c r="BL731">
        <v>16.75062786030681</v>
      </c>
      <c r="BM731">
        <v>2.5344113479544701</v>
      </c>
      <c r="BN731">
        <v>430.84992915225979</v>
      </c>
      <c r="BO731">
        <v>228.77868236105101</v>
      </c>
    </row>
    <row r="732" spans="1:67" x14ac:dyDescent="0.25">
      <c r="A732" s="1">
        <v>730</v>
      </c>
      <c r="B732" t="s">
        <v>200</v>
      </c>
      <c r="C732" t="s">
        <v>195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67</v>
      </c>
      <c r="J732">
        <v>1.4</v>
      </c>
      <c r="K732">
        <v>500</v>
      </c>
      <c r="L732">
        <v>66.666666666666657</v>
      </c>
      <c r="N732" t="s">
        <v>183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103143.04094005559</v>
      </c>
      <c r="Z732">
        <v>515715204.70027792</v>
      </c>
      <c r="AA732">
        <v>722001286.58038902</v>
      </c>
      <c r="AB732">
        <v>722001.28658038902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282.28074228503868</v>
      </c>
      <c r="AI732">
        <v>282.28074228503868</v>
      </c>
      <c r="AJ732">
        <v>23465.041813862641</v>
      </c>
      <c r="AK732">
        <v>1835.336538461539</v>
      </c>
      <c r="AL732" t="s">
        <v>84</v>
      </c>
      <c r="AM732">
        <v>21876.7575270905</v>
      </c>
      <c r="AN732">
        <v>1122.978953906023</v>
      </c>
      <c r="AO732">
        <v>47987.726188456589</v>
      </c>
      <c r="AP732">
        <v>48300.114833320709</v>
      </c>
      <c r="AQ732">
        <v>312.38864486412058</v>
      </c>
      <c r="AR732">
        <v>3.658402205791667E-3</v>
      </c>
      <c r="AS732">
        <v>79.48462356265901</v>
      </c>
      <c r="AT732">
        <v>74.104527518253605</v>
      </c>
      <c r="AU732">
        <v>3.803937795127907</v>
      </c>
      <c r="AV732">
        <v>162.5518668142337</v>
      </c>
      <c r="AW732">
        <v>163.61004067299939</v>
      </c>
      <c r="AX732">
        <v>1.058173858765709</v>
      </c>
      <c r="AY732">
        <v>0.97764066274307182</v>
      </c>
      <c r="AZ732" t="str">
        <f>VLOOKUP(BA732,Sheet1!$A$1:$B$58,2,FALSE)</f>
        <v>Farnesene</v>
      </c>
      <c r="BA732" t="s">
        <v>125</v>
      </c>
      <c r="BB732" t="s">
        <v>126</v>
      </c>
      <c r="BC732">
        <v>204.34866</v>
      </c>
      <c r="BD732">
        <v>5.6</v>
      </c>
      <c r="BE732" t="s">
        <v>127</v>
      </c>
      <c r="BF732" t="s">
        <v>201</v>
      </c>
      <c r="BG732">
        <v>3.9936085057410988</v>
      </c>
      <c r="BH732">
        <v>1.9931034482758798E-2</v>
      </c>
      <c r="BI732">
        <v>8.6584073609587503E-2</v>
      </c>
      <c r="BJ732">
        <v>90</v>
      </c>
      <c r="BK732">
        <v>2099.565503244939</v>
      </c>
      <c r="BL732">
        <v>13.579272526070049</v>
      </c>
      <c r="BM732">
        <v>8.5522022624828473</v>
      </c>
      <c r="BN732">
        <v>1453.8743846220841</v>
      </c>
      <c r="BO732">
        <v>645.69111862285536</v>
      </c>
    </row>
    <row r="733" spans="1:67" x14ac:dyDescent="0.25">
      <c r="A733" s="1">
        <v>731</v>
      </c>
      <c r="B733" t="s">
        <v>200</v>
      </c>
      <c r="C733" t="s">
        <v>195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67</v>
      </c>
      <c r="J733">
        <v>1.4</v>
      </c>
      <c r="K733">
        <v>500</v>
      </c>
      <c r="L733">
        <v>66.666666666666657</v>
      </c>
      <c r="N733" t="s">
        <v>183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71761.38999326613</v>
      </c>
      <c r="Z733">
        <v>358806949.96633059</v>
      </c>
      <c r="AA733">
        <v>502329729.95286292</v>
      </c>
      <c r="AB733">
        <v>502329.72995286278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196.39578443763489</v>
      </c>
      <c r="AI733">
        <v>196.39578443763489</v>
      </c>
      <c r="AJ733">
        <v>16325.71622346804</v>
      </c>
      <c r="AK733">
        <v>1835.336538461539</v>
      </c>
      <c r="AL733" t="s">
        <v>84</v>
      </c>
      <c r="AM733">
        <v>15220.67329391671</v>
      </c>
      <c r="AN733">
        <v>781.30846183132428</v>
      </c>
      <c r="AO733">
        <v>33387.283354397943</v>
      </c>
      <c r="AP733">
        <v>34163.034517677617</v>
      </c>
      <c r="AQ733">
        <v>775.75116327967407</v>
      </c>
      <c r="AR733">
        <v>3.658402205791667E-3</v>
      </c>
      <c r="AS733">
        <v>79.48462356265901</v>
      </c>
      <c r="AT733">
        <v>74.10452751825359</v>
      </c>
      <c r="AU733">
        <v>3.8039377951279079</v>
      </c>
      <c r="AV733">
        <v>162.5518668142337</v>
      </c>
      <c r="AW733">
        <v>166.32874792300521</v>
      </c>
      <c r="AX733">
        <v>3.7768811087714491</v>
      </c>
      <c r="AY733">
        <v>0.9776406627430716</v>
      </c>
      <c r="AZ733" t="str">
        <f>VLOOKUP(BA733,Sheet1!$A$1:$B$58,2,FALSE)</f>
        <v>Gamma Butyrolactone</v>
      </c>
      <c r="BA733" t="s">
        <v>128</v>
      </c>
      <c r="BB733" t="s">
        <v>129</v>
      </c>
      <c r="BC733">
        <v>86.08784</v>
      </c>
      <c r="BD733">
        <v>4.5</v>
      </c>
      <c r="BE733">
        <v>204</v>
      </c>
      <c r="BF733" t="s">
        <v>201</v>
      </c>
      <c r="BG733">
        <v>2.135103756677311</v>
      </c>
      <c r="BH733">
        <v>6.8000000000000005E-2</v>
      </c>
      <c r="BI733">
        <v>0.124447765712293</v>
      </c>
      <c r="BJ733">
        <v>90</v>
      </c>
      <c r="BK733">
        <v>1485.0384726207631</v>
      </c>
      <c r="BL733">
        <v>33.72125277848258</v>
      </c>
      <c r="BM733">
        <v>6.5935977738842402</v>
      </c>
      <c r="BN733">
        <v>1120.911621560321</v>
      </c>
      <c r="BO733">
        <v>364.12685106044228</v>
      </c>
    </row>
    <row r="734" spans="1:67" x14ac:dyDescent="0.25">
      <c r="A734" s="1">
        <v>732</v>
      </c>
      <c r="B734" t="s">
        <v>200</v>
      </c>
      <c r="C734" t="s">
        <v>195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67</v>
      </c>
      <c r="J734">
        <v>1.4</v>
      </c>
      <c r="K734">
        <v>500</v>
      </c>
      <c r="L734">
        <v>66.666666666666657</v>
      </c>
      <c r="N734" t="s">
        <v>183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30341.504324011439</v>
      </c>
      <c r="Z734">
        <v>151707521.6200572</v>
      </c>
      <c r="AA734">
        <v>212390530.26808009</v>
      </c>
      <c r="AB734">
        <v>212390.5302680801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83.038295987456351</v>
      </c>
      <c r="AI734">
        <v>83.038295987456351</v>
      </c>
      <c r="AJ734">
        <v>6902.6922337126034</v>
      </c>
      <c r="AK734">
        <v>854.70085470085473</v>
      </c>
      <c r="AL734" t="s">
        <v>69</v>
      </c>
      <c r="AM734">
        <v>6435.467939027867</v>
      </c>
      <c r="AN734">
        <v>330.34580399385169</v>
      </c>
      <c r="AO734">
        <v>14116.51031786758</v>
      </c>
      <c r="AP734">
        <v>14523.20683143518</v>
      </c>
      <c r="AQ734">
        <v>406.69651356759817</v>
      </c>
      <c r="AR734">
        <v>3.658402205791667E-3</v>
      </c>
      <c r="AS734">
        <v>79.48462356265901</v>
      </c>
      <c r="AT734">
        <v>74.104527518253605</v>
      </c>
      <c r="AU734">
        <v>3.803937795127907</v>
      </c>
      <c r="AV734">
        <v>162.55186681423379</v>
      </c>
      <c r="AW734">
        <v>167.23498438498191</v>
      </c>
      <c r="AX734">
        <v>4.6831175707481707</v>
      </c>
      <c r="AY734">
        <v>0.97764066274307182</v>
      </c>
      <c r="AZ734" t="str">
        <f>VLOOKUP(BA734,Sheet1!$A$1:$B$58,2,FALSE)</f>
        <v>L-Glutamate</v>
      </c>
      <c r="BA734" t="s">
        <v>130</v>
      </c>
      <c r="BB734" t="s">
        <v>131</v>
      </c>
      <c r="BC734">
        <v>146.11892</v>
      </c>
      <c r="BD734">
        <v>3.4</v>
      </c>
      <c r="BE734">
        <v>333.8</v>
      </c>
      <c r="BF734" t="s">
        <v>201</v>
      </c>
      <c r="BG734">
        <v>0.64407367287527673</v>
      </c>
      <c r="BH734">
        <v>9.4754098360655806E-2</v>
      </c>
      <c r="BI734">
        <v>0.29433427405915003</v>
      </c>
      <c r="BJ734">
        <v>90</v>
      </c>
      <c r="BK734">
        <v>631.31162658720632</v>
      </c>
      <c r="BL734">
        <v>17.67875652310974</v>
      </c>
      <c r="BM734">
        <v>3.0465172599005612</v>
      </c>
      <c r="BN734">
        <v>517.90793418309545</v>
      </c>
      <c r="BO734">
        <v>113.4036924041109</v>
      </c>
    </row>
    <row r="735" spans="1:67" x14ac:dyDescent="0.25">
      <c r="A735" s="1">
        <v>733</v>
      </c>
      <c r="B735" t="s">
        <v>200</v>
      </c>
      <c r="C735" t="s">
        <v>195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67</v>
      </c>
      <c r="J735">
        <v>1.4</v>
      </c>
      <c r="K735">
        <v>500</v>
      </c>
      <c r="L735">
        <v>66.666666666666657</v>
      </c>
      <c r="N735" t="s">
        <v>183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56174.314848089227</v>
      </c>
      <c r="Z735">
        <v>280871574.24044621</v>
      </c>
      <c r="AA735">
        <v>393220203.93662459</v>
      </c>
      <c r="AB735">
        <v>393220.20393662457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153.73724827337401</v>
      </c>
      <c r="AI735">
        <v>153.73724827337401</v>
      </c>
      <c r="AJ735">
        <v>12779.6566279403</v>
      </c>
      <c r="AK735">
        <v>854.70085470085473</v>
      </c>
      <c r="AL735" t="s">
        <v>69</v>
      </c>
      <c r="AM735">
        <v>11914.636741186479</v>
      </c>
      <c r="AN735">
        <v>611.60280664167146</v>
      </c>
      <c r="AO735">
        <v>26135.33220647358</v>
      </c>
      <c r="AP735">
        <v>26160.597030469311</v>
      </c>
      <c r="AQ735">
        <v>25.264823995734329</v>
      </c>
      <c r="AR735">
        <v>3.658402205791667E-3</v>
      </c>
      <c r="AS735">
        <v>79.48462356265901</v>
      </c>
      <c r="AT735">
        <v>74.10452751825359</v>
      </c>
      <c r="AU735">
        <v>3.8039377951279079</v>
      </c>
      <c r="AV735">
        <v>162.5518668142337</v>
      </c>
      <c r="AW735">
        <v>162.70900444970721</v>
      </c>
      <c r="AX735">
        <v>0.15713763547352591</v>
      </c>
      <c r="AY735">
        <v>0.97764066274307171</v>
      </c>
      <c r="AZ735" t="str">
        <f>VLOOKUP(BA735,Sheet1!$A$1:$B$58,2,FALSE)</f>
        <v>Glycolate</v>
      </c>
      <c r="BA735" t="s">
        <v>134</v>
      </c>
      <c r="BB735" t="s">
        <v>135</v>
      </c>
      <c r="BC735">
        <v>75.041920000000005</v>
      </c>
      <c r="BD735">
        <v>2.5</v>
      </c>
      <c r="BE735">
        <v>112</v>
      </c>
      <c r="BF735" t="s">
        <v>201</v>
      </c>
      <c r="BG735">
        <v>0.88478159064374406</v>
      </c>
      <c r="BH735">
        <v>9.9655172413793097E-2</v>
      </c>
      <c r="BI735">
        <v>0.15897914684355499</v>
      </c>
      <c r="BJ735">
        <v>90</v>
      </c>
      <c r="BK735">
        <v>1137.179223258777</v>
      </c>
      <c r="BL735">
        <v>1.098240720339104</v>
      </c>
      <c r="BM735">
        <v>5.9479849992839888</v>
      </c>
      <c r="BN735">
        <v>1011.157449878278</v>
      </c>
      <c r="BO735">
        <v>126.0217733804986</v>
      </c>
    </row>
    <row r="736" spans="1:67" x14ac:dyDescent="0.25">
      <c r="A736" s="1">
        <v>734</v>
      </c>
      <c r="B736" t="s">
        <v>200</v>
      </c>
      <c r="C736" t="s">
        <v>195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67</v>
      </c>
      <c r="J736">
        <v>1.4</v>
      </c>
      <c r="K736">
        <v>500</v>
      </c>
      <c r="L736">
        <v>66.666666666666657</v>
      </c>
      <c r="N736" t="s">
        <v>183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61489.900850217578</v>
      </c>
      <c r="Z736">
        <v>307449504.2510879</v>
      </c>
      <c r="AA736">
        <v>430429305.95152313</v>
      </c>
      <c r="AB736">
        <v>430429.30595152313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168.28488569694781</v>
      </c>
      <c r="AI736">
        <v>168.28488569694781</v>
      </c>
      <c r="AJ736">
        <v>13988.9524434245</v>
      </c>
      <c r="AK736">
        <v>854.70085470085473</v>
      </c>
      <c r="AL736" t="s">
        <v>69</v>
      </c>
      <c r="AM736">
        <v>13042.07864151345</v>
      </c>
      <c r="AN736">
        <v>669.47671799490388</v>
      </c>
      <c r="AO736">
        <v>28608.430568481119</v>
      </c>
      <c r="AP736">
        <v>28555.20865763371</v>
      </c>
      <c r="AQ736">
        <v>-53.221910847405518</v>
      </c>
      <c r="AR736">
        <v>3.658402205791667E-3</v>
      </c>
      <c r="AS736">
        <v>79.48462356265901</v>
      </c>
      <c r="AT736">
        <v>74.104527518253605</v>
      </c>
      <c r="AU736">
        <v>3.8039377951279079</v>
      </c>
      <c r="AV736">
        <v>162.55186681423379</v>
      </c>
      <c r="AW736">
        <v>162.24946221559779</v>
      </c>
      <c r="AX736">
        <v>-0.30240459863596869</v>
      </c>
      <c r="AY736">
        <v>0.97764066274307193</v>
      </c>
      <c r="AZ736" t="str">
        <f>VLOOKUP(BA736,Sheet1!$A$1:$B$58,2,FALSE)</f>
        <v>Heptane</v>
      </c>
      <c r="BA736" t="s">
        <v>136</v>
      </c>
      <c r="BB736" t="s">
        <v>137</v>
      </c>
      <c r="BC736">
        <v>100.20034</v>
      </c>
      <c r="BD736">
        <v>6.2857142857142856</v>
      </c>
      <c r="BE736">
        <v>98</v>
      </c>
      <c r="BF736" t="s">
        <v>201</v>
      </c>
      <c r="BG736">
        <v>3.3673538433103132</v>
      </c>
      <c r="BH736">
        <v>6.8181818181818205E-2</v>
      </c>
      <c r="BI736">
        <v>0.145235957866061</v>
      </c>
      <c r="BJ736">
        <v>90</v>
      </c>
      <c r="BK736">
        <v>1241.270983359422</v>
      </c>
      <c r="BL736">
        <v>-2.3135118501810021</v>
      </c>
      <c r="BM736">
        <v>4.1119744098873667</v>
      </c>
      <c r="BN736">
        <v>699.03564968085232</v>
      </c>
      <c r="BO736">
        <v>542.23533367856919</v>
      </c>
    </row>
    <row r="737" spans="1:67" x14ac:dyDescent="0.25">
      <c r="A737" s="1">
        <v>735</v>
      </c>
      <c r="B737" t="s">
        <v>200</v>
      </c>
      <c r="C737" t="s">
        <v>195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67</v>
      </c>
      <c r="J737">
        <v>1.4</v>
      </c>
      <c r="K737">
        <v>500</v>
      </c>
      <c r="L737">
        <v>66.666666666666657</v>
      </c>
      <c r="N737" t="s">
        <v>183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61748.705474475937</v>
      </c>
      <c r="Z737">
        <v>308743527.37237972</v>
      </c>
      <c r="AA737">
        <v>432240938.32133162</v>
      </c>
      <c r="AB737">
        <v>432240.93832133157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168.9931793518237</v>
      </c>
      <c r="AI737">
        <v>168.9931793518237</v>
      </c>
      <c r="AJ737">
        <v>14047.830495443281</v>
      </c>
      <c r="AK737">
        <v>854.70085470085473</v>
      </c>
      <c r="AL737" t="s">
        <v>69</v>
      </c>
      <c r="AM737">
        <v>13096.971399766329</v>
      </c>
      <c r="AN737">
        <v>672.29447616420782</v>
      </c>
      <c r="AO737">
        <v>28728.84048981002</v>
      </c>
      <c r="AP737">
        <v>28671.797226074668</v>
      </c>
      <c r="AQ737">
        <v>-57.043263735351502</v>
      </c>
      <c r="AR737">
        <v>3.658402205791667E-3</v>
      </c>
      <c r="AS737">
        <v>79.48462356265901</v>
      </c>
      <c r="AT737">
        <v>74.104527518253605</v>
      </c>
      <c r="AU737">
        <v>3.8039377951279079</v>
      </c>
      <c r="AV737">
        <v>162.5518668142337</v>
      </c>
      <c r="AW737">
        <v>162.22910791233349</v>
      </c>
      <c r="AX737">
        <v>-0.32275890190022782</v>
      </c>
      <c r="AY737">
        <v>0.97764066274307171</v>
      </c>
      <c r="AZ737" t="str">
        <f>VLOOKUP(BA737,Sheet1!$A$1:$B$58,2,FALSE)</f>
        <v>Hexane</v>
      </c>
      <c r="BA737" t="s">
        <v>138</v>
      </c>
      <c r="BB737" t="s">
        <v>139</v>
      </c>
      <c r="BC737">
        <v>86.173959999999994</v>
      </c>
      <c r="BD737">
        <v>6.333333333333333</v>
      </c>
      <c r="BE737">
        <v>69</v>
      </c>
      <c r="BF737" t="s">
        <v>201</v>
      </c>
      <c r="BG737">
        <v>3.404740828900052</v>
      </c>
      <c r="BH737">
        <v>7.8947368421052599E-2</v>
      </c>
      <c r="BI737">
        <v>0.144627236805182</v>
      </c>
      <c r="BJ737">
        <v>90</v>
      </c>
      <c r="BK737">
        <v>1246.3389906967971</v>
      </c>
      <c r="BL737">
        <v>-2.4796228568927119</v>
      </c>
      <c r="BM737">
        <v>4.10606714229211</v>
      </c>
      <c r="BN737">
        <v>698.03141418965868</v>
      </c>
      <c r="BO737">
        <v>548.30757650713838</v>
      </c>
    </row>
    <row r="738" spans="1:67" x14ac:dyDescent="0.25">
      <c r="A738" s="1">
        <v>736</v>
      </c>
      <c r="B738" t="s">
        <v>200</v>
      </c>
      <c r="C738" t="s">
        <v>195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67</v>
      </c>
      <c r="J738">
        <v>1.4</v>
      </c>
      <c r="K738">
        <v>500</v>
      </c>
      <c r="L738">
        <v>66.666666666666657</v>
      </c>
      <c r="N738" t="s">
        <v>183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39018.679528430846</v>
      </c>
      <c r="Z738">
        <v>195093397.64215419</v>
      </c>
      <c r="AA738">
        <v>273130756.69901592</v>
      </c>
      <c r="AB738">
        <v>273130.75669901591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106.7858938410467</v>
      </c>
      <c r="AI738">
        <v>106.7858938410467</v>
      </c>
      <c r="AJ738">
        <v>8876.7495927180171</v>
      </c>
      <c r="AK738">
        <v>854.70085470085473</v>
      </c>
      <c r="AL738" t="s">
        <v>69</v>
      </c>
      <c r="AM738">
        <v>8275.9067726811154</v>
      </c>
      <c r="AN738">
        <v>424.81931422884043</v>
      </c>
      <c r="AO738">
        <v>18153.60195297793</v>
      </c>
      <c r="AP738">
        <v>18432.176534328832</v>
      </c>
      <c r="AQ738">
        <v>278.57458135089468</v>
      </c>
      <c r="AR738">
        <v>3.658402205791667E-3</v>
      </c>
      <c r="AS738">
        <v>79.48462356265901</v>
      </c>
      <c r="AT738">
        <v>74.104527518253576</v>
      </c>
      <c r="AU738">
        <v>3.8039377951279079</v>
      </c>
      <c r="AV738">
        <v>162.5518668142337</v>
      </c>
      <c r="AW738">
        <v>165.0462928990886</v>
      </c>
      <c r="AX738">
        <v>2.4944260848549331</v>
      </c>
      <c r="AY738">
        <v>0.97764066274307149</v>
      </c>
      <c r="AZ738" t="str">
        <f>VLOOKUP(BA738,Sheet1!$A$1:$B$58,2,FALSE)</f>
        <v>Isobutanol</v>
      </c>
      <c r="BA738" t="s">
        <v>140</v>
      </c>
      <c r="BB738" t="s">
        <v>141</v>
      </c>
      <c r="BC738">
        <v>86.130899999999997</v>
      </c>
      <c r="BD738">
        <v>5.6</v>
      </c>
      <c r="BE738">
        <v>108</v>
      </c>
      <c r="BF738" t="s">
        <v>201</v>
      </c>
      <c r="BG738">
        <v>2.0438657903261199</v>
      </c>
      <c r="BH738">
        <v>0.125</v>
      </c>
      <c r="BI738">
        <v>0.22887870007398001</v>
      </c>
      <c r="BJ738">
        <v>90</v>
      </c>
      <c r="BK738">
        <v>801.23126279815961</v>
      </c>
      <c r="BL738">
        <v>12.109403530480771</v>
      </c>
      <c r="BM738">
        <v>2.7021739359426209</v>
      </c>
      <c r="BN738">
        <v>459.36956911024549</v>
      </c>
      <c r="BO738">
        <v>341.86169368791411</v>
      </c>
    </row>
    <row r="739" spans="1:67" x14ac:dyDescent="0.25">
      <c r="A739" s="1">
        <v>737</v>
      </c>
      <c r="B739" t="s">
        <v>200</v>
      </c>
      <c r="C739" t="s">
        <v>195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67</v>
      </c>
      <c r="J739">
        <v>1.4</v>
      </c>
      <c r="K739">
        <v>500</v>
      </c>
      <c r="L739">
        <v>66.666666666666657</v>
      </c>
      <c r="N739" t="s">
        <v>183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32155.383449130491</v>
      </c>
      <c r="Z739">
        <v>160776917.24565241</v>
      </c>
      <c r="AA739">
        <v>225087684.14391339</v>
      </c>
      <c r="AB739">
        <v>225087.68414391339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88.002500466860013</v>
      </c>
      <c r="AI739">
        <v>88.002500466860013</v>
      </c>
      <c r="AJ739">
        <v>7315.3497346771856</v>
      </c>
      <c r="AK739">
        <v>854.70085470085473</v>
      </c>
      <c r="AL739" t="s">
        <v>69</v>
      </c>
      <c r="AM739">
        <v>6820.1937861816514</v>
      </c>
      <c r="AN739">
        <v>350.09457292555311</v>
      </c>
      <c r="AO739">
        <v>14960.425079366199</v>
      </c>
      <c r="AP739">
        <v>15340.338948485251</v>
      </c>
      <c r="AQ739">
        <v>379.91386911904192</v>
      </c>
      <c r="AR739">
        <v>3.658402205791667E-3</v>
      </c>
      <c r="AS739">
        <v>79.48462356265901</v>
      </c>
      <c r="AT739">
        <v>74.10452751825359</v>
      </c>
      <c r="AU739">
        <v>3.8039377951279079</v>
      </c>
      <c r="AV739">
        <v>162.5518668142337</v>
      </c>
      <c r="AW739">
        <v>166.67980491267011</v>
      </c>
      <c r="AX739">
        <v>4.1279380984363767</v>
      </c>
      <c r="AY739">
        <v>0.9776406627430716</v>
      </c>
      <c r="AZ739" t="str">
        <f>VLOOKUP(BA739,Sheet1!$A$1:$B$58,2,FALSE)</f>
        <v>Isobutyrate</v>
      </c>
      <c r="BA739" t="s">
        <v>142</v>
      </c>
      <c r="BB739" t="s">
        <v>114</v>
      </c>
      <c r="BC739">
        <v>87.095680000000002</v>
      </c>
      <c r="BD739">
        <v>4.75</v>
      </c>
      <c r="BE739">
        <v>155</v>
      </c>
      <c r="BF739" t="s">
        <v>201</v>
      </c>
      <c r="BG739">
        <v>1.347483595053165</v>
      </c>
      <c r="BH739">
        <v>0.15</v>
      </c>
      <c r="BI739">
        <v>0.27773093308616598</v>
      </c>
      <c r="BJ739">
        <v>90</v>
      </c>
      <c r="BK739">
        <v>666.83167473765639</v>
      </c>
      <c r="BL739">
        <v>16.514537420030699</v>
      </c>
      <c r="BM739">
        <v>2.5637386479183921</v>
      </c>
      <c r="BN739">
        <v>435.8355701461266</v>
      </c>
      <c r="BO739">
        <v>230.99610459152979</v>
      </c>
    </row>
    <row r="740" spans="1:67" x14ac:dyDescent="0.25">
      <c r="A740" s="1">
        <v>738</v>
      </c>
      <c r="B740" t="s">
        <v>200</v>
      </c>
      <c r="C740" t="s">
        <v>195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67</v>
      </c>
      <c r="J740">
        <v>1.4</v>
      </c>
      <c r="K740">
        <v>500</v>
      </c>
      <c r="L740">
        <v>66.666666666666657</v>
      </c>
      <c r="N740" t="s">
        <v>183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104565.70357371229</v>
      </c>
      <c r="Z740">
        <v>522828517.86856139</v>
      </c>
      <c r="AA740">
        <v>731959925.01598597</v>
      </c>
      <c r="AB740">
        <v>731959.92501598597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286.17426976483449</v>
      </c>
      <c r="AI740">
        <v>286.17426976483449</v>
      </c>
      <c r="AJ740">
        <v>23788.697563019541</v>
      </c>
      <c r="AK740">
        <v>2170.1388888888891</v>
      </c>
      <c r="AL740" t="s">
        <v>107</v>
      </c>
      <c r="AM740">
        <v>22178.505906774681</v>
      </c>
      <c r="AN740">
        <v>1138.4683187874939</v>
      </c>
      <c r="AO740">
        <v>48649.625860021872</v>
      </c>
      <c r="AP740">
        <v>49275.810677470603</v>
      </c>
      <c r="AQ740">
        <v>626.18481744873134</v>
      </c>
      <c r="AR740">
        <v>3.658402205791667E-3</v>
      </c>
      <c r="AS740">
        <v>79.48462356265901</v>
      </c>
      <c r="AT740">
        <v>74.104527518253605</v>
      </c>
      <c r="AU740">
        <v>3.8039377951279079</v>
      </c>
      <c r="AV740">
        <v>162.55186681423379</v>
      </c>
      <c r="AW740">
        <v>164.64412362500329</v>
      </c>
      <c r="AX740">
        <v>2.0922568107695279</v>
      </c>
      <c r="AY740">
        <v>0.97764066274307182</v>
      </c>
      <c r="AZ740" t="str">
        <f>VLOOKUP(BA740,Sheet1!$A$1:$B$58,2,FALSE)</f>
        <v>Isoprene</v>
      </c>
      <c r="BA740" t="s">
        <v>143</v>
      </c>
      <c r="BB740" t="s">
        <v>144</v>
      </c>
      <c r="BC740">
        <v>68.116219999999998</v>
      </c>
      <c r="BD740">
        <v>5.6</v>
      </c>
      <c r="BE740">
        <v>34.07</v>
      </c>
      <c r="BF740" t="s">
        <v>201</v>
      </c>
      <c r="BG740">
        <v>4.0308692680637854</v>
      </c>
      <c r="BH740">
        <v>5.8979591836734797E-2</v>
      </c>
      <c r="BI740">
        <v>8.5406059002653703E-2</v>
      </c>
      <c r="BJ740">
        <v>90</v>
      </c>
      <c r="BK740">
        <v>2141.9781836931311</v>
      </c>
      <c r="BL740">
        <v>27.219729102260612</v>
      </c>
      <c r="BM740">
        <v>8.6879871659288597</v>
      </c>
      <c r="BN740">
        <v>1476.957818207906</v>
      </c>
      <c r="BO740">
        <v>665.02036548522437</v>
      </c>
    </row>
    <row r="741" spans="1:67" x14ac:dyDescent="0.25">
      <c r="A741" s="1">
        <v>739</v>
      </c>
      <c r="B741" t="s">
        <v>200</v>
      </c>
      <c r="C741" t="s">
        <v>195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67</v>
      </c>
      <c r="J741">
        <v>1.4</v>
      </c>
      <c r="K741">
        <v>500</v>
      </c>
      <c r="L741">
        <v>66.666666666666657</v>
      </c>
      <c r="N741" t="s">
        <v>183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41943.339405724037</v>
      </c>
      <c r="Z741">
        <v>209716697.02862021</v>
      </c>
      <c r="AA741">
        <v>293603375.84006822</v>
      </c>
      <c r="AB741">
        <v>293603.37584006821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114.7900708904067</v>
      </c>
      <c r="AI741">
        <v>114.7900708904067</v>
      </c>
      <c r="AJ741">
        <v>9542.1097148022163</v>
      </c>
      <c r="AK741">
        <v>854.70085470085473</v>
      </c>
      <c r="AL741" t="s">
        <v>69</v>
      </c>
      <c r="AM741">
        <v>8896.2304940065187</v>
      </c>
      <c r="AN741">
        <v>456.66180655406089</v>
      </c>
      <c r="AO741">
        <v>19514.312051369139</v>
      </c>
      <c r="AP741">
        <v>19749.702870063651</v>
      </c>
      <c r="AQ741">
        <v>235.3908186945155</v>
      </c>
      <c r="AR741">
        <v>3.6584022057916661E-3</v>
      </c>
      <c r="AS741">
        <v>79.484623562658996</v>
      </c>
      <c r="AT741">
        <v>74.104527518253605</v>
      </c>
      <c r="AU741">
        <v>3.8039377951279079</v>
      </c>
      <c r="AV741">
        <v>162.5518668142337</v>
      </c>
      <c r="AW741">
        <v>164.51264395610789</v>
      </c>
      <c r="AX741">
        <v>1.9607771418741999</v>
      </c>
      <c r="AY741">
        <v>0.97764066274307171</v>
      </c>
      <c r="AZ741" t="str">
        <f>VLOOKUP(BA741,Sheet1!$A$1:$B$58,2,FALSE)</f>
        <v>Isopropanol</v>
      </c>
      <c r="BA741" t="s">
        <v>145</v>
      </c>
      <c r="BB741" t="s">
        <v>79</v>
      </c>
      <c r="BC741">
        <v>60.093820000000001</v>
      </c>
      <c r="BD741">
        <v>6</v>
      </c>
      <c r="BE741">
        <v>82.5</v>
      </c>
      <c r="BF741" t="s">
        <v>201</v>
      </c>
      <c r="BG741">
        <v>2.1970645234401762</v>
      </c>
      <c r="BH741">
        <v>0.16666666666666699</v>
      </c>
      <c r="BI741">
        <v>0.212919256683022</v>
      </c>
      <c r="BJ741">
        <v>90</v>
      </c>
      <c r="BK741">
        <v>858.50302816914393</v>
      </c>
      <c r="BL741">
        <v>10.232241567480701</v>
      </c>
      <c r="BM741">
        <v>2.9047164050223442</v>
      </c>
      <c r="BN741">
        <v>493.80178885379843</v>
      </c>
      <c r="BO741">
        <v>364.7012393153455</v>
      </c>
    </row>
    <row r="742" spans="1:67" x14ac:dyDescent="0.25">
      <c r="A742" s="1">
        <v>740</v>
      </c>
      <c r="B742" t="s">
        <v>200</v>
      </c>
      <c r="C742" t="s">
        <v>195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67</v>
      </c>
      <c r="J742">
        <v>1.4</v>
      </c>
      <c r="K742">
        <v>500</v>
      </c>
      <c r="L742">
        <v>66.666666666666657</v>
      </c>
      <c r="N742" t="s">
        <v>183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32344.790940506031</v>
      </c>
      <c r="Z742">
        <v>161723954.70253009</v>
      </c>
      <c r="AA742">
        <v>226413536.5835422</v>
      </c>
      <c r="AB742">
        <v>226413.53658354221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88.520868810206693</v>
      </c>
      <c r="AI742">
        <v>88.520868810206693</v>
      </c>
      <c r="AJ742">
        <v>7358.4399389651217</v>
      </c>
      <c r="AK742">
        <v>854.70085470085473</v>
      </c>
      <c r="AL742" t="s">
        <v>69</v>
      </c>
      <c r="AM742">
        <v>6860.3673327910183</v>
      </c>
      <c r="AN742">
        <v>352.15676369080779</v>
      </c>
      <c r="AO742">
        <v>15048.547697735141</v>
      </c>
      <c r="AP742">
        <v>15425.6648901478</v>
      </c>
      <c r="AQ742">
        <v>377.11719241266661</v>
      </c>
      <c r="AR742">
        <v>3.6584022057916678E-3</v>
      </c>
      <c r="AS742">
        <v>79.48462356265901</v>
      </c>
      <c r="AT742">
        <v>74.10452751825359</v>
      </c>
      <c r="AU742">
        <v>3.8039377951279079</v>
      </c>
      <c r="AV742">
        <v>162.5518668142337</v>
      </c>
      <c r="AW742">
        <v>166.6254229384335</v>
      </c>
      <c r="AX742">
        <v>4.0735561241997704</v>
      </c>
      <c r="AY742">
        <v>0.97764066274307182</v>
      </c>
      <c r="AZ742" t="str">
        <f>VLOOKUP(BA742,Sheet1!$A$1:$B$58,2,FALSE)</f>
        <v>Itaconate</v>
      </c>
      <c r="BA742" t="s">
        <v>146</v>
      </c>
      <c r="BB742" t="s">
        <v>147</v>
      </c>
      <c r="BC742">
        <v>128.08086</v>
      </c>
      <c r="BD742">
        <v>3.2</v>
      </c>
      <c r="BE742">
        <v>381</v>
      </c>
      <c r="BF742" t="s">
        <v>201</v>
      </c>
      <c r="BG742">
        <v>0.67533246286570514</v>
      </c>
      <c r="BH742">
        <v>0.10140350877193</v>
      </c>
      <c r="BI742">
        <v>0.27610457169121999</v>
      </c>
      <c r="BJ742">
        <v>90</v>
      </c>
      <c r="BK742">
        <v>670.54072189551152</v>
      </c>
      <c r="BL742">
        <v>16.392968227975949</v>
      </c>
      <c r="BM742">
        <v>3.258928373143481</v>
      </c>
      <c r="BN742">
        <v>554.01782343439186</v>
      </c>
      <c r="BO742">
        <v>116.52289846111969</v>
      </c>
    </row>
    <row r="743" spans="1:67" x14ac:dyDescent="0.25">
      <c r="A743" s="1">
        <v>741</v>
      </c>
      <c r="B743" t="s">
        <v>200</v>
      </c>
      <c r="C743" t="s">
        <v>195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67</v>
      </c>
      <c r="J743">
        <v>1.4</v>
      </c>
      <c r="K743">
        <v>500</v>
      </c>
      <c r="L743">
        <v>66.666666666666657</v>
      </c>
      <c r="N743" t="s">
        <v>183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102431.7096232285</v>
      </c>
      <c r="Z743">
        <v>512158548.11614257</v>
      </c>
      <c r="AA743">
        <v>717021967.36259961</v>
      </c>
      <c r="AB743">
        <v>717021.96736259956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280.33397854514442</v>
      </c>
      <c r="AI743">
        <v>280.33397854514442</v>
      </c>
      <c r="AJ743">
        <v>23303.213939284491</v>
      </c>
      <c r="AK743">
        <v>854.70085470085473</v>
      </c>
      <c r="AL743" t="s">
        <v>69</v>
      </c>
      <c r="AM743">
        <v>21725.883337248692</v>
      </c>
      <c r="AN743">
        <v>1115.2342714653021</v>
      </c>
      <c r="AO743">
        <v>47656.776352674548</v>
      </c>
      <c r="AP743">
        <v>46999.032402699333</v>
      </c>
      <c r="AQ743">
        <v>-657.74394997522177</v>
      </c>
      <c r="AR743">
        <v>3.658402205791667E-3</v>
      </c>
      <c r="AS743">
        <v>79.48462356265901</v>
      </c>
      <c r="AT743">
        <v>74.10452751825359</v>
      </c>
      <c r="AU743">
        <v>3.8039377951279079</v>
      </c>
      <c r="AV743">
        <v>162.5518668142337</v>
      </c>
      <c r="AW743">
        <v>160.30837669305939</v>
      </c>
      <c r="AX743">
        <v>-2.243490121174315</v>
      </c>
      <c r="AY743">
        <v>0.97764066274307171</v>
      </c>
      <c r="AZ743" t="str">
        <f>VLOOKUP(BA743,Sheet1!$A$1:$B$58,2,FALSE)</f>
        <v>Limonene</v>
      </c>
      <c r="BA743" t="s">
        <v>148</v>
      </c>
      <c r="BB743" t="s">
        <v>149</v>
      </c>
      <c r="BC743">
        <v>136.23244</v>
      </c>
      <c r="BD743">
        <v>5.6</v>
      </c>
      <c r="BE743">
        <v>176</v>
      </c>
      <c r="BF743" t="s">
        <v>201</v>
      </c>
      <c r="BG743">
        <v>3.9749781245798101</v>
      </c>
      <c r="BH743">
        <v>3.0104166666666699E-2</v>
      </c>
      <c r="BI743">
        <v>8.7185351898542193E-2</v>
      </c>
      <c r="BJ743">
        <v>90</v>
      </c>
      <c r="BK743">
        <v>2043.008540644797</v>
      </c>
      <c r="BL743">
        <v>-28.59157813809863</v>
      </c>
      <c r="BM743">
        <v>8.4843098107599406</v>
      </c>
      <c r="BN743">
        <v>1442.3326678291901</v>
      </c>
      <c r="BO743">
        <v>600.67587281560691</v>
      </c>
    </row>
    <row r="744" spans="1:67" x14ac:dyDescent="0.25">
      <c r="A744" s="1">
        <v>742</v>
      </c>
      <c r="B744" t="s">
        <v>200</v>
      </c>
      <c r="C744" t="s">
        <v>195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67</v>
      </c>
      <c r="J744">
        <v>1.4</v>
      </c>
      <c r="K744">
        <v>500</v>
      </c>
      <c r="L744">
        <v>66.666666666666657</v>
      </c>
      <c r="N744" t="s">
        <v>183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38514.173582634583</v>
      </c>
      <c r="Z744">
        <v>192570867.9131729</v>
      </c>
      <c r="AA744">
        <v>269599215.07844198</v>
      </c>
      <c r="AB744">
        <v>269599.21507844201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105.40516750635049</v>
      </c>
      <c r="AI744">
        <v>105.40516750635049</v>
      </c>
      <c r="AJ744">
        <v>8761.9744900493661</v>
      </c>
      <c r="AK744">
        <v>854.70085470085473</v>
      </c>
      <c r="AL744" t="s">
        <v>69</v>
      </c>
      <c r="AM744">
        <v>8168.9004817421601</v>
      </c>
      <c r="AN744">
        <v>419.32646125411651</v>
      </c>
      <c r="AO744">
        <v>17918.878476079579</v>
      </c>
      <c r="AP744">
        <v>18204.902287746499</v>
      </c>
      <c r="AQ744">
        <v>286.0238116669243</v>
      </c>
      <c r="AR744">
        <v>3.658402205791667E-3</v>
      </c>
      <c r="AS744">
        <v>79.48462356265901</v>
      </c>
      <c r="AT744">
        <v>74.104527518253605</v>
      </c>
      <c r="AU744">
        <v>3.8039377951279092</v>
      </c>
      <c r="AV744">
        <v>162.5518668142337</v>
      </c>
      <c r="AW744">
        <v>165.1465439644721</v>
      </c>
      <c r="AX744">
        <v>2.5946771502383581</v>
      </c>
      <c r="AY744">
        <v>0.97764066274307193</v>
      </c>
      <c r="AZ744" t="str">
        <f>VLOOKUP(BA744,Sheet1!$A$1:$B$58,2,FALSE)</f>
        <v>L-Lysine</v>
      </c>
      <c r="BA744" t="s">
        <v>150</v>
      </c>
      <c r="BB744" t="s">
        <v>151</v>
      </c>
      <c r="BC744">
        <v>147.19319999999999</v>
      </c>
      <c r="BD744">
        <v>4.833333333333333</v>
      </c>
      <c r="BF744" t="s">
        <v>201</v>
      </c>
      <c r="BG744">
        <v>1.307714239507096</v>
      </c>
      <c r="BH744">
        <v>7.4102564102564106E-2</v>
      </c>
      <c r="BI744">
        <v>0.23187683437915199</v>
      </c>
      <c r="BJ744">
        <v>90</v>
      </c>
      <c r="BK744">
        <v>791.35184181651323</v>
      </c>
      <c r="BL744">
        <v>12.433215327848901</v>
      </c>
      <c r="BM744">
        <v>3.3769598718862581</v>
      </c>
      <c r="BN744">
        <v>574.08317822066385</v>
      </c>
      <c r="BO744">
        <v>217.2686635958494</v>
      </c>
    </row>
    <row r="745" spans="1:67" x14ac:dyDescent="0.25">
      <c r="A745" s="1">
        <v>743</v>
      </c>
      <c r="B745" t="s">
        <v>200</v>
      </c>
      <c r="C745" t="s">
        <v>195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67</v>
      </c>
      <c r="J745">
        <v>1.4</v>
      </c>
      <c r="K745">
        <v>500</v>
      </c>
      <c r="L745">
        <v>66.666666666666657</v>
      </c>
      <c r="N745" t="s">
        <v>183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25314.546048647098</v>
      </c>
      <c r="Z745">
        <v>126572730.2432355</v>
      </c>
      <c r="AA745">
        <v>177201822.34052971</v>
      </c>
      <c r="AB745">
        <v>177201.8223405297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69.280571758339775</v>
      </c>
      <c r="AI745">
        <v>69.280571758339775</v>
      </c>
      <c r="AJ745">
        <v>5759.0592260672156</v>
      </c>
      <c r="AK745">
        <v>854.70085470085473</v>
      </c>
      <c r="AL745" t="s">
        <v>69</v>
      </c>
      <c r="AM745">
        <v>5369.2443112713327</v>
      </c>
      <c r="AN745">
        <v>275.61435246840472</v>
      </c>
      <c r="AO745">
        <v>11777.69719891776</v>
      </c>
      <c r="AP745">
        <v>12258.61874450781</v>
      </c>
      <c r="AQ745">
        <v>480.92154559004672</v>
      </c>
      <c r="AR745">
        <v>3.658402205791667E-3</v>
      </c>
      <c r="AS745">
        <v>79.48462356265901</v>
      </c>
      <c r="AT745">
        <v>74.10452751825359</v>
      </c>
      <c r="AU745">
        <v>3.8039377951279079</v>
      </c>
      <c r="AV745">
        <v>162.5518668142337</v>
      </c>
      <c r="AW745">
        <v>169.1893863315492</v>
      </c>
      <c r="AX745">
        <v>6.6375195173155133</v>
      </c>
      <c r="AY745">
        <v>0.9776406627430716</v>
      </c>
      <c r="AZ745" t="str">
        <f>VLOOKUP(BA745,Sheet1!$A$1:$B$58,2,FALSE)</f>
        <v>L-Malate</v>
      </c>
      <c r="BA745" t="s">
        <v>152</v>
      </c>
      <c r="BB745" t="s">
        <v>153</v>
      </c>
      <c r="BC745">
        <v>132.06916000000001</v>
      </c>
      <c r="BD745">
        <v>2.5</v>
      </c>
      <c r="BF745" t="s">
        <v>201</v>
      </c>
      <c r="BG745">
        <v>0.32977531460734139</v>
      </c>
      <c r="BH745">
        <v>0.12565217391304301</v>
      </c>
      <c r="BI745">
        <v>0.35278312444981602</v>
      </c>
      <c r="BJ745">
        <v>90</v>
      </c>
      <c r="BK745">
        <v>532.8718807857723</v>
      </c>
      <c r="BL745">
        <v>20.905256444473821</v>
      </c>
      <c r="BM745">
        <v>2.7493612079855381</v>
      </c>
      <c r="BN745">
        <v>467.39140535754137</v>
      </c>
      <c r="BO745">
        <v>65.480475428230932</v>
      </c>
    </row>
    <row r="746" spans="1:67" x14ac:dyDescent="0.25">
      <c r="A746" s="1">
        <v>744</v>
      </c>
      <c r="B746" t="s">
        <v>200</v>
      </c>
      <c r="C746" t="s">
        <v>195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67</v>
      </c>
      <c r="J746">
        <v>1.4</v>
      </c>
      <c r="K746">
        <v>500</v>
      </c>
      <c r="L746">
        <v>66.666666666666657</v>
      </c>
      <c r="N746" t="s">
        <v>183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28489.654422804091</v>
      </c>
      <c r="Z746">
        <v>142448272.1140205</v>
      </c>
      <c r="AA746">
        <v>199427580.95962861</v>
      </c>
      <c r="AB746">
        <v>199427.5809596286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77.970173504844141</v>
      </c>
      <c r="AI746">
        <v>77.970173504844141</v>
      </c>
      <c r="AJ746">
        <v>6481.3963811879303</v>
      </c>
      <c r="AK746">
        <v>854.70085470085473</v>
      </c>
      <c r="AL746" t="s">
        <v>69</v>
      </c>
      <c r="AM746">
        <v>6042.6884466254214</v>
      </c>
      <c r="AN746">
        <v>310.18362488903563</v>
      </c>
      <c r="AO746">
        <v>13254.9294958235</v>
      </c>
      <c r="AP746">
        <v>13688.96930740324</v>
      </c>
      <c r="AQ746">
        <v>434.03981157973789</v>
      </c>
      <c r="AR746">
        <v>3.658402205791667E-3</v>
      </c>
      <c r="AS746">
        <v>79.48462356265901</v>
      </c>
      <c r="AT746">
        <v>74.10452751825359</v>
      </c>
      <c r="AU746">
        <v>3.8039377951279079</v>
      </c>
      <c r="AV746">
        <v>162.5518668142337</v>
      </c>
      <c r="AW746">
        <v>167.87471531872521</v>
      </c>
      <c r="AX746">
        <v>5.3228485044915379</v>
      </c>
      <c r="AY746">
        <v>0.97764066274307171</v>
      </c>
      <c r="AZ746" t="str">
        <f>VLOOKUP(BA746,Sheet1!$A$1:$B$58,2,FALSE)</f>
        <v>Malonate</v>
      </c>
      <c r="BA746" t="s">
        <v>154</v>
      </c>
      <c r="BB746" t="s">
        <v>155</v>
      </c>
      <c r="BC746">
        <v>102.04378</v>
      </c>
      <c r="BD746">
        <v>2</v>
      </c>
      <c r="BE746">
        <v>199</v>
      </c>
      <c r="BF746" t="s">
        <v>201</v>
      </c>
      <c r="BG746">
        <v>0.31488316595201321</v>
      </c>
      <c r="BH746">
        <v>0.14449999999999999</v>
      </c>
      <c r="BI746">
        <v>0.313466232918647</v>
      </c>
      <c r="BJ746">
        <v>90</v>
      </c>
      <c r="BK746">
        <v>595.04802073421149</v>
      </c>
      <c r="BL746">
        <v>18.867346766618478</v>
      </c>
      <c r="BM746">
        <v>3.1504578787077269</v>
      </c>
      <c r="BN746">
        <v>535.57783938031355</v>
      </c>
      <c r="BO746">
        <v>59.470181353897942</v>
      </c>
    </row>
    <row r="747" spans="1:67" x14ac:dyDescent="0.25">
      <c r="A747" s="1">
        <v>745</v>
      </c>
      <c r="B747" t="s">
        <v>200</v>
      </c>
      <c r="C747" t="s">
        <v>195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67</v>
      </c>
      <c r="J747">
        <v>1.4</v>
      </c>
      <c r="K747">
        <v>500</v>
      </c>
      <c r="L747">
        <v>66.666666666666657</v>
      </c>
      <c r="N747" t="s">
        <v>183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61142.116362534332</v>
      </c>
      <c r="Z747">
        <v>305710581.81267172</v>
      </c>
      <c r="AA747">
        <v>427994814.53774029</v>
      </c>
      <c r="AB747">
        <v>427994.81453774031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167.33307292854681</v>
      </c>
      <c r="AI747">
        <v>167.33307292854681</v>
      </c>
      <c r="AJ747">
        <v>13909.831472476561</v>
      </c>
      <c r="AK747">
        <v>854.70085470085473</v>
      </c>
      <c r="AL747" t="s">
        <v>69</v>
      </c>
      <c r="AM747">
        <v>12968.313151962369</v>
      </c>
      <c r="AN747">
        <v>665.69018371587038</v>
      </c>
      <c r="AO747">
        <v>28446.622397852949</v>
      </c>
      <c r="AP747">
        <v>28398.535662855658</v>
      </c>
      <c r="AQ747">
        <v>-48.086734997290478</v>
      </c>
      <c r="AR747">
        <v>3.658402205791667E-3</v>
      </c>
      <c r="AS747">
        <v>79.48462356265901</v>
      </c>
      <c r="AT747">
        <v>74.104527518253576</v>
      </c>
      <c r="AU747">
        <v>3.8039377951279079</v>
      </c>
      <c r="AV747">
        <v>162.5518668142337</v>
      </c>
      <c r="AW747">
        <v>162.2770859128849</v>
      </c>
      <c r="AX747">
        <v>-0.27478090134878391</v>
      </c>
      <c r="AY747">
        <v>0.97764066274307171</v>
      </c>
      <c r="AZ747" t="str">
        <f>VLOOKUP(BA747,Sheet1!$A$1:$B$58,2,FALSE)</f>
        <v>Nonane</v>
      </c>
      <c r="BA747" t="s">
        <v>156</v>
      </c>
      <c r="BB747" t="s">
        <v>157</v>
      </c>
      <c r="BC747">
        <v>128.25309999999999</v>
      </c>
      <c r="BD747">
        <v>6.2222222222222223</v>
      </c>
      <c r="BE747">
        <v>151</v>
      </c>
      <c r="BF747" t="s">
        <v>201</v>
      </c>
      <c r="BG747">
        <v>3.3171128027314731</v>
      </c>
      <c r="BH747">
        <v>5.3571428571428499E-2</v>
      </c>
      <c r="BI747">
        <v>0.14606207930582499</v>
      </c>
      <c r="BJ747">
        <v>90</v>
      </c>
      <c r="BK747">
        <v>1234.4605396107629</v>
      </c>
      <c r="BL747">
        <v>-2.090290060642618</v>
      </c>
      <c r="BM747">
        <v>4.1199126607594936</v>
      </c>
      <c r="BN747">
        <v>700.38515232911402</v>
      </c>
      <c r="BO747">
        <v>534.07538728164911</v>
      </c>
    </row>
    <row r="748" spans="1:67" x14ac:dyDescent="0.25">
      <c r="A748" s="1">
        <v>746</v>
      </c>
      <c r="B748" t="s">
        <v>200</v>
      </c>
      <c r="C748" t="s">
        <v>195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67</v>
      </c>
      <c r="J748">
        <v>1.4</v>
      </c>
      <c r="K748">
        <v>500</v>
      </c>
      <c r="L748">
        <v>66.666666666666657</v>
      </c>
      <c r="N748" t="s">
        <v>183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61294.655645430073</v>
      </c>
      <c r="Z748">
        <v>306473278.22715038</v>
      </c>
      <c r="AA748">
        <v>429062589.5180105</v>
      </c>
      <c r="AB748">
        <v>429062.5895180105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167.75054076361349</v>
      </c>
      <c r="AI748">
        <v>167.75054076361349</v>
      </c>
      <c r="AJ748">
        <v>13944.534159335341</v>
      </c>
      <c r="AK748">
        <v>854.70085470085473</v>
      </c>
      <c r="AL748" t="s">
        <v>69</v>
      </c>
      <c r="AM748">
        <v>13000.66690918004</v>
      </c>
      <c r="AN748">
        <v>667.35096861007753</v>
      </c>
      <c r="AO748">
        <v>28517.591929814291</v>
      </c>
      <c r="AP748">
        <v>28467.25289182632</v>
      </c>
      <c r="AQ748">
        <v>-50.339037987967458</v>
      </c>
      <c r="AR748">
        <v>3.658402205791667E-3</v>
      </c>
      <c r="AS748">
        <v>79.48462356265901</v>
      </c>
      <c r="AT748">
        <v>74.104527518253605</v>
      </c>
      <c r="AU748">
        <v>3.8039377951279079</v>
      </c>
      <c r="AV748">
        <v>162.55186681423379</v>
      </c>
      <c r="AW748">
        <v>162.26493148607861</v>
      </c>
      <c r="AX748">
        <v>-0.28693532815518968</v>
      </c>
      <c r="AY748">
        <v>0.97764066274307182</v>
      </c>
      <c r="AZ748" t="str">
        <f>VLOOKUP(BA748,Sheet1!$A$1:$B$58,2,FALSE)</f>
        <v>Octane</v>
      </c>
      <c r="BA748" t="s">
        <v>158</v>
      </c>
      <c r="BB748" t="s">
        <v>159</v>
      </c>
      <c r="BC748">
        <v>114.22672</v>
      </c>
      <c r="BD748">
        <v>6.25</v>
      </c>
      <c r="BE748">
        <v>126</v>
      </c>
      <c r="BF748" t="s">
        <v>201</v>
      </c>
      <c r="BG748">
        <v>3.339148668542713</v>
      </c>
      <c r="BH748">
        <v>5.9999999999999797E-2</v>
      </c>
      <c r="BI748">
        <v>0.14569858587232801</v>
      </c>
      <c r="BJ748">
        <v>90</v>
      </c>
      <c r="BK748">
        <v>1237.447619950495</v>
      </c>
      <c r="BL748">
        <v>-2.188195783608466</v>
      </c>
      <c r="BM748">
        <v>4.1164309209512187</v>
      </c>
      <c r="BN748">
        <v>699.79325656170715</v>
      </c>
      <c r="BO748">
        <v>537.65436338878737</v>
      </c>
    </row>
    <row r="749" spans="1:67" x14ac:dyDescent="0.25">
      <c r="A749" s="1">
        <v>747</v>
      </c>
      <c r="B749" t="s">
        <v>200</v>
      </c>
      <c r="C749" t="s">
        <v>195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67</v>
      </c>
      <c r="J749">
        <v>1.4</v>
      </c>
      <c r="K749">
        <v>500</v>
      </c>
      <c r="L749">
        <v>66.666666666666657</v>
      </c>
      <c r="N749" t="s">
        <v>183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62108.13972499744</v>
      </c>
      <c r="Z749">
        <v>310540698.62498719</v>
      </c>
      <c r="AA749">
        <v>434756978.07498199</v>
      </c>
      <c r="AB749">
        <v>434756.97807498212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169.9768750632856</v>
      </c>
      <c r="AI749">
        <v>169.9768750632856</v>
      </c>
      <c r="AJ749">
        <v>14129.601787436921</v>
      </c>
      <c r="AK749">
        <v>2170.1388888888891</v>
      </c>
      <c r="AL749" t="s">
        <v>107</v>
      </c>
      <c r="AM749">
        <v>13173.20781740464</v>
      </c>
      <c r="AN749">
        <v>676.2078482634771</v>
      </c>
      <c r="AO749">
        <v>28896.068760758561</v>
      </c>
      <c r="AP749">
        <v>30149.156341993919</v>
      </c>
      <c r="AQ749">
        <v>1253.087581235362</v>
      </c>
      <c r="AR749">
        <v>3.658402205791667E-3</v>
      </c>
      <c r="AS749">
        <v>79.48462356265901</v>
      </c>
      <c r="AT749">
        <v>74.104527518253605</v>
      </c>
      <c r="AU749">
        <v>3.8039377951279079</v>
      </c>
      <c r="AV749">
        <v>162.55186681423379</v>
      </c>
      <c r="AW749">
        <v>169.6009822941968</v>
      </c>
      <c r="AX749">
        <v>7.0491154799630804</v>
      </c>
      <c r="AY749">
        <v>0.97764066274307193</v>
      </c>
      <c r="AZ749" t="str">
        <f>VLOOKUP(BA749,Sheet1!$A$1:$B$58,2,FALSE)</f>
        <v>Pentane</v>
      </c>
      <c r="BA749" t="s">
        <v>160</v>
      </c>
      <c r="BB749" t="s">
        <v>161</v>
      </c>
      <c r="BC749">
        <v>72.147580000000005</v>
      </c>
      <c r="BD749">
        <v>6.4</v>
      </c>
      <c r="BE749">
        <v>36.1</v>
      </c>
      <c r="BF749" t="s">
        <v>201</v>
      </c>
      <c r="BG749">
        <v>3.4566647973500979</v>
      </c>
      <c r="BH749">
        <v>9.375E-2</v>
      </c>
      <c r="BI749">
        <v>0.143790245346474</v>
      </c>
      <c r="BJ749">
        <v>90</v>
      </c>
      <c r="BK749">
        <v>1310.5585530393</v>
      </c>
      <c r="BL749">
        <v>54.470666729997163</v>
      </c>
      <c r="BM749">
        <v>4.0978629832403746</v>
      </c>
      <c r="BN749">
        <v>696.63670715086369</v>
      </c>
      <c r="BO749">
        <v>613.92184588843634</v>
      </c>
    </row>
    <row r="750" spans="1:67" x14ac:dyDescent="0.25">
      <c r="A750" s="1">
        <v>748</v>
      </c>
      <c r="B750" t="s">
        <v>200</v>
      </c>
      <c r="C750" t="s">
        <v>195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67</v>
      </c>
      <c r="J750">
        <v>1.4</v>
      </c>
      <c r="K750">
        <v>500</v>
      </c>
      <c r="L750">
        <v>66.666666666666657</v>
      </c>
      <c r="N750" t="s">
        <v>183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58541.872526977517</v>
      </c>
      <c r="Z750">
        <v>292709362.63488758</v>
      </c>
      <c r="AA750">
        <v>409793107.68884271</v>
      </c>
      <c r="AB750">
        <v>409793.10768884257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160.2167541412264</v>
      </c>
      <c r="AI750">
        <v>160.2167541412264</v>
      </c>
      <c r="AJ750">
        <v>13318.27599988739</v>
      </c>
      <c r="AK750">
        <v>854.70085470085473</v>
      </c>
      <c r="AL750" t="s">
        <v>69</v>
      </c>
      <c r="AM750">
        <v>12416.79844594504</v>
      </c>
      <c r="AN750">
        <v>637.37979965368993</v>
      </c>
      <c r="AO750">
        <v>27236.848204008489</v>
      </c>
      <c r="AP750">
        <v>27227.15510018697</v>
      </c>
      <c r="AQ750">
        <v>-9.6931038215116132</v>
      </c>
      <c r="AR750">
        <v>3.658402205791667E-3</v>
      </c>
      <c r="AS750">
        <v>79.48462356265901</v>
      </c>
      <c r="AT750">
        <v>74.104527518253576</v>
      </c>
      <c r="AU750">
        <v>3.8039377951279079</v>
      </c>
      <c r="AV750">
        <v>162.5518668142337</v>
      </c>
      <c r="AW750">
        <v>162.49401753190821</v>
      </c>
      <c r="AX750">
        <v>-5.7849282325511953E-2</v>
      </c>
      <c r="AY750">
        <v>0.97764066274307149</v>
      </c>
      <c r="AZ750" t="str">
        <f>VLOOKUP(BA750,Sheet1!$A$1:$B$58,2,FALSE)</f>
        <v>Pentanol (PW1)</v>
      </c>
      <c r="BA750" t="s">
        <v>162</v>
      </c>
      <c r="BB750" t="s">
        <v>83</v>
      </c>
      <c r="BC750">
        <v>88.14658</v>
      </c>
      <c r="BD750">
        <v>6</v>
      </c>
      <c r="BE750">
        <v>138</v>
      </c>
      <c r="BF750" t="s">
        <v>201</v>
      </c>
      <c r="BG750">
        <v>2.7814671494798411</v>
      </c>
      <c r="BH750">
        <v>8.1408450704225394E-2</v>
      </c>
      <c r="BI750">
        <v>0.15254969244373001</v>
      </c>
      <c r="BJ750">
        <v>90</v>
      </c>
      <c r="BK750">
        <v>1183.5416084852791</v>
      </c>
      <c r="BL750">
        <v>-0.42135109767847861</v>
      </c>
      <c r="BM750">
        <v>4.339277479019108</v>
      </c>
      <c r="BN750">
        <v>737.6771714332483</v>
      </c>
      <c r="BO750">
        <v>445.86443705203101</v>
      </c>
    </row>
    <row r="751" spans="1:67" x14ac:dyDescent="0.25">
      <c r="A751" s="1">
        <v>749</v>
      </c>
      <c r="B751" t="s">
        <v>200</v>
      </c>
      <c r="C751" t="s">
        <v>195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67</v>
      </c>
      <c r="J751">
        <v>1.4</v>
      </c>
      <c r="K751">
        <v>500</v>
      </c>
      <c r="L751">
        <v>66.666666666666657</v>
      </c>
      <c r="N751" t="s">
        <v>183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58541.872526977917</v>
      </c>
      <c r="Z751">
        <v>292709362.6348896</v>
      </c>
      <c r="AA751">
        <v>409793107.6888454</v>
      </c>
      <c r="AB751">
        <v>409793.10768884543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160.21675414122751</v>
      </c>
      <c r="AI751">
        <v>160.21675414122751</v>
      </c>
      <c r="AJ751">
        <v>13318.275999887481</v>
      </c>
      <c r="AK751">
        <v>854.70085470085473</v>
      </c>
      <c r="AL751" t="s">
        <v>69</v>
      </c>
      <c r="AM751">
        <v>12416.798445945131</v>
      </c>
      <c r="AN751">
        <v>637.37979965369414</v>
      </c>
      <c r="AO751">
        <v>27236.848204008671</v>
      </c>
      <c r="AP751">
        <v>27227.155100187148</v>
      </c>
      <c r="AQ751">
        <v>-9.6931038215188892</v>
      </c>
      <c r="AR751">
        <v>3.658402205791667E-3</v>
      </c>
      <c r="AS751">
        <v>79.48462356265901</v>
      </c>
      <c r="AT751">
        <v>74.104527518253605</v>
      </c>
      <c r="AU751">
        <v>3.8039377951279079</v>
      </c>
      <c r="AV751">
        <v>162.5518668142337</v>
      </c>
      <c r="AW751">
        <v>162.4940175319081</v>
      </c>
      <c r="AX751">
        <v>-5.784928232556754E-2</v>
      </c>
      <c r="AY751">
        <v>0.97764066274307182</v>
      </c>
      <c r="AZ751" t="str">
        <f>VLOOKUP(BA751,Sheet1!$A$1:$B$58,2,FALSE)</f>
        <v>Pentanol (PW2)</v>
      </c>
      <c r="BA751" t="s">
        <v>163</v>
      </c>
      <c r="BB751" t="s">
        <v>83</v>
      </c>
      <c r="BC751">
        <v>88.14658</v>
      </c>
      <c r="BD751">
        <v>6</v>
      </c>
      <c r="BE751">
        <v>138</v>
      </c>
      <c r="BF751" t="s">
        <v>201</v>
      </c>
      <c r="BG751">
        <v>2.781467149479838</v>
      </c>
      <c r="BH751">
        <v>8.1408450704225296E-2</v>
      </c>
      <c r="BI751">
        <v>0.15254969244372901</v>
      </c>
      <c r="BJ751">
        <v>90</v>
      </c>
      <c r="BK751">
        <v>1183.541608485287</v>
      </c>
      <c r="BL751">
        <v>-0.42135109767888618</v>
      </c>
      <c r="BM751">
        <v>4.3392774790191604</v>
      </c>
      <c r="BN751">
        <v>737.67717143325717</v>
      </c>
      <c r="BO751">
        <v>445.86443705202942</v>
      </c>
    </row>
    <row r="752" spans="1:67" x14ac:dyDescent="0.25">
      <c r="A752" s="1">
        <v>750</v>
      </c>
      <c r="B752" t="s">
        <v>200</v>
      </c>
      <c r="C752" t="s">
        <v>195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67</v>
      </c>
      <c r="J752">
        <v>1.4</v>
      </c>
      <c r="K752">
        <v>500</v>
      </c>
      <c r="L752">
        <v>66.666666666666657</v>
      </c>
      <c r="N752" t="s">
        <v>183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146733.8956306355</v>
      </c>
      <c r="Z752">
        <v>733669478.15317762</v>
      </c>
      <c r="AA752">
        <v>1027137269.414449</v>
      </c>
      <c r="AB752">
        <v>1027137.269414449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401.57971492292597</v>
      </c>
      <c r="AI752">
        <v>401.57971492292597</v>
      </c>
      <c r="AJ752">
        <v>33381.961255969582</v>
      </c>
      <c r="AK752">
        <v>854.70085470085473</v>
      </c>
      <c r="AL752" t="s">
        <v>69</v>
      </c>
      <c r="AM752">
        <v>31122.427906526758</v>
      </c>
      <c r="AN752">
        <v>1597.578228410121</v>
      </c>
      <c r="AO752">
        <v>68268.551536897416</v>
      </c>
      <c r="AP752">
        <v>66956.668245607318</v>
      </c>
      <c r="AQ752">
        <v>-1311.883291290098</v>
      </c>
      <c r="AR752">
        <v>3.6584022057916678E-3</v>
      </c>
      <c r="AS752">
        <v>79.48462356265901</v>
      </c>
      <c r="AT752">
        <v>74.104527518253605</v>
      </c>
      <c r="AU752">
        <v>3.8039377951279079</v>
      </c>
      <c r="AV752">
        <v>162.55186681423379</v>
      </c>
      <c r="AW752">
        <v>159.4281872686621</v>
      </c>
      <c r="AX752">
        <v>-3.1236795455715809</v>
      </c>
      <c r="AY752">
        <v>0.97764066274307204</v>
      </c>
      <c r="AZ752" t="str">
        <f>VLOOKUP(BA752,Sheet1!$A$1:$B$58,2,FALSE)</f>
        <v>Phenol</v>
      </c>
      <c r="BA752" t="s">
        <v>164</v>
      </c>
      <c r="BB752" t="s">
        <v>165</v>
      </c>
      <c r="BC752">
        <v>94.11023999999999</v>
      </c>
      <c r="BD752">
        <v>4.666666666666667</v>
      </c>
      <c r="BE752">
        <v>181.7</v>
      </c>
      <c r="BF752" t="s">
        <v>201</v>
      </c>
      <c r="BG752">
        <v>4.3107304309554983</v>
      </c>
      <c r="BH752">
        <v>3.0421052631579001E-2</v>
      </c>
      <c r="BI752">
        <v>6.0862179189672697E-2</v>
      </c>
      <c r="BJ752">
        <v>90</v>
      </c>
      <c r="BK752">
        <v>2910.550240839415</v>
      </c>
      <c r="BL752">
        <v>-57.026466959369401</v>
      </c>
      <c r="BM752">
        <v>13.537256898952331</v>
      </c>
      <c r="BN752">
        <v>2301.3336728218951</v>
      </c>
      <c r="BO752">
        <v>609.21656801751942</v>
      </c>
    </row>
    <row r="753" spans="1:67" x14ac:dyDescent="0.25">
      <c r="A753" s="1">
        <v>751</v>
      </c>
      <c r="B753" t="s">
        <v>200</v>
      </c>
      <c r="C753" t="s">
        <v>195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67</v>
      </c>
      <c r="J753">
        <v>1.4</v>
      </c>
      <c r="K753">
        <v>500</v>
      </c>
      <c r="L753">
        <v>66.666666666666657</v>
      </c>
      <c r="N753" t="s">
        <v>183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63513.015523427966</v>
      </c>
      <c r="Z753">
        <v>317565077.61713982</v>
      </c>
      <c r="AA753">
        <v>444591108.66399568</v>
      </c>
      <c r="AB753">
        <v>444591.10866399581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173.82172372767329</v>
      </c>
      <c r="AI753">
        <v>173.82172372767329</v>
      </c>
      <c r="AJ753">
        <v>14449.21103157986</v>
      </c>
      <c r="AK753">
        <v>2170.1388888888891</v>
      </c>
      <c r="AL753" t="s">
        <v>107</v>
      </c>
      <c r="AM753">
        <v>13471.183588894681</v>
      </c>
      <c r="AN753">
        <v>691.50355740789053</v>
      </c>
      <c r="AO753">
        <v>29549.693033704461</v>
      </c>
      <c r="AP753">
        <v>30782.037066771321</v>
      </c>
      <c r="AQ753">
        <v>1232.3440330668641</v>
      </c>
      <c r="AR753">
        <v>3.658402205791667E-3</v>
      </c>
      <c r="AS753">
        <v>79.48462356265901</v>
      </c>
      <c r="AT753">
        <v>74.10452751825359</v>
      </c>
      <c r="AU753">
        <v>3.8039377951279079</v>
      </c>
      <c r="AV753">
        <v>162.5518668142337</v>
      </c>
      <c r="AW753">
        <v>169.33094986270791</v>
      </c>
      <c r="AX753">
        <v>6.7790830484741527</v>
      </c>
      <c r="AY753">
        <v>0.97764066274307171</v>
      </c>
      <c r="AZ753" t="str">
        <f>VLOOKUP(BA753,Sheet1!$A$1:$B$58,2,FALSE)</f>
        <v>Propane (PW1)</v>
      </c>
      <c r="BA753" t="s">
        <v>166</v>
      </c>
      <c r="BB753" t="s">
        <v>167</v>
      </c>
      <c r="BC753">
        <v>44.094819999999999</v>
      </c>
      <c r="BD753">
        <v>6.666666666666667</v>
      </c>
      <c r="BE753">
        <v>-42</v>
      </c>
      <c r="BF753" t="s">
        <v>201</v>
      </c>
      <c r="BG753">
        <v>3.6596135328367358</v>
      </c>
      <c r="BH753">
        <v>0.15</v>
      </c>
      <c r="BI753">
        <v>0.14060967780338299</v>
      </c>
      <c r="BJ753">
        <v>90</v>
      </c>
      <c r="BK753">
        <v>1338.069347620157</v>
      </c>
      <c r="BL753">
        <v>53.568962079816323</v>
      </c>
      <c r="BM753">
        <v>4.0657964106154107</v>
      </c>
      <c r="BN753">
        <v>691.18538980461983</v>
      </c>
      <c r="BO753">
        <v>646.88395781553743</v>
      </c>
    </row>
    <row r="754" spans="1:67" x14ac:dyDescent="0.25">
      <c r="A754" s="1">
        <v>752</v>
      </c>
      <c r="B754" t="s">
        <v>200</v>
      </c>
      <c r="C754" t="s">
        <v>195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67</v>
      </c>
      <c r="J754">
        <v>1.4</v>
      </c>
      <c r="K754">
        <v>500</v>
      </c>
      <c r="L754">
        <v>66.666666666666657</v>
      </c>
      <c r="N754" t="s">
        <v>183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63513.015523427966</v>
      </c>
      <c r="Z754">
        <v>317565077.61713982</v>
      </c>
      <c r="AA754">
        <v>444591108.66399568</v>
      </c>
      <c r="AB754">
        <v>444591.10866399581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173.82172372767329</v>
      </c>
      <c r="AI754">
        <v>173.82172372767329</v>
      </c>
      <c r="AJ754">
        <v>14449.21103157986</v>
      </c>
      <c r="AK754">
        <v>2170.1388888888891</v>
      </c>
      <c r="AL754" t="s">
        <v>107</v>
      </c>
      <c r="AM754">
        <v>13471.183588894681</v>
      </c>
      <c r="AN754">
        <v>691.50355740789053</v>
      </c>
      <c r="AO754">
        <v>29549.693033704461</v>
      </c>
      <c r="AP754">
        <v>30782.037066771321</v>
      </c>
      <c r="AQ754">
        <v>1232.3440330668641</v>
      </c>
      <c r="AR754">
        <v>3.658402205791667E-3</v>
      </c>
      <c r="AS754">
        <v>79.48462356265901</v>
      </c>
      <c r="AT754">
        <v>74.10452751825359</v>
      </c>
      <c r="AU754">
        <v>3.8039377951279079</v>
      </c>
      <c r="AV754">
        <v>162.5518668142337</v>
      </c>
      <c r="AW754">
        <v>169.33094986270791</v>
      </c>
      <c r="AX754">
        <v>6.7790830484741527</v>
      </c>
      <c r="AY754">
        <v>0.97764066274307171</v>
      </c>
      <c r="AZ754" t="str">
        <f>VLOOKUP(BA754,Sheet1!$A$1:$B$58,2,FALSE)</f>
        <v>Propane (PW2)</v>
      </c>
      <c r="BA754" t="s">
        <v>168</v>
      </c>
      <c r="BB754" t="s">
        <v>167</v>
      </c>
      <c r="BC754">
        <v>44.094819999999999</v>
      </c>
      <c r="BD754">
        <v>6.666666666666667</v>
      </c>
      <c r="BE754">
        <v>-42</v>
      </c>
      <c r="BF754" t="s">
        <v>201</v>
      </c>
      <c r="BG754">
        <v>3.6596135328367358</v>
      </c>
      <c r="BH754">
        <v>0.15</v>
      </c>
      <c r="BI754">
        <v>0.14060967780338299</v>
      </c>
      <c r="BJ754">
        <v>90</v>
      </c>
      <c r="BK754">
        <v>1338.069347620157</v>
      </c>
      <c r="BL754">
        <v>53.568962079816323</v>
      </c>
      <c r="BM754">
        <v>4.0657964106154107</v>
      </c>
      <c r="BN754">
        <v>691.18538980461983</v>
      </c>
      <c r="BO754">
        <v>646.88395781553743</v>
      </c>
    </row>
    <row r="755" spans="1:67" x14ac:dyDescent="0.25">
      <c r="A755" s="1">
        <v>753</v>
      </c>
      <c r="B755" t="s">
        <v>200</v>
      </c>
      <c r="C755" t="s">
        <v>195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67</v>
      </c>
      <c r="J755">
        <v>1.4</v>
      </c>
      <c r="K755">
        <v>500</v>
      </c>
      <c r="L755">
        <v>66.666666666666657</v>
      </c>
      <c r="N755" t="s">
        <v>183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59607.856535081759</v>
      </c>
      <c r="Z755">
        <v>298039282.67540878</v>
      </c>
      <c r="AA755">
        <v>417254995.74557233</v>
      </c>
      <c r="AB755">
        <v>417254.99574557232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163.134127473728</v>
      </c>
      <c r="AI755">
        <v>163.134127473728</v>
      </c>
      <c r="AJ755">
        <v>13560.7873617311</v>
      </c>
      <c r="AK755">
        <v>854.70085470085473</v>
      </c>
      <c r="AL755" t="s">
        <v>69</v>
      </c>
      <c r="AM755">
        <v>12642.89487921392</v>
      </c>
      <c r="AN755">
        <v>648.98579454574622</v>
      </c>
      <c r="AO755">
        <v>27732.801670533761</v>
      </c>
      <c r="AP755">
        <v>27707.368890191621</v>
      </c>
      <c r="AQ755">
        <v>-25.43278034214018</v>
      </c>
      <c r="AR755">
        <v>3.6584022057916678E-3</v>
      </c>
      <c r="AS755">
        <v>79.48462356265901</v>
      </c>
      <c r="AT755">
        <v>74.104527518253605</v>
      </c>
      <c r="AU755">
        <v>3.8039377951279079</v>
      </c>
      <c r="AV755">
        <v>162.5518668142337</v>
      </c>
      <c r="AW755">
        <v>162.40279619482769</v>
      </c>
      <c r="AX755">
        <v>-0.1490706194060297</v>
      </c>
      <c r="AY755">
        <v>0.97764066274307182</v>
      </c>
      <c r="AZ755" t="str">
        <f>VLOOKUP(BA755,Sheet1!$A$1:$B$58,2,FALSE)</f>
        <v>Shikimate</v>
      </c>
      <c r="BA755" t="s">
        <v>169</v>
      </c>
      <c r="BB755" t="s">
        <v>170</v>
      </c>
      <c r="BC755">
        <v>173.14045999999999</v>
      </c>
      <c r="BD755">
        <v>3.8571428571428572</v>
      </c>
      <c r="BE755">
        <v>400.5</v>
      </c>
      <c r="BF755" t="s">
        <v>201</v>
      </c>
      <c r="BG755">
        <v>1.5611812121672359</v>
      </c>
      <c r="BH755">
        <v>4.0704225352112697E-2</v>
      </c>
      <c r="BI755">
        <v>0.14982160352997201</v>
      </c>
      <c r="BJ755">
        <v>90</v>
      </c>
      <c r="BK755">
        <v>1204.416099387746</v>
      </c>
      <c r="BL755">
        <v>-1.1055416419242901</v>
      </c>
      <c r="BM755">
        <v>5.6892244533317884</v>
      </c>
      <c r="BN755">
        <v>967.16815706640398</v>
      </c>
      <c r="BO755">
        <v>237.24794232134249</v>
      </c>
    </row>
    <row r="756" spans="1:67" x14ac:dyDescent="0.25">
      <c r="A756" s="1">
        <v>754</v>
      </c>
      <c r="B756" t="s">
        <v>200</v>
      </c>
      <c r="C756" t="s">
        <v>195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67</v>
      </c>
      <c r="J756">
        <v>1.4</v>
      </c>
      <c r="K756">
        <v>500</v>
      </c>
      <c r="L756">
        <v>66.666666666666657</v>
      </c>
      <c r="N756" t="s">
        <v>183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145152.59148320931</v>
      </c>
      <c r="Z756">
        <v>725762957.41604674</v>
      </c>
      <c r="AA756">
        <v>1016068140.382465</v>
      </c>
      <c r="AB756">
        <v>1016068.140382465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397.25201908959002</v>
      </c>
      <c r="AI756">
        <v>397.25201908959002</v>
      </c>
      <c r="AJ756">
        <v>33022.214562430127</v>
      </c>
      <c r="AK756">
        <v>854.70085470085473</v>
      </c>
      <c r="AL756" t="s">
        <v>69</v>
      </c>
      <c r="AM756">
        <v>30787.031479443231</v>
      </c>
      <c r="AN756">
        <v>1580.36164005768</v>
      </c>
      <c r="AO756">
        <v>67532.84324523031</v>
      </c>
      <c r="AP756">
        <v>66244.308536631885</v>
      </c>
      <c r="AQ756">
        <v>-1288.5347085984249</v>
      </c>
      <c r="AR756">
        <v>3.658402205791667E-3</v>
      </c>
      <c r="AS756">
        <v>79.48462356265901</v>
      </c>
      <c r="AT756">
        <v>74.10452751825359</v>
      </c>
      <c r="AU756">
        <v>3.8039377951279079</v>
      </c>
      <c r="AV756">
        <v>162.5518668142337</v>
      </c>
      <c r="AW756">
        <v>159.45035779621381</v>
      </c>
      <c r="AX756">
        <v>-3.101509018019907</v>
      </c>
      <c r="AY756">
        <v>0.9776406627430716</v>
      </c>
      <c r="AZ756" t="str">
        <f>VLOOKUP(BA756,Sheet1!$A$1:$B$58,2,FALSE)</f>
        <v>Styrene</v>
      </c>
      <c r="BA756" t="s">
        <v>171</v>
      </c>
      <c r="BB756" t="s">
        <v>172</v>
      </c>
      <c r="BC756">
        <v>104.14832</v>
      </c>
      <c r="BD756">
        <v>5</v>
      </c>
      <c r="BE756">
        <v>145</v>
      </c>
      <c r="BF756" t="s">
        <v>201</v>
      </c>
      <c r="BG756">
        <v>4.6468125099183188</v>
      </c>
      <c r="BH756">
        <v>2.7788461538461501E-2</v>
      </c>
      <c r="BI756">
        <v>6.1525216724108697E-2</v>
      </c>
      <c r="BJ756">
        <v>90</v>
      </c>
      <c r="BK756">
        <v>2879.5845614403552</v>
      </c>
      <c r="BL756">
        <v>-56.011523642189218</v>
      </c>
      <c r="BM756">
        <v>13.00883278295235</v>
      </c>
      <c r="BN756">
        <v>2211.5015731018989</v>
      </c>
      <c r="BO756">
        <v>668.08298833845583</v>
      </c>
    </row>
    <row r="757" spans="1:67" x14ac:dyDescent="0.25">
      <c r="A757" s="1">
        <v>755</v>
      </c>
      <c r="B757" t="s">
        <v>200</v>
      </c>
      <c r="C757" t="s">
        <v>195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67</v>
      </c>
      <c r="J757">
        <v>1.4</v>
      </c>
      <c r="K757">
        <v>500</v>
      </c>
      <c r="L757">
        <v>66.666666666666657</v>
      </c>
      <c r="N757" t="s">
        <v>183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25673.02249692399</v>
      </c>
      <c r="Z757">
        <v>128365112.48462</v>
      </c>
      <c r="AA757">
        <v>179711157.47846791</v>
      </c>
      <c r="AB757">
        <v>179711.15747846791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70.261646167132085</v>
      </c>
      <c r="AI757">
        <v>70.261646167132085</v>
      </c>
      <c r="AJ757">
        <v>5840.6126180502079</v>
      </c>
      <c r="AK757">
        <v>854.70085470085473</v>
      </c>
      <c r="AL757" t="s">
        <v>69</v>
      </c>
      <c r="AM757">
        <v>5445.2775779527356</v>
      </c>
      <c r="AN757">
        <v>279.51729641127218</v>
      </c>
      <c r="AO757">
        <v>11944.479848412449</v>
      </c>
      <c r="AP757">
        <v>12420.108347115071</v>
      </c>
      <c r="AQ757">
        <v>475.62849870261562</v>
      </c>
      <c r="AR757">
        <v>3.658402205791667E-3</v>
      </c>
      <c r="AS757">
        <v>79.48462356265901</v>
      </c>
      <c r="AT757">
        <v>74.104527518253605</v>
      </c>
      <c r="AU757">
        <v>3.8039377951279079</v>
      </c>
      <c r="AV757">
        <v>162.5518668142337</v>
      </c>
      <c r="AW757">
        <v>169.02467277609711</v>
      </c>
      <c r="AX757">
        <v>6.4728059618634237</v>
      </c>
      <c r="AY757">
        <v>0.97764066274307193</v>
      </c>
      <c r="AZ757" t="str">
        <f>VLOOKUP(BA757,Sheet1!$A$1:$B$58,2,FALSE)</f>
        <v>Succinate</v>
      </c>
      <c r="BA757" t="s">
        <v>173</v>
      </c>
      <c r="BB757" t="s">
        <v>174</v>
      </c>
      <c r="BC757">
        <v>116.07016</v>
      </c>
      <c r="BD757">
        <v>3</v>
      </c>
      <c r="BE757">
        <v>235</v>
      </c>
      <c r="BF757" t="s">
        <v>201</v>
      </c>
      <c r="BG757">
        <v>0.48281500796512772</v>
      </c>
      <c r="BH757">
        <v>0.14097560975609699</v>
      </c>
      <c r="BI757">
        <v>0.34785715823450403</v>
      </c>
      <c r="BJ757">
        <v>90</v>
      </c>
      <c r="BK757">
        <v>539.89169843914635</v>
      </c>
      <c r="BL757">
        <v>20.675172133282022</v>
      </c>
      <c r="BM757">
        <v>2.6399248216851872</v>
      </c>
      <c r="BN757">
        <v>448.78721968648182</v>
      </c>
      <c r="BO757">
        <v>91.104478752664534</v>
      </c>
    </row>
    <row r="758" spans="1:67" x14ac:dyDescent="0.25">
      <c r="A758" s="1">
        <v>756</v>
      </c>
      <c r="B758" t="s">
        <v>202</v>
      </c>
      <c r="C758" t="s">
        <v>195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67</v>
      </c>
      <c r="J758">
        <v>1.4</v>
      </c>
      <c r="K758">
        <v>500</v>
      </c>
      <c r="L758">
        <v>50</v>
      </c>
      <c r="N758" t="s">
        <v>183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34918.488507563277</v>
      </c>
      <c r="Z758">
        <v>174592442.53781641</v>
      </c>
      <c r="AA758">
        <v>244429419.5529429</v>
      </c>
      <c r="AB758">
        <v>244429.41955294291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71.673402045963897</v>
      </c>
      <c r="AI758">
        <v>71.673402045963897</v>
      </c>
      <c r="AJ758">
        <v>7943.9561354706448</v>
      </c>
      <c r="AK758">
        <v>854.70085470085473</v>
      </c>
      <c r="AL758" t="s">
        <v>69</v>
      </c>
      <c r="AM758">
        <v>5554.6886585622024</v>
      </c>
      <c r="AN758">
        <v>380.17812291371598</v>
      </c>
      <c r="AO758">
        <v>12184.47834781386</v>
      </c>
      <c r="AP758">
        <v>14733.52377164742</v>
      </c>
      <c r="AQ758">
        <v>2549.0454238335551</v>
      </c>
      <c r="AR758">
        <v>4.8778696077222206E-3</v>
      </c>
      <c r="AS758">
        <v>103.70383552281319</v>
      </c>
      <c r="AT758">
        <v>72.513305613040401</v>
      </c>
      <c r="AU758">
        <v>4.9630094697999017</v>
      </c>
      <c r="AV758">
        <v>159.0614445705402</v>
      </c>
      <c r="AW758">
        <v>192.33778483041169</v>
      </c>
      <c r="AX758">
        <v>33.276340259871453</v>
      </c>
      <c r="AY758">
        <v>0.97764066274307149</v>
      </c>
      <c r="AZ758" t="str">
        <f>VLOOKUP(BA758,Sheet1!$A$1:$B$58,2,FALSE)</f>
        <v>1,3-Butanediol (PW1)</v>
      </c>
      <c r="BA758" t="s">
        <v>70</v>
      </c>
      <c r="BB758" t="s">
        <v>71</v>
      </c>
      <c r="BC758">
        <v>90.119200000000006</v>
      </c>
      <c r="BD758">
        <v>5.5</v>
      </c>
      <c r="BE758">
        <v>207</v>
      </c>
      <c r="BF758" t="s">
        <v>203</v>
      </c>
      <c r="BG758">
        <v>0.73252980496941833</v>
      </c>
      <c r="BH758">
        <v>0.18181818181818199</v>
      </c>
      <c r="BI758">
        <v>0.34100539211049102</v>
      </c>
      <c r="BJ758">
        <v>90</v>
      </c>
      <c r="BK758">
        <v>626.70167321672034</v>
      </c>
      <c r="BL758">
        <v>108.4255916630113</v>
      </c>
      <c r="BM758">
        <v>2.4529547304067552</v>
      </c>
      <c r="BN758">
        <v>417.00230416914832</v>
      </c>
      <c r="BO758">
        <v>209.69936904757199</v>
      </c>
    </row>
    <row r="759" spans="1:67" x14ac:dyDescent="0.25">
      <c r="A759" s="1">
        <v>757</v>
      </c>
      <c r="B759" t="s">
        <v>202</v>
      </c>
      <c r="C759" t="s">
        <v>195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67</v>
      </c>
      <c r="J759">
        <v>1.4</v>
      </c>
      <c r="K759">
        <v>500</v>
      </c>
      <c r="L759">
        <v>50</v>
      </c>
      <c r="N759" t="s">
        <v>183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34918.197822955488</v>
      </c>
      <c r="Z759">
        <v>174590989.11477739</v>
      </c>
      <c r="AA759">
        <v>244427384.76068839</v>
      </c>
      <c r="AB759">
        <v>244427.38476068841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71.672805389131028</v>
      </c>
      <c r="AI759">
        <v>71.672805389131028</v>
      </c>
      <c r="AJ759">
        <v>7943.8900047223733</v>
      </c>
      <c r="AK759">
        <v>854.70085470085473</v>
      </c>
      <c r="AL759" t="s">
        <v>69</v>
      </c>
      <c r="AM759">
        <v>5554.6424176576547</v>
      </c>
      <c r="AN759">
        <v>380.17495805941462</v>
      </c>
      <c r="AO759">
        <v>12184.37691615227</v>
      </c>
      <c r="AP759">
        <v>14733.408235140299</v>
      </c>
      <c r="AQ759">
        <v>2549.031318988023</v>
      </c>
      <c r="AR759">
        <v>4.8778696077222206E-3</v>
      </c>
      <c r="AS759">
        <v>103.70383552281319</v>
      </c>
      <c r="AT759">
        <v>72.513305613040416</v>
      </c>
      <c r="AU759">
        <v>4.9630094697999017</v>
      </c>
      <c r="AV759">
        <v>159.06144457054029</v>
      </c>
      <c r="AW759">
        <v>192.3378777147164</v>
      </c>
      <c r="AX759">
        <v>33.276433144176153</v>
      </c>
      <c r="AY759">
        <v>0.97764066274307171</v>
      </c>
      <c r="AZ759" t="str">
        <f>VLOOKUP(BA759,Sheet1!$A$1:$B$58,2,FALSE)</f>
        <v>1,3-Butanediol (PW2)</v>
      </c>
      <c r="BA759" t="s">
        <v>72</v>
      </c>
      <c r="BB759" t="s">
        <v>71</v>
      </c>
      <c r="BC759">
        <v>90.119200000000006</v>
      </c>
      <c r="BD759">
        <v>5.5</v>
      </c>
      <c r="BE759">
        <v>207</v>
      </c>
      <c r="BF759" t="s">
        <v>203</v>
      </c>
      <c r="BG759">
        <v>0.73252980496941833</v>
      </c>
      <c r="BH759">
        <v>0.18181818181818199</v>
      </c>
      <c r="BI759">
        <v>0.34100823088868798</v>
      </c>
      <c r="BJ759">
        <v>90</v>
      </c>
      <c r="BK759">
        <v>626.69675878325188</v>
      </c>
      <c r="BL759">
        <v>108.42499170264649</v>
      </c>
      <c r="BM759">
        <v>2.4529282123252938</v>
      </c>
      <c r="BN759">
        <v>416.99779609529998</v>
      </c>
      <c r="BO759">
        <v>209.69896268795179</v>
      </c>
    </row>
    <row r="760" spans="1:67" x14ac:dyDescent="0.25">
      <c r="A760" s="1">
        <v>758</v>
      </c>
      <c r="B760" t="s">
        <v>202</v>
      </c>
      <c r="C760" t="s">
        <v>195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67</v>
      </c>
      <c r="J760">
        <v>1.4</v>
      </c>
      <c r="K760">
        <v>500</v>
      </c>
      <c r="L760">
        <v>50</v>
      </c>
      <c r="N760" t="s">
        <v>183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53674.49250317047</v>
      </c>
      <c r="Z760">
        <v>268372462.5158523</v>
      </c>
      <c r="AA760">
        <v>375721447.52219331</v>
      </c>
      <c r="AB760">
        <v>375721.44752219331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110.1718214395091</v>
      </c>
      <c r="AI760">
        <v>110.1718214395091</v>
      </c>
      <c r="AJ760">
        <v>12210.947044471281</v>
      </c>
      <c r="AK760">
        <v>854.70085470085473</v>
      </c>
      <c r="AL760" t="s">
        <v>69</v>
      </c>
      <c r="AM760">
        <v>8538.3161615619574</v>
      </c>
      <c r="AN760">
        <v>584.385770414484</v>
      </c>
      <c r="AO760">
        <v>18729.20964471655</v>
      </c>
      <c r="AP760">
        <v>22188.349831148578</v>
      </c>
      <c r="AQ760">
        <v>3459.1401864320292</v>
      </c>
      <c r="AR760">
        <v>4.8778696077222206E-3</v>
      </c>
      <c r="AS760">
        <v>103.70383552281319</v>
      </c>
      <c r="AT760">
        <v>72.513305613040416</v>
      </c>
      <c r="AU760">
        <v>4.9630094697999017</v>
      </c>
      <c r="AV760">
        <v>159.0614445705402</v>
      </c>
      <c r="AW760">
        <v>188.43886334384661</v>
      </c>
      <c r="AX760">
        <v>29.377418773306371</v>
      </c>
      <c r="AY760">
        <v>0.97764066274307182</v>
      </c>
      <c r="AZ760" t="str">
        <f>VLOOKUP(BA760,Sheet1!$A$1:$B$58,2,FALSE)</f>
        <v>1,3-Diaminopropane</v>
      </c>
      <c r="BA760" t="s">
        <v>73</v>
      </c>
      <c r="BB760" t="s">
        <v>74</v>
      </c>
      <c r="BC760">
        <v>76.139580000000009</v>
      </c>
      <c r="BD760">
        <v>6</v>
      </c>
      <c r="BE760">
        <v>139.30000000000001</v>
      </c>
      <c r="BF760" t="s">
        <v>203</v>
      </c>
      <c r="BG760">
        <v>0.57801737283026766</v>
      </c>
      <c r="BH760">
        <v>0.14000000000000001</v>
      </c>
      <c r="BI760">
        <v>0.221844535646498</v>
      </c>
      <c r="BJ760">
        <v>90</v>
      </c>
      <c r="BK760">
        <v>943.79838663292935</v>
      </c>
      <c r="BL760">
        <v>147.13716666340679</v>
      </c>
      <c r="BM760">
        <v>4.3185080244812486</v>
      </c>
      <c r="BN760">
        <v>734.14636416181224</v>
      </c>
      <c r="BO760">
        <v>209.65202247111711</v>
      </c>
    </row>
    <row r="761" spans="1:67" x14ac:dyDescent="0.25">
      <c r="A761" s="1">
        <v>759</v>
      </c>
      <c r="B761" t="s">
        <v>202</v>
      </c>
      <c r="C761" t="s">
        <v>195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67</v>
      </c>
      <c r="J761">
        <v>1.4</v>
      </c>
      <c r="K761">
        <v>500</v>
      </c>
      <c r="L761">
        <v>50</v>
      </c>
      <c r="N761" t="s">
        <v>183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30076.186648182342</v>
      </c>
      <c r="Z761">
        <v>150380933.24091169</v>
      </c>
      <c r="AA761">
        <v>210533306.53727639</v>
      </c>
      <c r="AB761">
        <v>210533.3065372764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61.734133113399572</v>
      </c>
      <c r="AI761">
        <v>61.734133113399572</v>
      </c>
      <c r="AJ761">
        <v>6842.3324624614816</v>
      </c>
      <c r="AK761">
        <v>854.70085470085473</v>
      </c>
      <c r="AL761" t="s">
        <v>69</v>
      </c>
      <c r="AM761">
        <v>4784.3953162884673</v>
      </c>
      <c r="AN761">
        <v>327.45713440121779</v>
      </c>
      <c r="AO761">
        <v>10494.80262927793</v>
      </c>
      <c r="AP761">
        <v>12808.88576785202</v>
      </c>
      <c r="AQ761">
        <v>2314.0831385740971</v>
      </c>
      <c r="AR761">
        <v>4.8778696077222223E-3</v>
      </c>
      <c r="AS761">
        <v>103.70383552281319</v>
      </c>
      <c r="AT761">
        <v>72.513305613040416</v>
      </c>
      <c r="AU761">
        <v>4.9630094697999017</v>
      </c>
      <c r="AV761">
        <v>159.0614445705402</v>
      </c>
      <c r="AW761">
        <v>194.1341772249942</v>
      </c>
      <c r="AX761">
        <v>35.072732654453993</v>
      </c>
      <c r="AY761">
        <v>0.97764066274307171</v>
      </c>
      <c r="AZ761" t="str">
        <f>VLOOKUP(BA761,Sheet1!$A$1:$B$58,2,FALSE)</f>
        <v>1,3-Propanediol</v>
      </c>
      <c r="BA761" t="s">
        <v>75</v>
      </c>
      <c r="BB761" t="s">
        <v>76</v>
      </c>
      <c r="BC761">
        <v>76.092820000000003</v>
      </c>
      <c r="BD761">
        <v>5.333333333333333</v>
      </c>
      <c r="BE761">
        <v>213</v>
      </c>
      <c r="BF761" t="s">
        <v>203</v>
      </c>
      <c r="BG761">
        <v>0.57837257181426571</v>
      </c>
      <c r="BH761">
        <v>0.25</v>
      </c>
      <c r="BI761">
        <v>0.39590766624488</v>
      </c>
      <c r="BJ761">
        <v>90</v>
      </c>
      <c r="BK761">
        <v>544.83572749936422</v>
      </c>
      <c r="BL761">
        <v>98.43129161658986</v>
      </c>
      <c r="BM761">
        <v>2.1653666776701601</v>
      </c>
      <c r="BN761">
        <v>368.11233520392722</v>
      </c>
      <c r="BO761">
        <v>176.72339229543701</v>
      </c>
    </row>
    <row r="762" spans="1:67" x14ac:dyDescent="0.25">
      <c r="A762" s="1">
        <v>760</v>
      </c>
      <c r="B762" t="s">
        <v>202</v>
      </c>
      <c r="C762" t="s">
        <v>195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67</v>
      </c>
      <c r="J762">
        <v>1.4</v>
      </c>
      <c r="K762">
        <v>500</v>
      </c>
      <c r="L762">
        <v>50</v>
      </c>
      <c r="N762" t="s">
        <v>183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68894.546154182957</v>
      </c>
      <c r="Z762">
        <v>344472730.77091479</v>
      </c>
      <c r="AA762">
        <v>482261823.07928067</v>
      </c>
      <c r="AB762">
        <v>482261.82307928067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141.41237826526859</v>
      </c>
      <c r="AI762">
        <v>141.41237826526859</v>
      </c>
      <c r="AJ762">
        <v>15673.50925007662</v>
      </c>
      <c r="AK762">
        <v>854.70085470085473</v>
      </c>
      <c r="AL762" t="s">
        <v>69</v>
      </c>
      <c r="AM762">
        <v>10959.45931555831</v>
      </c>
      <c r="AN762">
        <v>750.09544672062395</v>
      </c>
      <c r="AO762">
        <v>24040.10430509565</v>
      </c>
      <c r="AP762">
        <v>28237.764867056419</v>
      </c>
      <c r="AQ762">
        <v>4197.6605619607617</v>
      </c>
      <c r="AR762">
        <v>4.8778696077222206E-3</v>
      </c>
      <c r="AS762">
        <v>103.70383552281319</v>
      </c>
      <c r="AT762">
        <v>72.513305613040387</v>
      </c>
      <c r="AU762">
        <v>4.9630094697999017</v>
      </c>
      <c r="AV762">
        <v>159.0614445705402</v>
      </c>
      <c r="AW762">
        <v>186.83528216827219</v>
      </c>
      <c r="AX762">
        <v>27.773837597732001</v>
      </c>
      <c r="AY762">
        <v>0.97764066274307149</v>
      </c>
      <c r="AZ762" t="str">
        <f>VLOOKUP(BA762,Sheet1!$A$1:$B$58,2,FALSE)</f>
        <v>1,4-Butanediol</v>
      </c>
      <c r="BA762" t="s">
        <v>77</v>
      </c>
      <c r="BB762" t="s">
        <v>71</v>
      </c>
      <c r="BC762">
        <v>90.119200000000006</v>
      </c>
      <c r="BD762">
        <v>5.5</v>
      </c>
      <c r="BE762">
        <v>230</v>
      </c>
      <c r="BF762" t="s">
        <v>203</v>
      </c>
      <c r="BG762">
        <v>0.73252980496941933</v>
      </c>
      <c r="BH762">
        <v>9.2151898734177007E-2</v>
      </c>
      <c r="BI762">
        <v>0.17283505778206401</v>
      </c>
      <c r="BJ762">
        <v>90</v>
      </c>
      <c r="BK762">
        <v>1201.1148700312469</v>
      </c>
      <c r="BL762">
        <v>178.55069422285939</v>
      </c>
      <c r="BM762">
        <v>5.5524647845980724</v>
      </c>
      <c r="BN762">
        <v>943.91901338167236</v>
      </c>
      <c r="BO762">
        <v>257.19585664957458</v>
      </c>
    </row>
    <row r="763" spans="1:67" x14ac:dyDescent="0.25">
      <c r="A763" s="1">
        <v>761</v>
      </c>
      <c r="B763" t="s">
        <v>202</v>
      </c>
      <c r="C763" t="s">
        <v>195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67</v>
      </c>
      <c r="J763">
        <v>1.4</v>
      </c>
      <c r="K763">
        <v>500</v>
      </c>
      <c r="L763">
        <v>50</v>
      </c>
      <c r="N763" t="s">
        <v>183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69314.02806188364</v>
      </c>
      <c r="Z763">
        <v>346570140.3094182</v>
      </c>
      <c r="AA763">
        <v>485198196.43318552</v>
      </c>
      <c r="AB763">
        <v>485198.19643318548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142.27340337565181</v>
      </c>
      <c r="AI763">
        <v>142.27340337565181</v>
      </c>
      <c r="AJ763">
        <v>15768.941384078529</v>
      </c>
      <c r="AK763">
        <v>854.70085470085473</v>
      </c>
      <c r="AL763" t="s">
        <v>69</v>
      </c>
      <c r="AM763">
        <v>11026.18876161301</v>
      </c>
      <c r="AN763">
        <v>754.66259298273576</v>
      </c>
      <c r="AO763">
        <v>24186.478573860801</v>
      </c>
      <c r="AP763">
        <v>28404.493593375129</v>
      </c>
      <c r="AQ763">
        <v>4218.0150195143287</v>
      </c>
      <c r="AR763">
        <v>4.8778696077222206E-3</v>
      </c>
      <c r="AS763">
        <v>103.70383552281319</v>
      </c>
      <c r="AT763">
        <v>72.513305613040401</v>
      </c>
      <c r="AU763">
        <v>4.9630094697999017</v>
      </c>
      <c r="AV763">
        <v>159.0614445705402</v>
      </c>
      <c r="AW763">
        <v>186.80105784972491</v>
      </c>
      <c r="AX763">
        <v>27.73961327918466</v>
      </c>
      <c r="AY763">
        <v>0.9776406627430716</v>
      </c>
      <c r="AZ763" t="str">
        <f>VLOOKUP(BA763,Sheet1!$A$1:$B$58,2,FALSE)</f>
        <v>1-Propanol (PW1)</v>
      </c>
      <c r="BA763" t="s">
        <v>78</v>
      </c>
      <c r="BB763" t="s">
        <v>79</v>
      </c>
      <c r="BC763">
        <v>60.093820000000001</v>
      </c>
      <c r="BD763">
        <v>6</v>
      </c>
      <c r="BE763">
        <v>97</v>
      </c>
      <c r="BF763" t="s">
        <v>203</v>
      </c>
      <c r="BG763">
        <v>1.098532261720085</v>
      </c>
      <c r="BH763">
        <v>0.13735849056603799</v>
      </c>
      <c r="BI763">
        <v>0.17178907644490601</v>
      </c>
      <c r="BJ763">
        <v>90</v>
      </c>
      <c r="BK763">
        <v>1208.206803595592</v>
      </c>
      <c r="BL763">
        <v>179.41648660246551</v>
      </c>
      <c r="BM763">
        <v>5.2247301105311026</v>
      </c>
      <c r="BN763">
        <v>888.20411879028757</v>
      </c>
      <c r="BO763">
        <v>320.00268480530491</v>
      </c>
    </row>
    <row r="764" spans="1:67" x14ac:dyDescent="0.25">
      <c r="A764" s="1">
        <v>762</v>
      </c>
      <c r="B764" t="s">
        <v>202</v>
      </c>
      <c r="C764" t="s">
        <v>195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67</v>
      </c>
      <c r="J764">
        <v>1.4</v>
      </c>
      <c r="K764">
        <v>500</v>
      </c>
      <c r="L764">
        <v>50</v>
      </c>
      <c r="N764" t="s">
        <v>183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43157.791057399183</v>
      </c>
      <c r="Z764">
        <v>215788955.28699589</v>
      </c>
      <c r="AA764">
        <v>302104537.4017942</v>
      </c>
      <c r="AB764">
        <v>302104.53740179422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88.585326630122665</v>
      </c>
      <c r="AI764">
        <v>88.585326630122665</v>
      </c>
      <c r="AJ764">
        <v>9818.3974655583133</v>
      </c>
      <c r="AK764">
        <v>854.70085470085473</v>
      </c>
      <c r="AL764" t="s">
        <v>69</v>
      </c>
      <c r="AM764">
        <v>6865.3628138345066</v>
      </c>
      <c r="AN764">
        <v>469.88425600811757</v>
      </c>
      <c r="AO764">
        <v>15059.505527120849</v>
      </c>
      <c r="AP764">
        <v>18008.345390101789</v>
      </c>
      <c r="AQ764">
        <v>2948.8398629809399</v>
      </c>
      <c r="AR764">
        <v>4.8778696077222206E-3</v>
      </c>
      <c r="AS764">
        <v>103.70383552281319</v>
      </c>
      <c r="AT764">
        <v>72.513305613040401</v>
      </c>
      <c r="AU764">
        <v>4.9630094697999008</v>
      </c>
      <c r="AV764">
        <v>159.0614445705402</v>
      </c>
      <c r="AW764">
        <v>190.20766830067731</v>
      </c>
      <c r="AX764">
        <v>31.146223730137098</v>
      </c>
      <c r="AY764">
        <v>0.97764066274307171</v>
      </c>
      <c r="AZ764" t="str">
        <f>VLOOKUP(BA764,Sheet1!$A$1:$B$58,2,FALSE)</f>
        <v>1-Propanol (PW2)</v>
      </c>
      <c r="BA764" t="s">
        <v>80</v>
      </c>
      <c r="BB764" t="s">
        <v>79</v>
      </c>
      <c r="BC764">
        <v>60.093820000000001</v>
      </c>
      <c r="BD764">
        <v>6</v>
      </c>
      <c r="BE764">
        <v>97</v>
      </c>
      <c r="BF764" t="s">
        <v>203</v>
      </c>
      <c r="BG764">
        <v>1.098532261720089</v>
      </c>
      <c r="BH764">
        <v>0.220606060606061</v>
      </c>
      <c r="BI764">
        <v>0.27590366822969797</v>
      </c>
      <c r="BJ764">
        <v>90</v>
      </c>
      <c r="BK764">
        <v>765.998708982263</v>
      </c>
      <c r="BL764">
        <v>125.43115311861899</v>
      </c>
      <c r="BM764">
        <v>2.8385933662853629</v>
      </c>
      <c r="BN764">
        <v>482.56087226851167</v>
      </c>
      <c r="BO764">
        <v>283.43783671375132</v>
      </c>
    </row>
    <row r="765" spans="1:67" x14ac:dyDescent="0.25">
      <c r="A765" s="1">
        <v>763</v>
      </c>
      <c r="B765" t="s">
        <v>202</v>
      </c>
      <c r="C765" t="s">
        <v>195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67</v>
      </c>
      <c r="J765">
        <v>1.4</v>
      </c>
      <c r="K765">
        <v>500</v>
      </c>
      <c r="L765">
        <v>50</v>
      </c>
      <c r="N765" t="s">
        <v>183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34918.197822955488</v>
      </c>
      <c r="Z765">
        <v>174590989.11477739</v>
      </c>
      <c r="AA765">
        <v>244427384.76068839</v>
      </c>
      <c r="AB765">
        <v>244427.38476068841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71.672805389131028</v>
      </c>
      <c r="AI765">
        <v>71.672805389131028</v>
      </c>
      <c r="AJ765">
        <v>7943.8900047223733</v>
      </c>
      <c r="AK765">
        <v>854.70085470085473</v>
      </c>
      <c r="AL765" t="s">
        <v>69</v>
      </c>
      <c r="AM765">
        <v>5554.6424176576547</v>
      </c>
      <c r="AN765">
        <v>380.17495805941462</v>
      </c>
      <c r="AO765">
        <v>12184.37691615227</v>
      </c>
      <c r="AP765">
        <v>14733.408235140299</v>
      </c>
      <c r="AQ765">
        <v>2549.031318988023</v>
      </c>
      <c r="AR765">
        <v>4.8778696077222206E-3</v>
      </c>
      <c r="AS765">
        <v>103.70383552281319</v>
      </c>
      <c r="AT765">
        <v>72.513305613040416</v>
      </c>
      <c r="AU765">
        <v>4.9630094697999017</v>
      </c>
      <c r="AV765">
        <v>159.06144457054029</v>
      </c>
      <c r="AW765">
        <v>192.3378777147164</v>
      </c>
      <c r="AX765">
        <v>33.276433144176153</v>
      </c>
      <c r="AY765">
        <v>0.97764066274307171</v>
      </c>
      <c r="AZ765" t="str">
        <f>VLOOKUP(BA765,Sheet1!$A$1:$B$58,2,FALSE)</f>
        <v>2,3-Butanediol</v>
      </c>
      <c r="BA765" t="s">
        <v>81</v>
      </c>
      <c r="BB765" t="s">
        <v>71</v>
      </c>
      <c r="BC765">
        <v>90.119200000000006</v>
      </c>
      <c r="BD765">
        <v>5.5</v>
      </c>
      <c r="BE765">
        <v>177</v>
      </c>
      <c r="BF765" t="s">
        <v>203</v>
      </c>
      <c r="BG765">
        <v>0.73252980496941833</v>
      </c>
      <c r="BH765">
        <v>0.18181818181818199</v>
      </c>
      <c r="BI765">
        <v>0.34100823088868798</v>
      </c>
      <c r="BJ765">
        <v>90</v>
      </c>
      <c r="BK765">
        <v>626.69675878325188</v>
      </c>
      <c r="BL765">
        <v>108.42499170264649</v>
      </c>
      <c r="BM765">
        <v>2.4529282123252938</v>
      </c>
      <c r="BN765">
        <v>416.99779609529998</v>
      </c>
      <c r="BO765">
        <v>209.69896268795179</v>
      </c>
    </row>
    <row r="766" spans="1:67" x14ac:dyDescent="0.25">
      <c r="A766" s="1">
        <v>764</v>
      </c>
      <c r="B766" t="s">
        <v>202</v>
      </c>
      <c r="C766" t="s">
        <v>195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67</v>
      </c>
      <c r="J766">
        <v>1.4</v>
      </c>
      <c r="K766">
        <v>500</v>
      </c>
      <c r="L766">
        <v>50</v>
      </c>
      <c r="N766" t="s">
        <v>183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49037.949579759807</v>
      </c>
      <c r="Z766">
        <v>245189747.898799</v>
      </c>
      <c r="AA766">
        <v>343265647.05831861</v>
      </c>
      <c r="AB766">
        <v>343265.6470583186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100.6548916050175</v>
      </c>
      <c r="AI766">
        <v>100.6548916050175</v>
      </c>
      <c r="AJ766">
        <v>11156.133529395351</v>
      </c>
      <c r="AK766">
        <v>854.70085470085473</v>
      </c>
      <c r="AL766" t="s">
        <v>69</v>
      </c>
      <c r="AM766">
        <v>7800.754099388857</v>
      </c>
      <c r="AN766">
        <v>533.90500046221814</v>
      </c>
      <c r="AO766">
        <v>17111.331572852981</v>
      </c>
      <c r="AP766">
        <v>20345.493483947281</v>
      </c>
      <c r="AQ766">
        <v>3234.161911094307</v>
      </c>
      <c r="AR766">
        <v>4.8778696077222206E-3</v>
      </c>
      <c r="AS766">
        <v>103.70383552281319</v>
      </c>
      <c r="AT766">
        <v>72.513305613040401</v>
      </c>
      <c r="AU766">
        <v>4.9630094697999017</v>
      </c>
      <c r="AV766">
        <v>159.0614445705402</v>
      </c>
      <c r="AW766">
        <v>189.1251753423652</v>
      </c>
      <c r="AX766">
        <v>30.06373077182495</v>
      </c>
      <c r="AY766">
        <v>0.9776406627430716</v>
      </c>
      <c r="AZ766" t="str">
        <f>VLOOKUP(BA766,Sheet1!$A$1:$B$58,2,FALSE)</f>
        <v>2-Methyl-1-Butanol</v>
      </c>
      <c r="BA766" t="s">
        <v>82</v>
      </c>
      <c r="BB766" t="s">
        <v>83</v>
      </c>
      <c r="BC766">
        <v>88.14658</v>
      </c>
      <c r="BD766">
        <v>6</v>
      </c>
      <c r="BE766">
        <v>129</v>
      </c>
      <c r="BF766" t="s">
        <v>203</v>
      </c>
      <c r="BG766">
        <v>1.2482049785709211</v>
      </c>
      <c r="BH766">
        <v>0.13236363636363599</v>
      </c>
      <c r="BI766">
        <v>0.24281995816444199</v>
      </c>
      <c r="BJ766">
        <v>90</v>
      </c>
      <c r="BK766">
        <v>865.41108606661214</v>
      </c>
      <c r="BL766">
        <v>137.56754409539039</v>
      </c>
      <c r="BM766">
        <v>3.2253457594298558</v>
      </c>
      <c r="BN766">
        <v>548.30877910307549</v>
      </c>
      <c r="BO766">
        <v>317.10230696353659</v>
      </c>
    </row>
    <row r="767" spans="1:67" x14ac:dyDescent="0.25">
      <c r="A767" s="1">
        <v>765</v>
      </c>
      <c r="B767" t="s">
        <v>202</v>
      </c>
      <c r="C767" t="s">
        <v>195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67</v>
      </c>
      <c r="J767">
        <v>1.4</v>
      </c>
      <c r="K767">
        <v>500</v>
      </c>
      <c r="L767">
        <v>50</v>
      </c>
      <c r="N767" t="s">
        <v>183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59997.576402375009</v>
      </c>
      <c r="Z767">
        <v>299987882.01187497</v>
      </c>
      <c r="AA767">
        <v>419983034.816625</v>
      </c>
      <c r="AB767">
        <v>419983.034816625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123.1505313965534</v>
      </c>
      <c r="AI767">
        <v>123.1505313965534</v>
      </c>
      <c r="AJ767">
        <v>13649.44863154031</v>
      </c>
      <c r="AK767">
        <v>854.70085470085473</v>
      </c>
      <c r="AL767" t="s">
        <v>69</v>
      </c>
      <c r="AM767">
        <v>9544.16618323289</v>
      </c>
      <c r="AN767">
        <v>653.22890396835601</v>
      </c>
      <c r="AO767">
        <v>20935.59033741408</v>
      </c>
      <c r="AP767">
        <v>24701.54457344241</v>
      </c>
      <c r="AQ767">
        <v>3765.954236028334</v>
      </c>
      <c r="AR767">
        <v>4.8778696077222206E-3</v>
      </c>
      <c r="AS767">
        <v>103.70383552281319</v>
      </c>
      <c r="AT767">
        <v>72.513305613040401</v>
      </c>
      <c r="AU767">
        <v>4.9630094697999017</v>
      </c>
      <c r="AV767">
        <v>159.0614445705402</v>
      </c>
      <c r="AW767">
        <v>187.67387494938191</v>
      </c>
      <c r="AX767">
        <v>28.61243037884174</v>
      </c>
      <c r="AY767">
        <v>0.97764066274307171</v>
      </c>
      <c r="AZ767" t="str">
        <f>VLOOKUP(BA767,Sheet1!$A$1:$B$58,2,FALSE)</f>
        <v>3-Methyl-1-Pentanol</v>
      </c>
      <c r="BA767" t="s">
        <v>87</v>
      </c>
      <c r="BB767" t="s">
        <v>88</v>
      </c>
      <c r="BC767">
        <v>102.17296</v>
      </c>
      <c r="BD767">
        <v>6</v>
      </c>
      <c r="BE767">
        <v>153</v>
      </c>
      <c r="BF767" t="s">
        <v>203</v>
      </c>
      <c r="BG767">
        <v>1.292220564031815</v>
      </c>
      <c r="BH767">
        <v>9.3333333333333005E-2</v>
      </c>
      <c r="BI767">
        <v>0.19846456439457</v>
      </c>
      <c r="BJ767">
        <v>90</v>
      </c>
      <c r="BK767">
        <v>1050.699042207661</v>
      </c>
      <c r="BL767">
        <v>160.18773631860489</v>
      </c>
      <c r="BM767">
        <v>4.1811363869261164</v>
      </c>
      <c r="BN767">
        <v>710.79318577743982</v>
      </c>
      <c r="BO767">
        <v>339.90585643022172</v>
      </c>
    </row>
    <row r="768" spans="1:67" x14ac:dyDescent="0.25">
      <c r="A768" s="1">
        <v>766</v>
      </c>
      <c r="B768" t="s">
        <v>202</v>
      </c>
      <c r="C768" t="s">
        <v>195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67</v>
      </c>
      <c r="J768">
        <v>1.4</v>
      </c>
      <c r="K768">
        <v>500</v>
      </c>
      <c r="L768">
        <v>50</v>
      </c>
      <c r="N768" t="s">
        <v>183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138020.45266912211</v>
      </c>
      <c r="Z768">
        <v>690102263.34561062</v>
      </c>
      <c r="AA768">
        <v>966143168.68385482</v>
      </c>
      <c r="AB768">
        <v>966143.16868385486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283.29964490236313</v>
      </c>
      <c r="AI768">
        <v>283.29964490236313</v>
      </c>
      <c r="AJ768">
        <v>31399.652982225289</v>
      </c>
      <c r="AK768">
        <v>854.70085470085473</v>
      </c>
      <c r="AL768" t="s">
        <v>69</v>
      </c>
      <c r="AM768">
        <v>21955.722479933142</v>
      </c>
      <c r="AN768">
        <v>1502.709849771499</v>
      </c>
      <c r="AO768">
        <v>48160.939633401729</v>
      </c>
      <c r="AP768">
        <v>55712.786166630773</v>
      </c>
      <c r="AQ768">
        <v>7551.8465332290434</v>
      </c>
      <c r="AR768">
        <v>4.8778696077222206E-3</v>
      </c>
      <c r="AS768">
        <v>103.70383552281319</v>
      </c>
      <c r="AT768">
        <v>72.513305613040416</v>
      </c>
      <c r="AU768">
        <v>4.963009469799899</v>
      </c>
      <c r="AV768">
        <v>159.0614445705402</v>
      </c>
      <c r="AW768">
        <v>184.00297660654201</v>
      </c>
      <c r="AX768">
        <v>24.94153203600181</v>
      </c>
      <c r="AY768">
        <v>0.97764066274307171</v>
      </c>
      <c r="AZ768" t="str">
        <f>VLOOKUP(BA768,Sheet1!$A$1:$B$58,2,FALSE)</f>
        <v>4-Hydroxystyrene</v>
      </c>
      <c r="BA768" t="s">
        <v>89</v>
      </c>
      <c r="BB768" t="s">
        <v>90</v>
      </c>
      <c r="BC768">
        <v>120.14731999999999</v>
      </c>
      <c r="BD768">
        <v>4.75</v>
      </c>
      <c r="BE768">
        <v>229</v>
      </c>
      <c r="BF768" t="s">
        <v>203</v>
      </c>
      <c r="BG768">
        <v>0.54945045798774583</v>
      </c>
      <c r="BH768">
        <v>3.4502369668246997E-2</v>
      </c>
      <c r="BI768">
        <v>8.6272669268612004E-2</v>
      </c>
      <c r="BJ768">
        <v>90</v>
      </c>
      <c r="BK768">
        <v>2369.7858605544452</v>
      </c>
      <c r="BL768">
        <v>321.22355327909048</v>
      </c>
      <c r="BM768">
        <v>12.04164487100617</v>
      </c>
      <c r="BN768">
        <v>2047.079628071049</v>
      </c>
      <c r="BO768">
        <v>322.70623248339621</v>
      </c>
    </row>
    <row r="769" spans="1:67" x14ac:dyDescent="0.25">
      <c r="A769" s="1">
        <v>767</v>
      </c>
      <c r="B769" t="s">
        <v>202</v>
      </c>
      <c r="C769" t="s">
        <v>195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67</v>
      </c>
      <c r="J769">
        <v>1.4</v>
      </c>
      <c r="K769">
        <v>500</v>
      </c>
      <c r="L769">
        <v>50</v>
      </c>
      <c r="N769" t="s">
        <v>183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39405.219535380063</v>
      </c>
      <c r="Z769">
        <v>197026097.6769003</v>
      </c>
      <c r="AA769">
        <v>275836536.7476604</v>
      </c>
      <c r="AB769">
        <v>275836.53674766037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80.88282921687825</v>
      </c>
      <c r="AI769">
        <v>80.88282921687825</v>
      </c>
      <c r="AJ769">
        <v>8964.6874442989629</v>
      </c>
      <c r="AK769">
        <v>854.70085470085473</v>
      </c>
      <c r="AL769" t="s">
        <v>69</v>
      </c>
      <c r="AM769">
        <v>6268.4192643080642</v>
      </c>
      <c r="AN769">
        <v>429.0278026415383</v>
      </c>
      <c r="AO769">
        <v>13750.0809668693</v>
      </c>
      <c r="AP769">
        <v>16516.835365949421</v>
      </c>
      <c r="AQ769">
        <v>2766.7543990801191</v>
      </c>
      <c r="AR769">
        <v>4.8778696077222206E-3</v>
      </c>
      <c r="AS769">
        <v>103.70383552281319</v>
      </c>
      <c r="AT769">
        <v>72.513305613040401</v>
      </c>
      <c r="AU769">
        <v>4.9630094697999017</v>
      </c>
      <c r="AV769">
        <v>159.0614445705402</v>
      </c>
      <c r="AW769">
        <v>191.06736166658931</v>
      </c>
      <c r="AX769">
        <v>32.005917096049053</v>
      </c>
      <c r="AY769">
        <v>0.97764066274307171</v>
      </c>
      <c r="AZ769" t="str">
        <f>VLOOKUP(BA769,Sheet1!$A$1:$B$58,2,FALSE)</f>
        <v>Acetone</v>
      </c>
      <c r="BA769" t="s">
        <v>93</v>
      </c>
      <c r="BB769" t="s">
        <v>94</v>
      </c>
      <c r="BC769">
        <v>58.078139999999998</v>
      </c>
      <c r="BD769">
        <v>5.333333333333333</v>
      </c>
      <c r="BE769">
        <v>56</v>
      </c>
      <c r="BF769" t="s">
        <v>203</v>
      </c>
      <c r="BG769">
        <v>0.75777220138248214</v>
      </c>
      <c r="BH769">
        <v>0.25</v>
      </c>
      <c r="BI769">
        <v>0.30217806183610302</v>
      </c>
      <c r="BJ769">
        <v>90</v>
      </c>
      <c r="BK769">
        <v>702.55619229426179</v>
      </c>
      <c r="BL769">
        <v>117.6860090062049</v>
      </c>
      <c r="BM769">
        <v>2.837020208256551</v>
      </c>
      <c r="BN769">
        <v>482.29343540361361</v>
      </c>
      <c r="BO769">
        <v>220.26275689064821</v>
      </c>
    </row>
    <row r="770" spans="1:67" x14ac:dyDescent="0.25">
      <c r="A770" s="1">
        <v>768</v>
      </c>
      <c r="B770" t="s">
        <v>202</v>
      </c>
      <c r="C770" t="s">
        <v>195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67</v>
      </c>
      <c r="J770">
        <v>1.4</v>
      </c>
      <c r="K770">
        <v>500</v>
      </c>
      <c r="L770">
        <v>50</v>
      </c>
      <c r="N770" t="s">
        <v>183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95123.390662245089</v>
      </c>
      <c r="Z770">
        <v>475616953.31122547</v>
      </c>
      <c r="AA770">
        <v>665863734.6357156</v>
      </c>
      <c r="AB770">
        <v>665863.73463571561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195.24948857490369</v>
      </c>
      <c r="AI770">
        <v>195.24948857490369</v>
      </c>
      <c r="AJ770">
        <v>21640.571375660758</v>
      </c>
      <c r="AK770">
        <v>854.70085470085473</v>
      </c>
      <c r="AL770" t="s">
        <v>69</v>
      </c>
      <c r="AM770">
        <v>15131.835364555031</v>
      </c>
      <c r="AN770">
        <v>1035.6643042933381</v>
      </c>
      <c r="AO770">
        <v>33192.413057733633</v>
      </c>
      <c r="AP770">
        <v>38662.771899209984</v>
      </c>
      <c r="AQ770">
        <v>5470.3588414763581</v>
      </c>
      <c r="AR770">
        <v>4.8778696077222223E-3</v>
      </c>
      <c r="AS770">
        <v>103.70383552281319</v>
      </c>
      <c r="AT770">
        <v>72.513305613040401</v>
      </c>
      <c r="AU770">
        <v>4.9630094697999034</v>
      </c>
      <c r="AV770">
        <v>159.06144457054029</v>
      </c>
      <c r="AW770">
        <v>185.27596468183791</v>
      </c>
      <c r="AX770">
        <v>26.214520111297631</v>
      </c>
      <c r="AY770">
        <v>0.9776406627430716</v>
      </c>
      <c r="AZ770" t="str">
        <f>VLOOKUP(BA770,Sheet1!$A$1:$B$58,2,FALSE)</f>
        <v>Acrylate (PW1)</v>
      </c>
      <c r="BA770" t="s">
        <v>95</v>
      </c>
      <c r="BB770" t="s">
        <v>96</v>
      </c>
      <c r="BC770">
        <v>71.053619999999995</v>
      </c>
      <c r="BD770">
        <v>3.666666666666667</v>
      </c>
      <c r="BE770">
        <v>80</v>
      </c>
      <c r="BF770" t="s">
        <v>203</v>
      </c>
      <c r="BG770">
        <v>1.2997578346373699E-15</v>
      </c>
      <c r="BH770">
        <v>8.4651162790697704E-2</v>
      </c>
      <c r="BI770">
        <v>0.12517838969499001</v>
      </c>
      <c r="BJ770">
        <v>90</v>
      </c>
      <c r="BK770">
        <v>1644.550496946192</v>
      </c>
      <c r="BL770">
        <v>232.6858864303974</v>
      </c>
      <c r="BM770">
        <v>8.677755047773493</v>
      </c>
      <c r="BN770">
        <v>1475.218358121494</v>
      </c>
      <c r="BO770">
        <v>169.33213882469789</v>
      </c>
    </row>
    <row r="771" spans="1:67" x14ac:dyDescent="0.25">
      <c r="A771" s="1">
        <v>769</v>
      </c>
      <c r="B771" t="s">
        <v>202</v>
      </c>
      <c r="C771" t="s">
        <v>195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67</v>
      </c>
      <c r="J771">
        <v>1.4</v>
      </c>
      <c r="K771">
        <v>500</v>
      </c>
      <c r="L771">
        <v>50</v>
      </c>
      <c r="N771" t="s">
        <v>183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37606.921889724959</v>
      </c>
      <c r="Z771">
        <v>188034609.44862479</v>
      </c>
      <c r="AA771">
        <v>263248453.2280747</v>
      </c>
      <c r="AB771">
        <v>263248.45322807471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77.191658273799447</v>
      </c>
      <c r="AI771">
        <v>77.191658273799447</v>
      </c>
      <c r="AJ771">
        <v>8555.5747299124287</v>
      </c>
      <c r="AK771">
        <v>854.70085470085473</v>
      </c>
      <c r="AL771" t="s">
        <v>69</v>
      </c>
      <c r="AM771">
        <v>5982.3535162194576</v>
      </c>
      <c r="AN771">
        <v>409.44867844155402</v>
      </c>
      <c r="AO771">
        <v>13122.581906545911</v>
      </c>
      <c r="AP771">
        <v>15802.077779274299</v>
      </c>
      <c r="AQ771">
        <v>2679.4958727283902</v>
      </c>
      <c r="AR771">
        <v>4.8778696077222223E-3</v>
      </c>
      <c r="AS771">
        <v>103.70383552281319</v>
      </c>
      <c r="AT771">
        <v>72.513305613040401</v>
      </c>
      <c r="AU771">
        <v>4.9630094697999017</v>
      </c>
      <c r="AV771">
        <v>159.0614445705402</v>
      </c>
      <c r="AW771">
        <v>191.54015091600229</v>
      </c>
      <c r="AX771">
        <v>32.478706345462108</v>
      </c>
      <c r="AY771">
        <v>0.9776406627430716</v>
      </c>
      <c r="AZ771" t="str">
        <f>VLOOKUP(BA771,Sheet1!$A$1:$B$58,2,FALSE)</f>
        <v>Acrylate (PW2)</v>
      </c>
      <c r="BA771" t="s">
        <v>97</v>
      </c>
      <c r="BB771" t="s">
        <v>96</v>
      </c>
      <c r="BC771">
        <v>71.053619999999995</v>
      </c>
      <c r="BD771">
        <v>3.666666666666667</v>
      </c>
      <c r="BE771">
        <v>80</v>
      </c>
      <c r="BF771" t="s">
        <v>203</v>
      </c>
      <c r="BG771">
        <v>0</v>
      </c>
      <c r="BH771">
        <v>0.214117647058823</v>
      </c>
      <c r="BI771">
        <v>0.31662769158144399</v>
      </c>
      <c r="BJ771">
        <v>90</v>
      </c>
      <c r="BK771">
        <v>672.15343308633624</v>
      </c>
      <c r="BL771">
        <v>113.9744010219503</v>
      </c>
      <c r="BM771">
        <v>3.430740367724419</v>
      </c>
      <c r="BN771">
        <v>583.22586251315136</v>
      </c>
      <c r="BO771">
        <v>88.92757057318488</v>
      </c>
    </row>
    <row r="772" spans="1:67" x14ac:dyDescent="0.25">
      <c r="A772" s="1">
        <v>770</v>
      </c>
      <c r="B772" t="s">
        <v>202</v>
      </c>
      <c r="C772" t="s">
        <v>195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67</v>
      </c>
      <c r="J772">
        <v>1.4</v>
      </c>
      <c r="K772">
        <v>500</v>
      </c>
      <c r="L772">
        <v>50</v>
      </c>
      <c r="N772" t="s">
        <v>183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139516.638990381</v>
      </c>
      <c r="Z772">
        <v>697583194.95190501</v>
      </c>
      <c r="AA772">
        <v>976616472.9326669</v>
      </c>
      <c r="AB772">
        <v>976616.47293266689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286.37070462810209</v>
      </c>
      <c r="AI772">
        <v>286.37070462810209</v>
      </c>
      <c r="AJ772">
        <v>31740.035370311671</v>
      </c>
      <c r="AK772">
        <v>854.70085470085473</v>
      </c>
      <c r="AL772" t="s">
        <v>69</v>
      </c>
      <c r="AM772">
        <v>22193.729608677921</v>
      </c>
      <c r="AN772">
        <v>1518.999710285427</v>
      </c>
      <c r="AO772">
        <v>48683.019786777368</v>
      </c>
      <c r="AP772">
        <v>56307.465543975872</v>
      </c>
      <c r="AQ772">
        <v>7624.445757198504</v>
      </c>
      <c r="AR772">
        <v>4.8778696077222206E-3</v>
      </c>
      <c r="AS772">
        <v>103.70383552281319</v>
      </c>
      <c r="AT772">
        <v>72.513305613040416</v>
      </c>
      <c r="AU772">
        <v>4.9630094697999017</v>
      </c>
      <c r="AV772">
        <v>159.06144457054029</v>
      </c>
      <c r="AW772">
        <v>183.97270442051189</v>
      </c>
      <c r="AX772">
        <v>24.911259849971611</v>
      </c>
      <c r="AY772">
        <v>0.9776406627430716</v>
      </c>
      <c r="AZ772" t="str">
        <f>VLOOKUP(BA772,Sheet1!$A$1:$B$58,2,FALSE)</f>
        <v>Benzoate (PW1)</v>
      </c>
      <c r="BA772" t="s">
        <v>100</v>
      </c>
      <c r="BB772" t="s">
        <v>101</v>
      </c>
      <c r="BC772">
        <v>121.1121</v>
      </c>
      <c r="BD772">
        <v>4.1428571428571432</v>
      </c>
      <c r="BE772">
        <v>249.2</v>
      </c>
      <c r="BF772" t="s">
        <v>203</v>
      </c>
      <c r="BG772">
        <v>0.181691177016995</v>
      </c>
      <c r="BH772">
        <v>3.3860465116279E-2</v>
      </c>
      <c r="BI772">
        <v>8.5347475050973995E-2</v>
      </c>
      <c r="BJ772">
        <v>90</v>
      </c>
      <c r="BK772">
        <v>2395.0810015258689</v>
      </c>
      <c r="BL772">
        <v>324.31161665354608</v>
      </c>
      <c r="BM772">
        <v>12.5458956953431</v>
      </c>
      <c r="BN772">
        <v>2132.802268208327</v>
      </c>
      <c r="BO772">
        <v>262.27873331754239</v>
      </c>
    </row>
    <row r="773" spans="1:67" x14ac:dyDescent="0.25">
      <c r="A773" s="1">
        <v>771</v>
      </c>
      <c r="B773" t="s">
        <v>202</v>
      </c>
      <c r="C773" t="s">
        <v>195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67</v>
      </c>
      <c r="J773">
        <v>1.4</v>
      </c>
      <c r="K773">
        <v>500</v>
      </c>
      <c r="L773">
        <v>50</v>
      </c>
      <c r="N773" t="s">
        <v>183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149899.27258966499</v>
      </c>
      <c r="Z773">
        <v>749496362.94832516</v>
      </c>
      <c r="AA773">
        <v>1049294908.127655</v>
      </c>
      <c r="AB773">
        <v>1049294.908127655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307.68201287949552</v>
      </c>
      <c r="AI773">
        <v>307.68201287949552</v>
      </c>
      <c r="AJ773">
        <v>34102.084514148788</v>
      </c>
      <c r="AK773">
        <v>854.70085470085473</v>
      </c>
      <c r="AL773" t="s">
        <v>69</v>
      </c>
      <c r="AM773">
        <v>23845.3559981609</v>
      </c>
      <c r="AN773">
        <v>1632.0415491903871</v>
      </c>
      <c r="AO773">
        <v>52305.942189514237</v>
      </c>
      <c r="AP773">
        <v>60434.182916200931</v>
      </c>
      <c r="AQ773">
        <v>8128.240726686694</v>
      </c>
      <c r="AR773">
        <v>4.8778696077222206E-3</v>
      </c>
      <c r="AS773">
        <v>103.70383552281309</v>
      </c>
      <c r="AT773">
        <v>72.513305613040416</v>
      </c>
      <c r="AU773">
        <v>4.9630094697999017</v>
      </c>
      <c r="AV773">
        <v>159.0614445705402</v>
      </c>
      <c r="AW773">
        <v>183.77928077965589</v>
      </c>
      <c r="AX773">
        <v>24.71783620911566</v>
      </c>
      <c r="AY773">
        <v>0.97764066274307182</v>
      </c>
      <c r="AZ773" t="str">
        <f>VLOOKUP(BA773,Sheet1!$A$1:$B$58,2,FALSE)</f>
        <v>Benzoate (PW2)</v>
      </c>
      <c r="BA773" t="s">
        <v>102</v>
      </c>
      <c r="BB773" t="s">
        <v>101</v>
      </c>
      <c r="BC773">
        <v>121.1121</v>
      </c>
      <c r="BD773">
        <v>4.1428571428571432</v>
      </c>
      <c r="BE773">
        <v>249.2</v>
      </c>
      <c r="BF773" t="s">
        <v>203</v>
      </c>
      <c r="BG773">
        <v>0.18169117701699911</v>
      </c>
      <c r="BH773">
        <v>3.1515151515152003E-2</v>
      </c>
      <c r="BI773">
        <v>7.943596162753E-2</v>
      </c>
      <c r="BJ773">
        <v>90</v>
      </c>
      <c r="BK773">
        <v>2570.6140730537259</v>
      </c>
      <c r="BL773">
        <v>345.74092000485967</v>
      </c>
      <c r="BM773">
        <v>13.49306495096058</v>
      </c>
      <c r="BN773">
        <v>2293.8210416632992</v>
      </c>
      <c r="BO773">
        <v>276.79303139042707</v>
      </c>
    </row>
    <row r="774" spans="1:67" x14ac:dyDescent="0.25">
      <c r="A774" s="1">
        <v>772</v>
      </c>
      <c r="B774" t="s">
        <v>202</v>
      </c>
      <c r="C774" t="s">
        <v>195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67</v>
      </c>
      <c r="J774">
        <v>1.4</v>
      </c>
      <c r="K774">
        <v>500</v>
      </c>
      <c r="L774">
        <v>50</v>
      </c>
      <c r="N774" t="s">
        <v>183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98710.503641538366</v>
      </c>
      <c r="Z774">
        <v>493552518.20769179</v>
      </c>
      <c r="AA774">
        <v>690973525.49076855</v>
      </c>
      <c r="AB774">
        <v>690973.5254907686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202.612367145478</v>
      </c>
      <c r="AI774">
        <v>202.612367145478</v>
      </c>
      <c r="AJ774">
        <v>22456.63957844998</v>
      </c>
      <c r="AK774">
        <v>2170.1388888888891</v>
      </c>
      <c r="AL774" t="s">
        <v>107</v>
      </c>
      <c r="AM774">
        <v>15702.45845377454</v>
      </c>
      <c r="AN774">
        <v>1074.719313185024</v>
      </c>
      <c r="AO774">
        <v>34444.102414731256</v>
      </c>
      <c r="AP774">
        <v>41403.956234298443</v>
      </c>
      <c r="AQ774">
        <v>6959.853819567179</v>
      </c>
      <c r="AR774">
        <v>4.8778696077222223E-3</v>
      </c>
      <c r="AS774">
        <v>103.70383552281319</v>
      </c>
      <c r="AT774">
        <v>72.513305613040401</v>
      </c>
      <c r="AU774">
        <v>4.9630094697999017</v>
      </c>
      <c r="AV774">
        <v>159.06144457054029</v>
      </c>
      <c r="AW774">
        <v>191.201762503943</v>
      </c>
      <c r="AX774">
        <v>32.140317933402741</v>
      </c>
      <c r="AY774">
        <v>0.97764066274307171</v>
      </c>
      <c r="AZ774" t="str">
        <f>VLOOKUP(BA774,Sheet1!$A$1:$B$58,2,FALSE)</f>
        <v>Butane</v>
      </c>
      <c r="BA774" t="s">
        <v>108</v>
      </c>
      <c r="BB774" t="s">
        <v>109</v>
      </c>
      <c r="BC774">
        <v>58.121200000000002</v>
      </c>
      <c r="BD774">
        <v>6.5</v>
      </c>
      <c r="BE774">
        <v>-1</v>
      </c>
      <c r="BF774" t="s">
        <v>203</v>
      </c>
      <c r="BG774">
        <v>1.8930269849899879</v>
      </c>
      <c r="BH774">
        <v>9.9726027397259998E-2</v>
      </c>
      <c r="BI774">
        <v>0.120629440901936</v>
      </c>
      <c r="BJ774">
        <v>90</v>
      </c>
      <c r="BK774">
        <v>1761.148863774177</v>
      </c>
      <c r="BL774">
        <v>296.04269159697611</v>
      </c>
      <c r="BM774">
        <v>7.1119671103645876</v>
      </c>
      <c r="BN774">
        <v>1209.0344087619801</v>
      </c>
      <c r="BO774">
        <v>552.1144550121976</v>
      </c>
    </row>
    <row r="775" spans="1:67" x14ac:dyDescent="0.25">
      <c r="A775" s="1">
        <v>773</v>
      </c>
      <c r="B775" t="s">
        <v>202</v>
      </c>
      <c r="C775" t="s">
        <v>195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67</v>
      </c>
      <c r="J775">
        <v>1.4</v>
      </c>
      <c r="K775">
        <v>500</v>
      </c>
      <c r="L775">
        <v>50</v>
      </c>
      <c r="N775" t="s">
        <v>183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46314.942287794773</v>
      </c>
      <c r="Z775">
        <v>231574711.4389739</v>
      </c>
      <c r="AA775">
        <v>324204596.01456338</v>
      </c>
      <c r="AB775">
        <v>324204.5960145634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95.065669254547558</v>
      </c>
      <c r="AI775">
        <v>95.065669254547558</v>
      </c>
      <c r="AJ775">
        <v>10536.649370473309</v>
      </c>
      <c r="AK775">
        <v>854.70085470085473</v>
      </c>
      <c r="AL775" t="s">
        <v>69</v>
      </c>
      <c r="AM775">
        <v>7367.589367227436</v>
      </c>
      <c r="AN775">
        <v>504.25801844249531</v>
      </c>
      <c r="AO775">
        <v>16161.163773273091</v>
      </c>
      <c r="AP775">
        <v>19263.197610844101</v>
      </c>
      <c r="AQ775">
        <v>3102.033837571013</v>
      </c>
      <c r="AR775">
        <v>4.8778696077222206E-3</v>
      </c>
      <c r="AS775">
        <v>103.70383552281319</v>
      </c>
      <c r="AT775">
        <v>72.513305613040401</v>
      </c>
      <c r="AU775">
        <v>4.9630094697999017</v>
      </c>
      <c r="AV775">
        <v>159.0614445705402</v>
      </c>
      <c r="AW775">
        <v>189.59228939291231</v>
      </c>
      <c r="AX775">
        <v>30.530844822372071</v>
      </c>
      <c r="AY775">
        <v>0.9776406627430716</v>
      </c>
      <c r="AZ775" t="str">
        <f>VLOOKUP(BA775,Sheet1!$A$1:$B$58,2,FALSE)</f>
        <v>Butanol (PW1)</v>
      </c>
      <c r="BA775" t="s">
        <v>110</v>
      </c>
      <c r="BB775" t="s">
        <v>111</v>
      </c>
      <c r="BC775">
        <v>74.120199999999997</v>
      </c>
      <c r="BD775">
        <v>6</v>
      </c>
      <c r="BE775">
        <v>117.7</v>
      </c>
      <c r="BF775" t="s">
        <v>203</v>
      </c>
      <c r="BG775">
        <v>1.187530524742239</v>
      </c>
      <c r="BH775">
        <v>0.16666666666666699</v>
      </c>
      <c r="BI775">
        <v>0.25709613954469301</v>
      </c>
      <c r="BJ775">
        <v>90</v>
      </c>
      <c r="BK775">
        <v>819.37480546586642</v>
      </c>
      <c r="BL775">
        <v>131.94737569309021</v>
      </c>
      <c r="BM775">
        <v>3.0376103310154301</v>
      </c>
      <c r="BN775">
        <v>516.39375627262302</v>
      </c>
      <c r="BO775">
        <v>302.98104919324339</v>
      </c>
    </row>
    <row r="776" spans="1:67" x14ac:dyDescent="0.25">
      <c r="A776" s="1">
        <v>774</v>
      </c>
      <c r="B776" t="s">
        <v>202</v>
      </c>
      <c r="C776" t="s">
        <v>195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67</v>
      </c>
      <c r="J776">
        <v>1.4</v>
      </c>
      <c r="K776">
        <v>500</v>
      </c>
      <c r="L776">
        <v>50</v>
      </c>
      <c r="N776" t="s">
        <v>183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46314.942287794773</v>
      </c>
      <c r="Z776">
        <v>231574711.4389739</v>
      </c>
      <c r="AA776">
        <v>324204596.01456338</v>
      </c>
      <c r="AB776">
        <v>324204.5960145634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95.065669254547558</v>
      </c>
      <c r="AI776">
        <v>95.065669254547558</v>
      </c>
      <c r="AJ776">
        <v>10536.649370473309</v>
      </c>
      <c r="AK776">
        <v>854.70085470085473</v>
      </c>
      <c r="AL776" t="s">
        <v>69</v>
      </c>
      <c r="AM776">
        <v>7367.589367227436</v>
      </c>
      <c r="AN776">
        <v>504.25801844249531</v>
      </c>
      <c r="AO776">
        <v>16161.163773273091</v>
      </c>
      <c r="AP776">
        <v>19263.197610844101</v>
      </c>
      <c r="AQ776">
        <v>3102.033837571013</v>
      </c>
      <c r="AR776">
        <v>4.8778696077222206E-3</v>
      </c>
      <c r="AS776">
        <v>103.70383552281319</v>
      </c>
      <c r="AT776">
        <v>72.513305613040401</v>
      </c>
      <c r="AU776">
        <v>4.9630094697999017</v>
      </c>
      <c r="AV776">
        <v>159.0614445705402</v>
      </c>
      <c r="AW776">
        <v>189.59228939291231</v>
      </c>
      <c r="AX776">
        <v>30.530844822372071</v>
      </c>
      <c r="AY776">
        <v>0.9776406627430716</v>
      </c>
      <c r="AZ776" t="str">
        <f>VLOOKUP(BA776,Sheet1!$A$1:$B$58,2,FALSE)</f>
        <v>Butanol (PW2)</v>
      </c>
      <c r="BA776" t="s">
        <v>112</v>
      </c>
      <c r="BB776" t="s">
        <v>111</v>
      </c>
      <c r="BC776">
        <v>74.120199999999997</v>
      </c>
      <c r="BD776">
        <v>6</v>
      </c>
      <c r="BE776">
        <v>117.7</v>
      </c>
      <c r="BF776" t="s">
        <v>203</v>
      </c>
      <c r="BG776">
        <v>1.187530524742239</v>
      </c>
      <c r="BH776">
        <v>0.16666666666666699</v>
      </c>
      <c r="BI776">
        <v>0.25709613954469301</v>
      </c>
      <c r="BJ776">
        <v>90</v>
      </c>
      <c r="BK776">
        <v>819.37480546586642</v>
      </c>
      <c r="BL776">
        <v>131.94737569309021</v>
      </c>
      <c r="BM776">
        <v>3.0376103310154301</v>
      </c>
      <c r="BN776">
        <v>516.39375627262302</v>
      </c>
      <c r="BO776">
        <v>302.98104919324339</v>
      </c>
    </row>
    <row r="777" spans="1:67" x14ac:dyDescent="0.25">
      <c r="A777" s="1">
        <v>775</v>
      </c>
      <c r="B777" t="s">
        <v>202</v>
      </c>
      <c r="C777" t="s">
        <v>195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67</v>
      </c>
      <c r="J777">
        <v>1.4</v>
      </c>
      <c r="K777">
        <v>500</v>
      </c>
      <c r="L777">
        <v>50</v>
      </c>
      <c r="N777" t="s">
        <v>183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32845.800401732551</v>
      </c>
      <c r="Z777">
        <v>164229002.00866279</v>
      </c>
      <c r="AA777">
        <v>229920602.81212789</v>
      </c>
      <c r="AB777">
        <v>229920.60281212791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67.419019503233983</v>
      </c>
      <c r="AI777">
        <v>67.419019503233983</v>
      </c>
      <c r="AJ777">
        <v>7472.4195913941558</v>
      </c>
      <c r="AK777">
        <v>854.70085470085473</v>
      </c>
      <c r="AL777" t="s">
        <v>69</v>
      </c>
      <c r="AM777">
        <v>5224.9740115006334</v>
      </c>
      <c r="AN777">
        <v>357.61154838144108</v>
      </c>
      <c r="AO777">
        <v>11461.23331554978</v>
      </c>
      <c r="AP777">
        <v>13909.70600597709</v>
      </c>
      <c r="AQ777">
        <v>2448.4726904273102</v>
      </c>
      <c r="AR777">
        <v>4.8778696077222223E-3</v>
      </c>
      <c r="AS777">
        <v>103.70383552281319</v>
      </c>
      <c r="AT777">
        <v>72.513305613040401</v>
      </c>
      <c r="AU777">
        <v>4.9630094697999017</v>
      </c>
      <c r="AV777">
        <v>159.0614445705402</v>
      </c>
      <c r="AW777">
        <v>193.04187166842479</v>
      </c>
      <c r="AX777">
        <v>33.980427097884572</v>
      </c>
      <c r="AY777">
        <v>0.97764066274307182</v>
      </c>
      <c r="AZ777" t="str">
        <f>VLOOKUP(BA777,Sheet1!$A$1:$B$58,2,FALSE)</f>
        <v>Butyrate</v>
      </c>
      <c r="BA777" t="s">
        <v>113</v>
      </c>
      <c r="BB777" t="s">
        <v>114</v>
      </c>
      <c r="BC777">
        <v>87.095680000000002</v>
      </c>
      <c r="BD777">
        <v>4.75</v>
      </c>
      <c r="BE777">
        <v>163.5</v>
      </c>
      <c r="BF777" t="s">
        <v>203</v>
      </c>
      <c r="BG777">
        <v>0.50530634814493669</v>
      </c>
      <c r="BH777">
        <v>0.2</v>
      </c>
      <c r="BI777">
        <v>0.36252405847291203</v>
      </c>
      <c r="BJ777">
        <v>90</v>
      </c>
      <c r="BK777">
        <v>591.65995609777951</v>
      </c>
      <c r="BL777">
        <v>104.1476537248404</v>
      </c>
      <c r="BM777">
        <v>2.4910945186654629</v>
      </c>
      <c r="BN777">
        <v>423.48606817312867</v>
      </c>
      <c r="BO777">
        <v>168.17388792465081</v>
      </c>
    </row>
    <row r="778" spans="1:67" x14ac:dyDescent="0.25">
      <c r="A778" s="1">
        <v>776</v>
      </c>
      <c r="B778" t="s">
        <v>202</v>
      </c>
      <c r="C778" t="s">
        <v>195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67</v>
      </c>
      <c r="J778">
        <v>1.4</v>
      </c>
      <c r="K778">
        <v>500</v>
      </c>
      <c r="L778">
        <v>50</v>
      </c>
      <c r="N778" t="s">
        <v>183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97784.919405583467</v>
      </c>
      <c r="Z778">
        <v>488924597.02791733</v>
      </c>
      <c r="AA778">
        <v>684494435.83908427</v>
      </c>
      <c r="AB778">
        <v>684494.43583908421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200.7125205625816</v>
      </c>
      <c r="AI778">
        <v>200.7125205625816</v>
      </c>
      <c r="AJ778">
        <v>22246.069164770241</v>
      </c>
      <c r="AK778">
        <v>854.70085470085473</v>
      </c>
      <c r="AL778" t="s">
        <v>69</v>
      </c>
      <c r="AM778">
        <v>15555.220343600069</v>
      </c>
      <c r="AN778">
        <v>1064.641933193401</v>
      </c>
      <c r="AO778">
        <v>34121.12849563887</v>
      </c>
      <c r="AP778">
        <v>39720.632296264557</v>
      </c>
      <c r="AQ778">
        <v>5599.5038006256946</v>
      </c>
      <c r="AR778">
        <v>4.8778696077222206E-3</v>
      </c>
      <c r="AS778">
        <v>103.70383552281319</v>
      </c>
      <c r="AT778">
        <v>72.513305613040416</v>
      </c>
      <c r="AU778">
        <v>4.9630094697999017</v>
      </c>
      <c r="AV778">
        <v>159.06144457054029</v>
      </c>
      <c r="AW778">
        <v>185.16448402656511</v>
      </c>
      <c r="AX778">
        <v>26.103039456024799</v>
      </c>
      <c r="AY778">
        <v>0.97764066274307171</v>
      </c>
      <c r="AZ778" t="str">
        <f>VLOOKUP(BA778,Sheet1!$A$1:$B$58,2,FALSE)</f>
        <v>Catechol</v>
      </c>
      <c r="BA778" t="s">
        <v>115</v>
      </c>
      <c r="BB778" t="s">
        <v>116</v>
      </c>
      <c r="BC778">
        <v>110.10924</v>
      </c>
      <c r="BD778">
        <v>4.333333333333333</v>
      </c>
      <c r="BE778">
        <v>245</v>
      </c>
      <c r="BF778" t="s">
        <v>203</v>
      </c>
      <c r="BG778">
        <v>0.1998469883181466</v>
      </c>
      <c r="BH778">
        <v>5.3138686131386802E-2</v>
      </c>
      <c r="BI778">
        <v>0.121771260208733</v>
      </c>
      <c r="BJ778">
        <v>90</v>
      </c>
      <c r="BK778">
        <v>1689.547395932407</v>
      </c>
      <c r="BL778">
        <v>238.17916578710799</v>
      </c>
      <c r="BM778">
        <v>8.7207094811299228</v>
      </c>
      <c r="BN778">
        <v>1482.520611792087</v>
      </c>
      <c r="BO778">
        <v>207.0267841403199</v>
      </c>
    </row>
    <row r="779" spans="1:67" x14ac:dyDescent="0.25">
      <c r="A779" s="1">
        <v>777</v>
      </c>
      <c r="B779" t="s">
        <v>202</v>
      </c>
      <c r="C779" t="s">
        <v>195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67</v>
      </c>
      <c r="J779">
        <v>1.4</v>
      </c>
      <c r="K779">
        <v>500</v>
      </c>
      <c r="L779">
        <v>50</v>
      </c>
      <c r="N779" t="s">
        <v>183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29924.321744514269</v>
      </c>
      <c r="Z779">
        <v>149621608.72257131</v>
      </c>
      <c r="AA779">
        <v>209470252.21159989</v>
      </c>
      <c r="AB779">
        <v>209470.25221159981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61.422416462350498</v>
      </c>
      <c r="AI779">
        <v>61.422416462350498</v>
      </c>
      <c r="AJ779">
        <v>6807.7831968769951</v>
      </c>
      <c r="AK779">
        <v>854.70085470085473</v>
      </c>
      <c r="AL779" t="s">
        <v>69</v>
      </c>
      <c r="AM779">
        <v>4760.2372758321644</v>
      </c>
      <c r="AN779">
        <v>325.8036918703221</v>
      </c>
      <c r="AO779">
        <v>10441.81079859959</v>
      </c>
      <c r="AP779">
        <v>12748.52501928034</v>
      </c>
      <c r="AQ779">
        <v>2306.7142206807489</v>
      </c>
      <c r="AR779">
        <v>4.8778696077222206E-3</v>
      </c>
      <c r="AS779">
        <v>103.70383552281319</v>
      </c>
      <c r="AT779">
        <v>72.513305613040416</v>
      </c>
      <c r="AU779">
        <v>4.9630094697999017</v>
      </c>
      <c r="AV779">
        <v>159.06144457054029</v>
      </c>
      <c r="AW779">
        <v>194.19991846456031</v>
      </c>
      <c r="AX779">
        <v>35.138473894020031</v>
      </c>
      <c r="AY779">
        <v>0.97764066274307182</v>
      </c>
      <c r="AZ779" t="str">
        <f>VLOOKUP(BA779,Sheet1!$A$1:$B$58,2,FALSE)</f>
        <v>Citrate</v>
      </c>
      <c r="BA779" t="s">
        <v>119</v>
      </c>
      <c r="BB779" t="s">
        <v>120</v>
      </c>
      <c r="BC779">
        <v>189.09639999999999</v>
      </c>
      <c r="BD779">
        <v>2.5</v>
      </c>
      <c r="BF779" t="s">
        <v>203</v>
      </c>
      <c r="BG779">
        <v>0</v>
      </c>
      <c r="BH779">
        <v>0.101111111111111</v>
      </c>
      <c r="BI779">
        <v>0.39791688403464498</v>
      </c>
      <c r="BJ779">
        <v>90</v>
      </c>
      <c r="BK779">
        <v>542.2682370121745</v>
      </c>
      <c r="BL779">
        <v>98.117849072556751</v>
      </c>
      <c r="BM779">
        <v>2.7298851761044669</v>
      </c>
      <c r="BN779">
        <v>464.08047993775938</v>
      </c>
      <c r="BO779">
        <v>78.18775707441506</v>
      </c>
    </row>
    <row r="780" spans="1:67" x14ac:dyDescent="0.25">
      <c r="A780" s="1">
        <v>778</v>
      </c>
      <c r="B780" t="s">
        <v>202</v>
      </c>
      <c r="C780" t="s">
        <v>195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67</v>
      </c>
      <c r="J780">
        <v>1.4</v>
      </c>
      <c r="K780">
        <v>500</v>
      </c>
      <c r="L780">
        <v>50</v>
      </c>
      <c r="N780" t="s">
        <v>183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103569.36334237309</v>
      </c>
      <c r="Z780">
        <v>517846816.71186543</v>
      </c>
      <c r="AA780">
        <v>724985543.39661145</v>
      </c>
      <c r="AB780">
        <v>724985.54339661147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212.5856225670988</v>
      </c>
      <c r="AI780">
        <v>212.5856225670988</v>
      </c>
      <c r="AJ780">
        <v>23562.03016038987</v>
      </c>
      <c r="AK780">
        <v>854.70085470085473</v>
      </c>
      <c r="AL780" t="s">
        <v>69</v>
      </c>
      <c r="AM780">
        <v>16475.38574895015</v>
      </c>
      <c r="AN780">
        <v>1127.620576656504</v>
      </c>
      <c r="AO780">
        <v>36139.555836406791</v>
      </c>
      <c r="AP780">
        <v>42019.737340697378</v>
      </c>
      <c r="AQ780">
        <v>5880.1815042905873</v>
      </c>
      <c r="AR780">
        <v>4.8778696077222206E-3</v>
      </c>
      <c r="AS780">
        <v>103.70383552281319</v>
      </c>
      <c r="AT780">
        <v>72.513305613040401</v>
      </c>
      <c r="AU780">
        <v>4.9630094697999017</v>
      </c>
      <c r="AV780">
        <v>159.06144457054029</v>
      </c>
      <c r="AW780">
        <v>184.941955350565</v>
      </c>
      <c r="AX780">
        <v>25.880510780024778</v>
      </c>
      <c r="AY780">
        <v>0.97764066274307171</v>
      </c>
      <c r="AZ780" t="str">
        <f>VLOOKUP(BA780,Sheet1!$A$1:$B$58,2,FALSE)</f>
        <v>Coumaric Acid</v>
      </c>
      <c r="BA780" t="s">
        <v>121</v>
      </c>
      <c r="BB780" t="s">
        <v>122</v>
      </c>
      <c r="BC780">
        <v>163.14818</v>
      </c>
      <c r="BD780">
        <v>4.1111111111111107</v>
      </c>
      <c r="BE780">
        <v>346</v>
      </c>
      <c r="BF780" t="s">
        <v>203</v>
      </c>
      <c r="BG780">
        <v>0.13487738569930721</v>
      </c>
      <c r="BH780">
        <v>3.3860465116279097E-2</v>
      </c>
      <c r="BI780">
        <v>0.114970223637125</v>
      </c>
      <c r="BJ780">
        <v>90</v>
      </c>
      <c r="BK780">
        <v>1787.341582888535</v>
      </c>
      <c r="BL780">
        <v>250.11800602978721</v>
      </c>
      <c r="BM780">
        <v>9.3133725061717492</v>
      </c>
      <c r="BN780">
        <v>1583.2733260491971</v>
      </c>
      <c r="BO780">
        <v>204.06825683933721</v>
      </c>
    </row>
    <row r="781" spans="1:67" x14ac:dyDescent="0.25">
      <c r="A781" s="1">
        <v>779</v>
      </c>
      <c r="B781" t="s">
        <v>202</v>
      </c>
      <c r="C781" t="s">
        <v>195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67</v>
      </c>
      <c r="J781">
        <v>1.4</v>
      </c>
      <c r="K781">
        <v>500</v>
      </c>
      <c r="L781">
        <v>50</v>
      </c>
      <c r="N781" t="s">
        <v>183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32470.068405134931</v>
      </c>
      <c r="Z781">
        <v>162350342.02567461</v>
      </c>
      <c r="AA781">
        <v>227290478.8359445</v>
      </c>
      <c r="AB781">
        <v>227290.47883594449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66.647795100212036</v>
      </c>
      <c r="AI781">
        <v>66.647795100212036</v>
      </c>
      <c r="AJ781">
        <v>7386.9405621681954</v>
      </c>
      <c r="AK781">
        <v>854.70085470085473</v>
      </c>
      <c r="AL781" t="s">
        <v>69</v>
      </c>
      <c r="AM781">
        <v>5165.2041202664332</v>
      </c>
      <c r="AN781">
        <v>353.52073313455071</v>
      </c>
      <c r="AO781">
        <v>11330.125167036051</v>
      </c>
      <c r="AP781">
        <v>13760.366270270029</v>
      </c>
      <c r="AQ781">
        <v>2430.241103233986</v>
      </c>
      <c r="AR781">
        <v>4.8778696077222206E-3</v>
      </c>
      <c r="AS781">
        <v>103.70383552281319</v>
      </c>
      <c r="AT781">
        <v>72.513305613040416</v>
      </c>
      <c r="AU781">
        <v>4.9630094697999017</v>
      </c>
      <c r="AV781">
        <v>159.06144457054029</v>
      </c>
      <c r="AW781">
        <v>193.1791312541574</v>
      </c>
      <c r="AX781">
        <v>34.117686683617137</v>
      </c>
      <c r="AY781">
        <v>0.97764066274307182</v>
      </c>
      <c r="AZ781" t="str">
        <f>VLOOKUP(BA781,Sheet1!$A$1:$B$58,2,FALSE)</f>
        <v>Ethyl Acetate</v>
      </c>
      <c r="BA781" t="s">
        <v>123</v>
      </c>
      <c r="BB781" t="s">
        <v>124</v>
      </c>
      <c r="BC781">
        <v>88.103520000000003</v>
      </c>
      <c r="BD781">
        <v>5</v>
      </c>
      <c r="BE781">
        <v>77.099999999999994</v>
      </c>
      <c r="BF781" t="s">
        <v>203</v>
      </c>
      <c r="BG781">
        <v>0.49952601212755171</v>
      </c>
      <c r="BH781">
        <v>0.2</v>
      </c>
      <c r="BI781">
        <v>0.36671905697446</v>
      </c>
      <c r="BJ781">
        <v>90</v>
      </c>
      <c r="BK781">
        <v>585.30767651443534</v>
      </c>
      <c r="BL781">
        <v>103.3721592554562</v>
      </c>
      <c r="BM781">
        <v>2.4625982145485392</v>
      </c>
      <c r="BN781">
        <v>418.64169647325161</v>
      </c>
      <c r="BO781">
        <v>166.6659800411837</v>
      </c>
    </row>
    <row r="782" spans="1:67" x14ac:dyDescent="0.25">
      <c r="A782" s="1">
        <v>780</v>
      </c>
      <c r="B782" t="s">
        <v>202</v>
      </c>
      <c r="C782" t="s">
        <v>195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67</v>
      </c>
      <c r="J782">
        <v>1.4</v>
      </c>
      <c r="K782">
        <v>500</v>
      </c>
      <c r="L782">
        <v>50</v>
      </c>
      <c r="N782" t="s">
        <v>183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111532.46063448431</v>
      </c>
      <c r="Z782">
        <v>557662303.17242169</v>
      </c>
      <c r="AA782">
        <v>780727224.44139028</v>
      </c>
      <c r="AB782">
        <v>780727.22444139025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228.93061051309749</v>
      </c>
      <c r="AI782">
        <v>228.93061051309749</v>
      </c>
      <c r="AJ782">
        <v>25373.63479434518</v>
      </c>
      <c r="AK782">
        <v>1835.336538461539</v>
      </c>
      <c r="AL782" t="s">
        <v>84</v>
      </c>
      <c r="AM782">
        <v>17742.122314765049</v>
      </c>
      <c r="AN782">
        <v>1214.3195006502631</v>
      </c>
      <c r="AO782">
        <v>38918.203787226572</v>
      </c>
      <c r="AP782">
        <v>46165.41314822204</v>
      </c>
      <c r="AQ782">
        <v>7247.2093609954682</v>
      </c>
      <c r="AR782">
        <v>4.8778696077222206E-3</v>
      </c>
      <c r="AS782">
        <v>103.70383552281319</v>
      </c>
      <c r="AT782">
        <v>72.513305613040401</v>
      </c>
      <c r="AU782">
        <v>4.9630094697999017</v>
      </c>
      <c r="AV782">
        <v>159.06144457054029</v>
      </c>
      <c r="AW782">
        <v>188.68130052194539</v>
      </c>
      <c r="AX782">
        <v>29.619855951405128</v>
      </c>
      <c r="AY782">
        <v>0.97764066274307171</v>
      </c>
      <c r="AZ782" t="str">
        <f>VLOOKUP(BA782,Sheet1!$A$1:$B$58,2,FALSE)</f>
        <v>Farnesene</v>
      </c>
      <c r="BA782" t="s">
        <v>125</v>
      </c>
      <c r="BB782" t="s">
        <v>126</v>
      </c>
      <c r="BC782">
        <v>204.34866</v>
      </c>
      <c r="BD782">
        <v>5.6</v>
      </c>
      <c r="BE782" t="s">
        <v>127</v>
      </c>
      <c r="BF782" t="s">
        <v>203</v>
      </c>
      <c r="BG782">
        <v>1.292203237349326</v>
      </c>
      <c r="BH782">
        <v>2.5103448275862299E-2</v>
      </c>
      <c r="BI782">
        <v>0.10676167994222199</v>
      </c>
      <c r="BJ782">
        <v>90</v>
      </c>
      <c r="BK782">
        <v>1963.681065924457</v>
      </c>
      <c r="BL782">
        <v>308.26557876316468</v>
      </c>
      <c r="BM782">
        <v>8.8824905632327837</v>
      </c>
      <c r="BN782">
        <v>1510.023395749573</v>
      </c>
      <c r="BO782">
        <v>453.65767017488378</v>
      </c>
    </row>
    <row r="783" spans="1:67" x14ac:dyDescent="0.25">
      <c r="A783" s="1">
        <v>781</v>
      </c>
      <c r="B783" t="s">
        <v>202</v>
      </c>
      <c r="C783" t="s">
        <v>195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67</v>
      </c>
      <c r="J783">
        <v>1.4</v>
      </c>
      <c r="K783">
        <v>500</v>
      </c>
      <c r="L783">
        <v>50</v>
      </c>
      <c r="N783" t="s">
        <v>183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77598.297777078333</v>
      </c>
      <c r="Z783">
        <v>387991488.88539171</v>
      </c>
      <c r="AA783">
        <v>543188084.43954825</v>
      </c>
      <c r="AB783">
        <v>543188.0844395482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159.2776271932361</v>
      </c>
      <c r="AI783">
        <v>159.2776271932361</v>
      </c>
      <c r="AJ783">
        <v>17653.612744285321</v>
      </c>
      <c r="AK783">
        <v>1835.336538461539</v>
      </c>
      <c r="AL783" t="s">
        <v>84</v>
      </c>
      <c r="AM783">
        <v>12344.0161074758</v>
      </c>
      <c r="AN783">
        <v>844.85831005541149</v>
      </c>
      <c r="AO783">
        <v>27077.19662285013</v>
      </c>
      <c r="AP783">
        <v>32677.82370027807</v>
      </c>
      <c r="AQ783">
        <v>5600.6270774279328</v>
      </c>
      <c r="AR783">
        <v>4.8778696077222206E-3</v>
      </c>
      <c r="AS783">
        <v>103.70383552281309</v>
      </c>
      <c r="AT783">
        <v>72.513305613040387</v>
      </c>
      <c r="AU783">
        <v>4.9630094697999017</v>
      </c>
      <c r="AV783">
        <v>159.0614445705402</v>
      </c>
      <c r="AW783">
        <v>191.96159468005331</v>
      </c>
      <c r="AX783">
        <v>32.900150109513078</v>
      </c>
      <c r="AY783">
        <v>0.97764066274307138</v>
      </c>
      <c r="AZ783" t="str">
        <f>VLOOKUP(BA783,Sheet1!$A$1:$B$58,2,FALSE)</f>
        <v>Gamma Butyrolactone</v>
      </c>
      <c r="BA783" t="s">
        <v>128</v>
      </c>
      <c r="BB783" t="s">
        <v>129</v>
      </c>
      <c r="BC783">
        <v>86.08784</v>
      </c>
      <c r="BD783">
        <v>4.5</v>
      </c>
      <c r="BE783">
        <v>204</v>
      </c>
      <c r="BF783" t="s">
        <v>203</v>
      </c>
      <c r="BG783">
        <v>0.25561101312334122</v>
      </c>
      <c r="BH783">
        <v>8.5647058823529396E-2</v>
      </c>
      <c r="BI783">
        <v>0.15344915038773699</v>
      </c>
      <c r="BJ783">
        <v>90</v>
      </c>
      <c r="BK783">
        <v>1389.9761596377009</v>
      </c>
      <c r="BL783">
        <v>238.22694522279221</v>
      </c>
      <c r="BM783">
        <v>6.8233946399093712</v>
      </c>
      <c r="BN783">
        <v>1159.977088784593</v>
      </c>
      <c r="BO783">
        <v>229.99907085310821</v>
      </c>
    </row>
    <row r="784" spans="1:67" x14ac:dyDescent="0.25">
      <c r="A784" s="1">
        <v>782</v>
      </c>
      <c r="B784" t="s">
        <v>202</v>
      </c>
      <c r="C784" t="s">
        <v>195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67</v>
      </c>
      <c r="J784">
        <v>1.4</v>
      </c>
      <c r="K784">
        <v>500</v>
      </c>
      <c r="L784">
        <v>50</v>
      </c>
      <c r="N784" t="s">
        <v>183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33347.272311600384</v>
      </c>
      <c r="Z784">
        <v>166736361.55800191</v>
      </c>
      <c r="AA784">
        <v>233430906.18120271</v>
      </c>
      <c r="AB784">
        <v>233430.90618120271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68.448336617087008</v>
      </c>
      <c r="AI784">
        <v>68.448336617087008</v>
      </c>
      <c r="AJ784">
        <v>7586.5044508890878</v>
      </c>
      <c r="AK784">
        <v>854.70085470085473</v>
      </c>
      <c r="AL784" t="s">
        <v>69</v>
      </c>
      <c r="AM784">
        <v>5304.7460878242427</v>
      </c>
      <c r="AN784">
        <v>363.0713680224377</v>
      </c>
      <c r="AO784">
        <v>11636.217224904791</v>
      </c>
      <c r="AP784">
        <v>14109.022761436619</v>
      </c>
      <c r="AQ784">
        <v>2472.8055365318342</v>
      </c>
      <c r="AR784">
        <v>4.8778696077222223E-3</v>
      </c>
      <c r="AS784">
        <v>103.70383552281319</v>
      </c>
      <c r="AT784">
        <v>72.513305613040416</v>
      </c>
      <c r="AU784">
        <v>4.9630094697999017</v>
      </c>
      <c r="AV784">
        <v>159.06144457054029</v>
      </c>
      <c r="AW784">
        <v>192.86349666191501</v>
      </c>
      <c r="AX784">
        <v>33.802052091374712</v>
      </c>
      <c r="AY784">
        <v>0.97764066274307215</v>
      </c>
      <c r="AZ784" t="str">
        <f>VLOOKUP(BA784,Sheet1!$A$1:$B$58,2,FALSE)</f>
        <v>L-Glutamate</v>
      </c>
      <c r="BA784" t="s">
        <v>130</v>
      </c>
      <c r="BB784" t="s">
        <v>131</v>
      </c>
      <c r="BC784">
        <v>146.11892</v>
      </c>
      <c r="BD784">
        <v>3.4</v>
      </c>
      <c r="BE784">
        <v>333.8</v>
      </c>
      <c r="BF784" t="s">
        <v>203</v>
      </c>
      <c r="BG784">
        <v>0</v>
      </c>
      <c r="BH784">
        <v>0.11741935483870999</v>
      </c>
      <c r="BI784">
        <v>0.35707246920118002</v>
      </c>
      <c r="BJ784">
        <v>90</v>
      </c>
      <c r="BK784">
        <v>600.13804634167604</v>
      </c>
      <c r="BL784">
        <v>105.1826698964079</v>
      </c>
      <c r="BM784">
        <v>3.042148294092756</v>
      </c>
      <c r="BN784">
        <v>517.16520999576846</v>
      </c>
      <c r="BO784">
        <v>82.972836345907581</v>
      </c>
    </row>
    <row r="785" spans="1:67" x14ac:dyDescent="0.25">
      <c r="A785" s="1">
        <v>783</v>
      </c>
      <c r="B785" t="s">
        <v>202</v>
      </c>
      <c r="C785" t="s">
        <v>195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67</v>
      </c>
      <c r="J785">
        <v>1.4</v>
      </c>
      <c r="K785">
        <v>500</v>
      </c>
      <c r="L785">
        <v>50</v>
      </c>
      <c r="N785" t="s">
        <v>183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62838.005681017472</v>
      </c>
      <c r="Z785">
        <v>314190028.40508741</v>
      </c>
      <c r="AA785">
        <v>439866039.76712233</v>
      </c>
      <c r="AB785">
        <v>439866.03976712219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128.980773150207</v>
      </c>
      <c r="AI785">
        <v>128.980773150207</v>
      </c>
      <c r="AJ785">
        <v>14295.646292431469</v>
      </c>
      <c r="AK785">
        <v>854.70085470085473</v>
      </c>
      <c r="AL785" t="s">
        <v>69</v>
      </c>
      <c r="AM785">
        <v>9996.0099191410427</v>
      </c>
      <c r="AN785">
        <v>684.15432822288949</v>
      </c>
      <c r="AO785">
        <v>21926.731435535188</v>
      </c>
      <c r="AP785">
        <v>25830.511394496261</v>
      </c>
      <c r="AQ785">
        <v>3903.7799589610731</v>
      </c>
      <c r="AR785">
        <v>4.8778696077222206E-3</v>
      </c>
      <c r="AS785">
        <v>103.70383552281319</v>
      </c>
      <c r="AT785">
        <v>72.513305613040401</v>
      </c>
      <c r="AU785">
        <v>4.9630094697999017</v>
      </c>
      <c r="AV785">
        <v>159.0614445705402</v>
      </c>
      <c r="AW785">
        <v>187.3803429610023</v>
      </c>
      <c r="AX785">
        <v>28.318898390462131</v>
      </c>
      <c r="AY785">
        <v>0.97764066274307171</v>
      </c>
      <c r="AZ785" t="str">
        <f>VLOOKUP(BA785,Sheet1!$A$1:$B$58,2,FALSE)</f>
        <v>Glycolate</v>
      </c>
      <c r="BA785" t="s">
        <v>134</v>
      </c>
      <c r="BB785" t="s">
        <v>135</v>
      </c>
      <c r="BC785">
        <v>75.041920000000005</v>
      </c>
      <c r="BD785">
        <v>2.5</v>
      </c>
      <c r="BE785">
        <v>112</v>
      </c>
      <c r="BF785" t="s">
        <v>203</v>
      </c>
      <c r="BG785">
        <v>0</v>
      </c>
      <c r="BH785">
        <v>0.121333333333333</v>
      </c>
      <c r="BI785">
        <v>0.18949348784034301</v>
      </c>
      <c r="BJ785">
        <v>90</v>
      </c>
      <c r="BK785">
        <v>1098.720507182805</v>
      </c>
      <c r="BL785">
        <v>166.05025858503441</v>
      </c>
      <c r="BM785">
        <v>5.7324788066758678</v>
      </c>
      <c r="BN785">
        <v>974.52139713489748</v>
      </c>
      <c r="BO785">
        <v>124.1991100479075</v>
      </c>
    </row>
    <row r="786" spans="1:67" x14ac:dyDescent="0.25">
      <c r="A786" s="1">
        <v>784</v>
      </c>
      <c r="B786" t="s">
        <v>202</v>
      </c>
      <c r="C786" t="s">
        <v>195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67</v>
      </c>
      <c r="J786">
        <v>1.4</v>
      </c>
      <c r="K786">
        <v>500</v>
      </c>
      <c r="L786">
        <v>50</v>
      </c>
      <c r="N786" t="s">
        <v>183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62810.167176009483</v>
      </c>
      <c r="Z786">
        <v>314050835.88004738</v>
      </c>
      <c r="AA786">
        <v>439671170.23206627</v>
      </c>
      <c r="AB786">
        <v>439671.17023206642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128.92363206400671</v>
      </c>
      <c r="AI786">
        <v>128.92363206400671</v>
      </c>
      <c r="AJ786">
        <v>14289.313032542161</v>
      </c>
      <c r="AK786">
        <v>854.70085470085473</v>
      </c>
      <c r="AL786" t="s">
        <v>69</v>
      </c>
      <c r="AM786">
        <v>9991.5814849605176</v>
      </c>
      <c r="AN786">
        <v>683.85123404467583</v>
      </c>
      <c r="AO786">
        <v>21917.01745088114</v>
      </c>
      <c r="AP786">
        <v>25819.44660624821</v>
      </c>
      <c r="AQ786">
        <v>3902.4291553670701</v>
      </c>
      <c r="AR786">
        <v>4.8778696077222223E-3</v>
      </c>
      <c r="AS786">
        <v>103.70383552281319</v>
      </c>
      <c r="AT786">
        <v>72.513305613040416</v>
      </c>
      <c r="AU786">
        <v>4.9630094697999017</v>
      </c>
      <c r="AV786">
        <v>159.06144457054029</v>
      </c>
      <c r="AW786">
        <v>187.38309098880899</v>
      </c>
      <c r="AX786">
        <v>28.32164641826866</v>
      </c>
      <c r="AY786">
        <v>0.97764066274307171</v>
      </c>
      <c r="AZ786" t="str">
        <f>VLOOKUP(BA786,Sheet1!$A$1:$B$58,2,FALSE)</f>
        <v>Heptane</v>
      </c>
      <c r="BA786" t="s">
        <v>136</v>
      </c>
      <c r="BB786" t="s">
        <v>137</v>
      </c>
      <c r="BC786">
        <v>100.20034</v>
      </c>
      <c r="BD786">
        <v>6.2857142857142856</v>
      </c>
      <c r="BE786">
        <v>98</v>
      </c>
      <c r="BF786" t="s">
        <v>203</v>
      </c>
      <c r="BG786">
        <v>1.756880266074943</v>
      </c>
      <c r="BH786">
        <v>9.0909090909090898E-2</v>
      </c>
      <c r="BI786">
        <v>0.189577474488483</v>
      </c>
      <c r="BJ786">
        <v>90</v>
      </c>
      <c r="BK786">
        <v>1098.2498579738101</v>
      </c>
      <c r="BL786">
        <v>165.99280112369181</v>
      </c>
      <c r="BM786">
        <v>3.973058936769799</v>
      </c>
      <c r="BN786">
        <v>675.42001925086572</v>
      </c>
      <c r="BO786">
        <v>422.82983872294392</v>
      </c>
    </row>
    <row r="787" spans="1:67" x14ac:dyDescent="0.25">
      <c r="A787" s="1">
        <v>785</v>
      </c>
      <c r="B787" t="s">
        <v>202</v>
      </c>
      <c r="C787" t="s">
        <v>195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67</v>
      </c>
      <c r="J787">
        <v>1.4</v>
      </c>
      <c r="K787">
        <v>500</v>
      </c>
      <c r="L787">
        <v>50</v>
      </c>
      <c r="N787" t="s">
        <v>183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63074.528664494857</v>
      </c>
      <c r="Z787">
        <v>315372643.3224743</v>
      </c>
      <c r="AA787">
        <v>441521700.65146399</v>
      </c>
      <c r="AB787">
        <v>441521.70065146399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129.46625827892939</v>
      </c>
      <c r="AI787">
        <v>129.46625827892939</v>
      </c>
      <c r="AJ787">
        <v>14349.455271172579</v>
      </c>
      <c r="AK787">
        <v>854.70085470085473</v>
      </c>
      <c r="AL787" t="s">
        <v>69</v>
      </c>
      <c r="AM787">
        <v>10033.63501661703</v>
      </c>
      <c r="AN787">
        <v>686.72949306328371</v>
      </c>
      <c r="AO787">
        <v>22009.263907418001</v>
      </c>
      <c r="AP787">
        <v>25924.520635553748</v>
      </c>
      <c r="AQ787">
        <v>3915.256728135751</v>
      </c>
      <c r="AR787">
        <v>4.8778696077222206E-3</v>
      </c>
      <c r="AS787">
        <v>103.70383552281319</v>
      </c>
      <c r="AT787">
        <v>72.513305613040416</v>
      </c>
      <c r="AU787">
        <v>4.9630094697999017</v>
      </c>
      <c r="AV787">
        <v>159.06144457054029</v>
      </c>
      <c r="AW787">
        <v>187.35709287851941</v>
      </c>
      <c r="AX787">
        <v>28.295648307979199</v>
      </c>
      <c r="AY787">
        <v>0.97764066274307182</v>
      </c>
      <c r="AZ787" t="str">
        <f>VLOOKUP(BA787,Sheet1!$A$1:$B$58,2,FALSE)</f>
        <v>Hexane</v>
      </c>
      <c r="BA787" t="s">
        <v>138</v>
      </c>
      <c r="BB787" t="s">
        <v>139</v>
      </c>
      <c r="BC787">
        <v>86.173959999999994</v>
      </c>
      <c r="BD787">
        <v>6.333333333333333</v>
      </c>
      <c r="BE787">
        <v>69</v>
      </c>
      <c r="BF787" t="s">
        <v>203</v>
      </c>
      <c r="BG787">
        <v>1.7874889351725249</v>
      </c>
      <c r="BH787">
        <v>0.105263157894737</v>
      </c>
      <c r="BI787">
        <v>0.18878290678579501</v>
      </c>
      <c r="BJ787">
        <v>90</v>
      </c>
      <c r="BK787">
        <v>1102.719261966907</v>
      </c>
      <c r="BL787">
        <v>166.53843171702701</v>
      </c>
      <c r="BM787">
        <v>3.9665669883354502</v>
      </c>
      <c r="BN787">
        <v>674.3163880170265</v>
      </c>
      <c r="BO787">
        <v>428.40287394988093</v>
      </c>
    </row>
    <row r="788" spans="1:67" x14ac:dyDescent="0.25">
      <c r="A788" s="1">
        <v>786</v>
      </c>
      <c r="B788" t="s">
        <v>202</v>
      </c>
      <c r="C788" t="s">
        <v>195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67</v>
      </c>
      <c r="J788">
        <v>1.4</v>
      </c>
      <c r="K788">
        <v>500</v>
      </c>
      <c r="L788">
        <v>50</v>
      </c>
      <c r="N788" t="s">
        <v>183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39856.460171202372</v>
      </c>
      <c r="Z788">
        <v>199282300.85601181</v>
      </c>
      <c r="AA788">
        <v>278995221.19841647</v>
      </c>
      <c r="AB788">
        <v>278995.22119841649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81.80904203115179</v>
      </c>
      <c r="AI788">
        <v>81.80904203115179</v>
      </c>
      <c r="AJ788">
        <v>9067.3446889485385</v>
      </c>
      <c r="AK788">
        <v>854.70085470085473</v>
      </c>
      <c r="AL788" t="s">
        <v>69</v>
      </c>
      <c r="AM788">
        <v>6340.2007574142644</v>
      </c>
      <c r="AN788">
        <v>433.94072485671842</v>
      </c>
      <c r="AO788">
        <v>13907.537145295801</v>
      </c>
      <c r="AP788">
        <v>16696.187025920379</v>
      </c>
      <c r="AQ788">
        <v>2788.6498806245709</v>
      </c>
      <c r="AR788">
        <v>4.8778696077222206E-3</v>
      </c>
      <c r="AS788">
        <v>103.70383552281319</v>
      </c>
      <c r="AT788">
        <v>72.513305613040401</v>
      </c>
      <c r="AU788">
        <v>4.9630094697999017</v>
      </c>
      <c r="AV788">
        <v>159.0614445705402</v>
      </c>
      <c r="AW788">
        <v>190.95542218710511</v>
      </c>
      <c r="AX788">
        <v>31.893977616564861</v>
      </c>
      <c r="AY788">
        <v>0.9776406627430716</v>
      </c>
      <c r="AZ788" t="str">
        <f>VLOOKUP(BA788,Sheet1!$A$1:$B$58,2,FALSE)</f>
        <v>Isobutanol</v>
      </c>
      <c r="BA788" t="s">
        <v>140</v>
      </c>
      <c r="BB788" t="s">
        <v>141</v>
      </c>
      <c r="BC788">
        <v>86.130899999999997</v>
      </c>
      <c r="BD788">
        <v>5.6</v>
      </c>
      <c r="BE788">
        <v>108</v>
      </c>
      <c r="BF788" t="s">
        <v>203</v>
      </c>
      <c r="BG788">
        <v>1.0219328951630571</v>
      </c>
      <c r="BH788">
        <v>0.16666666666666699</v>
      </c>
      <c r="BI788">
        <v>0.29875690952682199</v>
      </c>
      <c r="BJ788">
        <v>90</v>
      </c>
      <c r="BK788">
        <v>710.1850519710141</v>
      </c>
      <c r="BL788">
        <v>118.6173500168462</v>
      </c>
      <c r="BM788">
        <v>2.6140245284436889</v>
      </c>
      <c r="BN788">
        <v>444.3841698354272</v>
      </c>
      <c r="BO788">
        <v>265.8008821355869</v>
      </c>
    </row>
    <row r="789" spans="1:67" x14ac:dyDescent="0.25">
      <c r="A789" s="1">
        <v>787</v>
      </c>
      <c r="B789" t="s">
        <v>202</v>
      </c>
      <c r="C789" t="s">
        <v>195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67</v>
      </c>
      <c r="J789">
        <v>1.4</v>
      </c>
      <c r="K789">
        <v>500</v>
      </c>
      <c r="L789">
        <v>50</v>
      </c>
      <c r="N789" t="s">
        <v>183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32845.800401732653</v>
      </c>
      <c r="Z789">
        <v>164229002.00866321</v>
      </c>
      <c r="AA789">
        <v>229920602.81212851</v>
      </c>
      <c r="AB789">
        <v>229920.60281212849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67.419019503234182</v>
      </c>
      <c r="AI789">
        <v>67.419019503234182</v>
      </c>
      <c r="AJ789">
        <v>7472.4195913941776</v>
      </c>
      <c r="AK789">
        <v>854.70085470085473</v>
      </c>
      <c r="AL789" t="s">
        <v>69</v>
      </c>
      <c r="AM789">
        <v>5224.9740115006489</v>
      </c>
      <c r="AN789">
        <v>357.61154838144199</v>
      </c>
      <c r="AO789">
        <v>11461.233315549811</v>
      </c>
      <c r="AP789">
        <v>13909.706005977119</v>
      </c>
      <c r="AQ789">
        <v>2448.4726904273139</v>
      </c>
      <c r="AR789">
        <v>4.8778696077222223E-3</v>
      </c>
      <c r="AS789">
        <v>103.70383552281319</v>
      </c>
      <c r="AT789">
        <v>72.513305613040416</v>
      </c>
      <c r="AU789">
        <v>4.9630094697999008</v>
      </c>
      <c r="AV789">
        <v>159.06144457054029</v>
      </c>
      <c r="AW789">
        <v>193.04187166842479</v>
      </c>
      <c r="AX789">
        <v>33.980427097884551</v>
      </c>
      <c r="AY789">
        <v>0.97764066274307182</v>
      </c>
      <c r="AZ789" t="str">
        <f>VLOOKUP(BA789,Sheet1!$A$1:$B$58,2,FALSE)</f>
        <v>Isobutyrate</v>
      </c>
      <c r="BA789" t="s">
        <v>142</v>
      </c>
      <c r="BB789" t="s">
        <v>114</v>
      </c>
      <c r="BC789">
        <v>87.095680000000002</v>
      </c>
      <c r="BD789">
        <v>4.75</v>
      </c>
      <c r="BE789">
        <v>155</v>
      </c>
      <c r="BF789" t="s">
        <v>203</v>
      </c>
      <c r="BG789">
        <v>0.50530634814493669</v>
      </c>
      <c r="BH789">
        <v>0.2</v>
      </c>
      <c r="BI789">
        <v>0.36252405847291103</v>
      </c>
      <c r="BJ789">
        <v>90</v>
      </c>
      <c r="BK789">
        <v>591.65995609778111</v>
      </c>
      <c r="BL789">
        <v>104.14765372484059</v>
      </c>
      <c r="BM789">
        <v>2.4910945186654709</v>
      </c>
      <c r="BN789">
        <v>423.48606817312998</v>
      </c>
      <c r="BO789">
        <v>168.1738879246511</v>
      </c>
    </row>
    <row r="790" spans="1:67" x14ac:dyDescent="0.25">
      <c r="A790" s="1">
        <v>788</v>
      </c>
      <c r="B790" t="s">
        <v>202</v>
      </c>
      <c r="C790" t="s">
        <v>195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67</v>
      </c>
      <c r="J790">
        <v>1.4</v>
      </c>
      <c r="K790">
        <v>500</v>
      </c>
      <c r="L790">
        <v>50</v>
      </c>
      <c r="N790" t="s">
        <v>183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113070.8394018581</v>
      </c>
      <c r="Z790">
        <v>565354197.0092907</v>
      </c>
      <c r="AA790">
        <v>791495875.81300688</v>
      </c>
      <c r="AB790">
        <v>791495.87581300689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232.08827410638489</v>
      </c>
      <c r="AI790">
        <v>232.08827410638489</v>
      </c>
      <c r="AJ790">
        <v>25723.61596392273</v>
      </c>
      <c r="AK790">
        <v>2170.1388888888891</v>
      </c>
      <c r="AL790" t="s">
        <v>107</v>
      </c>
      <c r="AM790">
        <v>17986.841243244831</v>
      </c>
      <c r="AN790">
        <v>1231.0687351420081</v>
      </c>
      <c r="AO790">
        <v>39455.006598085427</v>
      </c>
      <c r="AP790">
        <v>47111.664831198454</v>
      </c>
      <c r="AQ790">
        <v>7656.6582331130194</v>
      </c>
      <c r="AR790">
        <v>4.8778696077222206E-3</v>
      </c>
      <c r="AS790">
        <v>103.70383552281319</v>
      </c>
      <c r="AT790">
        <v>72.513305613040416</v>
      </c>
      <c r="AU790">
        <v>4.9630094697999017</v>
      </c>
      <c r="AV790">
        <v>159.06144457054029</v>
      </c>
      <c r="AW790">
        <v>189.92898773300871</v>
      </c>
      <c r="AX790">
        <v>30.86754316246839</v>
      </c>
      <c r="AY790">
        <v>0.97764066274307193</v>
      </c>
      <c r="AZ790" t="str">
        <f>VLOOKUP(BA790,Sheet1!$A$1:$B$58,2,FALSE)</f>
        <v>Isoprene</v>
      </c>
      <c r="BA790" t="s">
        <v>143</v>
      </c>
      <c r="BB790" t="s">
        <v>144</v>
      </c>
      <c r="BC790">
        <v>68.116219999999998</v>
      </c>
      <c r="BD790">
        <v>5.6</v>
      </c>
      <c r="BE790">
        <v>34.07</v>
      </c>
      <c r="BF790" t="s">
        <v>203</v>
      </c>
      <c r="BG790">
        <v>1.2922032373493371</v>
      </c>
      <c r="BH790">
        <v>7.4285714285714302E-2</v>
      </c>
      <c r="BI790">
        <v>0.105309140079061</v>
      </c>
      <c r="BJ790">
        <v>90</v>
      </c>
      <c r="BK790">
        <v>2003.9306031157321</v>
      </c>
      <c r="BL790">
        <v>325.68179889012202</v>
      </c>
      <c r="BM790">
        <v>9.0228311673788824</v>
      </c>
      <c r="BN790">
        <v>1533.8812984544099</v>
      </c>
      <c r="BO790">
        <v>470.04930466132208</v>
      </c>
    </row>
    <row r="791" spans="1:67" x14ac:dyDescent="0.25">
      <c r="A791" s="1">
        <v>789</v>
      </c>
      <c r="B791" t="s">
        <v>202</v>
      </c>
      <c r="C791" t="s">
        <v>195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67</v>
      </c>
      <c r="J791">
        <v>1.4</v>
      </c>
      <c r="K791">
        <v>500</v>
      </c>
      <c r="L791">
        <v>50</v>
      </c>
      <c r="N791" t="s">
        <v>183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42843.916213345379</v>
      </c>
      <c r="Z791">
        <v>214219581.06672689</v>
      </c>
      <c r="AA791">
        <v>299907413.49341762</v>
      </c>
      <c r="AB791">
        <v>299907.41349341761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87.941069709176332</v>
      </c>
      <c r="AI791">
        <v>87.941069709176332</v>
      </c>
      <c r="AJ791">
        <v>9746.9909385360734</v>
      </c>
      <c r="AK791">
        <v>854.70085470085473</v>
      </c>
      <c r="AL791" t="s">
        <v>69</v>
      </c>
      <c r="AM791">
        <v>6815.4329024611661</v>
      </c>
      <c r="AN791">
        <v>466.46691596442241</v>
      </c>
      <c r="AO791">
        <v>14949.98185055998</v>
      </c>
      <c r="AP791">
        <v>17883.591611662519</v>
      </c>
      <c r="AQ791">
        <v>2933.6097611025398</v>
      </c>
      <c r="AR791">
        <v>4.8778696077222223E-3</v>
      </c>
      <c r="AS791">
        <v>103.70383552281319</v>
      </c>
      <c r="AT791">
        <v>72.513305613040416</v>
      </c>
      <c r="AU791">
        <v>4.9630094697999017</v>
      </c>
      <c r="AV791">
        <v>159.0614445705402</v>
      </c>
      <c r="AW791">
        <v>190.27380396144679</v>
      </c>
      <c r="AX791">
        <v>31.212359390906499</v>
      </c>
      <c r="AY791">
        <v>0.97764066274307171</v>
      </c>
      <c r="AZ791" t="str">
        <f>VLOOKUP(BA791,Sheet1!$A$1:$B$58,2,FALSE)</f>
        <v>Isopropanol</v>
      </c>
      <c r="BA791" t="s">
        <v>145</v>
      </c>
      <c r="BB791" t="s">
        <v>79</v>
      </c>
      <c r="BC791">
        <v>60.093820000000001</v>
      </c>
      <c r="BD791">
        <v>6</v>
      </c>
      <c r="BE791">
        <v>82.5</v>
      </c>
      <c r="BF791" t="s">
        <v>203</v>
      </c>
      <c r="BG791">
        <v>1.0985322617200901</v>
      </c>
      <c r="BH791">
        <v>0.22222222222222199</v>
      </c>
      <c r="BI791">
        <v>0.27792494052442102</v>
      </c>
      <c r="BJ791">
        <v>90</v>
      </c>
      <c r="BK791">
        <v>760.69221184690309</v>
      </c>
      <c r="BL791">
        <v>124.78332911681279</v>
      </c>
      <c r="BM791">
        <v>2.8099597253544131</v>
      </c>
      <c r="BN791">
        <v>477.69315331025018</v>
      </c>
      <c r="BO791">
        <v>282.99905853665291</v>
      </c>
    </row>
    <row r="792" spans="1:67" x14ac:dyDescent="0.25">
      <c r="A792" s="1">
        <v>790</v>
      </c>
      <c r="B792" t="s">
        <v>202</v>
      </c>
      <c r="C792" t="s">
        <v>195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67</v>
      </c>
      <c r="J792">
        <v>1.4</v>
      </c>
      <c r="K792">
        <v>500</v>
      </c>
      <c r="L792">
        <v>50</v>
      </c>
      <c r="N792" t="s">
        <v>183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35589.25022389755</v>
      </c>
      <c r="Z792">
        <v>177946251.11948779</v>
      </c>
      <c r="AA792">
        <v>249124751.56728289</v>
      </c>
      <c r="AB792">
        <v>249124.75156728289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73.050202022900322</v>
      </c>
      <c r="AI792">
        <v>73.050202022900322</v>
      </c>
      <c r="AJ792">
        <v>8096.5544259366934</v>
      </c>
      <c r="AK792">
        <v>854.70085470085473</v>
      </c>
      <c r="AL792" t="s">
        <v>69</v>
      </c>
      <c r="AM792">
        <v>5661.3906567747754</v>
      </c>
      <c r="AN792">
        <v>387.48110025144098</v>
      </c>
      <c r="AO792">
        <v>12418.53434389305</v>
      </c>
      <c r="AP792">
        <v>15000.127037663769</v>
      </c>
      <c r="AQ792">
        <v>2581.5926937707118</v>
      </c>
      <c r="AR792">
        <v>4.8778696077222223E-3</v>
      </c>
      <c r="AS792">
        <v>103.70383552281319</v>
      </c>
      <c r="AT792">
        <v>72.513305613040416</v>
      </c>
      <c r="AU792">
        <v>4.9630094697999017</v>
      </c>
      <c r="AV792">
        <v>159.06144457054029</v>
      </c>
      <c r="AW792">
        <v>192.12749341275759</v>
      </c>
      <c r="AX792">
        <v>33.06604884221737</v>
      </c>
      <c r="AY792">
        <v>0.97764066274307171</v>
      </c>
      <c r="AZ792" t="str">
        <f>VLOOKUP(BA792,Sheet1!$A$1:$B$58,2,FALSE)</f>
        <v>Itaconate</v>
      </c>
      <c r="BA792" t="s">
        <v>146</v>
      </c>
      <c r="BB792" t="s">
        <v>147</v>
      </c>
      <c r="BC792">
        <v>128.08086</v>
      </c>
      <c r="BD792">
        <v>3.2</v>
      </c>
      <c r="BE792">
        <v>381</v>
      </c>
      <c r="BF792" t="s">
        <v>203</v>
      </c>
      <c r="BG792">
        <v>0</v>
      </c>
      <c r="BH792">
        <v>0.12551724137931</v>
      </c>
      <c r="BI792">
        <v>0.33457835696217297</v>
      </c>
      <c r="BJ792">
        <v>90</v>
      </c>
      <c r="BK792">
        <v>638.04184651721823</v>
      </c>
      <c r="BL792">
        <v>109.8100146187406</v>
      </c>
      <c r="BM792">
        <v>3.2466756454622359</v>
      </c>
      <c r="BN792">
        <v>551.93485972858014</v>
      </c>
      <c r="BO792">
        <v>86.106986788638096</v>
      </c>
    </row>
    <row r="793" spans="1:67" x14ac:dyDescent="0.25">
      <c r="A793" s="1">
        <v>791</v>
      </c>
      <c r="B793" t="s">
        <v>202</v>
      </c>
      <c r="C793" t="s">
        <v>195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67</v>
      </c>
      <c r="J793">
        <v>1.4</v>
      </c>
      <c r="K793">
        <v>500</v>
      </c>
      <c r="L793">
        <v>50</v>
      </c>
      <c r="N793" t="s">
        <v>183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110763.2712507996</v>
      </c>
      <c r="Z793">
        <v>553816356.2539978</v>
      </c>
      <c r="AA793">
        <v>775342898.75559688</v>
      </c>
      <c r="AB793">
        <v>775342.89875559683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227.35177871645811</v>
      </c>
      <c r="AI793">
        <v>227.35177871645811</v>
      </c>
      <c r="AJ793">
        <v>25198.6442095569</v>
      </c>
      <c r="AK793">
        <v>854.70085470085473</v>
      </c>
      <c r="AL793" t="s">
        <v>69</v>
      </c>
      <c r="AM793">
        <v>17619.762850525509</v>
      </c>
      <c r="AN793">
        <v>1205.9448834044131</v>
      </c>
      <c r="AO793">
        <v>38649.802381797883</v>
      </c>
      <c r="AP793">
        <v>44879.052798187673</v>
      </c>
      <c r="AQ793">
        <v>6229.2504163897902</v>
      </c>
      <c r="AR793">
        <v>4.8778696077222206E-3</v>
      </c>
      <c r="AS793">
        <v>103.70383552281309</v>
      </c>
      <c r="AT793">
        <v>72.513305613040387</v>
      </c>
      <c r="AU793">
        <v>4.9630094697999017</v>
      </c>
      <c r="AV793">
        <v>159.0614445705402</v>
      </c>
      <c r="AW793">
        <v>184.69763178916449</v>
      </c>
      <c r="AX793">
        <v>25.636187218624261</v>
      </c>
      <c r="AY793">
        <v>0.9776406627430716</v>
      </c>
      <c r="AZ793" t="str">
        <f>VLOOKUP(BA793,Sheet1!$A$1:$B$58,2,FALSE)</f>
        <v>Limonene</v>
      </c>
      <c r="BA793" t="s">
        <v>148</v>
      </c>
      <c r="BB793" t="s">
        <v>149</v>
      </c>
      <c r="BC793">
        <v>136.23244</v>
      </c>
      <c r="BD793">
        <v>5.6</v>
      </c>
      <c r="BE793">
        <v>176</v>
      </c>
      <c r="BF793" t="s">
        <v>203</v>
      </c>
      <c r="BG793">
        <v>1.2922032373493439</v>
      </c>
      <c r="BH793">
        <v>3.7916666666666703E-2</v>
      </c>
      <c r="BI793">
        <v>0.107503080497375</v>
      </c>
      <c r="BJ793">
        <v>90</v>
      </c>
      <c r="BK793">
        <v>1908.964747125181</v>
      </c>
      <c r="BL793">
        <v>264.96591849601549</v>
      </c>
      <c r="BM793">
        <v>8.8123202611599076</v>
      </c>
      <c r="BN793">
        <v>1498.0944443971839</v>
      </c>
      <c r="BO793">
        <v>410.8703027279962</v>
      </c>
    </row>
    <row r="794" spans="1:67" x14ac:dyDescent="0.25">
      <c r="A794" s="1">
        <v>792</v>
      </c>
      <c r="B794" t="s">
        <v>202</v>
      </c>
      <c r="C794" t="s">
        <v>195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67</v>
      </c>
      <c r="J794">
        <v>1.4</v>
      </c>
      <c r="K794">
        <v>500</v>
      </c>
      <c r="L794">
        <v>50</v>
      </c>
      <c r="N794" t="s">
        <v>183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41646.828616109931</v>
      </c>
      <c r="Z794">
        <v>208234143.08054969</v>
      </c>
      <c r="AA794">
        <v>291527800.31276947</v>
      </c>
      <c r="AB794">
        <v>291527.80031276948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85.48393756205293</v>
      </c>
      <c r="AI794">
        <v>85.48393756205293</v>
      </c>
      <c r="AJ794">
        <v>9474.6535101650079</v>
      </c>
      <c r="AK794">
        <v>854.70085470085473</v>
      </c>
      <c r="AL794" t="s">
        <v>69</v>
      </c>
      <c r="AM794">
        <v>6625.0051610591017</v>
      </c>
      <c r="AN794">
        <v>453.43351918432728</v>
      </c>
      <c r="AO794">
        <v>14532.269385549</v>
      </c>
      <c r="AP794">
        <v>17407.793045109291</v>
      </c>
      <c r="AQ794">
        <v>2875.5236595602928</v>
      </c>
      <c r="AR794">
        <v>4.8778696077222206E-3</v>
      </c>
      <c r="AS794">
        <v>103.70383552281319</v>
      </c>
      <c r="AT794">
        <v>72.513305613040401</v>
      </c>
      <c r="AU794">
        <v>4.9630094697999017</v>
      </c>
      <c r="AV794">
        <v>159.06144457054029</v>
      </c>
      <c r="AW794">
        <v>190.53519000229329</v>
      </c>
      <c r="AX794">
        <v>31.473745431752992</v>
      </c>
      <c r="AY794">
        <v>0.97764066274307171</v>
      </c>
      <c r="AZ794" t="str">
        <f>VLOOKUP(BA794,Sheet1!$A$1:$B$58,2,FALSE)</f>
        <v>L-Lysine</v>
      </c>
      <c r="BA794" t="s">
        <v>150</v>
      </c>
      <c r="BB794" t="s">
        <v>151</v>
      </c>
      <c r="BC794">
        <v>147.19319999999999</v>
      </c>
      <c r="BD794">
        <v>4.833333333333333</v>
      </c>
      <c r="BF794" t="s">
        <v>203</v>
      </c>
      <c r="BG794">
        <v>0.29899479052021388</v>
      </c>
      <c r="BH794">
        <v>9.3333333333333393E-2</v>
      </c>
      <c r="BI794">
        <v>0.28591355599214202</v>
      </c>
      <c r="BJ794">
        <v>90</v>
      </c>
      <c r="BK794">
        <v>740.45375685171507</v>
      </c>
      <c r="BL794">
        <v>122.3125924762534</v>
      </c>
      <c r="BM794">
        <v>3.5002913233488049</v>
      </c>
      <c r="BN794">
        <v>595.04952496929695</v>
      </c>
      <c r="BO794">
        <v>145.40423188241809</v>
      </c>
    </row>
    <row r="795" spans="1:67" x14ac:dyDescent="0.25">
      <c r="A795" s="1">
        <v>793</v>
      </c>
      <c r="B795" t="s">
        <v>202</v>
      </c>
      <c r="C795" t="s">
        <v>195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67</v>
      </c>
      <c r="J795">
        <v>1.4</v>
      </c>
      <c r="K795">
        <v>500</v>
      </c>
      <c r="L795">
        <v>50</v>
      </c>
      <c r="N795" t="s">
        <v>183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28563.728854030469</v>
      </c>
      <c r="Z795">
        <v>142818644.27015239</v>
      </c>
      <c r="AA795">
        <v>199946101.97821331</v>
      </c>
      <c r="AB795">
        <v>199946.10197821329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58.629674696354449</v>
      </c>
      <c r="AI795">
        <v>58.629674696354449</v>
      </c>
      <c r="AJ795">
        <v>6498.2483142919318</v>
      </c>
      <c r="AK795">
        <v>854.70085470085473</v>
      </c>
      <c r="AL795" t="s">
        <v>69</v>
      </c>
      <c r="AM795">
        <v>4543.7997889674698</v>
      </c>
      <c r="AN795">
        <v>310.99011679126801</v>
      </c>
      <c r="AO795">
        <v>9967.0446983802558</v>
      </c>
      <c r="AP795">
        <v>12207.739074751529</v>
      </c>
      <c r="AQ795">
        <v>2240.6943763712702</v>
      </c>
      <c r="AR795">
        <v>4.8778696077222206E-3</v>
      </c>
      <c r="AS795">
        <v>103.70383552281319</v>
      </c>
      <c r="AT795">
        <v>72.513305613040416</v>
      </c>
      <c r="AU795">
        <v>4.9630094697999017</v>
      </c>
      <c r="AV795">
        <v>159.0614445705402</v>
      </c>
      <c r="AW795">
        <v>194.82009672192669</v>
      </c>
      <c r="AX795">
        <v>35.75865215138645</v>
      </c>
      <c r="AY795">
        <v>0.97764066274307171</v>
      </c>
      <c r="AZ795" t="str">
        <f>VLOOKUP(BA795,Sheet1!$A$1:$B$58,2,FALSE)</f>
        <v>L-Malate</v>
      </c>
      <c r="BA795" t="s">
        <v>152</v>
      </c>
      <c r="BB795" t="s">
        <v>153</v>
      </c>
      <c r="BC795">
        <v>132.06916000000001</v>
      </c>
      <c r="BD795">
        <v>2.5</v>
      </c>
      <c r="BF795" t="s">
        <v>203</v>
      </c>
      <c r="BG795">
        <v>0</v>
      </c>
      <c r="BH795">
        <v>0.151666666666667</v>
      </c>
      <c r="BI795">
        <v>0.41687109292619901</v>
      </c>
      <c r="BJ795">
        <v>90</v>
      </c>
      <c r="BK795">
        <v>519.26549431863907</v>
      </c>
      <c r="BL795">
        <v>95.309644631072246</v>
      </c>
      <c r="BM795">
        <v>2.6057633198379762</v>
      </c>
      <c r="BN795">
        <v>442.97976437245592</v>
      </c>
      <c r="BO795">
        <v>76.28572994618321</v>
      </c>
    </row>
    <row r="796" spans="1:67" x14ac:dyDescent="0.25">
      <c r="A796" s="1">
        <v>794</v>
      </c>
      <c r="B796" t="s">
        <v>202</v>
      </c>
      <c r="C796" t="s">
        <v>195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67</v>
      </c>
      <c r="J796">
        <v>1.4</v>
      </c>
      <c r="K796">
        <v>500</v>
      </c>
      <c r="L796">
        <v>50</v>
      </c>
      <c r="N796" t="s">
        <v>183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32347.284829042299</v>
      </c>
      <c r="Z796">
        <v>161736424.14521149</v>
      </c>
      <c r="AA796">
        <v>226430993.80329609</v>
      </c>
      <c r="AB796">
        <v>226430.99380329609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66.395770542733771</v>
      </c>
      <c r="AI796">
        <v>66.395770542733771</v>
      </c>
      <c r="AJ796">
        <v>7359.0072986071227</v>
      </c>
      <c r="AK796">
        <v>854.70085470085473</v>
      </c>
      <c r="AL796" t="s">
        <v>69</v>
      </c>
      <c r="AM796">
        <v>5145.6722170618668</v>
      </c>
      <c r="AN796">
        <v>352.18391612216999</v>
      </c>
      <c r="AO796">
        <v>11287.280992264739</v>
      </c>
      <c r="AP796">
        <v>13711.564286492019</v>
      </c>
      <c r="AQ796">
        <v>2424.2832942272739</v>
      </c>
      <c r="AR796">
        <v>4.8778696077222223E-3</v>
      </c>
      <c r="AS796">
        <v>103.70383552281319</v>
      </c>
      <c r="AT796">
        <v>72.513305613040401</v>
      </c>
      <c r="AU796">
        <v>4.9630094697999017</v>
      </c>
      <c r="AV796">
        <v>159.0614445705402</v>
      </c>
      <c r="AW796">
        <v>193.22467689303491</v>
      </c>
      <c r="AX796">
        <v>34.163232322494657</v>
      </c>
      <c r="AY796">
        <v>0.97764066274307171</v>
      </c>
      <c r="AZ796" t="str">
        <f>VLOOKUP(BA796,Sheet1!$A$1:$B$58,2,FALSE)</f>
        <v>Malonate</v>
      </c>
      <c r="BA796" t="s">
        <v>154</v>
      </c>
      <c r="BB796" t="s">
        <v>155</v>
      </c>
      <c r="BC796">
        <v>102.04378</v>
      </c>
      <c r="BD796">
        <v>2</v>
      </c>
      <c r="BE796">
        <v>199</v>
      </c>
      <c r="BF796" t="s">
        <v>203</v>
      </c>
      <c r="BG796">
        <v>0</v>
      </c>
      <c r="BH796">
        <v>0.17333333333333301</v>
      </c>
      <c r="BI796">
        <v>0.36811104636320202</v>
      </c>
      <c r="BJ796">
        <v>90</v>
      </c>
      <c r="BK796">
        <v>583.23184690544292</v>
      </c>
      <c r="BL796">
        <v>103.11873930439219</v>
      </c>
      <c r="BM796">
        <v>2.9509231352326108</v>
      </c>
      <c r="BN796">
        <v>501.65693298954392</v>
      </c>
      <c r="BO796">
        <v>81.574913915899003</v>
      </c>
    </row>
    <row r="797" spans="1:67" x14ac:dyDescent="0.25">
      <c r="A797" s="1">
        <v>795</v>
      </c>
      <c r="B797" t="s">
        <v>202</v>
      </c>
      <c r="C797" t="s">
        <v>195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67</v>
      </c>
      <c r="J797">
        <v>1.4</v>
      </c>
      <c r="K797">
        <v>500</v>
      </c>
      <c r="L797">
        <v>50</v>
      </c>
      <c r="N797" t="s">
        <v>183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62454.915313336489</v>
      </c>
      <c r="Z797">
        <v>312274576.56668252</v>
      </c>
      <c r="AA797">
        <v>437184407.19335538</v>
      </c>
      <c r="AB797">
        <v>437184.40719335538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128.19444501527681</v>
      </c>
      <c r="AI797">
        <v>128.19444501527681</v>
      </c>
      <c r="AJ797">
        <v>14208.493233784049</v>
      </c>
      <c r="AK797">
        <v>854.70085470085473</v>
      </c>
      <c r="AL797" t="s">
        <v>69</v>
      </c>
      <c r="AM797">
        <v>9935.0694886839501</v>
      </c>
      <c r="AN797">
        <v>679.98339806193098</v>
      </c>
      <c r="AO797">
        <v>21793.05565259705</v>
      </c>
      <c r="AP797">
        <v>25678.246975230792</v>
      </c>
      <c r="AQ797">
        <v>3885.1913226337351</v>
      </c>
      <c r="AR797">
        <v>4.8778696077222206E-3</v>
      </c>
      <c r="AS797">
        <v>103.70383552281319</v>
      </c>
      <c r="AT797">
        <v>72.513305613040401</v>
      </c>
      <c r="AU797">
        <v>4.9630094697999017</v>
      </c>
      <c r="AV797">
        <v>159.0614445705402</v>
      </c>
      <c r="AW797">
        <v>187.41837413848751</v>
      </c>
      <c r="AX797">
        <v>28.356929567947279</v>
      </c>
      <c r="AY797">
        <v>0.97764066274307171</v>
      </c>
      <c r="AZ797" t="str">
        <f>VLOOKUP(BA797,Sheet1!$A$1:$B$58,2,FALSE)</f>
        <v>Nonane</v>
      </c>
      <c r="BA797" t="s">
        <v>156</v>
      </c>
      <c r="BB797" t="s">
        <v>157</v>
      </c>
      <c r="BC797">
        <v>128.25309999999999</v>
      </c>
      <c r="BD797">
        <v>6.2222222222222223</v>
      </c>
      <c r="BE797">
        <v>151</v>
      </c>
      <c r="BF797" t="s">
        <v>203</v>
      </c>
      <c r="BG797">
        <v>1.715748001412831</v>
      </c>
      <c r="BH797">
        <v>7.1428571428571397E-2</v>
      </c>
      <c r="BI797">
        <v>0.190655816370703</v>
      </c>
      <c r="BJ797">
        <v>90</v>
      </c>
      <c r="BK797">
        <v>1092.2438239531839</v>
      </c>
      <c r="BL797">
        <v>165.25957675835701</v>
      </c>
      <c r="BM797">
        <v>3.9817828881550259</v>
      </c>
      <c r="BN797">
        <v>676.90309098635441</v>
      </c>
      <c r="BO797">
        <v>415.34073296682988</v>
      </c>
    </row>
    <row r="798" spans="1:67" x14ac:dyDescent="0.25">
      <c r="A798" s="1">
        <v>796</v>
      </c>
      <c r="B798" t="s">
        <v>202</v>
      </c>
      <c r="C798" t="s">
        <v>195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67</v>
      </c>
      <c r="J798">
        <v>1.4</v>
      </c>
      <c r="K798">
        <v>500</v>
      </c>
      <c r="L798">
        <v>50</v>
      </c>
      <c r="N798" t="s">
        <v>183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62610.729808515403</v>
      </c>
      <c r="Z798">
        <v>313053649.04257703</v>
      </c>
      <c r="AA798">
        <v>438275108.65960771</v>
      </c>
      <c r="AB798">
        <v>438275.10865960771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128.51426856534621</v>
      </c>
      <c r="AI798">
        <v>128.51426856534621</v>
      </c>
      <c r="AJ798">
        <v>14243.941031437251</v>
      </c>
      <c r="AK798">
        <v>854.70085470085473</v>
      </c>
      <c r="AL798" t="s">
        <v>69</v>
      </c>
      <c r="AM798">
        <v>9959.8558138143289</v>
      </c>
      <c r="AN798">
        <v>681.67984211869577</v>
      </c>
      <c r="AO798">
        <v>21847.425656108851</v>
      </c>
      <c r="AP798">
        <v>25740.177542071131</v>
      </c>
      <c r="AQ798">
        <v>3892.751885962276</v>
      </c>
      <c r="AR798">
        <v>4.8778696077222206E-3</v>
      </c>
      <c r="AS798">
        <v>103.70383552281319</v>
      </c>
      <c r="AT798">
        <v>72.513305613040416</v>
      </c>
      <c r="AU798">
        <v>4.9630094697999017</v>
      </c>
      <c r="AV798">
        <v>159.06144457054029</v>
      </c>
      <c r="AW798">
        <v>187.40284955262891</v>
      </c>
      <c r="AX798">
        <v>28.341404982088662</v>
      </c>
      <c r="AY798">
        <v>0.97764066274307171</v>
      </c>
      <c r="AZ798" t="str">
        <f>VLOOKUP(BA798,Sheet1!$A$1:$B$58,2,FALSE)</f>
        <v>Octane</v>
      </c>
      <c r="BA798" t="s">
        <v>158</v>
      </c>
      <c r="BB798" t="s">
        <v>159</v>
      </c>
      <c r="BC798">
        <v>114.22672</v>
      </c>
      <c r="BD798">
        <v>6.25</v>
      </c>
      <c r="BE798">
        <v>126</v>
      </c>
      <c r="BF798" t="s">
        <v>203</v>
      </c>
      <c r="BG798">
        <v>1.7337887317433249</v>
      </c>
      <c r="BH798">
        <v>7.9999999999999793E-2</v>
      </c>
      <c r="BI798">
        <v>0.190181345942526</v>
      </c>
      <c r="BJ798">
        <v>90</v>
      </c>
      <c r="BK798">
        <v>1094.8780878579801</v>
      </c>
      <c r="BL798">
        <v>165.58117108717451</v>
      </c>
      <c r="BM798">
        <v>3.9779565378276138</v>
      </c>
      <c r="BN798">
        <v>676.2526114306944</v>
      </c>
      <c r="BO798">
        <v>418.62547642728589</v>
      </c>
    </row>
    <row r="799" spans="1:67" x14ac:dyDescent="0.25">
      <c r="A799" s="1">
        <v>797</v>
      </c>
      <c r="B799" t="s">
        <v>202</v>
      </c>
      <c r="C799" t="s">
        <v>195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67</v>
      </c>
      <c r="J799">
        <v>1.4</v>
      </c>
      <c r="K799">
        <v>500</v>
      </c>
      <c r="L799">
        <v>50</v>
      </c>
      <c r="N799" t="s">
        <v>183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63441.680425221173</v>
      </c>
      <c r="Z799">
        <v>317208402.12610579</v>
      </c>
      <c r="AA799">
        <v>444091762.97654808</v>
      </c>
      <c r="AB799">
        <v>444091.76297654811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130.21987096043819</v>
      </c>
      <c r="AI799">
        <v>130.21987096043819</v>
      </c>
      <c r="AJ799">
        <v>14432.98229673781</v>
      </c>
      <c r="AK799">
        <v>2170.1388888888891</v>
      </c>
      <c r="AL799" t="s">
        <v>107</v>
      </c>
      <c r="AM799">
        <v>10092.03999943396</v>
      </c>
      <c r="AN799">
        <v>690.72689023547696</v>
      </c>
      <c r="AO799">
        <v>22137.3780632745</v>
      </c>
      <c r="AP799">
        <v>27385.888075296149</v>
      </c>
      <c r="AQ799">
        <v>5248.5100120216484</v>
      </c>
      <c r="AR799">
        <v>4.8778696077222206E-3</v>
      </c>
      <c r="AS799">
        <v>103.70383552281319</v>
      </c>
      <c r="AT799">
        <v>72.513305613040401</v>
      </c>
      <c r="AU799">
        <v>4.9630094697999017</v>
      </c>
      <c r="AV799">
        <v>159.0614445705402</v>
      </c>
      <c r="AW799">
        <v>196.77302820835521</v>
      </c>
      <c r="AX799">
        <v>37.711583637814982</v>
      </c>
      <c r="AY799">
        <v>0.97764066274307171</v>
      </c>
      <c r="AZ799" t="str">
        <f>VLOOKUP(BA799,Sheet1!$A$1:$B$58,2,FALSE)</f>
        <v>Pentane</v>
      </c>
      <c r="BA799" t="s">
        <v>160</v>
      </c>
      <c r="BB799" t="s">
        <v>161</v>
      </c>
      <c r="BC799">
        <v>72.147580000000005</v>
      </c>
      <c r="BD799">
        <v>6.4</v>
      </c>
      <c r="BE799">
        <v>36.1</v>
      </c>
      <c r="BF799" t="s">
        <v>203</v>
      </c>
      <c r="BG799">
        <v>1.829999010361816</v>
      </c>
      <c r="BH799">
        <v>0.125</v>
      </c>
      <c r="BI799">
        <v>0.187690376194599</v>
      </c>
      <c r="BJ799">
        <v>90</v>
      </c>
      <c r="BK799">
        <v>1164.879640832512</v>
      </c>
      <c r="BL799">
        <v>223.24937723033861</v>
      </c>
      <c r="BM799">
        <v>3.9575508101021071</v>
      </c>
      <c r="BN799">
        <v>672.78363771735815</v>
      </c>
      <c r="BO799">
        <v>492.09600311515408</v>
      </c>
    </row>
    <row r="800" spans="1:67" x14ac:dyDescent="0.25">
      <c r="A800" s="1">
        <v>798</v>
      </c>
      <c r="B800" t="s">
        <v>202</v>
      </c>
      <c r="C800" t="s">
        <v>195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67</v>
      </c>
      <c r="J800">
        <v>1.4</v>
      </c>
      <c r="K800">
        <v>500</v>
      </c>
      <c r="L800">
        <v>50</v>
      </c>
      <c r="N800" t="s">
        <v>183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63303.534912053343</v>
      </c>
      <c r="Z800">
        <v>316517674.56026667</v>
      </c>
      <c r="AA800">
        <v>443124744.38437331</v>
      </c>
      <c r="AB800">
        <v>443124.74438437331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129.93631461738579</v>
      </c>
      <c r="AI800">
        <v>129.93631461738579</v>
      </c>
      <c r="AJ800">
        <v>14401.554192492131</v>
      </c>
      <c r="AK800">
        <v>854.70085470085473</v>
      </c>
      <c r="AL800" t="s">
        <v>69</v>
      </c>
      <c r="AM800">
        <v>10070.0643828474</v>
      </c>
      <c r="AN800">
        <v>689.22281877849719</v>
      </c>
      <c r="AO800">
        <v>22089.17348495558</v>
      </c>
      <c r="AP800">
        <v>26015.542248818881</v>
      </c>
      <c r="AQ800">
        <v>3926.3687638633019</v>
      </c>
      <c r="AR800">
        <v>4.8778696077222206E-3</v>
      </c>
      <c r="AS800">
        <v>103.70383552281319</v>
      </c>
      <c r="AT800">
        <v>72.513305613040387</v>
      </c>
      <c r="AU800">
        <v>4.9630094697999017</v>
      </c>
      <c r="AV800">
        <v>159.0614445705402</v>
      </c>
      <c r="AW800">
        <v>187.3347472326837</v>
      </c>
      <c r="AX800">
        <v>28.2733026621435</v>
      </c>
      <c r="AY800">
        <v>0.9776406627430716</v>
      </c>
      <c r="AZ800" t="str">
        <f>VLOOKUP(BA800,Sheet1!$A$1:$B$58,2,FALSE)</f>
        <v>Pentanol (PW1)</v>
      </c>
      <c r="BA800" t="s">
        <v>162</v>
      </c>
      <c r="BB800" t="s">
        <v>83</v>
      </c>
      <c r="BC800">
        <v>88.14658</v>
      </c>
      <c r="BD800">
        <v>6</v>
      </c>
      <c r="BE800">
        <v>138</v>
      </c>
      <c r="BF800" t="s">
        <v>203</v>
      </c>
      <c r="BG800">
        <v>1.2482049785709211</v>
      </c>
      <c r="BH800">
        <v>0.10253521126760599</v>
      </c>
      <c r="BI800">
        <v>0.18809996759217401</v>
      </c>
      <c r="BJ800">
        <v>90</v>
      </c>
      <c r="BK800">
        <v>1106.590935723726</v>
      </c>
      <c r="BL800">
        <v>167.01109063360639</v>
      </c>
      <c r="BM800">
        <v>4.5267423377573346</v>
      </c>
      <c r="BN800">
        <v>769.54619741874706</v>
      </c>
      <c r="BO800">
        <v>337.04473830497881</v>
      </c>
    </row>
    <row r="801" spans="1:67" x14ac:dyDescent="0.25">
      <c r="A801" s="1">
        <v>799</v>
      </c>
      <c r="B801" t="s">
        <v>202</v>
      </c>
      <c r="C801" t="s">
        <v>195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67</v>
      </c>
      <c r="J801">
        <v>1.4</v>
      </c>
      <c r="K801">
        <v>500</v>
      </c>
      <c r="L801">
        <v>50</v>
      </c>
      <c r="N801" t="s">
        <v>183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63303.534912053678</v>
      </c>
      <c r="Z801">
        <v>316517674.5602684</v>
      </c>
      <c r="AA801">
        <v>443124744.38437581</v>
      </c>
      <c r="AB801">
        <v>443124.74438437581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129.9363146173865</v>
      </c>
      <c r="AI801">
        <v>129.9363146173865</v>
      </c>
      <c r="AJ801">
        <v>14401.554192492211</v>
      </c>
      <c r="AK801">
        <v>854.70085470085473</v>
      </c>
      <c r="AL801" t="s">
        <v>69</v>
      </c>
      <c r="AM801">
        <v>10070.064382847449</v>
      </c>
      <c r="AN801">
        <v>689.22281877850094</v>
      </c>
      <c r="AO801">
        <v>22089.1734849557</v>
      </c>
      <c r="AP801">
        <v>26015.54224881902</v>
      </c>
      <c r="AQ801">
        <v>3926.368763863316</v>
      </c>
      <c r="AR801">
        <v>4.8778696077222223E-3</v>
      </c>
      <c r="AS801">
        <v>103.70383552281319</v>
      </c>
      <c r="AT801">
        <v>72.513305613040416</v>
      </c>
      <c r="AU801">
        <v>4.9630094697999017</v>
      </c>
      <c r="AV801">
        <v>159.06144457054029</v>
      </c>
      <c r="AW801">
        <v>187.3347472326837</v>
      </c>
      <c r="AX801">
        <v>28.27330266214344</v>
      </c>
      <c r="AY801">
        <v>0.97764066274307193</v>
      </c>
      <c r="AZ801" t="str">
        <f>VLOOKUP(BA801,Sheet1!$A$1:$B$58,2,FALSE)</f>
        <v>Pentanol (PW2)</v>
      </c>
      <c r="BA801" t="s">
        <v>163</v>
      </c>
      <c r="BB801" t="s">
        <v>83</v>
      </c>
      <c r="BC801">
        <v>88.14658</v>
      </c>
      <c r="BD801">
        <v>6</v>
      </c>
      <c r="BE801">
        <v>138</v>
      </c>
      <c r="BF801" t="s">
        <v>203</v>
      </c>
      <c r="BG801">
        <v>1.2482049785709159</v>
      </c>
      <c r="BH801">
        <v>0.10253521126760599</v>
      </c>
      <c r="BI801">
        <v>0.18809996759217301</v>
      </c>
      <c r="BJ801">
        <v>90</v>
      </c>
      <c r="BK801">
        <v>1106.5909357237319</v>
      </c>
      <c r="BL801">
        <v>167.01109063360701</v>
      </c>
      <c r="BM801">
        <v>4.5267423377573728</v>
      </c>
      <c r="BN801">
        <v>769.54619741875342</v>
      </c>
      <c r="BO801">
        <v>337.0447383049783</v>
      </c>
    </row>
    <row r="802" spans="1:67" x14ac:dyDescent="0.25">
      <c r="A802" s="1">
        <v>800</v>
      </c>
      <c r="B802" t="s">
        <v>202</v>
      </c>
      <c r="C802" t="s">
        <v>195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67</v>
      </c>
      <c r="J802">
        <v>1.4</v>
      </c>
      <c r="K802">
        <v>500</v>
      </c>
      <c r="L802">
        <v>50</v>
      </c>
      <c r="N802" t="s">
        <v>183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158668.89602062231</v>
      </c>
      <c r="Z802">
        <v>793344480.10311151</v>
      </c>
      <c r="AA802">
        <v>1110682272.144356</v>
      </c>
      <c r="AB802">
        <v>1110682.272144356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325.68246973840462</v>
      </c>
      <c r="AI802">
        <v>325.68246973840462</v>
      </c>
      <c r="AJ802">
        <v>36097.17384469157</v>
      </c>
      <c r="AK802">
        <v>854.70085470085473</v>
      </c>
      <c r="AL802" t="s">
        <v>69</v>
      </c>
      <c r="AM802">
        <v>25240.391404726361</v>
      </c>
      <c r="AN802">
        <v>1727.5215976443551</v>
      </c>
      <c r="AO802">
        <v>55366.019855528793</v>
      </c>
      <c r="AP802">
        <v>63919.787701763133</v>
      </c>
      <c r="AQ802">
        <v>8553.7678462343465</v>
      </c>
      <c r="AR802">
        <v>4.8778696077222206E-3</v>
      </c>
      <c r="AS802">
        <v>103.70383552281309</v>
      </c>
      <c r="AT802">
        <v>72.513305613040401</v>
      </c>
      <c r="AU802">
        <v>4.9630094697999017</v>
      </c>
      <c r="AV802">
        <v>159.0614445705402</v>
      </c>
      <c r="AW802">
        <v>183.63562696062959</v>
      </c>
      <c r="AX802">
        <v>24.57418239008938</v>
      </c>
      <c r="AY802">
        <v>0.97764066274307171</v>
      </c>
      <c r="AZ802" t="str">
        <f>VLOOKUP(BA802,Sheet1!$A$1:$B$58,2,FALSE)</f>
        <v>Phenol</v>
      </c>
      <c r="BA802" t="s">
        <v>164</v>
      </c>
      <c r="BB802" t="s">
        <v>165</v>
      </c>
      <c r="BC802">
        <v>94.11023999999999</v>
      </c>
      <c r="BD802">
        <v>4.666666666666667</v>
      </c>
      <c r="BE802">
        <v>181.7</v>
      </c>
      <c r="BF802" t="s">
        <v>203</v>
      </c>
      <c r="BG802">
        <v>0.4676430535083087</v>
      </c>
      <c r="BH802">
        <v>3.8315789473684199E-2</v>
      </c>
      <c r="BI802">
        <v>7.5045539258555602E-2</v>
      </c>
      <c r="BJ802">
        <v>90</v>
      </c>
      <c r="BK802">
        <v>2718.8769316298708</v>
      </c>
      <c r="BL802">
        <v>363.84104065167918</v>
      </c>
      <c r="BM802">
        <v>14.00713337930967</v>
      </c>
      <c r="BN802">
        <v>2381.2126744826451</v>
      </c>
      <c r="BO802">
        <v>337.66425714722618</v>
      </c>
    </row>
    <row r="803" spans="1:67" x14ac:dyDescent="0.25">
      <c r="A803" s="1">
        <v>801</v>
      </c>
      <c r="B803" t="s">
        <v>202</v>
      </c>
      <c r="C803" t="s">
        <v>195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67</v>
      </c>
      <c r="J803">
        <v>1.4</v>
      </c>
      <c r="K803">
        <v>500</v>
      </c>
      <c r="L803">
        <v>50</v>
      </c>
      <c r="N803" t="s">
        <v>183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64876.720692661191</v>
      </c>
      <c r="Z803">
        <v>324383603.46330601</v>
      </c>
      <c r="AA803">
        <v>454137044.84862828</v>
      </c>
      <c r="AB803">
        <v>454137.04484862828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133.16542279949039</v>
      </c>
      <c r="AI803">
        <v>133.16542279949039</v>
      </c>
      <c r="AJ803">
        <v>14759.453957580419</v>
      </c>
      <c r="AK803">
        <v>2170.1388888888891</v>
      </c>
      <c r="AL803" t="s">
        <v>107</v>
      </c>
      <c r="AM803">
        <v>10320.320266960511</v>
      </c>
      <c r="AN803">
        <v>706.35101769628534</v>
      </c>
      <c r="AO803">
        <v>22638.121875913381</v>
      </c>
      <c r="AP803">
        <v>27956.2641311261</v>
      </c>
      <c r="AQ803">
        <v>5318.142255212726</v>
      </c>
      <c r="AR803">
        <v>4.8778696077222206E-3</v>
      </c>
      <c r="AS803">
        <v>103.70383552281319</v>
      </c>
      <c r="AT803">
        <v>72.513305613040401</v>
      </c>
      <c r="AU803">
        <v>4.9630094697999017</v>
      </c>
      <c r="AV803">
        <v>159.06144457054029</v>
      </c>
      <c r="AW803">
        <v>196.42812163776659</v>
      </c>
      <c r="AX803">
        <v>37.366677067226348</v>
      </c>
      <c r="AY803">
        <v>0.97764066274307182</v>
      </c>
      <c r="AZ803" t="str">
        <f>VLOOKUP(BA803,Sheet1!$A$1:$B$58,2,FALSE)</f>
        <v>Propane (PW1)</v>
      </c>
      <c r="BA803" t="s">
        <v>166</v>
      </c>
      <c r="BB803" t="s">
        <v>167</v>
      </c>
      <c r="BC803">
        <v>44.094819999999999</v>
      </c>
      <c r="BD803">
        <v>6.666666666666667</v>
      </c>
      <c r="BE803">
        <v>-42</v>
      </c>
      <c r="BF803" t="s">
        <v>203</v>
      </c>
      <c r="BG803">
        <v>1.9961528360927661</v>
      </c>
      <c r="BH803">
        <v>0.2</v>
      </c>
      <c r="BI803">
        <v>0.18353875994805399</v>
      </c>
      <c r="BJ803">
        <v>90</v>
      </c>
      <c r="BK803">
        <v>1189.1410214833011</v>
      </c>
      <c r="BL803">
        <v>226.21123781400021</v>
      </c>
      <c r="BM803">
        <v>3.922310399440144</v>
      </c>
      <c r="BN803">
        <v>666.79276790482447</v>
      </c>
      <c r="BO803">
        <v>522.3482535784766</v>
      </c>
    </row>
    <row r="804" spans="1:67" x14ac:dyDescent="0.25">
      <c r="A804" s="1">
        <v>802</v>
      </c>
      <c r="B804" t="s">
        <v>202</v>
      </c>
      <c r="C804" t="s">
        <v>195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67</v>
      </c>
      <c r="J804">
        <v>1.4</v>
      </c>
      <c r="K804">
        <v>500</v>
      </c>
      <c r="L804">
        <v>50</v>
      </c>
      <c r="N804" t="s">
        <v>183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67728.444679151988</v>
      </c>
      <c r="Z804">
        <v>338642223.39575988</v>
      </c>
      <c r="AA804">
        <v>474099112.7540639</v>
      </c>
      <c r="AB804">
        <v>474099.11275406391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139.01884797749051</v>
      </c>
      <c r="AI804">
        <v>139.01884797749051</v>
      </c>
      <c r="AJ804">
        <v>15408.22116450708</v>
      </c>
      <c r="AK804">
        <v>2170.1388888888891</v>
      </c>
      <c r="AL804" t="s">
        <v>107</v>
      </c>
      <c r="AM804">
        <v>10773.96071825551</v>
      </c>
      <c r="AN804">
        <v>737.39941407854178</v>
      </c>
      <c r="AO804">
        <v>23633.204156173379</v>
      </c>
      <c r="AP804">
        <v>29089.720185730021</v>
      </c>
      <c r="AQ804">
        <v>5456.5160295566457</v>
      </c>
      <c r="AR804">
        <v>4.8778696077222223E-3</v>
      </c>
      <c r="AS804">
        <v>103.70383552281319</v>
      </c>
      <c r="AT804">
        <v>72.513305613040416</v>
      </c>
      <c r="AU804">
        <v>4.9630094697999017</v>
      </c>
      <c r="AV804">
        <v>159.06144457054029</v>
      </c>
      <c r="AW804">
        <v>195.78610180483551</v>
      </c>
      <c r="AX804">
        <v>36.724657234295243</v>
      </c>
      <c r="AY804">
        <v>0.97764066274307182</v>
      </c>
      <c r="AZ804" t="str">
        <f>VLOOKUP(BA804,Sheet1!$A$1:$B$58,2,FALSE)</f>
        <v>Propane (PW2)</v>
      </c>
      <c r="BA804" t="s">
        <v>168</v>
      </c>
      <c r="BB804" t="s">
        <v>167</v>
      </c>
      <c r="BC804">
        <v>44.094819999999999</v>
      </c>
      <c r="BD804">
        <v>6.666666666666667</v>
      </c>
      <c r="BE804">
        <v>-42</v>
      </c>
      <c r="BF804" t="s">
        <v>203</v>
      </c>
      <c r="BG804">
        <v>1.9961528360927661</v>
      </c>
      <c r="BH804">
        <v>0.19157894736842099</v>
      </c>
      <c r="BI804">
        <v>0.17581081216076699</v>
      </c>
      <c r="BJ804">
        <v>90</v>
      </c>
      <c r="BK804">
        <v>1237.353439432145</v>
      </c>
      <c r="BL804">
        <v>232.09707186528971</v>
      </c>
      <c r="BM804">
        <v>4.182462629573477</v>
      </c>
      <c r="BN804">
        <v>711.01864702749106</v>
      </c>
      <c r="BO804">
        <v>526.33479240465442</v>
      </c>
    </row>
    <row r="805" spans="1:67" x14ac:dyDescent="0.25">
      <c r="A805" s="1">
        <v>803</v>
      </c>
      <c r="B805" t="s">
        <v>202</v>
      </c>
      <c r="C805" t="s">
        <v>195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67</v>
      </c>
      <c r="J805">
        <v>1.4</v>
      </c>
      <c r="K805">
        <v>500</v>
      </c>
      <c r="L805">
        <v>50</v>
      </c>
      <c r="N805" t="s">
        <v>183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64456.2236280082</v>
      </c>
      <c r="Z805">
        <v>322281118.14004099</v>
      </c>
      <c r="AA805">
        <v>451193565.39605743</v>
      </c>
      <c r="AB805">
        <v>451193.56539605738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132.3023139863042</v>
      </c>
      <c r="AI805">
        <v>132.3023139863042</v>
      </c>
      <c r="AJ805">
        <v>14663.790875371869</v>
      </c>
      <c r="AK805">
        <v>854.70085470085473</v>
      </c>
      <c r="AL805" t="s">
        <v>69</v>
      </c>
      <c r="AM805">
        <v>10253.429333938569</v>
      </c>
      <c r="AN805">
        <v>701.77281882333386</v>
      </c>
      <c r="AO805">
        <v>22491.393377671709</v>
      </c>
      <c r="AP805">
        <v>26473.693882834628</v>
      </c>
      <c r="AQ805">
        <v>3982.3005051629189</v>
      </c>
      <c r="AR805">
        <v>4.8778696077222223E-3</v>
      </c>
      <c r="AS805">
        <v>103.70383552281319</v>
      </c>
      <c r="AT805">
        <v>72.513305613040416</v>
      </c>
      <c r="AU805">
        <v>4.9630094697999034</v>
      </c>
      <c r="AV805">
        <v>159.06144457054029</v>
      </c>
      <c r="AW805">
        <v>187.22468285590341</v>
      </c>
      <c r="AX805">
        <v>28.1632382853631</v>
      </c>
      <c r="AY805">
        <v>0.97764066274307182</v>
      </c>
      <c r="AZ805" t="str">
        <f>VLOOKUP(BA805,Sheet1!$A$1:$B$58,2,FALSE)</f>
        <v>Shikimate</v>
      </c>
      <c r="BA805" t="s">
        <v>169</v>
      </c>
      <c r="BB805" t="s">
        <v>170</v>
      </c>
      <c r="BC805">
        <v>173.14045999999999</v>
      </c>
      <c r="BD805">
        <v>3.8571428571428572</v>
      </c>
      <c r="BE805">
        <v>400.5</v>
      </c>
      <c r="BF805" t="s">
        <v>203</v>
      </c>
      <c r="BG805">
        <v>0</v>
      </c>
      <c r="BH805">
        <v>5.1267605633802803E-2</v>
      </c>
      <c r="BI805">
        <v>0.184736123142237</v>
      </c>
      <c r="BJ805">
        <v>90</v>
      </c>
      <c r="BK805">
        <v>1126.0787649813251</v>
      </c>
      <c r="BL805">
        <v>169.3901899177738</v>
      </c>
      <c r="BM805">
        <v>5.8801028438357408</v>
      </c>
      <c r="BN805">
        <v>999.61748345207593</v>
      </c>
      <c r="BO805">
        <v>126.46128152924889</v>
      </c>
    </row>
    <row r="806" spans="1:67" x14ac:dyDescent="0.25">
      <c r="A806" s="1">
        <v>804</v>
      </c>
      <c r="B806" t="s">
        <v>202</v>
      </c>
      <c r="C806" t="s">
        <v>195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67</v>
      </c>
      <c r="J806">
        <v>1.4</v>
      </c>
      <c r="K806">
        <v>500</v>
      </c>
      <c r="L806">
        <v>50</v>
      </c>
      <c r="N806" t="s">
        <v>183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156958.9722005901</v>
      </c>
      <c r="Z806">
        <v>784794861.00295031</v>
      </c>
      <c r="AA806">
        <v>1098712805.40413</v>
      </c>
      <c r="AB806">
        <v>1098712.8054041299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322.1726941822663</v>
      </c>
      <c r="AI806">
        <v>322.1726941822663</v>
      </c>
      <c r="AJ806">
        <v>35708.166175634236</v>
      </c>
      <c r="AK806">
        <v>854.70085470085473</v>
      </c>
      <c r="AL806" t="s">
        <v>69</v>
      </c>
      <c r="AM806">
        <v>24968.383799125641</v>
      </c>
      <c r="AN806">
        <v>1708.9046512640871</v>
      </c>
      <c r="AO806">
        <v>54769.35801098527</v>
      </c>
      <c r="AP806">
        <v>63240.15548072481</v>
      </c>
      <c r="AQ806">
        <v>8470.7974697395402</v>
      </c>
      <c r="AR806">
        <v>4.8778696077222206E-3</v>
      </c>
      <c r="AS806">
        <v>103.70383552281319</v>
      </c>
      <c r="AT806">
        <v>72.513305613040401</v>
      </c>
      <c r="AU806">
        <v>4.9630094697999017</v>
      </c>
      <c r="AV806">
        <v>159.0614445705402</v>
      </c>
      <c r="AW806">
        <v>183.66237711992309</v>
      </c>
      <c r="AX806">
        <v>24.60093254938284</v>
      </c>
      <c r="AY806">
        <v>0.97764066274307171</v>
      </c>
      <c r="AZ806" t="str">
        <f>VLOOKUP(BA806,Sheet1!$A$1:$B$58,2,FALSE)</f>
        <v>Styrene</v>
      </c>
      <c r="BA806" t="s">
        <v>171</v>
      </c>
      <c r="BB806" t="s">
        <v>172</v>
      </c>
      <c r="BC806">
        <v>104.14832</v>
      </c>
      <c r="BD806">
        <v>5</v>
      </c>
      <c r="BE806">
        <v>145</v>
      </c>
      <c r="BF806" t="s">
        <v>203</v>
      </c>
      <c r="BG806">
        <v>0.84514085296815156</v>
      </c>
      <c r="BH806">
        <v>3.5000000000000003E-2</v>
      </c>
      <c r="BI806">
        <v>7.58630914721454E-2</v>
      </c>
      <c r="BJ806">
        <v>90</v>
      </c>
      <c r="BK806">
        <v>2689.968256644981</v>
      </c>
      <c r="BL806">
        <v>360.31183239283911</v>
      </c>
      <c r="BM806">
        <v>13.47364555513257</v>
      </c>
      <c r="BN806">
        <v>2290.5197443725369</v>
      </c>
      <c r="BO806">
        <v>399.44851227244322</v>
      </c>
    </row>
    <row r="807" spans="1:67" x14ac:dyDescent="0.25">
      <c r="A807" s="1">
        <v>805</v>
      </c>
      <c r="B807" t="s">
        <v>202</v>
      </c>
      <c r="C807" t="s">
        <v>195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67</v>
      </c>
      <c r="J807">
        <v>1.4</v>
      </c>
      <c r="K807">
        <v>500</v>
      </c>
      <c r="L807">
        <v>50</v>
      </c>
      <c r="N807" t="s">
        <v>183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28438.3102142026</v>
      </c>
      <c r="Z807">
        <v>142191551.071013</v>
      </c>
      <c r="AA807">
        <v>199068171.49941811</v>
      </c>
      <c r="AB807">
        <v>199068.17149941821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58.372241428746243</v>
      </c>
      <c r="AI807">
        <v>58.372241428746243</v>
      </c>
      <c r="AJ807">
        <v>6469.7155737310904</v>
      </c>
      <c r="AK807">
        <v>854.70085470085473</v>
      </c>
      <c r="AL807" t="s">
        <v>69</v>
      </c>
      <c r="AM807">
        <v>4523.8487107278343</v>
      </c>
      <c r="AN807">
        <v>309.62461029009671</v>
      </c>
      <c r="AO807">
        <v>9923.2810428868615</v>
      </c>
      <c r="AP807">
        <v>12157.88974944988</v>
      </c>
      <c r="AQ807">
        <v>2234.608706563014</v>
      </c>
      <c r="AR807">
        <v>4.8778696077222223E-3</v>
      </c>
      <c r="AS807">
        <v>103.70383552281319</v>
      </c>
      <c r="AT807">
        <v>72.513305613040416</v>
      </c>
      <c r="AU807">
        <v>4.9630094697999017</v>
      </c>
      <c r="AV807">
        <v>159.06144457054029</v>
      </c>
      <c r="AW807">
        <v>194.8802516142654</v>
      </c>
      <c r="AX807">
        <v>35.818807043725087</v>
      </c>
      <c r="AY807">
        <v>0.97764066274307193</v>
      </c>
      <c r="AZ807" t="str">
        <f>VLOOKUP(BA807,Sheet1!$A$1:$B$58,2,FALSE)</f>
        <v>Succinate</v>
      </c>
      <c r="BA807" t="s">
        <v>173</v>
      </c>
      <c r="BB807" t="s">
        <v>174</v>
      </c>
      <c r="BC807">
        <v>116.07016</v>
      </c>
      <c r="BD807">
        <v>3</v>
      </c>
      <c r="BE807">
        <v>235</v>
      </c>
      <c r="BF807" t="s">
        <v>203</v>
      </c>
      <c r="BG807">
        <v>0</v>
      </c>
      <c r="BH807">
        <v>0.17333333333333301</v>
      </c>
      <c r="BI807">
        <v>0.41870957788063401</v>
      </c>
      <c r="BJ807">
        <v>90</v>
      </c>
      <c r="BK807">
        <v>517.14511523896601</v>
      </c>
      <c r="BL807">
        <v>95.050786023274838</v>
      </c>
      <c r="BM807">
        <v>2.594321841277611</v>
      </c>
      <c r="BN807">
        <v>441.03471301719389</v>
      </c>
      <c r="BO807">
        <v>76.110402221772119</v>
      </c>
    </row>
    <row r="808" spans="1:67" x14ac:dyDescent="0.25">
      <c r="A808" s="1">
        <v>806</v>
      </c>
      <c r="B808" t="s">
        <v>204</v>
      </c>
      <c r="C808" t="s">
        <v>195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67</v>
      </c>
      <c r="J808">
        <v>1.4</v>
      </c>
      <c r="K808">
        <v>500</v>
      </c>
      <c r="L808">
        <v>33.333333333333329</v>
      </c>
      <c r="N808" t="s">
        <v>183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39293.95250123641</v>
      </c>
      <c r="Z808">
        <v>196469762.50618199</v>
      </c>
      <c r="AA808">
        <v>275057667.50865477</v>
      </c>
      <c r="AB808">
        <v>275057.66750865482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53.769628945730076</v>
      </c>
      <c r="AI808">
        <v>53.769628945730076</v>
      </c>
      <c r="AJ808">
        <v>8939.3741940312811</v>
      </c>
      <c r="AK808">
        <v>854.70085470085473</v>
      </c>
      <c r="AL808" t="s">
        <v>69</v>
      </c>
      <c r="AM808">
        <v>4167.1462432940807</v>
      </c>
      <c r="AN808">
        <v>427.81637299521373</v>
      </c>
      <c r="AO808">
        <v>9140.8369207741125</v>
      </c>
      <c r="AP808">
        <v>14389.037665021429</v>
      </c>
      <c r="AQ808">
        <v>5248.2007442473187</v>
      </c>
      <c r="AR808">
        <v>7.3168044115833322E-3</v>
      </c>
      <c r="AS808">
        <v>149.15043767015229</v>
      </c>
      <c r="AT808">
        <v>69.527426924116526</v>
      </c>
      <c r="AU808">
        <v>7.1379716174425027</v>
      </c>
      <c r="AV808">
        <v>152.5117751883846</v>
      </c>
      <c r="AW808">
        <v>240.0762311553307</v>
      </c>
      <c r="AX808">
        <v>87.56445596694607</v>
      </c>
      <c r="AY808">
        <v>0.97764066274307182</v>
      </c>
      <c r="AZ808" t="str">
        <f>VLOOKUP(BA808,Sheet1!$A$1:$B$58,2,FALSE)</f>
        <v>1,3-Butanediol (PW1)</v>
      </c>
      <c r="BA808" t="s">
        <v>70</v>
      </c>
      <c r="BB808" t="s">
        <v>71</v>
      </c>
      <c r="BC808">
        <v>90.119200000000006</v>
      </c>
      <c r="BD808">
        <v>5.5</v>
      </c>
      <c r="BE808">
        <v>207</v>
      </c>
      <c r="BF808" t="s">
        <v>205</v>
      </c>
      <c r="BG808">
        <v>0</v>
      </c>
      <c r="BH808">
        <v>0.25</v>
      </c>
      <c r="BI808">
        <v>0.45455059013416699</v>
      </c>
      <c r="BJ808">
        <v>90</v>
      </c>
      <c r="BK808">
        <v>586.84637912719916</v>
      </c>
      <c r="BL808">
        <v>214.04402958657641</v>
      </c>
      <c r="BM808">
        <v>2.389761286476892</v>
      </c>
      <c r="BN808">
        <v>406.2594187010717</v>
      </c>
      <c r="BO808">
        <v>180.58696042612749</v>
      </c>
    </row>
    <row r="809" spans="1:67" x14ac:dyDescent="0.25">
      <c r="A809" s="1">
        <v>807</v>
      </c>
      <c r="B809" t="s">
        <v>204</v>
      </c>
      <c r="C809" t="s">
        <v>195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67</v>
      </c>
      <c r="J809">
        <v>1.4</v>
      </c>
      <c r="K809">
        <v>500</v>
      </c>
      <c r="L809">
        <v>33.333333333333329</v>
      </c>
      <c r="N809" t="s">
        <v>183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39293.95250123641</v>
      </c>
      <c r="Z809">
        <v>196469762.50618199</v>
      </c>
      <c r="AA809">
        <v>275057667.50865477</v>
      </c>
      <c r="AB809">
        <v>275057.66750865482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53.769628945730076</v>
      </c>
      <c r="AI809">
        <v>53.769628945730076</v>
      </c>
      <c r="AJ809">
        <v>8939.3741940312811</v>
      </c>
      <c r="AK809">
        <v>854.70085470085473</v>
      </c>
      <c r="AL809" t="s">
        <v>69</v>
      </c>
      <c r="AM809">
        <v>4167.1462432940807</v>
      </c>
      <c r="AN809">
        <v>427.81637299521373</v>
      </c>
      <c r="AO809">
        <v>9140.8369207741125</v>
      </c>
      <c r="AP809">
        <v>14389.037665021429</v>
      </c>
      <c r="AQ809">
        <v>5248.2007442473187</v>
      </c>
      <c r="AR809">
        <v>7.3168044115833322E-3</v>
      </c>
      <c r="AS809">
        <v>149.15043767015229</v>
      </c>
      <c r="AT809">
        <v>69.527426924116526</v>
      </c>
      <c r="AU809">
        <v>7.1379716174425027</v>
      </c>
      <c r="AV809">
        <v>152.5117751883846</v>
      </c>
      <c r="AW809">
        <v>240.0762311553307</v>
      </c>
      <c r="AX809">
        <v>87.56445596694607</v>
      </c>
      <c r="AY809">
        <v>0.97764066274307182</v>
      </c>
      <c r="AZ809" t="str">
        <f>VLOOKUP(BA809,Sheet1!$A$1:$B$58,2,FALSE)</f>
        <v>1,3-Butanediol (PW2)</v>
      </c>
      <c r="BA809" t="s">
        <v>72</v>
      </c>
      <c r="BB809" t="s">
        <v>71</v>
      </c>
      <c r="BC809">
        <v>90.119200000000006</v>
      </c>
      <c r="BD809">
        <v>5.5</v>
      </c>
      <c r="BE809">
        <v>207</v>
      </c>
      <c r="BF809" t="s">
        <v>205</v>
      </c>
      <c r="BG809">
        <v>0</v>
      </c>
      <c r="BH809">
        <v>0.25</v>
      </c>
      <c r="BI809">
        <v>0.45455059013416699</v>
      </c>
      <c r="BJ809">
        <v>90</v>
      </c>
      <c r="BK809">
        <v>586.84637912719916</v>
      </c>
      <c r="BL809">
        <v>214.04402958657641</v>
      </c>
      <c r="BM809">
        <v>2.389761286476892</v>
      </c>
      <c r="BN809">
        <v>406.2594187010717</v>
      </c>
      <c r="BO809">
        <v>180.58696042612749</v>
      </c>
    </row>
    <row r="810" spans="1:67" x14ac:dyDescent="0.25">
      <c r="A810" s="1">
        <v>808</v>
      </c>
      <c r="B810" t="s">
        <v>204</v>
      </c>
      <c r="C810" t="s">
        <v>195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67</v>
      </c>
      <c r="J810">
        <v>1.4</v>
      </c>
      <c r="K810">
        <v>500</v>
      </c>
      <c r="L810">
        <v>33.333333333333329</v>
      </c>
      <c r="N810" t="s">
        <v>183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65341.980603969387</v>
      </c>
      <c r="Z810">
        <v>326709903.01984698</v>
      </c>
      <c r="AA810">
        <v>457393864.22778583</v>
      </c>
      <c r="AB810">
        <v>457393.86422778579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89.413607642142239</v>
      </c>
      <c r="AI810">
        <v>89.413607642142239</v>
      </c>
      <c r="AJ810">
        <v>14865.30058740304</v>
      </c>
      <c r="AK810">
        <v>854.70085470085473</v>
      </c>
      <c r="AL810" t="s">
        <v>69</v>
      </c>
      <c r="AM810">
        <v>6929.5545922660231</v>
      </c>
      <c r="AN810">
        <v>711.41657600960832</v>
      </c>
      <c r="AO810">
        <v>15200.31329916418</v>
      </c>
      <c r="AP810">
        <v>23360.972610379529</v>
      </c>
      <c r="AQ810">
        <v>8160.6593112153441</v>
      </c>
      <c r="AR810">
        <v>7.3168044115833357E-3</v>
      </c>
      <c r="AS810">
        <v>149.15043767015229</v>
      </c>
      <c r="AT810">
        <v>69.52742692411654</v>
      </c>
      <c r="AU810">
        <v>7.1379716174425054</v>
      </c>
      <c r="AV810">
        <v>152.51177518838469</v>
      </c>
      <c r="AW810">
        <v>234.39144528238921</v>
      </c>
      <c r="AX810">
        <v>81.87967009400451</v>
      </c>
      <c r="AY810">
        <v>0.97764066274307182</v>
      </c>
      <c r="AZ810" t="str">
        <f>VLOOKUP(BA810,Sheet1!$A$1:$B$58,2,FALSE)</f>
        <v>1,3-Diaminopropane</v>
      </c>
      <c r="BA810" t="s">
        <v>73</v>
      </c>
      <c r="BB810" t="s">
        <v>74</v>
      </c>
      <c r="BC810">
        <v>76.139580000000009</v>
      </c>
      <c r="BD810">
        <v>6</v>
      </c>
      <c r="BE810">
        <v>139.30000000000001</v>
      </c>
      <c r="BF810" t="s">
        <v>205</v>
      </c>
      <c r="BG810">
        <v>0</v>
      </c>
      <c r="BH810">
        <v>0.17846153846153801</v>
      </c>
      <c r="BI810">
        <v>0.273347840592636</v>
      </c>
      <c r="BJ810">
        <v>90</v>
      </c>
      <c r="BK810">
        <v>952.7601851107172</v>
      </c>
      <c r="BL810">
        <v>332.82652249352168</v>
      </c>
      <c r="BM810">
        <v>3.9739381174285442</v>
      </c>
      <c r="BN810">
        <v>675.56947996285248</v>
      </c>
      <c r="BO810">
        <v>277.19070514786472</v>
      </c>
    </row>
    <row r="811" spans="1:67" x14ac:dyDescent="0.25">
      <c r="A811" s="1">
        <v>809</v>
      </c>
      <c r="B811" t="s">
        <v>204</v>
      </c>
      <c r="C811" t="s">
        <v>195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67</v>
      </c>
      <c r="J811">
        <v>1.4</v>
      </c>
      <c r="K811">
        <v>500</v>
      </c>
      <c r="L811">
        <v>33.333333333333329</v>
      </c>
      <c r="N811" t="s">
        <v>183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34784.291383753538</v>
      </c>
      <c r="Z811">
        <v>173921456.91876769</v>
      </c>
      <c r="AA811">
        <v>243490039.68627471</v>
      </c>
      <c r="AB811">
        <v>243490.03968627469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47.598633422935301</v>
      </c>
      <c r="AI811">
        <v>47.598633422935301</v>
      </c>
      <c r="AJ811">
        <v>7913.4262898039296</v>
      </c>
      <c r="AK811">
        <v>854.70085470085473</v>
      </c>
      <c r="AL811" t="s">
        <v>69</v>
      </c>
      <c r="AM811">
        <v>3688.8940902774862</v>
      </c>
      <c r="AN811">
        <v>378.71703989406132</v>
      </c>
      <c r="AO811">
        <v>8091.7676818990012</v>
      </c>
      <c r="AP811">
        <v>12835.738274676331</v>
      </c>
      <c r="AQ811">
        <v>4743.9705927773311</v>
      </c>
      <c r="AR811">
        <v>7.3168044115833348E-3</v>
      </c>
      <c r="AS811">
        <v>149.15043767015229</v>
      </c>
      <c r="AT811">
        <v>69.52742692411654</v>
      </c>
      <c r="AU811">
        <v>7.1379716174425027</v>
      </c>
      <c r="AV811">
        <v>152.51177518838469</v>
      </c>
      <c r="AW811">
        <v>241.9250412370917</v>
      </c>
      <c r="AX811">
        <v>89.413266048706987</v>
      </c>
      <c r="AY811">
        <v>0.97764066274307182</v>
      </c>
      <c r="AZ811" t="str">
        <f>VLOOKUP(BA811,Sheet1!$A$1:$B$58,2,FALSE)</f>
        <v>1,3-Propanediol</v>
      </c>
      <c r="BA811" t="s">
        <v>75</v>
      </c>
      <c r="BB811" t="s">
        <v>76</v>
      </c>
      <c r="BC811">
        <v>76.092820000000003</v>
      </c>
      <c r="BD811">
        <v>5.333333333333333</v>
      </c>
      <c r="BE811">
        <v>213</v>
      </c>
      <c r="BF811" t="s">
        <v>205</v>
      </c>
      <c r="BG811">
        <v>0</v>
      </c>
      <c r="BH811">
        <v>0.33333333333333298</v>
      </c>
      <c r="BI811">
        <v>0.513481476482893</v>
      </c>
      <c r="BJ811">
        <v>90</v>
      </c>
      <c r="BK811">
        <v>523.49619934829673</v>
      </c>
      <c r="BL811">
        <v>193.47937157916559</v>
      </c>
      <c r="BM811">
        <v>2.1154948187971239</v>
      </c>
      <c r="BN811">
        <v>359.63411919551112</v>
      </c>
      <c r="BO811">
        <v>163.86208015278561</v>
      </c>
    </row>
    <row r="812" spans="1:67" x14ac:dyDescent="0.25">
      <c r="A812" s="1">
        <v>810</v>
      </c>
      <c r="B812" t="s">
        <v>204</v>
      </c>
      <c r="C812" t="s">
        <v>195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67</v>
      </c>
      <c r="J812">
        <v>1.4</v>
      </c>
      <c r="K812">
        <v>500</v>
      </c>
      <c r="L812">
        <v>33.333333333333329</v>
      </c>
      <c r="N812" t="s">
        <v>183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83009.016275362577</v>
      </c>
      <c r="Z812">
        <v>415045081.37681288</v>
      </c>
      <c r="AA812">
        <v>581063113.92753804</v>
      </c>
      <c r="AB812">
        <v>581063.11392753804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113.58908229290169</v>
      </c>
      <c r="AI812">
        <v>113.58908229290169</v>
      </c>
      <c r="AJ812">
        <v>18884.551202644991</v>
      </c>
      <c r="AK812">
        <v>854.70085470085473</v>
      </c>
      <c r="AL812" t="s">
        <v>69</v>
      </c>
      <c r="AM812">
        <v>8803.1538776998841</v>
      </c>
      <c r="AN812">
        <v>903.76798484980247</v>
      </c>
      <c r="AO812">
        <v>19310.143989793291</v>
      </c>
      <c r="AP812">
        <v>29446.173919895529</v>
      </c>
      <c r="AQ812">
        <v>10136.029930102241</v>
      </c>
      <c r="AR812">
        <v>7.3168044115833348E-3</v>
      </c>
      <c r="AS812">
        <v>149.15043767015229</v>
      </c>
      <c r="AT812">
        <v>69.52742692411654</v>
      </c>
      <c r="AU812">
        <v>7.1379716174425054</v>
      </c>
      <c r="AV812">
        <v>152.51177518838469</v>
      </c>
      <c r="AW812">
        <v>232.56627497976811</v>
      </c>
      <c r="AX812">
        <v>80.054499791383407</v>
      </c>
      <c r="AY812">
        <v>0.97764066274307182</v>
      </c>
      <c r="AZ812" t="str">
        <f>VLOOKUP(BA812,Sheet1!$A$1:$B$58,2,FALSE)</f>
        <v>1,4-Butanediol</v>
      </c>
      <c r="BA812" t="s">
        <v>77</v>
      </c>
      <c r="BB812" t="s">
        <v>71</v>
      </c>
      <c r="BC812">
        <v>90.119200000000006</v>
      </c>
      <c r="BD812">
        <v>5.5</v>
      </c>
      <c r="BE812">
        <v>230</v>
      </c>
      <c r="BF812" t="s">
        <v>205</v>
      </c>
      <c r="BG812">
        <v>0</v>
      </c>
      <c r="BH812">
        <v>0.118974358974359</v>
      </c>
      <c r="BI812">
        <v>0.21517047303501399</v>
      </c>
      <c r="BJ812">
        <v>90</v>
      </c>
      <c r="BK812">
        <v>1200.940670691803</v>
      </c>
      <c r="BL812">
        <v>413.39056868724629</v>
      </c>
      <c r="BM812">
        <v>5.0484036574622992</v>
      </c>
      <c r="BN812">
        <v>858.22862176859087</v>
      </c>
      <c r="BO812">
        <v>342.71204892321242</v>
      </c>
    </row>
    <row r="813" spans="1:67" x14ac:dyDescent="0.25">
      <c r="A813" s="1">
        <v>811</v>
      </c>
      <c r="B813" t="s">
        <v>204</v>
      </c>
      <c r="C813" t="s">
        <v>195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67</v>
      </c>
      <c r="J813">
        <v>1.4</v>
      </c>
      <c r="K813">
        <v>500</v>
      </c>
      <c r="L813">
        <v>33.333333333333329</v>
      </c>
      <c r="N813" t="s">
        <v>183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80182.159649191948</v>
      </c>
      <c r="Z813">
        <v>400910798.24595982</v>
      </c>
      <c r="AA813">
        <v>561275117.54434359</v>
      </c>
      <c r="AB813">
        <v>561275.11754434358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109.7208272002843</v>
      </c>
      <c r="AI813">
        <v>109.7208272002843</v>
      </c>
      <c r="AJ813">
        <v>18241.44132019117</v>
      </c>
      <c r="AK813">
        <v>854.70085470085473</v>
      </c>
      <c r="AL813" t="s">
        <v>69</v>
      </c>
      <c r="AM813">
        <v>8503.3641080220368</v>
      </c>
      <c r="AN813">
        <v>872.99033404596048</v>
      </c>
      <c r="AO813">
        <v>18652.540624048339</v>
      </c>
      <c r="AP813">
        <v>28472.496616960019</v>
      </c>
      <c r="AQ813">
        <v>9819.9559929116804</v>
      </c>
      <c r="AR813">
        <v>7.3168044115833339E-3</v>
      </c>
      <c r="AS813">
        <v>149.15043767015229</v>
      </c>
      <c r="AT813">
        <v>69.527426924116526</v>
      </c>
      <c r="AU813">
        <v>7.1379716174425054</v>
      </c>
      <c r="AV813">
        <v>152.5117751883846</v>
      </c>
      <c r="AW813">
        <v>232.80426461043561</v>
      </c>
      <c r="AX813">
        <v>80.292489422050977</v>
      </c>
      <c r="AY813">
        <v>0.97764066274307171</v>
      </c>
      <c r="AZ813" t="str">
        <f>VLOOKUP(BA813,Sheet1!$A$1:$B$58,2,FALSE)</f>
        <v>1-Propanol (PW1)</v>
      </c>
      <c r="BA813" t="s">
        <v>78</v>
      </c>
      <c r="BB813" t="s">
        <v>79</v>
      </c>
      <c r="BC813">
        <v>60.093820000000001</v>
      </c>
      <c r="BD813">
        <v>6</v>
      </c>
      <c r="BE813">
        <v>97</v>
      </c>
      <c r="BF813" t="s">
        <v>205</v>
      </c>
      <c r="BG813">
        <v>0</v>
      </c>
      <c r="BH813">
        <v>0.18559999999999999</v>
      </c>
      <c r="BI813">
        <v>0.22275640087876999</v>
      </c>
      <c r="BJ813">
        <v>90</v>
      </c>
      <c r="BK813">
        <v>1161.2299538969571</v>
      </c>
      <c r="BL813">
        <v>400.49972428924622</v>
      </c>
      <c r="BM813">
        <v>4.8764812089015273</v>
      </c>
      <c r="BN813">
        <v>829.00180551325968</v>
      </c>
      <c r="BO813">
        <v>332.22814838369737</v>
      </c>
    </row>
    <row r="814" spans="1:67" x14ac:dyDescent="0.25">
      <c r="A814" s="1">
        <v>812</v>
      </c>
      <c r="B814" t="s">
        <v>204</v>
      </c>
      <c r="C814" t="s">
        <v>195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67</v>
      </c>
      <c r="J814">
        <v>1.4</v>
      </c>
      <c r="K814">
        <v>500</v>
      </c>
      <c r="L814">
        <v>33.333333333333329</v>
      </c>
      <c r="N814" t="s">
        <v>183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48109.295789515338</v>
      </c>
      <c r="Z814">
        <v>240546478.9475767</v>
      </c>
      <c r="AA814">
        <v>336765070.52660728</v>
      </c>
      <c r="AB814">
        <v>336765.07052660728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65.832496320170847</v>
      </c>
      <c r="AI814">
        <v>65.832496320170847</v>
      </c>
      <c r="AJ814">
        <v>10944.86479211474</v>
      </c>
      <c r="AK814">
        <v>854.70085470085473</v>
      </c>
      <c r="AL814" t="s">
        <v>69</v>
      </c>
      <c r="AM814">
        <v>5102.0184648132408</v>
      </c>
      <c r="AN814">
        <v>523.79420042757806</v>
      </c>
      <c r="AO814">
        <v>11191.52437442904</v>
      </c>
      <c r="AP814">
        <v>17425.378312056411</v>
      </c>
      <c r="AQ814">
        <v>6233.8539376273711</v>
      </c>
      <c r="AR814">
        <v>7.3168044115833331E-3</v>
      </c>
      <c r="AS814">
        <v>149.15043767015229</v>
      </c>
      <c r="AT814">
        <v>69.52742692411654</v>
      </c>
      <c r="AU814">
        <v>7.1379716174425027</v>
      </c>
      <c r="AV814">
        <v>152.5117751883846</v>
      </c>
      <c r="AW814">
        <v>237.46321687625169</v>
      </c>
      <c r="AX814">
        <v>84.951441687867103</v>
      </c>
      <c r="AY814">
        <v>0.97764066274307182</v>
      </c>
      <c r="AZ814" t="str">
        <f>VLOOKUP(BA814,Sheet1!$A$1:$B$58,2,FALSE)</f>
        <v>1-Propanol (PW2)</v>
      </c>
      <c r="BA814" t="s">
        <v>80</v>
      </c>
      <c r="BB814" t="s">
        <v>79</v>
      </c>
      <c r="BC814">
        <v>60.093820000000001</v>
      </c>
      <c r="BD814">
        <v>6</v>
      </c>
      <c r="BE814">
        <v>97</v>
      </c>
      <c r="BF814" t="s">
        <v>205</v>
      </c>
      <c r="BG814">
        <v>0</v>
      </c>
      <c r="BH814">
        <v>0.30933333333333302</v>
      </c>
      <c r="BI814">
        <v>0.371260668131282</v>
      </c>
      <c r="BJ814">
        <v>90</v>
      </c>
      <c r="BK814">
        <v>710.6813120804145</v>
      </c>
      <c r="BL814">
        <v>254.24317431578621</v>
      </c>
      <c r="BM814">
        <v>2.9258887253409269</v>
      </c>
      <c r="BN814">
        <v>497.40108330795772</v>
      </c>
      <c r="BO814">
        <v>213.28022877245681</v>
      </c>
    </row>
    <row r="815" spans="1:67" x14ac:dyDescent="0.25">
      <c r="A815" s="1">
        <v>813</v>
      </c>
      <c r="B815" t="s">
        <v>204</v>
      </c>
      <c r="C815" t="s">
        <v>195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67</v>
      </c>
      <c r="J815">
        <v>1.4</v>
      </c>
      <c r="K815">
        <v>500</v>
      </c>
      <c r="L815">
        <v>33.333333333333329</v>
      </c>
      <c r="N815" t="s">
        <v>183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39293.95250123641</v>
      </c>
      <c r="Z815">
        <v>196469762.50618199</v>
      </c>
      <c r="AA815">
        <v>275057667.50865477</v>
      </c>
      <c r="AB815">
        <v>275057.66750865482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53.769628945730076</v>
      </c>
      <c r="AI815">
        <v>53.769628945730076</v>
      </c>
      <c r="AJ815">
        <v>8939.3741940312811</v>
      </c>
      <c r="AK815">
        <v>854.70085470085473</v>
      </c>
      <c r="AL815" t="s">
        <v>69</v>
      </c>
      <c r="AM815">
        <v>4167.1462432940807</v>
      </c>
      <c r="AN815">
        <v>427.81637299521373</v>
      </c>
      <c r="AO815">
        <v>9140.8369207741125</v>
      </c>
      <c r="AP815">
        <v>14389.037665021429</v>
      </c>
      <c r="AQ815">
        <v>5248.2007442473187</v>
      </c>
      <c r="AR815">
        <v>7.3168044115833322E-3</v>
      </c>
      <c r="AS815">
        <v>149.15043767015229</v>
      </c>
      <c r="AT815">
        <v>69.527426924116526</v>
      </c>
      <c r="AU815">
        <v>7.1379716174425027</v>
      </c>
      <c r="AV815">
        <v>152.5117751883846</v>
      </c>
      <c r="AW815">
        <v>240.0762311553307</v>
      </c>
      <c r="AX815">
        <v>87.56445596694607</v>
      </c>
      <c r="AY815">
        <v>0.97764066274307182</v>
      </c>
      <c r="AZ815" t="str">
        <f>VLOOKUP(BA815,Sheet1!$A$1:$B$58,2,FALSE)</f>
        <v>2,3-Butanediol</v>
      </c>
      <c r="BA815" t="s">
        <v>81</v>
      </c>
      <c r="BB815" t="s">
        <v>71</v>
      </c>
      <c r="BC815">
        <v>90.119200000000006</v>
      </c>
      <c r="BD815">
        <v>5.5</v>
      </c>
      <c r="BE815">
        <v>177</v>
      </c>
      <c r="BF815" t="s">
        <v>205</v>
      </c>
      <c r="BG815">
        <v>0</v>
      </c>
      <c r="BH815">
        <v>0.25</v>
      </c>
      <c r="BI815">
        <v>0.45455059013416699</v>
      </c>
      <c r="BJ815">
        <v>90</v>
      </c>
      <c r="BK815">
        <v>586.84637912719916</v>
      </c>
      <c r="BL815">
        <v>214.04402958657641</v>
      </c>
      <c r="BM815">
        <v>2.389761286476892</v>
      </c>
      <c r="BN815">
        <v>406.2594187010717</v>
      </c>
      <c r="BO815">
        <v>180.58696042612749</v>
      </c>
    </row>
    <row r="816" spans="1:67" x14ac:dyDescent="0.25">
      <c r="A816" s="1">
        <v>814</v>
      </c>
      <c r="B816" t="s">
        <v>204</v>
      </c>
      <c r="C816" t="s">
        <v>195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67</v>
      </c>
      <c r="J816">
        <v>1.4</v>
      </c>
      <c r="K816">
        <v>500</v>
      </c>
      <c r="L816">
        <v>33.333333333333329</v>
      </c>
      <c r="N816" t="s">
        <v>183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54664.086447481102</v>
      </c>
      <c r="Z816">
        <v>273320432.23740548</v>
      </c>
      <c r="AA816">
        <v>382648605.13236767</v>
      </c>
      <c r="AB816">
        <v>382648.60513236769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74.802035881879917</v>
      </c>
      <c r="AI816">
        <v>74.802035881879917</v>
      </c>
      <c r="AJ816">
        <v>12436.07966680195</v>
      </c>
      <c r="AK816">
        <v>854.70085470085473</v>
      </c>
      <c r="AL816" t="s">
        <v>69</v>
      </c>
      <c r="AM816">
        <v>5797.1577808456932</v>
      </c>
      <c r="AN816">
        <v>595.16006175052803</v>
      </c>
      <c r="AO816">
        <v>12716.34609991958</v>
      </c>
      <c r="AP816">
        <v>19683.098364099031</v>
      </c>
      <c r="AQ816">
        <v>6966.7522641794421</v>
      </c>
      <c r="AR816">
        <v>7.3168044115833348E-3</v>
      </c>
      <c r="AS816">
        <v>149.15043767015229</v>
      </c>
      <c r="AT816">
        <v>69.52742692411654</v>
      </c>
      <c r="AU816">
        <v>7.1379716174425027</v>
      </c>
      <c r="AV816">
        <v>152.51177518838469</v>
      </c>
      <c r="AW816">
        <v>236.06657518823869</v>
      </c>
      <c r="AX816">
        <v>83.554799999854026</v>
      </c>
      <c r="AY816">
        <v>0.97764066274307193</v>
      </c>
      <c r="AZ816" t="str">
        <f>VLOOKUP(BA816,Sheet1!$A$1:$B$58,2,FALSE)</f>
        <v>2-Methyl-1-Butanol</v>
      </c>
      <c r="BA816" t="s">
        <v>82</v>
      </c>
      <c r="BB816" t="s">
        <v>83</v>
      </c>
      <c r="BC816">
        <v>88.14658</v>
      </c>
      <c r="BD816">
        <v>6</v>
      </c>
      <c r="BE816">
        <v>129</v>
      </c>
      <c r="BF816" t="s">
        <v>205</v>
      </c>
      <c r="BG816">
        <v>0</v>
      </c>
      <c r="BH816">
        <v>0.18559999999999999</v>
      </c>
      <c r="BI816">
        <v>0.32674266522868001</v>
      </c>
      <c r="BJ816">
        <v>90</v>
      </c>
      <c r="BK816">
        <v>802.76077343625514</v>
      </c>
      <c r="BL816">
        <v>284.13389662941239</v>
      </c>
      <c r="BM816">
        <v>3.3245349280835521</v>
      </c>
      <c r="BN816">
        <v>565.17093777420382</v>
      </c>
      <c r="BO816">
        <v>237.58983566205131</v>
      </c>
    </row>
    <row r="817" spans="1:67" x14ac:dyDescent="0.25">
      <c r="A817" s="1">
        <v>815</v>
      </c>
      <c r="B817" t="s">
        <v>204</v>
      </c>
      <c r="C817" t="s">
        <v>195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67</v>
      </c>
      <c r="J817">
        <v>1.4</v>
      </c>
      <c r="K817">
        <v>500</v>
      </c>
      <c r="L817">
        <v>33.333333333333329</v>
      </c>
      <c r="N817" t="s">
        <v>183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67910.0543588492</v>
      </c>
      <c r="Z817">
        <v>339550271.79424602</v>
      </c>
      <c r="AA817">
        <v>475370380.51194441</v>
      </c>
      <c r="AB817">
        <v>475370.38051194442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92.927745673963045</v>
      </c>
      <c r="AI817">
        <v>92.927745673963045</v>
      </c>
      <c r="AJ817">
        <v>15449.537366638189</v>
      </c>
      <c r="AK817">
        <v>854.70085470085473</v>
      </c>
      <c r="AL817" t="s">
        <v>69</v>
      </c>
      <c r="AM817">
        <v>7201.9002897321361</v>
      </c>
      <c r="AN817">
        <v>739.37670548149856</v>
      </c>
      <c r="AO817">
        <v>15797.716764573721</v>
      </c>
      <c r="AP817">
        <v>24245.515216552689</v>
      </c>
      <c r="AQ817">
        <v>8447.7984519789679</v>
      </c>
      <c r="AR817">
        <v>7.3168044115833374E-3</v>
      </c>
      <c r="AS817">
        <v>149.15043767015229</v>
      </c>
      <c r="AT817">
        <v>69.527426924116554</v>
      </c>
      <c r="AU817">
        <v>7.1379716174425054</v>
      </c>
      <c r="AV817">
        <v>152.51177518838469</v>
      </c>
      <c r="AW817">
        <v>234.06715167381469</v>
      </c>
      <c r="AX817">
        <v>81.555376485430102</v>
      </c>
      <c r="AY817">
        <v>0.97764066274307204</v>
      </c>
      <c r="AZ817" t="str">
        <f>VLOOKUP(BA817,Sheet1!$A$1:$B$58,2,FALSE)</f>
        <v>3-Methyl-1-Pentanol</v>
      </c>
      <c r="BA817" t="s">
        <v>87</v>
      </c>
      <c r="BB817" t="s">
        <v>88</v>
      </c>
      <c r="BC817">
        <v>102.17296</v>
      </c>
      <c r="BD817">
        <v>6</v>
      </c>
      <c r="BE817">
        <v>153</v>
      </c>
      <c r="BF817" t="s">
        <v>205</v>
      </c>
      <c r="BG817">
        <v>0</v>
      </c>
      <c r="BH817">
        <v>0.128888888888889</v>
      </c>
      <c r="BI817">
        <v>0.26301097041919103</v>
      </c>
      <c r="BJ817">
        <v>90</v>
      </c>
      <c r="BK817">
        <v>988.83560847821002</v>
      </c>
      <c r="BL817">
        <v>344.53728237793382</v>
      </c>
      <c r="BM817">
        <v>4.1301220299539123</v>
      </c>
      <c r="BN817">
        <v>702.12074509216507</v>
      </c>
      <c r="BO817">
        <v>286.71486338604501</v>
      </c>
    </row>
    <row r="818" spans="1:67" x14ac:dyDescent="0.25">
      <c r="A818" s="1">
        <v>816</v>
      </c>
      <c r="B818" t="s">
        <v>204</v>
      </c>
      <c r="C818" t="s">
        <v>195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67</v>
      </c>
      <c r="J818">
        <v>1.4</v>
      </c>
      <c r="K818">
        <v>500</v>
      </c>
      <c r="L818">
        <v>33.333333333333329</v>
      </c>
      <c r="N818" t="s">
        <v>183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173354.30279817281</v>
      </c>
      <c r="Z818">
        <v>866771513.99086404</v>
      </c>
      <c r="AA818">
        <v>1213480119.587209</v>
      </c>
      <c r="AB818">
        <v>1213480.11958721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237.21707652876589</v>
      </c>
      <c r="AI818">
        <v>237.21707652876589</v>
      </c>
      <c r="AJ818">
        <v>39438.103886584307</v>
      </c>
      <c r="AK818">
        <v>854.70085470085473</v>
      </c>
      <c r="AL818" t="s">
        <v>69</v>
      </c>
      <c r="AM818">
        <v>18384.323430979359</v>
      </c>
      <c r="AN818">
        <v>1887.410258967833</v>
      </c>
      <c r="AO818">
        <v>40326.903009890193</v>
      </c>
      <c r="AP818">
        <v>60564.538431232351</v>
      </c>
      <c r="AQ818">
        <v>20237.635421342158</v>
      </c>
      <c r="AR818">
        <v>7.3168044115833348E-3</v>
      </c>
      <c r="AS818">
        <v>149.15043767015229</v>
      </c>
      <c r="AT818">
        <v>69.52742692411654</v>
      </c>
      <c r="AU818">
        <v>7.1379716174425054</v>
      </c>
      <c r="AV818">
        <v>152.5117751883846</v>
      </c>
      <c r="AW818">
        <v>229.0482179439135</v>
      </c>
      <c r="AX818">
        <v>76.536442755528881</v>
      </c>
      <c r="AY818">
        <v>0.9776406627430716</v>
      </c>
      <c r="AZ818" t="str">
        <f>VLOOKUP(BA818,Sheet1!$A$1:$B$58,2,FALSE)</f>
        <v>4-Hydroxystyrene</v>
      </c>
      <c r="BA818" t="s">
        <v>89</v>
      </c>
      <c r="BB818" t="s">
        <v>90</v>
      </c>
      <c r="BC818">
        <v>120.14731999999999</v>
      </c>
      <c r="BD818">
        <v>4.75</v>
      </c>
      <c r="BE818">
        <v>229</v>
      </c>
      <c r="BF818" t="s">
        <v>205</v>
      </c>
      <c r="BG818">
        <v>0</v>
      </c>
      <c r="BH818">
        <v>4.2568807339450003E-2</v>
      </c>
      <c r="BI818">
        <v>0.10303228134426901</v>
      </c>
      <c r="BJ818">
        <v>90</v>
      </c>
      <c r="BK818">
        <v>2470.080411859557</v>
      </c>
      <c r="BL818">
        <v>825.37716180850032</v>
      </c>
      <c r="BM818">
        <v>10.542981179056261</v>
      </c>
      <c r="BN818">
        <v>1792.3068004395641</v>
      </c>
      <c r="BO818">
        <v>677.7736114199929</v>
      </c>
    </row>
    <row r="819" spans="1:67" x14ac:dyDescent="0.25">
      <c r="A819" s="1">
        <v>817</v>
      </c>
      <c r="B819" t="s">
        <v>204</v>
      </c>
      <c r="C819" t="s">
        <v>195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67</v>
      </c>
      <c r="J819">
        <v>1.4</v>
      </c>
      <c r="K819">
        <v>500</v>
      </c>
      <c r="L819">
        <v>33.333333333333329</v>
      </c>
      <c r="N819" t="s">
        <v>183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45573.684403314197</v>
      </c>
      <c r="Z819">
        <v>227868422.01657099</v>
      </c>
      <c r="AA819">
        <v>319015790.82319927</v>
      </c>
      <c r="AB819">
        <v>319015.79082319932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62.362779615486737</v>
      </c>
      <c r="AI819">
        <v>62.362779615486737</v>
      </c>
      <c r="AJ819">
        <v>10368.01320175398</v>
      </c>
      <c r="AK819">
        <v>854.70085470085473</v>
      </c>
      <c r="AL819" t="s">
        <v>69</v>
      </c>
      <c r="AM819">
        <v>4833.1154202002217</v>
      </c>
      <c r="AN819">
        <v>496.18750785737137</v>
      </c>
      <c r="AO819">
        <v>10601.672534632749</v>
      </c>
      <c r="AP819">
        <v>16552.016984512429</v>
      </c>
      <c r="AQ819">
        <v>5950.3444498796798</v>
      </c>
      <c r="AR819">
        <v>7.3168044115833331E-3</v>
      </c>
      <c r="AS819">
        <v>149.15043767015229</v>
      </c>
      <c r="AT819">
        <v>69.527426924116511</v>
      </c>
      <c r="AU819">
        <v>7.1379716174425027</v>
      </c>
      <c r="AV819">
        <v>152.5117751883846</v>
      </c>
      <c r="AW819">
        <v>238.11124942878939</v>
      </c>
      <c r="AX819">
        <v>85.599474240404746</v>
      </c>
      <c r="AY819">
        <v>0.9776406627430716</v>
      </c>
      <c r="AZ819" t="str">
        <f>VLOOKUP(BA819,Sheet1!$A$1:$B$58,2,FALSE)</f>
        <v>Acetone</v>
      </c>
      <c r="BA819" t="s">
        <v>93</v>
      </c>
      <c r="BB819" t="s">
        <v>94</v>
      </c>
      <c r="BC819">
        <v>58.078139999999998</v>
      </c>
      <c r="BD819">
        <v>5.333333333333333</v>
      </c>
      <c r="BE819">
        <v>56</v>
      </c>
      <c r="BF819" t="s">
        <v>205</v>
      </c>
      <c r="BG819">
        <v>0</v>
      </c>
      <c r="BH819">
        <v>0.33333333333333398</v>
      </c>
      <c r="BI819">
        <v>0.39191672852419301</v>
      </c>
      <c r="BJ819">
        <v>90</v>
      </c>
      <c r="BK819">
        <v>675.06190898545753</v>
      </c>
      <c r="BL819">
        <v>242.68044717543069</v>
      </c>
      <c r="BM819">
        <v>2.771679094021632</v>
      </c>
      <c r="BN819">
        <v>471.18544598367748</v>
      </c>
      <c r="BO819">
        <v>203.87646300178</v>
      </c>
    </row>
    <row r="820" spans="1:67" x14ac:dyDescent="0.25">
      <c r="A820" s="1">
        <v>818</v>
      </c>
      <c r="B820" t="s">
        <v>204</v>
      </c>
      <c r="C820" t="s">
        <v>195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67</v>
      </c>
      <c r="J820">
        <v>1.4</v>
      </c>
      <c r="K820">
        <v>500</v>
      </c>
      <c r="L820">
        <v>33.333333333333329</v>
      </c>
      <c r="N820" t="s">
        <v>183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123255.00057739091</v>
      </c>
      <c r="Z820">
        <v>616275002.88695467</v>
      </c>
      <c r="AA820">
        <v>862785004.04173648</v>
      </c>
      <c r="AB820">
        <v>862785.00404173648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168.66146632980031</v>
      </c>
      <c r="AI820">
        <v>168.66146632980031</v>
      </c>
      <c r="AJ820">
        <v>28040.51263135644</v>
      </c>
      <c r="AK820">
        <v>854.70085470085473</v>
      </c>
      <c r="AL820" t="s">
        <v>69</v>
      </c>
      <c r="AM820">
        <v>13071.26364055952</v>
      </c>
      <c r="AN820">
        <v>1341.9496880310819</v>
      </c>
      <c r="AO820">
        <v>28672.449276066051</v>
      </c>
      <c r="AP820">
        <v>43308.426814647893</v>
      </c>
      <c r="AQ820">
        <v>14635.97753858185</v>
      </c>
      <c r="AR820">
        <v>7.3168044115833339E-3</v>
      </c>
      <c r="AS820">
        <v>149.15043767015229</v>
      </c>
      <c r="AT820">
        <v>69.52742692411654</v>
      </c>
      <c r="AU820">
        <v>7.1379716174425027</v>
      </c>
      <c r="AV820">
        <v>152.5117751883846</v>
      </c>
      <c r="AW820">
        <v>230.3620800065959</v>
      </c>
      <c r="AX820">
        <v>77.850304818211256</v>
      </c>
      <c r="AY820">
        <v>0.9776406627430716</v>
      </c>
      <c r="AZ820" t="str">
        <f>VLOOKUP(BA820,Sheet1!$A$1:$B$58,2,FALSE)</f>
        <v>Acrylate (PW1)</v>
      </c>
      <c r="BA820" t="s">
        <v>95</v>
      </c>
      <c r="BB820" t="s">
        <v>96</v>
      </c>
      <c r="BC820">
        <v>71.053619999999995</v>
      </c>
      <c r="BD820">
        <v>3.666666666666667</v>
      </c>
      <c r="BE820">
        <v>80</v>
      </c>
      <c r="BF820" t="s">
        <v>205</v>
      </c>
      <c r="BG820">
        <v>0</v>
      </c>
      <c r="BH820">
        <v>0.100869565217391</v>
      </c>
      <c r="BI820">
        <v>0.144911680779443</v>
      </c>
      <c r="BJ820">
        <v>90</v>
      </c>
      <c r="BK820">
        <v>1766.3025181770249</v>
      </c>
      <c r="BL820">
        <v>596.91764129460171</v>
      </c>
      <c r="BM820">
        <v>7.4960651702133463</v>
      </c>
      <c r="BN820">
        <v>1274.331078936269</v>
      </c>
      <c r="BO820">
        <v>491.97143924075641</v>
      </c>
    </row>
    <row r="821" spans="1:67" x14ac:dyDescent="0.25">
      <c r="A821" s="1">
        <v>819</v>
      </c>
      <c r="B821" t="s">
        <v>204</v>
      </c>
      <c r="C821" t="s">
        <v>195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67</v>
      </c>
      <c r="J821">
        <v>1.4</v>
      </c>
      <c r="K821">
        <v>500</v>
      </c>
      <c r="L821">
        <v>33.333333333333329</v>
      </c>
      <c r="N821" t="s">
        <v>183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52728.117359666037</v>
      </c>
      <c r="Z821">
        <v>263640586.79833019</v>
      </c>
      <c r="AA821">
        <v>369096821.51766223</v>
      </c>
      <c r="AB821">
        <v>369096.8215176622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72.152866407291057</v>
      </c>
      <c r="AI821">
        <v>72.152866407291057</v>
      </c>
      <c r="AJ821">
        <v>11995.646699324019</v>
      </c>
      <c r="AK821">
        <v>854.70085470085473</v>
      </c>
      <c r="AL821" t="s">
        <v>69</v>
      </c>
      <c r="AM821">
        <v>5591.8471465650573</v>
      </c>
      <c r="AN821">
        <v>574.08202758346806</v>
      </c>
      <c r="AO821">
        <v>12265.98728923948</v>
      </c>
      <c r="AP821">
        <v>19016.276728173401</v>
      </c>
      <c r="AQ821">
        <v>6750.2894389339217</v>
      </c>
      <c r="AR821">
        <v>7.3168044115833339E-3</v>
      </c>
      <c r="AS821">
        <v>149.15043767015229</v>
      </c>
      <c r="AT821">
        <v>69.527426924116526</v>
      </c>
      <c r="AU821">
        <v>7.1379716174425027</v>
      </c>
      <c r="AV821">
        <v>152.5117751883846</v>
      </c>
      <c r="AW821">
        <v>236.4429420069219</v>
      </c>
      <c r="AX821">
        <v>83.931166818537363</v>
      </c>
      <c r="AY821">
        <v>0.9776406627430716</v>
      </c>
      <c r="AZ821" t="str">
        <f>VLOOKUP(BA821,Sheet1!$A$1:$B$58,2,FALSE)</f>
        <v>Acrylate (PW2)</v>
      </c>
      <c r="BA821" t="s">
        <v>97</v>
      </c>
      <c r="BB821" t="s">
        <v>96</v>
      </c>
      <c r="BC821">
        <v>71.053619999999995</v>
      </c>
      <c r="BD821">
        <v>3.666666666666667</v>
      </c>
      <c r="BE821">
        <v>80</v>
      </c>
      <c r="BF821" t="s">
        <v>205</v>
      </c>
      <c r="BG821">
        <v>0</v>
      </c>
      <c r="BH821">
        <v>0.23200000000000001</v>
      </c>
      <c r="BI821">
        <v>0.33873937080491401</v>
      </c>
      <c r="BJ821">
        <v>90</v>
      </c>
      <c r="BK821">
        <v>775.56494063098694</v>
      </c>
      <c r="BL821">
        <v>275.3056185910711</v>
      </c>
      <c r="BM821">
        <v>3.206794062546269</v>
      </c>
      <c r="BN821">
        <v>545.15499063286575</v>
      </c>
      <c r="BO821">
        <v>230.40994999812119</v>
      </c>
    </row>
    <row r="822" spans="1:67" x14ac:dyDescent="0.25">
      <c r="A822" s="1">
        <v>820</v>
      </c>
      <c r="B822" t="s">
        <v>204</v>
      </c>
      <c r="C822" t="s">
        <v>195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67</v>
      </c>
      <c r="J822">
        <v>1.4</v>
      </c>
      <c r="K822">
        <v>500</v>
      </c>
      <c r="L822">
        <v>33.333333333333329</v>
      </c>
      <c r="N822" t="s">
        <v>183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178041.06983822369</v>
      </c>
      <c r="Z822">
        <v>890205349.19111824</v>
      </c>
      <c r="AA822">
        <v>1246287488.8675649</v>
      </c>
      <c r="AB822">
        <v>1246287.4888675651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243.6304228239924</v>
      </c>
      <c r="AI822">
        <v>243.6304228239924</v>
      </c>
      <c r="AJ822">
        <v>40504.34338819587</v>
      </c>
      <c r="AK822">
        <v>854.70085470085473</v>
      </c>
      <c r="AL822" t="s">
        <v>69</v>
      </c>
      <c r="AM822">
        <v>18881.357768859409</v>
      </c>
      <c r="AN822">
        <v>1938.4378484190329</v>
      </c>
      <c r="AO822">
        <v>41417.171880078713</v>
      </c>
      <c r="AP822">
        <v>62178.839860175169</v>
      </c>
      <c r="AQ822">
        <v>20761.667980096459</v>
      </c>
      <c r="AR822">
        <v>7.3168044115833322E-3</v>
      </c>
      <c r="AS822">
        <v>149.15043767015229</v>
      </c>
      <c r="AT822">
        <v>69.52742692411654</v>
      </c>
      <c r="AU822">
        <v>7.1379716174425054</v>
      </c>
      <c r="AV822">
        <v>152.5117751883846</v>
      </c>
      <c r="AW822">
        <v>228.96312847451679</v>
      </c>
      <c r="AX822">
        <v>76.451353286132147</v>
      </c>
      <c r="AY822">
        <v>0.97764066274307171</v>
      </c>
      <c r="AZ822" t="str">
        <f>VLOOKUP(BA822,Sheet1!$A$1:$B$58,2,FALSE)</f>
        <v>Benzoate (PW1)</v>
      </c>
      <c r="BA822" t="s">
        <v>100</v>
      </c>
      <c r="BB822" t="s">
        <v>101</v>
      </c>
      <c r="BC822">
        <v>121.1121</v>
      </c>
      <c r="BD822">
        <v>4.1428571428571432</v>
      </c>
      <c r="BE822">
        <v>249.2</v>
      </c>
      <c r="BF822" t="s">
        <v>205</v>
      </c>
      <c r="BG822">
        <v>0</v>
      </c>
      <c r="BH822">
        <v>4.1061946902655001E-2</v>
      </c>
      <c r="BI822">
        <v>0.100320051516037</v>
      </c>
      <c r="BJ822">
        <v>90</v>
      </c>
      <c r="BK822">
        <v>2535.9185151746851</v>
      </c>
      <c r="BL822">
        <v>846.74944651641317</v>
      </c>
      <c r="BM822">
        <v>10.82801879217744</v>
      </c>
      <c r="BN822">
        <v>1840.7631946701649</v>
      </c>
      <c r="BO822">
        <v>695.15532050451975</v>
      </c>
    </row>
    <row r="823" spans="1:67" x14ac:dyDescent="0.25">
      <c r="A823" s="1">
        <v>821</v>
      </c>
      <c r="B823" t="s">
        <v>204</v>
      </c>
      <c r="C823" t="s">
        <v>195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67</v>
      </c>
      <c r="J823">
        <v>1.4</v>
      </c>
      <c r="K823">
        <v>500</v>
      </c>
      <c r="L823">
        <v>33.333333333333329</v>
      </c>
      <c r="N823" t="s">
        <v>183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190772.28931286081</v>
      </c>
      <c r="Z823">
        <v>953861446.56430399</v>
      </c>
      <c r="AA823">
        <v>1335406025.190026</v>
      </c>
      <c r="AB823">
        <v>1335406.025190026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261.05175368034622</v>
      </c>
      <c r="AI823">
        <v>261.05175368034622</v>
      </c>
      <c r="AJ823">
        <v>43400.695818675827</v>
      </c>
      <c r="AK823">
        <v>854.70085470085473</v>
      </c>
      <c r="AL823" t="s">
        <v>69</v>
      </c>
      <c r="AM823">
        <v>20231.510910226829</v>
      </c>
      <c r="AN823">
        <v>2077.0501231519938</v>
      </c>
      <c r="AO823">
        <v>44378.798125658861</v>
      </c>
      <c r="AP823">
        <v>66563.957706755522</v>
      </c>
      <c r="AQ823">
        <v>22185.159581096661</v>
      </c>
      <c r="AR823">
        <v>7.3168044115833374E-3</v>
      </c>
      <c r="AS823">
        <v>149.15043767015229</v>
      </c>
      <c r="AT823">
        <v>69.52742692411654</v>
      </c>
      <c r="AU823">
        <v>7.1379716174425054</v>
      </c>
      <c r="AV823">
        <v>152.51177518838469</v>
      </c>
      <c r="AW823">
        <v>228.75309341810001</v>
      </c>
      <c r="AX823">
        <v>76.241318229715375</v>
      </c>
      <c r="AY823">
        <v>0.97764066274307193</v>
      </c>
      <c r="AZ823" t="str">
        <f>VLOOKUP(BA823,Sheet1!$A$1:$B$58,2,FALSE)</f>
        <v>Benzoate (PW2)</v>
      </c>
      <c r="BA823" t="s">
        <v>102</v>
      </c>
      <c r="BB823" t="s">
        <v>101</v>
      </c>
      <c r="BC823">
        <v>121.1121</v>
      </c>
      <c r="BD823">
        <v>4.1428571428571432</v>
      </c>
      <c r="BE823">
        <v>249.2</v>
      </c>
      <c r="BF823" t="s">
        <v>205</v>
      </c>
      <c r="BG823">
        <v>0</v>
      </c>
      <c r="BH823">
        <v>3.8347107438017003E-2</v>
      </c>
      <c r="BI823">
        <v>9.3625176709229999E-2</v>
      </c>
      <c r="BJ823">
        <v>90</v>
      </c>
      <c r="BK823">
        <v>2714.762339912696</v>
      </c>
      <c r="BL823">
        <v>904.80551052934356</v>
      </c>
      <c r="BM823">
        <v>11.60230016357094</v>
      </c>
      <c r="BN823">
        <v>1972.39102780706</v>
      </c>
      <c r="BO823">
        <v>742.37131210563621</v>
      </c>
    </row>
    <row r="824" spans="1:67" x14ac:dyDescent="0.25">
      <c r="A824" s="1">
        <v>822</v>
      </c>
      <c r="B824" t="s">
        <v>204</v>
      </c>
      <c r="C824" t="s">
        <v>195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67</v>
      </c>
      <c r="J824">
        <v>1.4</v>
      </c>
      <c r="K824">
        <v>500</v>
      </c>
      <c r="L824">
        <v>33.333333333333329</v>
      </c>
      <c r="N824" t="s">
        <v>183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112748.7919394464</v>
      </c>
      <c r="Z824">
        <v>563743959.69723213</v>
      </c>
      <c r="AA824">
        <v>789241543.57612491</v>
      </c>
      <c r="AB824">
        <v>789241.54357612494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154.28482809085179</v>
      </c>
      <c r="AI824">
        <v>154.28482809085179</v>
      </c>
      <c r="AJ824">
        <v>25650.35016622406</v>
      </c>
      <c r="AK824">
        <v>2170.1388888888891</v>
      </c>
      <c r="AL824" t="s">
        <v>107</v>
      </c>
      <c r="AM824">
        <v>11957.07417704102</v>
      </c>
      <c r="AN824">
        <v>1227.562414995238</v>
      </c>
      <c r="AO824">
        <v>26228.420775444811</v>
      </c>
      <c r="AP824">
        <v>41005.125647149209</v>
      </c>
      <c r="AQ824">
        <v>14776.704871704391</v>
      </c>
      <c r="AR824">
        <v>7.3168044115833331E-3</v>
      </c>
      <c r="AS824">
        <v>149.15043767015229</v>
      </c>
      <c r="AT824">
        <v>69.52742692411654</v>
      </c>
      <c r="AU824">
        <v>7.1379716174425027</v>
      </c>
      <c r="AV824">
        <v>152.51177518838469</v>
      </c>
      <c r="AW824">
        <v>238.43465673405291</v>
      </c>
      <c r="AX824">
        <v>85.922881545668247</v>
      </c>
      <c r="AY824">
        <v>0.97764066274307182</v>
      </c>
      <c r="AZ824" t="str">
        <f>VLOOKUP(BA824,Sheet1!$A$1:$B$58,2,FALSE)</f>
        <v>Butane</v>
      </c>
      <c r="BA824" t="s">
        <v>108</v>
      </c>
      <c r="BB824" t="s">
        <v>109</v>
      </c>
      <c r="BC824">
        <v>58.121200000000002</v>
      </c>
      <c r="BD824">
        <v>6.5</v>
      </c>
      <c r="BE824">
        <v>-1</v>
      </c>
      <c r="BF824" t="s">
        <v>205</v>
      </c>
      <c r="BG824">
        <v>0</v>
      </c>
      <c r="BH824">
        <v>0.13647058823529401</v>
      </c>
      <c r="BI824">
        <v>0.158414906190157</v>
      </c>
      <c r="BJ824">
        <v>90</v>
      </c>
      <c r="BK824">
        <v>1672.36406435868</v>
      </c>
      <c r="BL824">
        <v>602.65710266858582</v>
      </c>
      <c r="BM824">
        <v>6.8571034707045273</v>
      </c>
      <c r="BN824">
        <v>1165.7075900197699</v>
      </c>
      <c r="BO824">
        <v>506.6564743389099</v>
      </c>
    </row>
    <row r="825" spans="1:67" x14ac:dyDescent="0.25">
      <c r="A825" s="1">
        <v>823</v>
      </c>
      <c r="B825" t="s">
        <v>204</v>
      </c>
      <c r="C825" t="s">
        <v>195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67</v>
      </c>
      <c r="J825">
        <v>1.4</v>
      </c>
      <c r="K825">
        <v>500</v>
      </c>
      <c r="L825">
        <v>33.333333333333329</v>
      </c>
      <c r="N825" t="s">
        <v>183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48262.403024164443</v>
      </c>
      <c r="Z825">
        <v>241312015.12082219</v>
      </c>
      <c r="AA825">
        <v>337836821.16915113</v>
      </c>
      <c r="AB825">
        <v>337836.82116915111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66.042007419766378</v>
      </c>
      <c r="AI825">
        <v>66.042007419766378</v>
      </c>
      <c r="AJ825">
        <v>10979.69668799741</v>
      </c>
      <c r="AK825">
        <v>854.70085470085473</v>
      </c>
      <c r="AL825" t="s">
        <v>69</v>
      </c>
      <c r="AM825">
        <v>5118.2555750318943</v>
      </c>
      <c r="AN825">
        <v>525.46116894658485</v>
      </c>
      <c r="AO825">
        <v>11227.141261360281</v>
      </c>
      <c r="AP825">
        <v>17478.11428667674</v>
      </c>
      <c r="AQ825">
        <v>6250.9730253164598</v>
      </c>
      <c r="AR825">
        <v>7.3168044115833348E-3</v>
      </c>
      <c r="AS825">
        <v>149.15043767015229</v>
      </c>
      <c r="AT825">
        <v>69.52742692411654</v>
      </c>
      <c r="AU825">
        <v>7.1379716174425054</v>
      </c>
      <c r="AV825">
        <v>152.51177518838469</v>
      </c>
      <c r="AW825">
        <v>237.42626682543141</v>
      </c>
      <c r="AX825">
        <v>84.914491637046709</v>
      </c>
      <c r="AY825">
        <v>0.97764066274307182</v>
      </c>
      <c r="AZ825" t="str">
        <f>VLOOKUP(BA825,Sheet1!$A$1:$B$58,2,FALSE)</f>
        <v>Butanol (PW1)</v>
      </c>
      <c r="BA825" t="s">
        <v>110</v>
      </c>
      <c r="BB825" t="s">
        <v>111</v>
      </c>
      <c r="BC825">
        <v>74.120199999999997</v>
      </c>
      <c r="BD825">
        <v>6</v>
      </c>
      <c r="BE825">
        <v>117.7</v>
      </c>
      <c r="BF825" t="s">
        <v>205</v>
      </c>
      <c r="BG825">
        <v>0</v>
      </c>
      <c r="BH825">
        <v>0.25</v>
      </c>
      <c r="BI825">
        <v>0.37008288396245198</v>
      </c>
      <c r="BJ825">
        <v>90</v>
      </c>
      <c r="BK825">
        <v>712.83211024191439</v>
      </c>
      <c r="BL825">
        <v>254.9413637887848</v>
      </c>
      <c r="BM825">
        <v>2.9352003297673952</v>
      </c>
      <c r="BN825">
        <v>498.98405606045708</v>
      </c>
      <c r="BO825">
        <v>213.84805418145729</v>
      </c>
    </row>
    <row r="826" spans="1:67" x14ac:dyDescent="0.25">
      <c r="A826" s="1">
        <v>824</v>
      </c>
      <c r="B826" t="s">
        <v>204</v>
      </c>
      <c r="C826" t="s">
        <v>195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67</v>
      </c>
      <c r="J826">
        <v>1.4</v>
      </c>
      <c r="K826">
        <v>500</v>
      </c>
      <c r="L826">
        <v>33.333333333333329</v>
      </c>
      <c r="N826" t="s">
        <v>183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48262.403024164443</v>
      </c>
      <c r="Z826">
        <v>241312015.12082219</v>
      </c>
      <c r="AA826">
        <v>337836821.16915113</v>
      </c>
      <c r="AB826">
        <v>337836.82116915111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66.042007419766378</v>
      </c>
      <c r="AI826">
        <v>66.042007419766378</v>
      </c>
      <c r="AJ826">
        <v>10979.69668799741</v>
      </c>
      <c r="AK826">
        <v>854.70085470085473</v>
      </c>
      <c r="AL826" t="s">
        <v>69</v>
      </c>
      <c r="AM826">
        <v>5118.2555750318943</v>
      </c>
      <c r="AN826">
        <v>525.46116894658485</v>
      </c>
      <c r="AO826">
        <v>11227.141261360281</v>
      </c>
      <c r="AP826">
        <v>17478.11428667674</v>
      </c>
      <c r="AQ826">
        <v>6250.9730253164598</v>
      </c>
      <c r="AR826">
        <v>7.3168044115833348E-3</v>
      </c>
      <c r="AS826">
        <v>149.15043767015229</v>
      </c>
      <c r="AT826">
        <v>69.52742692411654</v>
      </c>
      <c r="AU826">
        <v>7.1379716174425054</v>
      </c>
      <c r="AV826">
        <v>152.51177518838469</v>
      </c>
      <c r="AW826">
        <v>237.42626682543141</v>
      </c>
      <c r="AX826">
        <v>84.914491637046709</v>
      </c>
      <c r="AY826">
        <v>0.97764066274307182</v>
      </c>
      <c r="AZ826" t="str">
        <f>VLOOKUP(BA826,Sheet1!$A$1:$B$58,2,FALSE)</f>
        <v>Butanol (PW2)</v>
      </c>
      <c r="BA826" t="s">
        <v>112</v>
      </c>
      <c r="BB826" t="s">
        <v>111</v>
      </c>
      <c r="BC826">
        <v>74.120199999999997</v>
      </c>
      <c r="BD826">
        <v>6</v>
      </c>
      <c r="BE826">
        <v>117.7</v>
      </c>
      <c r="BF826" t="s">
        <v>205</v>
      </c>
      <c r="BG826">
        <v>0</v>
      </c>
      <c r="BH826">
        <v>0.25</v>
      </c>
      <c r="BI826">
        <v>0.37008288396245198</v>
      </c>
      <c r="BJ826">
        <v>90</v>
      </c>
      <c r="BK826">
        <v>712.83211024191439</v>
      </c>
      <c r="BL826">
        <v>254.9413637887848</v>
      </c>
      <c r="BM826">
        <v>2.9352003297673952</v>
      </c>
      <c r="BN826">
        <v>498.98405606045708</v>
      </c>
      <c r="BO826">
        <v>213.84805418145729</v>
      </c>
    </row>
    <row r="827" spans="1:67" x14ac:dyDescent="0.25">
      <c r="A827" s="1">
        <v>825</v>
      </c>
      <c r="B827" t="s">
        <v>204</v>
      </c>
      <c r="C827" t="s">
        <v>195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67</v>
      </c>
      <c r="J827">
        <v>1.4</v>
      </c>
      <c r="K827">
        <v>500</v>
      </c>
      <c r="L827">
        <v>33.333333333333329</v>
      </c>
      <c r="N827" t="s">
        <v>183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40243.788944149434</v>
      </c>
      <c r="Z827">
        <v>201218944.72074711</v>
      </c>
      <c r="AA827">
        <v>281706522.60904592</v>
      </c>
      <c r="AB827">
        <v>281706.5226090459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55.069379921225803</v>
      </c>
      <c r="AI827">
        <v>55.069379921225803</v>
      </c>
      <c r="AJ827">
        <v>9155.4619847939921</v>
      </c>
      <c r="AK827">
        <v>854.70085470085473</v>
      </c>
      <c r="AL827" t="s">
        <v>69</v>
      </c>
      <c r="AM827">
        <v>4267.8769438949994</v>
      </c>
      <c r="AN827">
        <v>438.15780102877522</v>
      </c>
      <c r="AO827">
        <v>9361.7945866083865</v>
      </c>
      <c r="AP827">
        <v>14716.19758441862</v>
      </c>
      <c r="AQ827">
        <v>5354.4029978102353</v>
      </c>
      <c r="AR827">
        <v>7.3168044115833339E-3</v>
      </c>
      <c r="AS827">
        <v>149.15043767015229</v>
      </c>
      <c r="AT827">
        <v>69.52742692411654</v>
      </c>
      <c r="AU827">
        <v>7.1379716174425054</v>
      </c>
      <c r="AV827">
        <v>152.51177518838469</v>
      </c>
      <c r="AW827">
        <v>239.7396564151496</v>
      </c>
      <c r="AX827">
        <v>87.22788122676495</v>
      </c>
      <c r="AY827">
        <v>0.97764066274307182</v>
      </c>
      <c r="AZ827" t="str">
        <f>VLOOKUP(BA827,Sheet1!$A$1:$B$58,2,FALSE)</f>
        <v>Butyrate</v>
      </c>
      <c r="BA827" t="s">
        <v>113</v>
      </c>
      <c r="BB827" t="s">
        <v>114</v>
      </c>
      <c r="BC827">
        <v>87.095680000000002</v>
      </c>
      <c r="BD827">
        <v>4.75</v>
      </c>
      <c r="BE827">
        <v>163.5</v>
      </c>
      <c r="BF827" t="s">
        <v>205</v>
      </c>
      <c r="BG827">
        <v>0</v>
      </c>
      <c r="BH827">
        <v>0.25</v>
      </c>
      <c r="BI827">
        <v>0.44382225845903001</v>
      </c>
      <c r="BJ827">
        <v>90</v>
      </c>
      <c r="BK827">
        <v>600.18935720282877</v>
      </c>
      <c r="BL827">
        <v>218.37541083732211</v>
      </c>
      <c r="BM827">
        <v>2.4475279964989252</v>
      </c>
      <c r="BN827">
        <v>416.0797594048172</v>
      </c>
      <c r="BO827">
        <v>184.10959779801161</v>
      </c>
    </row>
    <row r="828" spans="1:67" x14ac:dyDescent="0.25">
      <c r="A828" s="1">
        <v>826</v>
      </c>
      <c r="B828" t="s">
        <v>204</v>
      </c>
      <c r="C828" t="s">
        <v>195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67</v>
      </c>
      <c r="J828">
        <v>1.4</v>
      </c>
      <c r="K828">
        <v>500</v>
      </c>
      <c r="L828">
        <v>33.333333333333329</v>
      </c>
      <c r="N828" t="s">
        <v>183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126142.76171613429</v>
      </c>
      <c r="Z828">
        <v>630713808.58067155</v>
      </c>
      <c r="AA828">
        <v>882999332.01294017</v>
      </c>
      <c r="AB828">
        <v>882999.3320129402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172.61306282315999</v>
      </c>
      <c r="AI828">
        <v>172.61306282315999</v>
      </c>
      <c r="AJ828">
        <v>28697.47829042056</v>
      </c>
      <c r="AK828">
        <v>854.70085470085473</v>
      </c>
      <c r="AL828" t="s">
        <v>69</v>
      </c>
      <c r="AM828">
        <v>13377.5123687949</v>
      </c>
      <c r="AN828">
        <v>1373.3904420864251</v>
      </c>
      <c r="AO828">
        <v>29344.2206799372</v>
      </c>
      <c r="AP828">
        <v>44303.081956002738</v>
      </c>
      <c r="AQ828">
        <v>14958.86127606554</v>
      </c>
      <c r="AR828">
        <v>7.3168044115833348E-3</v>
      </c>
      <c r="AS828">
        <v>149.15043767015229</v>
      </c>
      <c r="AT828">
        <v>69.527426924116526</v>
      </c>
      <c r="AU828">
        <v>7.1379716174425027</v>
      </c>
      <c r="AV828">
        <v>152.5117751883846</v>
      </c>
      <c r="AW828">
        <v>230.25800375220359</v>
      </c>
      <c r="AX828">
        <v>77.746228563818974</v>
      </c>
      <c r="AY828">
        <v>0.97764066274307171</v>
      </c>
      <c r="AZ828" t="str">
        <f>VLOOKUP(BA828,Sheet1!$A$1:$B$58,2,FALSE)</f>
        <v>Catechol</v>
      </c>
      <c r="BA828" t="s">
        <v>115</v>
      </c>
      <c r="BB828" t="s">
        <v>116</v>
      </c>
      <c r="BC828">
        <v>110.10924</v>
      </c>
      <c r="BD828">
        <v>4.333333333333333</v>
      </c>
      <c r="BE828">
        <v>245</v>
      </c>
      <c r="BF828" t="s">
        <v>205</v>
      </c>
      <c r="BG828">
        <v>0</v>
      </c>
      <c r="BH828">
        <v>6.3561643835616397E-2</v>
      </c>
      <c r="BI828">
        <v>0.14159424651201699</v>
      </c>
      <c r="BJ828">
        <v>90</v>
      </c>
      <c r="BK828">
        <v>1806.8688007716769</v>
      </c>
      <c r="BL828">
        <v>610.08621841786419</v>
      </c>
      <c r="BM828">
        <v>7.6716916810293343</v>
      </c>
      <c r="BN828">
        <v>1304.1875857749869</v>
      </c>
      <c r="BO828">
        <v>502.68121499669002</v>
      </c>
    </row>
    <row r="829" spans="1:67" x14ac:dyDescent="0.25">
      <c r="A829" s="1">
        <v>827</v>
      </c>
      <c r="B829" t="s">
        <v>204</v>
      </c>
      <c r="C829" t="s">
        <v>195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67</v>
      </c>
      <c r="J829">
        <v>1.4</v>
      </c>
      <c r="K829">
        <v>500</v>
      </c>
      <c r="L829">
        <v>33.333333333333329</v>
      </c>
      <c r="N829" t="s">
        <v>183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44149.436377770609</v>
      </c>
      <c r="Z829">
        <v>220747181.88885301</v>
      </c>
      <c r="AA829">
        <v>309046054.64439422</v>
      </c>
      <c r="AB829">
        <v>309046.0546443942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60.41384643403196</v>
      </c>
      <c r="AI829">
        <v>60.41384643403196</v>
      </c>
      <c r="AJ829">
        <v>10043.996775942809</v>
      </c>
      <c r="AK829">
        <v>854.70085470085473</v>
      </c>
      <c r="AL829" t="s">
        <v>69</v>
      </c>
      <c r="AM829">
        <v>4682.0730986374774</v>
      </c>
      <c r="AN829">
        <v>480.68088188192451</v>
      </c>
      <c r="AO829">
        <v>10270.35389378543</v>
      </c>
      <c r="AP829">
        <v>16061.451611163069</v>
      </c>
      <c r="AQ829">
        <v>5791.0977173776346</v>
      </c>
      <c r="AR829">
        <v>7.3168044115833331E-3</v>
      </c>
      <c r="AS829">
        <v>149.15043767015229</v>
      </c>
      <c r="AT829">
        <v>69.527426924116511</v>
      </c>
      <c r="AU829">
        <v>7.1379716174425054</v>
      </c>
      <c r="AV829">
        <v>152.5117751883846</v>
      </c>
      <c r="AW829">
        <v>238.50789589665871</v>
      </c>
      <c r="AX829">
        <v>85.99612070827412</v>
      </c>
      <c r="AY829">
        <v>0.97764066274307149</v>
      </c>
      <c r="AZ829" t="str">
        <f>VLOOKUP(BA829,Sheet1!$A$1:$B$58,2,FALSE)</f>
        <v>Citrate</v>
      </c>
      <c r="BA829" t="s">
        <v>119</v>
      </c>
      <c r="BB829" t="s">
        <v>120</v>
      </c>
      <c r="BC829">
        <v>189.09639999999999</v>
      </c>
      <c r="BD829">
        <v>2.5</v>
      </c>
      <c r="BF829" t="s">
        <v>205</v>
      </c>
      <c r="BG829">
        <v>0</v>
      </c>
      <c r="BH829">
        <v>0.103111111111111</v>
      </c>
      <c r="BI829">
        <v>0.40455984863113797</v>
      </c>
      <c r="BJ829">
        <v>90</v>
      </c>
      <c r="BK829">
        <v>655.05455896127364</v>
      </c>
      <c r="BL829">
        <v>236.18568564013779</v>
      </c>
      <c r="BM829">
        <v>2.685059841512532</v>
      </c>
      <c r="BN829">
        <v>456.46017305713042</v>
      </c>
      <c r="BO829">
        <v>198.59438590414331</v>
      </c>
    </row>
    <row r="830" spans="1:67" x14ac:dyDescent="0.25">
      <c r="A830" s="1">
        <v>828</v>
      </c>
      <c r="B830" t="s">
        <v>204</v>
      </c>
      <c r="C830" t="s">
        <v>195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67</v>
      </c>
      <c r="J830">
        <v>1.4</v>
      </c>
      <c r="K830">
        <v>500</v>
      </c>
      <c r="L830">
        <v>33.333333333333329</v>
      </c>
      <c r="N830" t="s">
        <v>183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134088.19660215109</v>
      </c>
      <c r="Z830">
        <v>670440983.01075566</v>
      </c>
      <c r="AA830">
        <v>938617376.21505785</v>
      </c>
      <c r="AB830">
        <v>938617.3762150578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183.4855523142628</v>
      </c>
      <c r="AI830">
        <v>183.4855523142628</v>
      </c>
      <c r="AJ830">
        <v>30505.064726989382</v>
      </c>
      <c r="AK830">
        <v>854.70085470085473</v>
      </c>
      <c r="AL830" t="s">
        <v>69</v>
      </c>
      <c r="AM830">
        <v>14220.130304355371</v>
      </c>
      <c r="AN830">
        <v>1459.897065076271</v>
      </c>
      <c r="AO830">
        <v>31192.54389342467</v>
      </c>
      <c r="AP830">
        <v>47039.792951121868</v>
      </c>
      <c r="AQ830">
        <v>15847.2490576972</v>
      </c>
      <c r="AR830">
        <v>7.3168044115833322E-3</v>
      </c>
      <c r="AS830">
        <v>149.15043767015229</v>
      </c>
      <c r="AT830">
        <v>69.527426924116511</v>
      </c>
      <c r="AU830">
        <v>7.137971617442501</v>
      </c>
      <c r="AV830">
        <v>152.5117751883846</v>
      </c>
      <c r="AW830">
        <v>229.99478182931881</v>
      </c>
      <c r="AX830">
        <v>77.483006640934207</v>
      </c>
      <c r="AY830">
        <v>0.97764066274307149</v>
      </c>
      <c r="AZ830" t="str">
        <f>VLOOKUP(BA830,Sheet1!$A$1:$B$58,2,FALSE)</f>
        <v>Coumaric Acid</v>
      </c>
      <c r="BA830" t="s">
        <v>121</v>
      </c>
      <c r="BB830" t="s">
        <v>122</v>
      </c>
      <c r="BC830">
        <v>163.14818</v>
      </c>
      <c r="BD830">
        <v>4.1111111111111107</v>
      </c>
      <c r="BE830">
        <v>346</v>
      </c>
      <c r="BF830" t="s">
        <v>205</v>
      </c>
      <c r="BG830">
        <v>0</v>
      </c>
      <c r="BH830">
        <v>4.0347826086956501E-2</v>
      </c>
      <c r="BI830">
        <v>0.13320403846683099</v>
      </c>
      <c r="BJ830">
        <v>90</v>
      </c>
      <c r="BK830">
        <v>1918.483557476872</v>
      </c>
      <c r="BL830">
        <v>646.31846445463248</v>
      </c>
      <c r="BM830">
        <v>8.1549134361894566</v>
      </c>
      <c r="BN830">
        <v>1386.335284152208</v>
      </c>
      <c r="BO830">
        <v>532.14827332466416</v>
      </c>
    </row>
    <row r="831" spans="1:67" x14ac:dyDescent="0.25">
      <c r="A831" s="1">
        <v>829</v>
      </c>
      <c r="B831" t="s">
        <v>204</v>
      </c>
      <c r="C831" t="s">
        <v>195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67</v>
      </c>
      <c r="J831">
        <v>1.4</v>
      </c>
      <c r="K831">
        <v>500</v>
      </c>
      <c r="L831">
        <v>33.333333333333329</v>
      </c>
      <c r="N831" t="s">
        <v>183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39783.429355230983</v>
      </c>
      <c r="Z831">
        <v>198917146.77615491</v>
      </c>
      <c r="AA831">
        <v>278484005.48661679</v>
      </c>
      <c r="AB831">
        <v>278484.00548661681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54.439426386340877</v>
      </c>
      <c r="AI831">
        <v>54.439426386340877</v>
      </c>
      <c r="AJ831">
        <v>9050.7301783150469</v>
      </c>
      <c r="AK831">
        <v>854.70085470085473</v>
      </c>
      <c r="AL831" t="s">
        <v>69</v>
      </c>
      <c r="AM831">
        <v>4219.0555449414187</v>
      </c>
      <c r="AN831">
        <v>433.14559540760581</v>
      </c>
      <c r="AO831">
        <v>9254.7024856779499</v>
      </c>
      <c r="AP831">
        <v>14557.632173364929</v>
      </c>
      <c r="AQ831">
        <v>5302.9296876869776</v>
      </c>
      <c r="AR831">
        <v>7.3168044115833348E-3</v>
      </c>
      <c r="AS831">
        <v>149.15043767015229</v>
      </c>
      <c r="AT831">
        <v>69.52742692411654</v>
      </c>
      <c r="AU831">
        <v>7.1379716174425027</v>
      </c>
      <c r="AV831">
        <v>152.5117751883846</v>
      </c>
      <c r="AW831">
        <v>239.90077787322701</v>
      </c>
      <c r="AX831">
        <v>87.38900268484231</v>
      </c>
      <c r="AY831">
        <v>0.97764066274307171</v>
      </c>
      <c r="AZ831" t="str">
        <f>VLOOKUP(BA831,Sheet1!$A$1:$B$58,2,FALSE)</f>
        <v>Ethyl Acetate</v>
      </c>
      <c r="BA831" t="s">
        <v>123</v>
      </c>
      <c r="BB831" t="s">
        <v>124</v>
      </c>
      <c r="BC831">
        <v>88.103520000000003</v>
      </c>
      <c r="BD831">
        <v>5</v>
      </c>
      <c r="BE831">
        <v>77.099999999999994</v>
      </c>
      <c r="BF831" t="s">
        <v>205</v>
      </c>
      <c r="BG831">
        <v>0</v>
      </c>
      <c r="BH831">
        <v>0.25</v>
      </c>
      <c r="BI831">
        <v>0.44895801059926599</v>
      </c>
      <c r="BJ831">
        <v>90</v>
      </c>
      <c r="BK831">
        <v>593.72238286458787</v>
      </c>
      <c r="BL831">
        <v>216.2761095240067</v>
      </c>
      <c r="BM831">
        <v>2.4195300616151498</v>
      </c>
      <c r="BN831">
        <v>411.32011047457547</v>
      </c>
      <c r="BO831">
        <v>182.40227239001231</v>
      </c>
    </row>
    <row r="832" spans="1:67" x14ac:dyDescent="0.25">
      <c r="A832" s="1">
        <v>830</v>
      </c>
      <c r="B832" t="s">
        <v>204</v>
      </c>
      <c r="C832" t="s">
        <v>195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67</v>
      </c>
      <c r="J832">
        <v>1.4</v>
      </c>
      <c r="K832">
        <v>500</v>
      </c>
      <c r="L832">
        <v>33.333333333333329</v>
      </c>
      <c r="N832" t="s">
        <v>183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133402.24833252019</v>
      </c>
      <c r="Z832">
        <v>667011241.66260123</v>
      </c>
      <c r="AA832">
        <v>933815738.32764173</v>
      </c>
      <c r="AB832">
        <v>933815.73832764174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182.5469044667891</v>
      </c>
      <c r="AI832">
        <v>182.5469044667891</v>
      </c>
      <c r="AJ832">
        <v>30349.011495648359</v>
      </c>
      <c r="AK832">
        <v>1835.336538461539</v>
      </c>
      <c r="AL832" t="s">
        <v>84</v>
      </c>
      <c r="AM832">
        <v>14147.385096176149</v>
      </c>
      <c r="AN832">
        <v>1452.428742800302</v>
      </c>
      <c r="AO832">
        <v>31032.97375935415</v>
      </c>
      <c r="AP832">
        <v>47784.161873086348</v>
      </c>
      <c r="AQ832">
        <v>16751.188113732202</v>
      </c>
      <c r="AR832">
        <v>7.3168044115833339E-3</v>
      </c>
      <c r="AS832">
        <v>149.15043767015229</v>
      </c>
      <c r="AT832">
        <v>69.527426924116511</v>
      </c>
      <c r="AU832">
        <v>7.1379716174425027</v>
      </c>
      <c r="AV832">
        <v>152.5117751883846</v>
      </c>
      <c r="AW832">
        <v>234.83561097514351</v>
      </c>
      <c r="AX832">
        <v>82.323835786758863</v>
      </c>
      <c r="AY832">
        <v>0.97764066274307171</v>
      </c>
      <c r="AZ832" t="str">
        <f>VLOOKUP(BA832,Sheet1!$A$1:$B$58,2,FALSE)</f>
        <v>Farnesene</v>
      </c>
      <c r="BA832" t="s">
        <v>125</v>
      </c>
      <c r="BB832" t="s">
        <v>126</v>
      </c>
      <c r="BC832">
        <v>204.34866</v>
      </c>
      <c r="BD832">
        <v>5.6</v>
      </c>
      <c r="BE832" t="s">
        <v>127</v>
      </c>
      <c r="BF832" t="s">
        <v>205</v>
      </c>
      <c r="BG832">
        <v>0</v>
      </c>
      <c r="BH832">
        <v>3.2676056338028198E-2</v>
      </c>
      <c r="BI832">
        <v>0.13388896755038299</v>
      </c>
      <c r="BJ832">
        <v>90</v>
      </c>
      <c r="BK832">
        <v>1948.842099636475</v>
      </c>
      <c r="BL832">
        <v>683.18495784601066</v>
      </c>
      <c r="BM832">
        <v>8.1131957540795163</v>
      </c>
      <c r="BN832">
        <v>1379.2432781935181</v>
      </c>
      <c r="BO832">
        <v>569.59882144295716</v>
      </c>
    </row>
    <row r="833" spans="1:67" x14ac:dyDescent="0.25">
      <c r="A833" s="1">
        <v>831</v>
      </c>
      <c r="B833" t="s">
        <v>204</v>
      </c>
      <c r="C833" t="s">
        <v>195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67</v>
      </c>
      <c r="J833">
        <v>1.4</v>
      </c>
      <c r="K833">
        <v>500</v>
      </c>
      <c r="L833">
        <v>33.333333333333329</v>
      </c>
      <c r="N833" t="s">
        <v>183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99491.123059411475</v>
      </c>
      <c r="Z833">
        <v>497455615.29705739</v>
      </c>
      <c r="AA833">
        <v>696437861.41588032</v>
      </c>
      <c r="AB833">
        <v>696437.86141588027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136.14310675746341</v>
      </c>
      <c r="AI833">
        <v>136.14310675746341</v>
      </c>
      <c r="AJ833">
        <v>22634.230496016109</v>
      </c>
      <c r="AK833">
        <v>1835.336538461539</v>
      </c>
      <c r="AL833" t="s">
        <v>84</v>
      </c>
      <c r="AM833">
        <v>10551.09077370341</v>
      </c>
      <c r="AN833">
        <v>1083.2183759360571</v>
      </c>
      <c r="AO833">
        <v>23144.328148768771</v>
      </c>
      <c r="AP833">
        <v>36103.876184117107</v>
      </c>
      <c r="AQ833">
        <v>12959.54803534834</v>
      </c>
      <c r="AR833">
        <v>7.3168044115833331E-3</v>
      </c>
      <c r="AS833">
        <v>149.15043767015229</v>
      </c>
      <c r="AT833">
        <v>69.527426924116511</v>
      </c>
      <c r="AU833">
        <v>7.1379716174425027</v>
      </c>
      <c r="AV833">
        <v>152.5117751883846</v>
      </c>
      <c r="AW833">
        <v>237.90996276183819</v>
      </c>
      <c r="AX833">
        <v>85.398187573453598</v>
      </c>
      <c r="AY833">
        <v>0.97764066274307126</v>
      </c>
      <c r="AZ833" t="str">
        <f>VLOOKUP(BA833,Sheet1!$A$1:$B$58,2,FALSE)</f>
        <v>Gamma Butyrolactone</v>
      </c>
      <c r="BA833" t="s">
        <v>128</v>
      </c>
      <c r="BB833" t="s">
        <v>129</v>
      </c>
      <c r="BC833">
        <v>86.08784</v>
      </c>
      <c r="BD833">
        <v>4.5</v>
      </c>
      <c r="BE833">
        <v>204</v>
      </c>
      <c r="BF833" t="s">
        <v>205</v>
      </c>
      <c r="BG833">
        <v>0</v>
      </c>
      <c r="BH833">
        <v>0.103111111111111</v>
      </c>
      <c r="BI833">
        <v>0.179524451517902</v>
      </c>
      <c r="BJ833">
        <v>90</v>
      </c>
      <c r="BK833">
        <v>1472.4701890669689</v>
      </c>
      <c r="BL833">
        <v>528.54568990092741</v>
      </c>
      <c r="BM833">
        <v>6.0508047447761477</v>
      </c>
      <c r="BN833">
        <v>1028.6368066119451</v>
      </c>
      <c r="BO833">
        <v>443.83338245502432</v>
      </c>
    </row>
    <row r="834" spans="1:67" x14ac:dyDescent="0.25">
      <c r="A834" s="1">
        <v>832</v>
      </c>
      <c r="B834" t="s">
        <v>204</v>
      </c>
      <c r="C834" t="s">
        <v>195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67</v>
      </c>
      <c r="J834">
        <v>1.4</v>
      </c>
      <c r="K834">
        <v>500</v>
      </c>
      <c r="L834">
        <v>33.333333333333329</v>
      </c>
      <c r="N834" t="s">
        <v>183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47323.323742591849</v>
      </c>
      <c r="Z834">
        <v>236616618.71295929</v>
      </c>
      <c r="AA834">
        <v>331263266.19814289</v>
      </c>
      <c r="AB834">
        <v>331263.26619814301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64.75697648481038</v>
      </c>
      <c r="AI834">
        <v>64.75697648481038</v>
      </c>
      <c r="AJ834">
        <v>10766.05615143965</v>
      </c>
      <c r="AK834">
        <v>854.70085470085473</v>
      </c>
      <c r="AL834" t="s">
        <v>69</v>
      </c>
      <c r="AM834">
        <v>5018.6656775728043</v>
      </c>
      <c r="AN834">
        <v>515.23686045573766</v>
      </c>
      <c r="AO834">
        <v>11008.68600241776</v>
      </c>
      <c r="AP834">
        <v>17154.659544169041</v>
      </c>
      <c r="AQ834">
        <v>6145.9735417512802</v>
      </c>
      <c r="AR834">
        <v>7.3168044115833339E-3</v>
      </c>
      <c r="AS834">
        <v>149.15043767015229</v>
      </c>
      <c r="AT834">
        <v>69.527426924116526</v>
      </c>
      <c r="AU834">
        <v>7.1379716174425027</v>
      </c>
      <c r="AV834">
        <v>152.5117751883846</v>
      </c>
      <c r="AW834">
        <v>237.65666304398081</v>
      </c>
      <c r="AX834">
        <v>85.144887855596153</v>
      </c>
      <c r="AY834">
        <v>0.97764066274307171</v>
      </c>
      <c r="AZ834" t="str">
        <f>VLOOKUP(BA834,Sheet1!$A$1:$B$58,2,FALSE)</f>
        <v>L-Glutamate</v>
      </c>
      <c r="BA834" t="s">
        <v>130</v>
      </c>
      <c r="BB834" t="s">
        <v>131</v>
      </c>
      <c r="BC834">
        <v>146.11892</v>
      </c>
      <c r="BD834">
        <v>3.4</v>
      </c>
      <c r="BE834">
        <v>333.8</v>
      </c>
      <c r="BF834" t="s">
        <v>205</v>
      </c>
      <c r="BG834">
        <v>0</v>
      </c>
      <c r="BH834">
        <v>0.12540540540540501</v>
      </c>
      <c r="BI834">
        <v>0.37742677152800302</v>
      </c>
      <c r="BJ834">
        <v>90</v>
      </c>
      <c r="BK834">
        <v>699.6402450962978</v>
      </c>
      <c r="BL834">
        <v>250.6590366328669</v>
      </c>
      <c r="BM834">
        <v>2.8780878437693511</v>
      </c>
      <c r="BN834">
        <v>489.2749334407896</v>
      </c>
      <c r="BO834">
        <v>210.36531165550821</v>
      </c>
    </row>
    <row r="835" spans="1:67" x14ac:dyDescent="0.25">
      <c r="A835" s="1">
        <v>833</v>
      </c>
      <c r="B835" t="s">
        <v>204</v>
      </c>
      <c r="C835" t="s">
        <v>195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67</v>
      </c>
      <c r="J835">
        <v>1.4</v>
      </c>
      <c r="K835">
        <v>500</v>
      </c>
      <c r="L835">
        <v>33.333333333333329</v>
      </c>
      <c r="N835" t="s">
        <v>183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93753.094884567516</v>
      </c>
      <c r="Z835">
        <v>468765474.42283762</v>
      </c>
      <c r="AA835">
        <v>656271664.19197249</v>
      </c>
      <c r="AB835">
        <v>656271.66419197246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128.29122049502141</v>
      </c>
      <c r="AI835">
        <v>128.29122049502141</v>
      </c>
      <c r="AJ835">
        <v>21328.8290862391</v>
      </c>
      <c r="AK835">
        <v>854.70085470085473</v>
      </c>
      <c r="AL835" t="s">
        <v>69</v>
      </c>
      <c r="AM835">
        <v>9942.5695883641583</v>
      </c>
      <c r="AN835">
        <v>1020.7450881743119</v>
      </c>
      <c r="AO835">
        <v>21809.507484153641</v>
      </c>
      <c r="AP835">
        <v>33146.844617478433</v>
      </c>
      <c r="AQ835">
        <v>11337.337133324791</v>
      </c>
      <c r="AR835">
        <v>7.3168044115833322E-3</v>
      </c>
      <c r="AS835">
        <v>149.15043767015229</v>
      </c>
      <c r="AT835">
        <v>69.527426924116511</v>
      </c>
      <c r="AU835">
        <v>7.1379716174425027</v>
      </c>
      <c r="AV835">
        <v>152.5117751883846</v>
      </c>
      <c r="AW835">
        <v>231.79267657365739</v>
      </c>
      <c r="AX835">
        <v>79.280901385272813</v>
      </c>
      <c r="AY835">
        <v>0.97764066274307138</v>
      </c>
      <c r="AZ835" t="str">
        <f>VLOOKUP(BA835,Sheet1!$A$1:$B$58,2,FALSE)</f>
        <v>Glycolate</v>
      </c>
      <c r="BA835" t="s">
        <v>134</v>
      </c>
      <c r="BB835" t="s">
        <v>135</v>
      </c>
      <c r="BC835">
        <v>75.041920000000005</v>
      </c>
      <c r="BD835">
        <v>2.5</v>
      </c>
      <c r="BE835">
        <v>112</v>
      </c>
      <c r="BF835" t="s">
        <v>205</v>
      </c>
      <c r="BG835">
        <v>0</v>
      </c>
      <c r="BH835">
        <v>0.12210526315789499</v>
      </c>
      <c r="BI835">
        <v>0.190511996645361</v>
      </c>
      <c r="BJ835">
        <v>90</v>
      </c>
      <c r="BK835">
        <v>1351.869818962638</v>
      </c>
      <c r="BL835">
        <v>462.38500451003438</v>
      </c>
      <c r="BM835">
        <v>5.70183202200095</v>
      </c>
      <c r="BN835">
        <v>969.31144374016151</v>
      </c>
      <c r="BO835">
        <v>382.55837522247668</v>
      </c>
    </row>
    <row r="836" spans="1:67" x14ac:dyDescent="0.25">
      <c r="A836" s="1">
        <v>834</v>
      </c>
      <c r="B836" t="s">
        <v>204</v>
      </c>
      <c r="C836" t="s">
        <v>195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67</v>
      </c>
      <c r="J836">
        <v>1.4</v>
      </c>
      <c r="K836">
        <v>500</v>
      </c>
      <c r="L836">
        <v>33.333333333333329</v>
      </c>
      <c r="N836" t="s">
        <v>183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65451.222705346059</v>
      </c>
      <c r="Z836">
        <v>327256113.5267303</v>
      </c>
      <c r="AA836">
        <v>458158558.93742239</v>
      </c>
      <c r="AB836">
        <v>458158.55893742241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89.563093934112729</v>
      </c>
      <c r="AI836">
        <v>89.563093934112729</v>
      </c>
      <c r="AJ836">
        <v>14890.15316546623</v>
      </c>
      <c r="AK836">
        <v>854.70085470085473</v>
      </c>
      <c r="AL836" t="s">
        <v>69</v>
      </c>
      <c r="AM836">
        <v>6941.1397798937369</v>
      </c>
      <c r="AN836">
        <v>712.60595902186367</v>
      </c>
      <c r="AO836">
        <v>15225.725968799159</v>
      </c>
      <c r="AP836">
        <v>23398.599759082681</v>
      </c>
      <c r="AQ836">
        <v>8172.8737902835201</v>
      </c>
      <c r="AR836">
        <v>7.3168044115833339E-3</v>
      </c>
      <c r="AS836">
        <v>149.15043767015229</v>
      </c>
      <c r="AT836">
        <v>69.527426924116526</v>
      </c>
      <c r="AU836">
        <v>7.1379716174425027</v>
      </c>
      <c r="AV836">
        <v>152.5117751883846</v>
      </c>
      <c r="AW836">
        <v>234.37713206535909</v>
      </c>
      <c r="AX836">
        <v>81.865356876974516</v>
      </c>
      <c r="AY836">
        <v>0.97764066274307149</v>
      </c>
      <c r="AZ836" t="str">
        <f>VLOOKUP(BA836,Sheet1!$A$1:$B$58,2,FALSE)</f>
        <v>Heptane</v>
      </c>
      <c r="BA836" t="s">
        <v>136</v>
      </c>
      <c r="BB836" t="s">
        <v>137</v>
      </c>
      <c r="BC836">
        <v>100.20034</v>
      </c>
      <c r="BD836">
        <v>6.2857142857142856</v>
      </c>
      <c r="BE836">
        <v>98</v>
      </c>
      <c r="BF836" t="s">
        <v>205</v>
      </c>
      <c r="BG836">
        <v>0.14640668883957991</v>
      </c>
      <c r="BH836">
        <v>0.13636363636363599</v>
      </c>
      <c r="BI836">
        <v>0.272891606296639</v>
      </c>
      <c r="BJ836">
        <v>90</v>
      </c>
      <c r="BK836">
        <v>954.29478085557446</v>
      </c>
      <c r="BL836">
        <v>333.32468109043151</v>
      </c>
      <c r="BM836">
        <v>3.8341752637876532</v>
      </c>
      <c r="BN836">
        <v>651.80979484390093</v>
      </c>
      <c r="BO836">
        <v>302.48498601167353</v>
      </c>
    </row>
    <row r="837" spans="1:67" x14ac:dyDescent="0.25">
      <c r="A837" s="1">
        <v>835</v>
      </c>
      <c r="B837" t="s">
        <v>204</v>
      </c>
      <c r="C837" t="s">
        <v>195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67</v>
      </c>
      <c r="J837">
        <v>1.4</v>
      </c>
      <c r="K837">
        <v>500</v>
      </c>
      <c r="L837">
        <v>33.333333333333329</v>
      </c>
      <c r="N837" t="s">
        <v>183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65726.700123024115</v>
      </c>
      <c r="Z837">
        <v>328633500.61512059</v>
      </c>
      <c r="AA837">
        <v>460086900.8611688</v>
      </c>
      <c r="AB837">
        <v>460086.9008611688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89.940055720560935</v>
      </c>
      <c r="AI837">
        <v>89.940055720560935</v>
      </c>
      <c r="AJ837">
        <v>14952.824277987989</v>
      </c>
      <c r="AK837">
        <v>854.70085470085473</v>
      </c>
      <c r="AL837" t="s">
        <v>69</v>
      </c>
      <c r="AM837">
        <v>6970.3543183434722</v>
      </c>
      <c r="AN837">
        <v>715.60524369981511</v>
      </c>
      <c r="AO837">
        <v>15289.809472495361</v>
      </c>
      <c r="AP837">
        <v>23493.484694732131</v>
      </c>
      <c r="AQ837">
        <v>8203.6752222367722</v>
      </c>
      <c r="AR837">
        <v>7.3168044115833348E-3</v>
      </c>
      <c r="AS837">
        <v>149.15043767015229</v>
      </c>
      <c r="AT837">
        <v>69.527426924116511</v>
      </c>
      <c r="AU837">
        <v>7.1379716174425027</v>
      </c>
      <c r="AV837">
        <v>152.5117751883846</v>
      </c>
      <c r="AW837">
        <v>234.34124948386139</v>
      </c>
      <c r="AX837">
        <v>81.829474295476786</v>
      </c>
      <c r="AY837">
        <v>0.9776406627430716</v>
      </c>
      <c r="AZ837" t="str">
        <f>VLOOKUP(BA837,Sheet1!$A$1:$B$58,2,FALSE)</f>
        <v>Hexane</v>
      </c>
      <c r="BA837" t="s">
        <v>138</v>
      </c>
      <c r="BB837" t="s">
        <v>139</v>
      </c>
      <c r="BC837">
        <v>86.173959999999994</v>
      </c>
      <c r="BD837">
        <v>6.333333333333333</v>
      </c>
      <c r="BE837">
        <v>69</v>
      </c>
      <c r="BF837" t="s">
        <v>205</v>
      </c>
      <c r="BG837">
        <v>0.17023704144500151</v>
      </c>
      <c r="BH837">
        <v>0.157894736842105</v>
      </c>
      <c r="BI837">
        <v>0.271747847749992</v>
      </c>
      <c r="BJ837">
        <v>90</v>
      </c>
      <c r="BK837">
        <v>958.16459357105248</v>
      </c>
      <c r="BL837">
        <v>334.58089496897583</v>
      </c>
      <c r="BM837">
        <v>3.8270987683577071</v>
      </c>
      <c r="BN837">
        <v>650.60679062081022</v>
      </c>
      <c r="BO837">
        <v>307.55780295024232</v>
      </c>
    </row>
    <row r="838" spans="1:67" x14ac:dyDescent="0.25">
      <c r="A838" s="1">
        <v>836</v>
      </c>
      <c r="B838" t="s">
        <v>204</v>
      </c>
      <c r="C838" t="s">
        <v>195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67</v>
      </c>
      <c r="J838">
        <v>1.4</v>
      </c>
      <c r="K838">
        <v>500</v>
      </c>
      <c r="L838">
        <v>33.333333333333329</v>
      </c>
      <c r="N838" t="s">
        <v>183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41532.353251059358</v>
      </c>
      <c r="Z838">
        <v>207661766.2552968</v>
      </c>
      <c r="AA838">
        <v>290726472.75741547</v>
      </c>
      <c r="AB838">
        <v>290726.4727574155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56.832644246775097</v>
      </c>
      <c r="AI838">
        <v>56.832644246775097</v>
      </c>
      <c r="AJ838">
        <v>9448.6103646160045</v>
      </c>
      <c r="AK838">
        <v>854.70085470085473</v>
      </c>
      <c r="AL838" t="s">
        <v>69</v>
      </c>
      <c r="AM838">
        <v>4404.5299291250703</v>
      </c>
      <c r="AN838">
        <v>452.18715855232682</v>
      </c>
      <c r="AO838">
        <v>9661.549521951767</v>
      </c>
      <c r="AP838">
        <v>15160.02830699426</v>
      </c>
      <c r="AQ838">
        <v>5498.4787850424891</v>
      </c>
      <c r="AR838">
        <v>7.3168044115833348E-3</v>
      </c>
      <c r="AS838">
        <v>149.15043767015229</v>
      </c>
      <c r="AT838">
        <v>69.527426924116526</v>
      </c>
      <c r="AU838">
        <v>7.1379716174425027</v>
      </c>
      <c r="AV838">
        <v>152.5117751883846</v>
      </c>
      <c r="AW838">
        <v>239.30766216667729</v>
      </c>
      <c r="AX838">
        <v>86.795886978292614</v>
      </c>
      <c r="AY838">
        <v>0.97764066274307171</v>
      </c>
      <c r="AZ838" t="str">
        <f>VLOOKUP(BA838,Sheet1!$A$1:$B$58,2,FALSE)</f>
        <v>Isobutanol</v>
      </c>
      <c r="BA838" t="s">
        <v>140</v>
      </c>
      <c r="BB838" t="s">
        <v>141</v>
      </c>
      <c r="BC838">
        <v>86.130899999999997</v>
      </c>
      <c r="BD838">
        <v>5.6</v>
      </c>
      <c r="BE838">
        <v>108</v>
      </c>
      <c r="BF838" t="s">
        <v>205</v>
      </c>
      <c r="BG838">
        <v>0</v>
      </c>
      <c r="BH838">
        <v>0.25</v>
      </c>
      <c r="BI838">
        <v>0.430052426602756</v>
      </c>
      <c r="BJ838">
        <v>90</v>
      </c>
      <c r="BK838">
        <v>618.29066867010488</v>
      </c>
      <c r="BL838">
        <v>224.25143646360041</v>
      </c>
      <c r="BM838">
        <v>2.5258952998566708</v>
      </c>
      <c r="BN838">
        <v>429.40220097563412</v>
      </c>
      <c r="BO838">
        <v>188.88846769447079</v>
      </c>
    </row>
    <row r="839" spans="1:67" x14ac:dyDescent="0.25">
      <c r="A839" s="1">
        <v>837</v>
      </c>
      <c r="B839" t="s">
        <v>204</v>
      </c>
      <c r="C839" t="s">
        <v>195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67</v>
      </c>
      <c r="J839">
        <v>1.4</v>
      </c>
      <c r="K839">
        <v>500</v>
      </c>
      <c r="L839">
        <v>33.333333333333329</v>
      </c>
      <c r="N839" t="s">
        <v>183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40243.788944149434</v>
      </c>
      <c r="Z839">
        <v>201218944.72074711</v>
      </c>
      <c r="AA839">
        <v>281706522.60904592</v>
      </c>
      <c r="AB839">
        <v>281706.5226090459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55.069379921225803</v>
      </c>
      <c r="AI839">
        <v>55.069379921225803</v>
      </c>
      <c r="AJ839">
        <v>9155.4619847939921</v>
      </c>
      <c r="AK839">
        <v>854.70085470085473</v>
      </c>
      <c r="AL839" t="s">
        <v>69</v>
      </c>
      <c r="AM839">
        <v>4267.8769438949994</v>
      </c>
      <c r="AN839">
        <v>438.15780102877522</v>
      </c>
      <c r="AO839">
        <v>9361.7945866083865</v>
      </c>
      <c r="AP839">
        <v>14716.19758441862</v>
      </c>
      <c r="AQ839">
        <v>5354.4029978102353</v>
      </c>
      <c r="AR839">
        <v>7.3168044115833339E-3</v>
      </c>
      <c r="AS839">
        <v>149.15043767015229</v>
      </c>
      <c r="AT839">
        <v>69.52742692411654</v>
      </c>
      <c r="AU839">
        <v>7.1379716174425054</v>
      </c>
      <c r="AV839">
        <v>152.51177518838469</v>
      </c>
      <c r="AW839">
        <v>239.7396564151496</v>
      </c>
      <c r="AX839">
        <v>87.22788122676495</v>
      </c>
      <c r="AY839">
        <v>0.97764066274307182</v>
      </c>
      <c r="AZ839" t="str">
        <f>VLOOKUP(BA839,Sheet1!$A$1:$B$58,2,FALSE)</f>
        <v>Isobutyrate</v>
      </c>
      <c r="BA839" t="s">
        <v>142</v>
      </c>
      <c r="BB839" t="s">
        <v>114</v>
      </c>
      <c r="BC839">
        <v>87.095680000000002</v>
      </c>
      <c r="BD839">
        <v>4.75</v>
      </c>
      <c r="BE839">
        <v>155</v>
      </c>
      <c r="BF839" t="s">
        <v>205</v>
      </c>
      <c r="BG839">
        <v>0</v>
      </c>
      <c r="BH839">
        <v>0.25</v>
      </c>
      <c r="BI839">
        <v>0.44382225845903001</v>
      </c>
      <c r="BJ839">
        <v>90</v>
      </c>
      <c r="BK839">
        <v>600.18935720282877</v>
      </c>
      <c r="BL839">
        <v>218.37541083732211</v>
      </c>
      <c r="BM839">
        <v>2.4475279964989252</v>
      </c>
      <c r="BN839">
        <v>416.0797594048172</v>
      </c>
      <c r="BO839">
        <v>184.10959779801161</v>
      </c>
    </row>
    <row r="840" spans="1:67" x14ac:dyDescent="0.25">
      <c r="A840" s="1">
        <v>838</v>
      </c>
      <c r="B840" t="s">
        <v>204</v>
      </c>
      <c r="C840" t="s">
        <v>195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67</v>
      </c>
      <c r="J840">
        <v>1.4</v>
      </c>
      <c r="K840">
        <v>500</v>
      </c>
      <c r="L840">
        <v>33.333333333333329</v>
      </c>
      <c r="N840" t="s">
        <v>183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135288.6134377952</v>
      </c>
      <c r="Z840">
        <v>676443067.18897605</v>
      </c>
      <c r="AA840">
        <v>947020294.06456637</v>
      </c>
      <c r="AB840">
        <v>947020.29406456638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185.12819612391161</v>
      </c>
      <c r="AI840">
        <v>185.12819612391161</v>
      </c>
      <c r="AJ840">
        <v>30778.15955709841</v>
      </c>
      <c r="AK840">
        <v>2170.1388888888891</v>
      </c>
      <c r="AL840" t="s">
        <v>107</v>
      </c>
      <c r="AM840">
        <v>14347.435199603149</v>
      </c>
      <c r="AN840">
        <v>1472.966709233129</v>
      </c>
      <c r="AO840">
        <v>31471.79334106496</v>
      </c>
      <c r="AP840">
        <v>48768.700354823573</v>
      </c>
      <c r="AQ840">
        <v>17296.90701375861</v>
      </c>
      <c r="AR840">
        <v>7.3168044115833348E-3</v>
      </c>
      <c r="AS840">
        <v>149.15043767015229</v>
      </c>
      <c r="AT840">
        <v>69.527426924116526</v>
      </c>
      <c r="AU840">
        <v>7.137971617442501</v>
      </c>
      <c r="AV840">
        <v>152.5117751883846</v>
      </c>
      <c r="AW840">
        <v>236.33229235270721</v>
      </c>
      <c r="AX840">
        <v>83.820517164322567</v>
      </c>
      <c r="AY840">
        <v>0.9776406627430716</v>
      </c>
      <c r="AZ840" t="str">
        <f>VLOOKUP(BA840,Sheet1!$A$1:$B$58,2,FALSE)</f>
        <v>Isoprene</v>
      </c>
      <c r="BA840" t="s">
        <v>143</v>
      </c>
      <c r="BB840" t="s">
        <v>144</v>
      </c>
      <c r="BC840">
        <v>68.116219999999998</v>
      </c>
      <c r="BD840">
        <v>5.6</v>
      </c>
      <c r="BE840">
        <v>34.07</v>
      </c>
      <c r="BF840" t="s">
        <v>205</v>
      </c>
      <c r="BG840">
        <v>0</v>
      </c>
      <c r="BH840">
        <v>9.6666666666666803E-2</v>
      </c>
      <c r="BI840">
        <v>0.132022118079829</v>
      </c>
      <c r="BJ840">
        <v>90</v>
      </c>
      <c r="BK840">
        <v>1988.9957816664701</v>
      </c>
      <c r="BL840">
        <v>705.44170412448386</v>
      </c>
      <c r="BM840">
        <v>8.2279198277294014</v>
      </c>
      <c r="BN840">
        <v>1398.746370713998</v>
      </c>
      <c r="BO840">
        <v>590.24941095247164</v>
      </c>
    </row>
    <row r="841" spans="1:67" x14ac:dyDescent="0.25">
      <c r="A841" s="1">
        <v>839</v>
      </c>
      <c r="B841" t="s">
        <v>204</v>
      </c>
      <c r="C841" t="s">
        <v>195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67</v>
      </c>
      <c r="J841">
        <v>1.4</v>
      </c>
      <c r="K841">
        <v>500</v>
      </c>
      <c r="L841">
        <v>33.333333333333329</v>
      </c>
      <c r="N841" t="s">
        <v>183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44645.426492670187</v>
      </c>
      <c r="Z841">
        <v>223227132.46335101</v>
      </c>
      <c r="AA841">
        <v>312517985.44869143</v>
      </c>
      <c r="AB841">
        <v>312517.98544869141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61.092556585118487</v>
      </c>
      <c r="AI841">
        <v>61.092556585118487</v>
      </c>
      <c r="AJ841">
        <v>10156.83452708247</v>
      </c>
      <c r="AK841">
        <v>854.70085470085473</v>
      </c>
      <c r="AL841" t="s">
        <v>69</v>
      </c>
      <c r="AM841">
        <v>4734.673135346683</v>
      </c>
      <c r="AN841">
        <v>486.08101799679213</v>
      </c>
      <c r="AO841">
        <v>10385.73461947014</v>
      </c>
      <c r="AP841">
        <v>16232.2895351268</v>
      </c>
      <c r="AQ841">
        <v>5846.5549156566594</v>
      </c>
      <c r="AR841">
        <v>7.3168044115833339E-3</v>
      </c>
      <c r="AS841">
        <v>149.15043767015229</v>
      </c>
      <c r="AT841">
        <v>69.527426924116526</v>
      </c>
      <c r="AU841">
        <v>7.1379716174425027</v>
      </c>
      <c r="AV841">
        <v>152.5117751883846</v>
      </c>
      <c r="AW841">
        <v>238.36689296229369</v>
      </c>
      <c r="AX841">
        <v>85.8551177739091</v>
      </c>
      <c r="AY841">
        <v>0.9776406627430716</v>
      </c>
      <c r="AZ841" t="str">
        <f>VLOOKUP(BA841,Sheet1!$A$1:$B$58,2,FALSE)</f>
        <v>Isopropanol</v>
      </c>
      <c r="BA841" t="s">
        <v>145</v>
      </c>
      <c r="BB841" t="s">
        <v>79</v>
      </c>
      <c r="BC841">
        <v>60.093820000000001</v>
      </c>
      <c r="BD841">
        <v>6</v>
      </c>
      <c r="BE841">
        <v>82.5</v>
      </c>
      <c r="BF841" t="s">
        <v>205</v>
      </c>
      <c r="BG841">
        <v>0</v>
      </c>
      <c r="BH841">
        <v>0.33333333333333298</v>
      </c>
      <c r="BI841">
        <v>0.400065375141468</v>
      </c>
      <c r="BJ841">
        <v>90</v>
      </c>
      <c r="BK841">
        <v>662.02205876422693</v>
      </c>
      <c r="BL841">
        <v>238.4474669186524</v>
      </c>
      <c r="BM841">
        <v>2.7152247371163778</v>
      </c>
      <c r="BN841">
        <v>461.5882053097842</v>
      </c>
      <c r="BO841">
        <v>200.4338534544427</v>
      </c>
    </row>
    <row r="842" spans="1:67" x14ac:dyDescent="0.25">
      <c r="A842" s="1">
        <v>840</v>
      </c>
      <c r="B842" t="s">
        <v>204</v>
      </c>
      <c r="C842" t="s">
        <v>195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67</v>
      </c>
      <c r="J842">
        <v>1.4</v>
      </c>
      <c r="K842">
        <v>500</v>
      </c>
      <c r="L842">
        <v>33.333333333333329</v>
      </c>
      <c r="N842" t="s">
        <v>183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50978.395792660223</v>
      </c>
      <c r="Z842">
        <v>254891978.96330109</v>
      </c>
      <c r="AA842">
        <v>356848770.54862148</v>
      </c>
      <c r="AB842">
        <v>356848.77054862148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69.7585570179955</v>
      </c>
      <c r="AI842">
        <v>69.7585570179955</v>
      </c>
      <c r="AJ842">
        <v>11597.5850428302</v>
      </c>
      <c r="AK842">
        <v>854.70085470085473</v>
      </c>
      <c r="AL842" t="s">
        <v>69</v>
      </c>
      <c r="AM842">
        <v>5406.2881688946509</v>
      </c>
      <c r="AN842">
        <v>555.03177972346032</v>
      </c>
      <c r="AO842">
        <v>11858.954693059241</v>
      </c>
      <c r="AP842">
        <v>18413.60584614917</v>
      </c>
      <c r="AQ842">
        <v>6554.6511530899324</v>
      </c>
      <c r="AR842">
        <v>7.3168044115833331E-3</v>
      </c>
      <c r="AS842">
        <v>149.15043767015229</v>
      </c>
      <c r="AT842">
        <v>69.527426924116511</v>
      </c>
      <c r="AU842">
        <v>7.1379716174425027</v>
      </c>
      <c r="AV842">
        <v>152.5117751883846</v>
      </c>
      <c r="AW842">
        <v>236.8076940928911</v>
      </c>
      <c r="AX842">
        <v>84.295918904506493</v>
      </c>
      <c r="AY842">
        <v>0.97764066274307149</v>
      </c>
      <c r="AZ842" t="str">
        <f>VLOOKUP(BA842,Sheet1!$A$1:$B$58,2,FALSE)</f>
        <v>Itaconate</v>
      </c>
      <c r="BA842" t="s">
        <v>146</v>
      </c>
      <c r="BB842" t="s">
        <v>147</v>
      </c>
      <c r="BC842">
        <v>128.08086</v>
      </c>
      <c r="BD842">
        <v>3.2</v>
      </c>
      <c r="BE842">
        <v>381</v>
      </c>
      <c r="BF842" t="s">
        <v>205</v>
      </c>
      <c r="BG842">
        <v>0</v>
      </c>
      <c r="BH842">
        <v>0.13257142857142801</v>
      </c>
      <c r="BI842">
        <v>0.350365856367582</v>
      </c>
      <c r="BJ842">
        <v>90</v>
      </c>
      <c r="BK842">
        <v>750.98544941309467</v>
      </c>
      <c r="BL842">
        <v>267.32665416419422</v>
      </c>
      <c r="BM842">
        <v>3.1003803119109108</v>
      </c>
      <c r="BN842">
        <v>527.06465302485481</v>
      </c>
      <c r="BO842">
        <v>223.92079638823989</v>
      </c>
    </row>
    <row r="843" spans="1:67" x14ac:dyDescent="0.25">
      <c r="A843" s="1">
        <v>841</v>
      </c>
      <c r="B843" t="s">
        <v>204</v>
      </c>
      <c r="C843" t="s">
        <v>195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67</v>
      </c>
      <c r="J843">
        <v>1.4</v>
      </c>
      <c r="K843">
        <v>500</v>
      </c>
      <c r="L843">
        <v>33.333333333333329</v>
      </c>
      <c r="N843" t="s">
        <v>183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132459.06577988289</v>
      </c>
      <c r="Z843">
        <v>662295328.89941454</v>
      </c>
      <c r="AA843">
        <v>927213460.45918036</v>
      </c>
      <c r="AB843">
        <v>927213.46045918041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181.2562586382281</v>
      </c>
      <c r="AI843">
        <v>181.2562586382281</v>
      </c>
      <c r="AJ843">
        <v>30134.437464923369</v>
      </c>
      <c r="AK843">
        <v>854.70085470085473</v>
      </c>
      <c r="AL843" t="s">
        <v>69</v>
      </c>
      <c r="AM843">
        <v>14047.360044462681</v>
      </c>
      <c r="AN843">
        <v>1442.1597595838909</v>
      </c>
      <c r="AO843">
        <v>30813.563968498769</v>
      </c>
      <c r="AP843">
        <v>46478.658123670793</v>
      </c>
      <c r="AQ843">
        <v>15665.09415517201</v>
      </c>
      <c r="AR843">
        <v>7.3168044115833357E-3</v>
      </c>
      <c r="AS843">
        <v>149.15043767015229</v>
      </c>
      <c r="AT843">
        <v>69.52742692411654</v>
      </c>
      <c r="AU843">
        <v>7.1379716174425027</v>
      </c>
      <c r="AV843">
        <v>152.51177518838469</v>
      </c>
      <c r="AW843">
        <v>230.0461792106166</v>
      </c>
      <c r="AX843">
        <v>77.534404022231939</v>
      </c>
      <c r="AY843">
        <v>0.97764066274307171</v>
      </c>
      <c r="AZ843" t="str">
        <f>VLOOKUP(BA843,Sheet1!$A$1:$B$58,2,FALSE)</f>
        <v>Limonene</v>
      </c>
      <c r="BA843" t="s">
        <v>148</v>
      </c>
      <c r="BB843" t="s">
        <v>149</v>
      </c>
      <c r="BC843">
        <v>136.23244</v>
      </c>
      <c r="BD843">
        <v>5.6</v>
      </c>
      <c r="BE843">
        <v>176</v>
      </c>
      <c r="BF843" t="s">
        <v>205</v>
      </c>
      <c r="BG843">
        <v>0</v>
      </c>
      <c r="BH843">
        <v>4.9361702127659599E-2</v>
      </c>
      <c r="BI843">
        <v>0.13484233180250599</v>
      </c>
      <c r="BJ843">
        <v>90</v>
      </c>
      <c r="BK843">
        <v>1895.5980838713419</v>
      </c>
      <c r="BL843">
        <v>638.88940995663563</v>
      </c>
      <c r="BM843">
        <v>8.0558337172545809</v>
      </c>
      <c r="BN843">
        <v>1369.491731933279</v>
      </c>
      <c r="BO843">
        <v>526.10635193806297</v>
      </c>
    </row>
    <row r="844" spans="1:67" x14ac:dyDescent="0.25">
      <c r="A844" s="1">
        <v>842</v>
      </c>
      <c r="B844" t="s">
        <v>204</v>
      </c>
      <c r="C844" t="s">
        <v>195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67</v>
      </c>
      <c r="J844">
        <v>1.4</v>
      </c>
      <c r="K844">
        <v>500</v>
      </c>
      <c r="L844">
        <v>33.333333333333329</v>
      </c>
      <c r="N844" t="s">
        <v>183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54015.282028492773</v>
      </c>
      <c r="Z844">
        <v>270076410.14246392</v>
      </c>
      <c r="AA844">
        <v>378106974.19944942</v>
      </c>
      <c r="AB844">
        <v>378106.97419944941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73.914215475768955</v>
      </c>
      <c r="AI844">
        <v>73.914215475768955</v>
      </c>
      <c r="AJ844">
        <v>12288.4766614821</v>
      </c>
      <c r="AK844">
        <v>854.70085470085473</v>
      </c>
      <c r="AL844" t="s">
        <v>69</v>
      </c>
      <c r="AM844">
        <v>5728.3516993720941</v>
      </c>
      <c r="AN844">
        <v>588.09614642396173</v>
      </c>
      <c r="AO844">
        <v>12565.41663088072</v>
      </c>
      <c r="AP844">
        <v>19459.625361979011</v>
      </c>
      <c r="AQ844">
        <v>6894.2087310982934</v>
      </c>
      <c r="AR844">
        <v>7.3168044115833339E-3</v>
      </c>
      <c r="AS844">
        <v>149.15043767015229</v>
      </c>
      <c r="AT844">
        <v>69.52742692411654</v>
      </c>
      <c r="AU844">
        <v>7.1379716174425027</v>
      </c>
      <c r="AV844">
        <v>152.51177518838469</v>
      </c>
      <c r="AW844">
        <v>236.1897019126786</v>
      </c>
      <c r="AX844">
        <v>83.677926724293911</v>
      </c>
      <c r="AY844">
        <v>0.97764066274307193</v>
      </c>
      <c r="AZ844" t="str">
        <f>VLOOKUP(BA844,Sheet1!$A$1:$B$58,2,FALSE)</f>
        <v>L-Lysine</v>
      </c>
      <c r="BA844" t="s">
        <v>150</v>
      </c>
      <c r="BB844" t="s">
        <v>151</v>
      </c>
      <c r="BC844">
        <v>147.19319999999999</v>
      </c>
      <c r="BD844">
        <v>4.833333333333333</v>
      </c>
      <c r="BF844" t="s">
        <v>205</v>
      </c>
      <c r="BG844">
        <v>0</v>
      </c>
      <c r="BH844">
        <v>0.11047619047619001</v>
      </c>
      <c r="BI844">
        <v>0.33066733389856801</v>
      </c>
      <c r="BJ844">
        <v>90</v>
      </c>
      <c r="BK844">
        <v>793.64659046030715</v>
      </c>
      <c r="BL844">
        <v>281.17526168044321</v>
      </c>
      <c r="BM844">
        <v>3.2850762433675089</v>
      </c>
      <c r="BN844">
        <v>558.46296137247657</v>
      </c>
      <c r="BO844">
        <v>235.18362908783061</v>
      </c>
    </row>
    <row r="845" spans="1:67" x14ac:dyDescent="0.25">
      <c r="A845" s="1">
        <v>843</v>
      </c>
      <c r="B845" t="s">
        <v>204</v>
      </c>
      <c r="C845" t="s">
        <v>195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67</v>
      </c>
      <c r="J845">
        <v>1.4</v>
      </c>
      <c r="K845">
        <v>500</v>
      </c>
      <c r="L845">
        <v>33.333333333333329</v>
      </c>
      <c r="N845" t="s">
        <v>183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42142.058908455918</v>
      </c>
      <c r="Z845">
        <v>210710294.5422796</v>
      </c>
      <c r="AA845">
        <v>294994412.35919142</v>
      </c>
      <c r="AB845">
        <v>294994.41235919128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57.666962122109588</v>
      </c>
      <c r="AI845">
        <v>57.666962122109588</v>
      </c>
      <c r="AJ845">
        <v>9587.3184016737196</v>
      </c>
      <c r="AK845">
        <v>854.70085470085473</v>
      </c>
      <c r="AL845" t="s">
        <v>69</v>
      </c>
      <c r="AM845">
        <v>4469.1895644634933</v>
      </c>
      <c r="AN845">
        <v>458.82538266413758</v>
      </c>
      <c r="AO845">
        <v>9803.3835607586298</v>
      </c>
      <c r="AP845">
        <v>15370.034203502209</v>
      </c>
      <c r="AQ845">
        <v>5566.6506427435761</v>
      </c>
      <c r="AR845">
        <v>7.3168044115833339E-3</v>
      </c>
      <c r="AS845">
        <v>149.15043767015229</v>
      </c>
      <c r="AT845">
        <v>69.52742692411654</v>
      </c>
      <c r="AU845">
        <v>7.1379716174425027</v>
      </c>
      <c r="AV845">
        <v>152.51177518838469</v>
      </c>
      <c r="AW845">
        <v>239.1124642378997</v>
      </c>
      <c r="AX845">
        <v>86.600689049515026</v>
      </c>
      <c r="AY845">
        <v>0.97764066274307182</v>
      </c>
      <c r="AZ845" t="str">
        <f>VLOOKUP(BA845,Sheet1!$A$1:$B$58,2,FALSE)</f>
        <v>L-Malate</v>
      </c>
      <c r="BA845" t="s">
        <v>152</v>
      </c>
      <c r="BB845" t="s">
        <v>153</v>
      </c>
      <c r="BC845">
        <v>132.06916000000001</v>
      </c>
      <c r="BD845">
        <v>2.5</v>
      </c>
      <c r="BF845" t="s">
        <v>205</v>
      </c>
      <c r="BG845">
        <v>0</v>
      </c>
      <c r="BH845">
        <v>0.15466666666666701</v>
      </c>
      <c r="BI845">
        <v>0.42383048576103299</v>
      </c>
      <c r="BJ845">
        <v>90</v>
      </c>
      <c r="BK845">
        <v>626.85560559153907</v>
      </c>
      <c r="BL845">
        <v>227.03177582899869</v>
      </c>
      <c r="BM845">
        <v>2.5629760943159821</v>
      </c>
      <c r="BN845">
        <v>435.70593603371691</v>
      </c>
      <c r="BO845">
        <v>191.14966955782219</v>
      </c>
    </row>
    <row r="846" spans="1:67" x14ac:dyDescent="0.25">
      <c r="A846" s="1">
        <v>844</v>
      </c>
      <c r="B846" t="s">
        <v>204</v>
      </c>
      <c r="C846" t="s">
        <v>195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67</v>
      </c>
      <c r="J846">
        <v>1.4</v>
      </c>
      <c r="K846">
        <v>500</v>
      </c>
      <c r="L846">
        <v>33.333333333333329</v>
      </c>
      <c r="N846" t="s">
        <v>183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47340.399954072622</v>
      </c>
      <c r="Z846">
        <v>236701999.77036309</v>
      </c>
      <c r="AA846">
        <v>331382799.67850828</v>
      </c>
      <c r="AB846">
        <v>331382.79967850831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64.780343478881306</v>
      </c>
      <c r="AI846">
        <v>64.780343478881306</v>
      </c>
      <c r="AJ846">
        <v>10769.94098955152</v>
      </c>
      <c r="AK846">
        <v>854.70085470085473</v>
      </c>
      <c r="AL846" t="s">
        <v>69</v>
      </c>
      <c r="AM846">
        <v>5020.4766196133014</v>
      </c>
      <c r="AN846">
        <v>515.42277921410061</v>
      </c>
      <c r="AO846">
        <v>11012.658391409819</v>
      </c>
      <c r="AP846">
        <v>17160.541243079781</v>
      </c>
      <c r="AQ846">
        <v>6147.8828516699541</v>
      </c>
      <c r="AR846">
        <v>7.3168044115833339E-3</v>
      </c>
      <c r="AS846">
        <v>149.15043767015229</v>
      </c>
      <c r="AT846">
        <v>69.52742692411654</v>
      </c>
      <c r="AU846">
        <v>7.1379716174425054</v>
      </c>
      <c r="AV846">
        <v>152.51177518838469</v>
      </c>
      <c r="AW846">
        <v>237.65239192537399</v>
      </c>
      <c r="AX846">
        <v>85.140616736989344</v>
      </c>
      <c r="AY846">
        <v>0.97764066274307182</v>
      </c>
      <c r="AZ846" t="str">
        <f>VLOOKUP(BA846,Sheet1!$A$1:$B$58,2,FALSE)</f>
        <v>Malonate</v>
      </c>
      <c r="BA846" t="s">
        <v>154</v>
      </c>
      <c r="BB846" t="s">
        <v>155</v>
      </c>
      <c r="BC846">
        <v>102.04378</v>
      </c>
      <c r="BD846">
        <v>2</v>
      </c>
      <c r="BE846">
        <v>199</v>
      </c>
      <c r="BF846" t="s">
        <v>205</v>
      </c>
      <c r="BG846">
        <v>0</v>
      </c>
      <c r="BH846">
        <v>0.17846153846153801</v>
      </c>
      <c r="BI846">
        <v>0.37729062947226699</v>
      </c>
      <c r="BJ846">
        <v>90</v>
      </c>
      <c r="BK846">
        <v>699.88012588535639</v>
      </c>
      <c r="BL846">
        <v>250.73690644170949</v>
      </c>
      <c r="BM846">
        <v>2.8791263768391691</v>
      </c>
      <c r="BN846">
        <v>489.45148406265878</v>
      </c>
      <c r="BO846">
        <v>210.42864182269761</v>
      </c>
    </row>
    <row r="847" spans="1:67" x14ac:dyDescent="0.25">
      <c r="A847" s="1">
        <v>845</v>
      </c>
      <c r="B847" t="s">
        <v>204</v>
      </c>
      <c r="C847" t="s">
        <v>195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67</v>
      </c>
      <c r="J847">
        <v>1.4</v>
      </c>
      <c r="K847">
        <v>500</v>
      </c>
      <c r="L847">
        <v>33.333333333333329</v>
      </c>
      <c r="N847" t="s">
        <v>183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65081.033135317877</v>
      </c>
      <c r="Z847">
        <v>325405165.67658943</v>
      </c>
      <c r="AA847">
        <v>455567231.94722521</v>
      </c>
      <c r="AB847">
        <v>455567.23194722523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89.056528558197243</v>
      </c>
      <c r="AI847">
        <v>89.056528558197243</v>
      </c>
      <c r="AJ847">
        <v>14805.935038284821</v>
      </c>
      <c r="AK847">
        <v>854.70085470085473</v>
      </c>
      <c r="AL847" t="s">
        <v>69</v>
      </c>
      <c r="AM847">
        <v>6901.8809632602861</v>
      </c>
      <c r="AN847">
        <v>708.57548743300708</v>
      </c>
      <c r="AO847">
        <v>15139.60985489353</v>
      </c>
      <c r="AP847">
        <v>23271.092343678971</v>
      </c>
      <c r="AQ847">
        <v>8131.4824887854393</v>
      </c>
      <c r="AR847">
        <v>7.3168044115833339E-3</v>
      </c>
      <c r="AS847">
        <v>149.15043767015229</v>
      </c>
      <c r="AT847">
        <v>69.527426924116511</v>
      </c>
      <c r="AU847">
        <v>7.1379716174425027</v>
      </c>
      <c r="AV847">
        <v>152.5117751883846</v>
      </c>
      <c r="AW847">
        <v>234.42582985453461</v>
      </c>
      <c r="AX847">
        <v>81.91405466614998</v>
      </c>
      <c r="AY847">
        <v>0.97764066274307149</v>
      </c>
      <c r="AZ847" t="str">
        <f>VLOOKUP(BA847,Sheet1!$A$1:$B$58,2,FALSE)</f>
        <v>Nonane</v>
      </c>
      <c r="BA847" t="s">
        <v>156</v>
      </c>
      <c r="BB847" t="s">
        <v>157</v>
      </c>
      <c r="BC847">
        <v>128.25309999999999</v>
      </c>
      <c r="BD847">
        <v>6.2222222222222223</v>
      </c>
      <c r="BE847">
        <v>151</v>
      </c>
      <c r="BF847" t="s">
        <v>205</v>
      </c>
      <c r="BG847">
        <v>0.114383200094187</v>
      </c>
      <c r="BH847">
        <v>0.107142857142857</v>
      </c>
      <c r="BI847">
        <v>0.27444385003851701</v>
      </c>
      <c r="BJ847">
        <v>90</v>
      </c>
      <c r="BK847">
        <v>949.0944841586354</v>
      </c>
      <c r="BL847">
        <v>331.63656712638499</v>
      </c>
      <c r="BM847">
        <v>3.8436847358256898</v>
      </c>
      <c r="BN847">
        <v>653.42640509036733</v>
      </c>
      <c r="BO847">
        <v>295.66807906826813</v>
      </c>
    </row>
    <row r="848" spans="1:67" x14ac:dyDescent="0.25">
      <c r="A848" s="1">
        <v>846</v>
      </c>
      <c r="B848" t="s">
        <v>204</v>
      </c>
      <c r="C848" t="s">
        <v>195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67</v>
      </c>
      <c r="J848">
        <v>1.4</v>
      </c>
      <c r="K848">
        <v>500</v>
      </c>
      <c r="L848">
        <v>33.333333333333329</v>
      </c>
      <c r="N848" t="s">
        <v>183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65243.399352177061</v>
      </c>
      <c r="Z848">
        <v>326216996.7608853</v>
      </c>
      <c r="AA848">
        <v>456703795.46523941</v>
      </c>
      <c r="AB848">
        <v>456703.79546523938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89.278709598232993</v>
      </c>
      <c r="AI848">
        <v>89.278709598232993</v>
      </c>
      <c r="AJ848">
        <v>14842.87335262028</v>
      </c>
      <c r="AK848">
        <v>854.70085470085473</v>
      </c>
      <c r="AL848" t="s">
        <v>69</v>
      </c>
      <c r="AM848">
        <v>6919.0999938630566</v>
      </c>
      <c r="AN848">
        <v>710.34326393732943</v>
      </c>
      <c r="AO848">
        <v>15177.380631699611</v>
      </c>
      <c r="AP848">
        <v>23327.01746512152</v>
      </c>
      <c r="AQ848">
        <v>8149.6368334219114</v>
      </c>
      <c r="AR848">
        <v>7.3168044115833348E-3</v>
      </c>
      <c r="AS848">
        <v>149.15043767015229</v>
      </c>
      <c r="AT848">
        <v>69.52742692411654</v>
      </c>
      <c r="AU848">
        <v>7.1379716174425027</v>
      </c>
      <c r="AV848">
        <v>152.51177518838469</v>
      </c>
      <c r="AW848">
        <v>234.40440282729739</v>
      </c>
      <c r="AX848">
        <v>81.892627638912714</v>
      </c>
      <c r="AY848">
        <v>0.97764066274307193</v>
      </c>
      <c r="AZ848" t="str">
        <f>VLOOKUP(BA848,Sheet1!$A$1:$B$58,2,FALSE)</f>
        <v>Octane</v>
      </c>
      <c r="BA848" t="s">
        <v>158</v>
      </c>
      <c r="BB848" t="s">
        <v>159</v>
      </c>
      <c r="BC848">
        <v>114.22672</v>
      </c>
      <c r="BD848">
        <v>6.25</v>
      </c>
      <c r="BE848">
        <v>126</v>
      </c>
      <c r="BF848" t="s">
        <v>205</v>
      </c>
      <c r="BG848">
        <v>0.12842879494394849</v>
      </c>
      <c r="BH848">
        <v>0.12</v>
      </c>
      <c r="BI848">
        <v>0.273760862792091</v>
      </c>
      <c r="BJ848">
        <v>90</v>
      </c>
      <c r="BK848">
        <v>951.37534934120379</v>
      </c>
      <c r="BL848">
        <v>332.37697879694718</v>
      </c>
      <c r="BM848">
        <v>3.8395138538664071</v>
      </c>
      <c r="BN848">
        <v>652.71735515728915</v>
      </c>
      <c r="BO848">
        <v>298.65799418391458</v>
      </c>
    </row>
    <row r="849" spans="1:67" x14ac:dyDescent="0.25">
      <c r="A849" s="1">
        <v>847</v>
      </c>
      <c r="B849" t="s">
        <v>204</v>
      </c>
      <c r="C849" t="s">
        <v>195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67</v>
      </c>
      <c r="J849">
        <v>1.4</v>
      </c>
      <c r="K849">
        <v>500</v>
      </c>
      <c r="L849">
        <v>33.333333333333329</v>
      </c>
      <c r="N849" t="s">
        <v>183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66109.289960599679</v>
      </c>
      <c r="Z849">
        <v>330546449.80299842</v>
      </c>
      <c r="AA849">
        <v>462765029.72419769</v>
      </c>
      <c r="AB849">
        <v>462765.02972419781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90.463589554531936</v>
      </c>
      <c r="AI849">
        <v>90.463589554531936</v>
      </c>
      <c r="AJ849">
        <v>15039.86346603643</v>
      </c>
      <c r="AK849">
        <v>2170.1388888888891</v>
      </c>
      <c r="AL849" t="s">
        <v>107</v>
      </c>
      <c r="AM849">
        <v>7010.9281904762247</v>
      </c>
      <c r="AN849">
        <v>719.77072429511168</v>
      </c>
      <c r="AO849">
        <v>15378.81022427043</v>
      </c>
      <c r="AP849">
        <v>24940.701269696649</v>
      </c>
      <c r="AQ849">
        <v>9561.8910454262186</v>
      </c>
      <c r="AR849">
        <v>7.3168044115833348E-3</v>
      </c>
      <c r="AS849">
        <v>149.15043767015229</v>
      </c>
      <c r="AT849">
        <v>69.527426924116554</v>
      </c>
      <c r="AU849">
        <v>7.1379716174425027</v>
      </c>
      <c r="AV849">
        <v>152.51177518838469</v>
      </c>
      <c r="AW849">
        <v>247.33711968703909</v>
      </c>
      <c r="AX849">
        <v>94.825344498654417</v>
      </c>
      <c r="AY849">
        <v>0.97764066274307204</v>
      </c>
      <c r="AZ849" t="str">
        <f>VLOOKUP(BA849,Sheet1!$A$1:$B$58,2,FALSE)</f>
        <v>Pentane</v>
      </c>
      <c r="BA849" t="s">
        <v>160</v>
      </c>
      <c r="BB849" t="s">
        <v>161</v>
      </c>
      <c r="BC849">
        <v>72.147580000000005</v>
      </c>
      <c r="BD849">
        <v>6.4</v>
      </c>
      <c r="BE849">
        <v>36.1</v>
      </c>
      <c r="BF849" t="s">
        <v>205</v>
      </c>
      <c r="BG849">
        <v>0.2033332233735371</v>
      </c>
      <c r="BH849">
        <v>0.1875</v>
      </c>
      <c r="BI849">
        <v>0.27017517974835198</v>
      </c>
      <c r="BJ849">
        <v>90</v>
      </c>
      <c r="BK849">
        <v>1017.188263298136</v>
      </c>
      <c r="BL849">
        <v>389.97473411706488</v>
      </c>
      <c r="BM849">
        <v>3.8172707568278819</v>
      </c>
      <c r="BN849">
        <v>648.93602866073991</v>
      </c>
      <c r="BO849">
        <v>368.25223463739621</v>
      </c>
    </row>
    <row r="850" spans="1:67" x14ac:dyDescent="0.25">
      <c r="A850" s="1">
        <v>848</v>
      </c>
      <c r="B850" t="s">
        <v>204</v>
      </c>
      <c r="C850" t="s">
        <v>195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67</v>
      </c>
      <c r="J850">
        <v>1.4</v>
      </c>
      <c r="K850">
        <v>500</v>
      </c>
      <c r="L850">
        <v>33.333333333333329</v>
      </c>
      <c r="N850" t="s">
        <v>183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72156.594110674865</v>
      </c>
      <c r="Z850">
        <v>360782970.55337441</v>
      </c>
      <c r="AA850">
        <v>505096158.77472413</v>
      </c>
      <c r="AB850">
        <v>505096.15877472411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98.738687364081244</v>
      </c>
      <c r="AI850">
        <v>98.738687364081244</v>
      </c>
      <c r="AJ850">
        <v>16415.62516017853</v>
      </c>
      <c r="AK850">
        <v>854.70085470085473</v>
      </c>
      <c r="AL850" t="s">
        <v>69</v>
      </c>
      <c r="AM850">
        <v>7652.2482707162962</v>
      </c>
      <c r="AN850">
        <v>785.61128151069511</v>
      </c>
      <c r="AO850">
        <v>16785.576851893809</v>
      </c>
      <c r="AP850">
        <v>25708.185567106379</v>
      </c>
      <c r="AQ850">
        <v>8922.6087152125656</v>
      </c>
      <c r="AR850">
        <v>7.3168044115833357E-3</v>
      </c>
      <c r="AS850">
        <v>149.15043767015229</v>
      </c>
      <c r="AT850">
        <v>69.52742692411654</v>
      </c>
      <c r="AU850">
        <v>7.1379716174425054</v>
      </c>
      <c r="AV850">
        <v>152.51177518838469</v>
      </c>
      <c r="AW850">
        <v>233.58154755756539</v>
      </c>
      <c r="AX850">
        <v>81.06977236918074</v>
      </c>
      <c r="AY850">
        <v>0.97764066274307193</v>
      </c>
      <c r="AZ850" t="str">
        <f>VLOOKUP(BA850,Sheet1!$A$1:$B$58,2,FALSE)</f>
        <v>Pentanol (PW1)</v>
      </c>
      <c r="BA850" t="s">
        <v>162</v>
      </c>
      <c r="BB850" t="s">
        <v>83</v>
      </c>
      <c r="BC850">
        <v>88.14658</v>
      </c>
      <c r="BD850">
        <v>6</v>
      </c>
      <c r="BE850">
        <v>138</v>
      </c>
      <c r="BF850" t="s">
        <v>205</v>
      </c>
      <c r="BG850">
        <v>0</v>
      </c>
      <c r="BH850">
        <v>0.14060606060606101</v>
      </c>
      <c r="BI850">
        <v>0.24753232214293999</v>
      </c>
      <c r="BJ850">
        <v>90</v>
      </c>
      <c r="BK850">
        <v>1048.4895491420641</v>
      </c>
      <c r="BL850">
        <v>363.90207175703341</v>
      </c>
      <c r="BM850">
        <v>4.3883861050702766</v>
      </c>
      <c r="BN850">
        <v>746.02563786194719</v>
      </c>
      <c r="BO850">
        <v>302.46391128011709</v>
      </c>
    </row>
    <row r="851" spans="1:67" x14ac:dyDescent="0.25">
      <c r="A851" s="1">
        <v>849</v>
      </c>
      <c r="B851" t="s">
        <v>204</v>
      </c>
      <c r="C851" t="s">
        <v>195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67</v>
      </c>
      <c r="J851">
        <v>1.4</v>
      </c>
      <c r="K851">
        <v>500</v>
      </c>
      <c r="L851">
        <v>33.333333333333329</v>
      </c>
      <c r="N851" t="s">
        <v>183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72156.594110674865</v>
      </c>
      <c r="Z851">
        <v>360782970.55337441</v>
      </c>
      <c r="AA851">
        <v>505096158.77472413</v>
      </c>
      <c r="AB851">
        <v>505096.15877472411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98.738687364081244</v>
      </c>
      <c r="AI851">
        <v>98.738687364081244</v>
      </c>
      <c r="AJ851">
        <v>16415.62516017853</v>
      </c>
      <c r="AK851">
        <v>854.70085470085473</v>
      </c>
      <c r="AL851" t="s">
        <v>69</v>
      </c>
      <c r="AM851">
        <v>7652.2482707162962</v>
      </c>
      <c r="AN851">
        <v>785.61128151069511</v>
      </c>
      <c r="AO851">
        <v>16785.576851893809</v>
      </c>
      <c r="AP851">
        <v>25708.185567106379</v>
      </c>
      <c r="AQ851">
        <v>8922.6087152125656</v>
      </c>
      <c r="AR851">
        <v>7.3168044115833357E-3</v>
      </c>
      <c r="AS851">
        <v>149.15043767015229</v>
      </c>
      <c r="AT851">
        <v>69.52742692411654</v>
      </c>
      <c r="AU851">
        <v>7.1379716174425054</v>
      </c>
      <c r="AV851">
        <v>152.51177518838469</v>
      </c>
      <c r="AW851">
        <v>233.58154755756539</v>
      </c>
      <c r="AX851">
        <v>81.06977236918074</v>
      </c>
      <c r="AY851">
        <v>0.97764066274307193</v>
      </c>
      <c r="AZ851" t="str">
        <f>VLOOKUP(BA851,Sheet1!$A$1:$B$58,2,FALSE)</f>
        <v>Pentanol (PW2)</v>
      </c>
      <c r="BA851" t="s">
        <v>163</v>
      </c>
      <c r="BB851" t="s">
        <v>83</v>
      </c>
      <c r="BC851">
        <v>88.14658</v>
      </c>
      <c r="BD851">
        <v>6</v>
      </c>
      <c r="BE851">
        <v>138</v>
      </c>
      <c r="BF851" t="s">
        <v>205</v>
      </c>
      <c r="BG851">
        <v>0</v>
      </c>
      <c r="BH851">
        <v>0.14060606060606101</v>
      </c>
      <c r="BI851">
        <v>0.24753232214293999</v>
      </c>
      <c r="BJ851">
        <v>90</v>
      </c>
      <c r="BK851">
        <v>1048.4895491420641</v>
      </c>
      <c r="BL851">
        <v>363.90207175703341</v>
      </c>
      <c r="BM851">
        <v>4.3883861050702766</v>
      </c>
      <c r="BN851">
        <v>746.02563786194719</v>
      </c>
      <c r="BO851">
        <v>302.46391128011709</v>
      </c>
    </row>
    <row r="852" spans="1:67" x14ac:dyDescent="0.25">
      <c r="A852" s="1">
        <v>850</v>
      </c>
      <c r="B852" t="s">
        <v>204</v>
      </c>
      <c r="C852" t="s">
        <v>195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67</v>
      </c>
      <c r="J852">
        <v>1.4</v>
      </c>
      <c r="K852">
        <v>500</v>
      </c>
      <c r="L852">
        <v>33.333333333333329</v>
      </c>
      <c r="N852" t="s">
        <v>183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199170.83723956809</v>
      </c>
      <c r="Z852">
        <v>995854186.19784033</v>
      </c>
      <c r="AA852">
        <v>1394195860.676976</v>
      </c>
      <c r="AB852">
        <v>1394195.8606769759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272.54428056950991</v>
      </c>
      <c r="AI852">
        <v>272.54428056950991</v>
      </c>
      <c r="AJ852">
        <v>45311.365472001737</v>
      </c>
      <c r="AK852">
        <v>854.70085470085473</v>
      </c>
      <c r="AL852" t="s">
        <v>69</v>
      </c>
      <c r="AM852">
        <v>21122.181744137019</v>
      </c>
      <c r="AN852">
        <v>2168.4900543301392</v>
      </c>
      <c r="AO852">
        <v>46332.527696816687</v>
      </c>
      <c r="AP852">
        <v>69456.738125169752</v>
      </c>
      <c r="AQ852">
        <v>23124.210428353061</v>
      </c>
      <c r="AR852">
        <v>7.3168044115833348E-3</v>
      </c>
      <c r="AS852">
        <v>149.15043767015229</v>
      </c>
      <c r="AT852">
        <v>69.527426924116526</v>
      </c>
      <c r="AU852">
        <v>7.1379716174425027</v>
      </c>
      <c r="AV852">
        <v>152.51177518838469</v>
      </c>
      <c r="AW852">
        <v>228.6292364530803</v>
      </c>
      <c r="AX852">
        <v>76.117461264695635</v>
      </c>
      <c r="AY852">
        <v>0.97764066274307182</v>
      </c>
      <c r="AZ852" t="str">
        <f>VLOOKUP(BA852,Sheet1!$A$1:$B$58,2,FALSE)</f>
        <v>Phenol</v>
      </c>
      <c r="BA852" t="s">
        <v>164</v>
      </c>
      <c r="BB852" t="s">
        <v>165</v>
      </c>
      <c r="BC852">
        <v>94.11023999999999</v>
      </c>
      <c r="BD852">
        <v>4.666666666666667</v>
      </c>
      <c r="BE852">
        <v>181.7</v>
      </c>
      <c r="BF852" t="s">
        <v>205</v>
      </c>
      <c r="BG852">
        <v>0</v>
      </c>
      <c r="BH852">
        <v>4.7346938775510203E-2</v>
      </c>
      <c r="BI852">
        <v>8.9677231595191503E-2</v>
      </c>
      <c r="BJ852">
        <v>90</v>
      </c>
      <c r="BK852">
        <v>2832.742273920599</v>
      </c>
      <c r="BL852">
        <v>943.10401265004975</v>
      </c>
      <c r="BM852">
        <v>12.113079136422661</v>
      </c>
      <c r="BN852">
        <v>2059.223453191853</v>
      </c>
      <c r="BO852">
        <v>773.5188207287465</v>
      </c>
    </row>
    <row r="853" spans="1:67" x14ac:dyDescent="0.25">
      <c r="A853" s="1">
        <v>851</v>
      </c>
      <c r="B853" t="s">
        <v>204</v>
      </c>
      <c r="C853" t="s">
        <v>195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67</v>
      </c>
      <c r="J853">
        <v>1.4</v>
      </c>
      <c r="K853">
        <v>500</v>
      </c>
      <c r="L853">
        <v>33.333333333333329</v>
      </c>
      <c r="N853" t="s">
        <v>183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67604.671112382872</v>
      </c>
      <c r="Z853">
        <v>338023355.56191438</v>
      </c>
      <c r="AA853">
        <v>473232697.7866801</v>
      </c>
      <c r="AB853">
        <v>473232.69778668007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92.50986091553311</v>
      </c>
      <c r="AI853">
        <v>92.50986091553311</v>
      </c>
      <c r="AJ853">
        <v>15380.062678067099</v>
      </c>
      <c r="AK853">
        <v>2170.1388888888891</v>
      </c>
      <c r="AL853" t="s">
        <v>107</v>
      </c>
      <c r="AM853">
        <v>7169.5142209538162</v>
      </c>
      <c r="AN853">
        <v>736.05181845536856</v>
      </c>
      <c r="AO853">
        <v>15726.676355640629</v>
      </c>
      <c r="AP853">
        <v>25455.767606365171</v>
      </c>
      <c r="AQ853">
        <v>9729.0912507245448</v>
      </c>
      <c r="AR853">
        <v>7.3168044115833339E-3</v>
      </c>
      <c r="AS853">
        <v>149.15043767015229</v>
      </c>
      <c r="AT853">
        <v>69.52742692411654</v>
      </c>
      <c r="AU853">
        <v>7.1379716174425027</v>
      </c>
      <c r="AV853">
        <v>152.51177518838469</v>
      </c>
      <c r="AW853">
        <v>246.8610797752749</v>
      </c>
      <c r="AX853">
        <v>94.349304586890185</v>
      </c>
      <c r="AY853">
        <v>0.97764066274307204</v>
      </c>
      <c r="AZ853" t="str">
        <f>VLOOKUP(BA853,Sheet1!$A$1:$B$58,2,FALSE)</f>
        <v>Propane (PW1)</v>
      </c>
      <c r="BA853" t="s">
        <v>166</v>
      </c>
      <c r="BB853" t="s">
        <v>167</v>
      </c>
      <c r="BC853">
        <v>44.094819999999999</v>
      </c>
      <c r="BD853">
        <v>6.666666666666667</v>
      </c>
      <c r="BE853">
        <v>-42</v>
      </c>
      <c r="BF853" t="s">
        <v>205</v>
      </c>
      <c r="BG853">
        <v>0.33269213934879421</v>
      </c>
      <c r="BH853">
        <v>0.3</v>
      </c>
      <c r="BI853">
        <v>0.26419904134212102</v>
      </c>
      <c r="BJ853">
        <v>90</v>
      </c>
      <c r="BK853">
        <v>1038.194867194866</v>
      </c>
      <c r="BL853">
        <v>396.79387222434571</v>
      </c>
      <c r="BM853">
        <v>3.7788572346749012</v>
      </c>
      <c r="BN853">
        <v>642.4057298947331</v>
      </c>
      <c r="BO853">
        <v>395.78913730013312</v>
      </c>
    </row>
    <row r="854" spans="1:67" x14ac:dyDescent="0.25">
      <c r="A854" s="1">
        <v>852</v>
      </c>
      <c r="B854" t="s">
        <v>204</v>
      </c>
      <c r="C854" t="s">
        <v>195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67</v>
      </c>
      <c r="J854">
        <v>1.4</v>
      </c>
      <c r="K854">
        <v>500</v>
      </c>
      <c r="L854">
        <v>33.333333333333329</v>
      </c>
      <c r="N854" t="s">
        <v>183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74970.160572097986</v>
      </c>
      <c r="Z854">
        <v>374850802.86049002</v>
      </c>
      <c r="AA854">
        <v>524791124.00468588</v>
      </c>
      <c r="AB854">
        <v>524791.1240046859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102.58875626819849</v>
      </c>
      <c r="AI854">
        <v>102.58875626819849</v>
      </c>
      <c r="AJ854">
        <v>17055.71153015229</v>
      </c>
      <c r="AK854">
        <v>2170.1388888888891</v>
      </c>
      <c r="AL854" t="s">
        <v>107</v>
      </c>
      <c r="AM854">
        <v>7950.6286107853857</v>
      </c>
      <c r="AN854">
        <v>816.24423447385504</v>
      </c>
      <c r="AO854">
        <v>17440.088565593749</v>
      </c>
      <c r="AP854">
        <v>27992.723264300421</v>
      </c>
      <c r="AQ854">
        <v>10552.634698706681</v>
      </c>
      <c r="AR854">
        <v>7.3168044115833348E-3</v>
      </c>
      <c r="AS854">
        <v>149.15043767015229</v>
      </c>
      <c r="AT854">
        <v>69.52742692411654</v>
      </c>
      <c r="AU854">
        <v>7.1379716174425027</v>
      </c>
      <c r="AV854">
        <v>152.51177518838469</v>
      </c>
      <c r="AW854">
        <v>244.79347689885461</v>
      </c>
      <c r="AX854">
        <v>92.281701710469918</v>
      </c>
      <c r="AY854">
        <v>0.97764066274307171</v>
      </c>
      <c r="AZ854" t="str">
        <f>VLOOKUP(BA854,Sheet1!$A$1:$B$58,2,FALSE)</f>
        <v>Propane (PW2)</v>
      </c>
      <c r="BA854" t="s">
        <v>168</v>
      </c>
      <c r="BB854" t="s">
        <v>167</v>
      </c>
      <c r="BC854">
        <v>44.094819999999999</v>
      </c>
      <c r="BD854">
        <v>6.666666666666667</v>
      </c>
      <c r="BE854">
        <v>-42</v>
      </c>
      <c r="BF854" t="s">
        <v>205</v>
      </c>
      <c r="BG854">
        <v>0.15145906732999559</v>
      </c>
      <c r="BH854">
        <v>0.270526315789473</v>
      </c>
      <c r="BI854">
        <v>0.238242644297982</v>
      </c>
      <c r="BJ854">
        <v>90</v>
      </c>
      <c r="BK854">
        <v>1141.6627485448971</v>
      </c>
      <c r="BL854">
        <v>430.38148953089359</v>
      </c>
      <c r="BM854">
        <v>4.408041211256605</v>
      </c>
      <c r="BN854">
        <v>749.36700591362285</v>
      </c>
      <c r="BO854">
        <v>392.29574263127449</v>
      </c>
    </row>
    <row r="855" spans="1:67" x14ac:dyDescent="0.25">
      <c r="A855" s="1">
        <v>853</v>
      </c>
      <c r="B855" t="s">
        <v>204</v>
      </c>
      <c r="C855" t="s">
        <v>195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67</v>
      </c>
      <c r="J855">
        <v>1.4</v>
      </c>
      <c r="K855">
        <v>500</v>
      </c>
      <c r="L855">
        <v>33.333333333333329</v>
      </c>
      <c r="N855" t="s">
        <v>183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85370.082054385857</v>
      </c>
      <c r="Z855">
        <v>426850410.27192932</v>
      </c>
      <c r="AA855">
        <v>597590574.38070095</v>
      </c>
      <c r="AB855">
        <v>597590.57438070094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116.81995174668209</v>
      </c>
      <c r="AI855">
        <v>116.81995174668209</v>
      </c>
      <c r="AJ855">
        <v>19421.69366737278</v>
      </c>
      <c r="AK855">
        <v>854.70085470085473</v>
      </c>
      <c r="AL855" t="s">
        <v>69</v>
      </c>
      <c r="AM855">
        <v>9053.5462603678643</v>
      </c>
      <c r="AN855">
        <v>929.47429672955207</v>
      </c>
      <c r="AO855">
        <v>19859.391796935961</v>
      </c>
      <c r="AP855">
        <v>30259.415079171049</v>
      </c>
      <c r="AQ855">
        <v>10400.02328223509</v>
      </c>
      <c r="AR855">
        <v>7.3168044115833331E-3</v>
      </c>
      <c r="AS855">
        <v>149.15043767015229</v>
      </c>
      <c r="AT855">
        <v>69.527426924116511</v>
      </c>
      <c r="AU855">
        <v>7.1379716174425027</v>
      </c>
      <c r="AV855">
        <v>152.5117751883846</v>
      </c>
      <c r="AW855">
        <v>232.37957924766721</v>
      </c>
      <c r="AX855">
        <v>79.867804059282534</v>
      </c>
      <c r="AY855">
        <v>0.97764066274307149</v>
      </c>
      <c r="AZ855" t="str">
        <f>VLOOKUP(BA855,Sheet1!$A$1:$B$58,2,FALSE)</f>
        <v>Shikimate</v>
      </c>
      <c r="BA855" t="s">
        <v>169</v>
      </c>
      <c r="BB855" t="s">
        <v>170</v>
      </c>
      <c r="BC855">
        <v>173.14045999999999</v>
      </c>
      <c r="BD855">
        <v>3.8571428571428572</v>
      </c>
      <c r="BE855">
        <v>400.5</v>
      </c>
      <c r="BF855" t="s">
        <v>205</v>
      </c>
      <c r="BG855">
        <v>0</v>
      </c>
      <c r="BH855">
        <v>5.9487179487179499E-2</v>
      </c>
      <c r="BI855">
        <v>0.20921954001124601</v>
      </c>
      <c r="BJ855">
        <v>90</v>
      </c>
      <c r="BK855">
        <v>1234.108116687042</v>
      </c>
      <c r="BL855">
        <v>424.15734450780189</v>
      </c>
      <c r="BM855">
        <v>5.1919978554080934</v>
      </c>
      <c r="BN855">
        <v>882.63963541937585</v>
      </c>
      <c r="BO855">
        <v>351.46848126766588</v>
      </c>
    </row>
    <row r="856" spans="1:67" x14ac:dyDescent="0.25">
      <c r="A856" s="1">
        <v>854</v>
      </c>
      <c r="B856" t="s">
        <v>204</v>
      </c>
      <c r="C856" t="s">
        <v>195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67</v>
      </c>
      <c r="J856">
        <v>1.4</v>
      </c>
      <c r="K856">
        <v>500</v>
      </c>
      <c r="L856">
        <v>33.333333333333329</v>
      </c>
      <c r="N856" t="s">
        <v>183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194779.13824967129</v>
      </c>
      <c r="Z856">
        <v>973895691.24835646</v>
      </c>
      <c r="AA856">
        <v>1363453967.747699</v>
      </c>
      <c r="AB856">
        <v>1363453.967747699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266.53470377469262</v>
      </c>
      <c r="AI856">
        <v>266.53470377469262</v>
      </c>
      <c r="AJ856">
        <v>44312.253951800223</v>
      </c>
      <c r="AK856">
        <v>854.70085470085473</v>
      </c>
      <c r="AL856" t="s">
        <v>69</v>
      </c>
      <c r="AM856">
        <v>20656.439542538668</v>
      </c>
      <c r="AN856">
        <v>2120.6750442955731</v>
      </c>
      <c r="AO856">
        <v>45310.899641697732</v>
      </c>
      <c r="AP856">
        <v>67944.069393335318</v>
      </c>
      <c r="AQ856">
        <v>22633.16975163759</v>
      </c>
      <c r="AR856">
        <v>7.3168044115833339E-3</v>
      </c>
      <c r="AS856">
        <v>149.15043767015229</v>
      </c>
      <c r="AT856">
        <v>69.52742692411654</v>
      </c>
      <c r="AU856">
        <v>7.1379716174425027</v>
      </c>
      <c r="AV856">
        <v>152.51177518838469</v>
      </c>
      <c r="AW856">
        <v>228.69267038706951</v>
      </c>
      <c r="AX856">
        <v>76.180895198684809</v>
      </c>
      <c r="AY856">
        <v>0.97764066274307182</v>
      </c>
      <c r="AZ856" t="str">
        <f>VLOOKUP(BA856,Sheet1!$A$1:$B$58,2,FALSE)</f>
        <v>Styrene</v>
      </c>
      <c r="BA856" t="s">
        <v>171</v>
      </c>
      <c r="BB856" t="s">
        <v>172</v>
      </c>
      <c r="BC856">
        <v>104.14832</v>
      </c>
      <c r="BD856">
        <v>5</v>
      </c>
      <c r="BE856">
        <v>145</v>
      </c>
      <c r="BF856" t="s">
        <v>205</v>
      </c>
      <c r="BG856">
        <v>0</v>
      </c>
      <c r="BH856">
        <v>4.3773584905660398E-2</v>
      </c>
      <c r="BI856">
        <v>9.1699190471036404E-2</v>
      </c>
      <c r="BJ856">
        <v>90</v>
      </c>
      <c r="BK856">
        <v>2771.049185837725</v>
      </c>
      <c r="BL856">
        <v>923.07727772564601</v>
      </c>
      <c r="BM856">
        <v>11.84598683443078</v>
      </c>
      <c r="BN856">
        <v>2013.8177618532329</v>
      </c>
      <c r="BO856">
        <v>757.23142398449181</v>
      </c>
    </row>
    <row r="857" spans="1:67" x14ac:dyDescent="0.25">
      <c r="A857" s="1">
        <v>855</v>
      </c>
      <c r="B857" t="s">
        <v>204</v>
      </c>
      <c r="C857" t="s">
        <v>195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67</v>
      </c>
      <c r="J857">
        <v>1.4</v>
      </c>
      <c r="K857">
        <v>500</v>
      </c>
      <c r="L857">
        <v>33.333333333333329</v>
      </c>
      <c r="N857" t="s">
        <v>183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41619.59764702135</v>
      </c>
      <c r="Z857">
        <v>208097988.23510671</v>
      </c>
      <c r="AA857">
        <v>291337183.52914941</v>
      </c>
      <c r="AB857">
        <v>291337.18352914939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56.952028999386151</v>
      </c>
      <c r="AI857">
        <v>56.952028999386151</v>
      </c>
      <c r="AJ857">
        <v>9468.4584646973562</v>
      </c>
      <c r="AK857">
        <v>854.70085470085473</v>
      </c>
      <c r="AL857" t="s">
        <v>69</v>
      </c>
      <c r="AM857">
        <v>4413.7822474524264</v>
      </c>
      <c r="AN857">
        <v>453.13703960701179</v>
      </c>
      <c r="AO857">
        <v>9681.8449298956457</v>
      </c>
      <c r="AP857">
        <v>15190.07860645765</v>
      </c>
      <c r="AQ857">
        <v>5508.2336765620039</v>
      </c>
      <c r="AR857">
        <v>7.3168044115833331E-3</v>
      </c>
      <c r="AS857">
        <v>149.15043767015229</v>
      </c>
      <c r="AT857">
        <v>69.527426924116511</v>
      </c>
      <c r="AU857">
        <v>7.1379716174425027</v>
      </c>
      <c r="AV857">
        <v>152.5117751883846</v>
      </c>
      <c r="AW857">
        <v>239.27938014877191</v>
      </c>
      <c r="AX857">
        <v>86.76760496038726</v>
      </c>
      <c r="AY857">
        <v>0.97764066274307138</v>
      </c>
      <c r="AZ857" t="str">
        <f>VLOOKUP(BA857,Sheet1!$A$1:$B$58,2,FALSE)</f>
        <v>Succinate</v>
      </c>
      <c r="BA857" t="s">
        <v>173</v>
      </c>
      <c r="BB857" t="s">
        <v>174</v>
      </c>
      <c r="BC857">
        <v>116.07016</v>
      </c>
      <c r="BD857">
        <v>3</v>
      </c>
      <c r="BE857">
        <v>235</v>
      </c>
      <c r="BF857" t="s">
        <v>205</v>
      </c>
      <c r="BG857">
        <v>0</v>
      </c>
      <c r="BH857">
        <v>0.17846153846153801</v>
      </c>
      <c r="BI857">
        <v>0.42915093628780498</v>
      </c>
      <c r="BJ857">
        <v>90</v>
      </c>
      <c r="BK857">
        <v>619.51624815931893</v>
      </c>
      <c r="BL857">
        <v>224.64928258092081</v>
      </c>
      <c r="BM857">
        <v>2.531201288861606</v>
      </c>
      <c r="BN857">
        <v>430.30421910647311</v>
      </c>
      <c r="BO857">
        <v>189.21202905284579</v>
      </c>
    </row>
    <row r="858" spans="1:67" x14ac:dyDescent="0.25">
      <c r="A858" s="1">
        <v>856</v>
      </c>
      <c r="B858" t="s">
        <v>206</v>
      </c>
      <c r="C858" t="s">
        <v>207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67</v>
      </c>
      <c r="J858">
        <v>1.3440000000000001</v>
      </c>
      <c r="K858">
        <v>500</v>
      </c>
      <c r="L858">
        <v>100</v>
      </c>
      <c r="N858" t="s">
        <v>68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43619.618267377249</v>
      </c>
      <c r="Z858">
        <v>218098091.33688629</v>
      </c>
      <c r="AA858">
        <v>293123834.75677508</v>
      </c>
      <c r="AB858">
        <v>293123.83475677512</v>
      </c>
      <c r="AC858">
        <v>0</v>
      </c>
      <c r="AD858">
        <v>2260.4274119355432</v>
      </c>
      <c r="AE858">
        <v>1017192.3353709941</v>
      </c>
      <c r="AF858">
        <v>1017192.3353709941</v>
      </c>
      <c r="AG858">
        <v>61.083172805203091</v>
      </c>
      <c r="AH858">
        <v>89.533269359354904</v>
      </c>
      <c r="AI858">
        <v>89.533269359354904</v>
      </c>
      <c r="AJ858">
        <v>9526.5246295951911</v>
      </c>
      <c r="AK858">
        <v>854.70085470085473</v>
      </c>
      <c r="AL858" t="s">
        <v>69</v>
      </c>
      <c r="AM858">
        <v>6938.8283753500054</v>
      </c>
      <c r="AN858">
        <v>474.91244048299592</v>
      </c>
      <c r="AO858">
        <v>15220.65579109033</v>
      </c>
      <c r="AP858">
        <v>17794.96630012905</v>
      </c>
      <c r="AQ858">
        <v>2574.310509038713</v>
      </c>
      <c r="AR858">
        <v>9.3655096468266644E-3</v>
      </c>
      <c r="AS858">
        <v>155.9598853840761</v>
      </c>
      <c r="AT858">
        <v>113.5963974477592</v>
      </c>
      <c r="AU858">
        <v>7.7748489260293088</v>
      </c>
      <c r="AV858">
        <v>249.17919440153631</v>
      </c>
      <c r="AW858">
        <v>291.32354268626437</v>
      </c>
      <c r="AX858">
        <v>42.144348284728117</v>
      </c>
      <c r="AY858">
        <v>1.46575996706786</v>
      </c>
      <c r="AZ858" t="str">
        <f>VLOOKUP(BA858,Sheet1!$A$1:$B$58,2,FALSE)</f>
        <v>1,3-Butanediol (PW1)</v>
      </c>
      <c r="BA858" t="s">
        <v>70</v>
      </c>
      <c r="BB858" t="s">
        <v>71</v>
      </c>
      <c r="BC858">
        <v>90.119200000000006</v>
      </c>
      <c r="BD858">
        <v>5.5</v>
      </c>
      <c r="BE858">
        <v>207</v>
      </c>
      <c r="BF858" t="s">
        <v>208</v>
      </c>
      <c r="BG858">
        <v>1.627844011043152</v>
      </c>
      <c r="BH858">
        <v>0.27272727272727298</v>
      </c>
      <c r="BI858">
        <v>0.40927801965569299</v>
      </c>
      <c r="BJ858">
        <v>90</v>
      </c>
      <c r="BK858">
        <v>790.88739111684652</v>
      </c>
      <c r="BL858">
        <v>114.41380040172049</v>
      </c>
      <c r="BM858">
        <v>2.351412404928177</v>
      </c>
      <c r="BN858">
        <v>399.7401088377901</v>
      </c>
      <c r="BO858">
        <v>391.14728227905641</v>
      </c>
    </row>
    <row r="859" spans="1:67" x14ac:dyDescent="0.25">
      <c r="A859" s="1">
        <v>857</v>
      </c>
      <c r="B859" t="s">
        <v>206</v>
      </c>
      <c r="C859" t="s">
        <v>207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67</v>
      </c>
      <c r="J859">
        <v>1.3440000000000001</v>
      </c>
      <c r="K859">
        <v>500</v>
      </c>
      <c r="L859">
        <v>100</v>
      </c>
      <c r="N859" t="s">
        <v>68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43619.618267377373</v>
      </c>
      <c r="Z859">
        <v>218098091.33688679</v>
      </c>
      <c r="AA859">
        <v>293123834.75677592</v>
      </c>
      <c r="AB859">
        <v>293123.83475677588</v>
      </c>
      <c r="AC859">
        <v>0</v>
      </c>
      <c r="AD859">
        <v>2260.4274119355491</v>
      </c>
      <c r="AE859">
        <v>1017192.335370997</v>
      </c>
      <c r="AF859">
        <v>1017192.335370997</v>
      </c>
      <c r="AG859">
        <v>61.083172805203233</v>
      </c>
      <c r="AH859">
        <v>89.533269359355131</v>
      </c>
      <c r="AI859">
        <v>89.533269359355131</v>
      </c>
      <c r="AJ859">
        <v>9526.5246295952184</v>
      </c>
      <c r="AK859">
        <v>854.70085470085473</v>
      </c>
      <c r="AL859" t="s">
        <v>69</v>
      </c>
      <c r="AM859">
        <v>6938.8283753500227</v>
      </c>
      <c r="AN859">
        <v>474.91244048299723</v>
      </c>
      <c r="AO859">
        <v>15220.65579109037</v>
      </c>
      <c r="AP859">
        <v>17794.96630012909</v>
      </c>
      <c r="AQ859">
        <v>2574.3105090387221</v>
      </c>
      <c r="AR859">
        <v>9.3655096468266679E-3</v>
      </c>
      <c r="AS859">
        <v>155.95988538407619</v>
      </c>
      <c r="AT859">
        <v>113.5963974477592</v>
      </c>
      <c r="AU859">
        <v>7.7748489260293114</v>
      </c>
      <c r="AV859">
        <v>249.17919440153631</v>
      </c>
      <c r="AW859">
        <v>291.32354268626437</v>
      </c>
      <c r="AX859">
        <v>42.144348284728117</v>
      </c>
      <c r="AY859">
        <v>1.4657599670678609</v>
      </c>
      <c r="AZ859" t="str">
        <f>VLOOKUP(BA859,Sheet1!$A$1:$B$58,2,FALSE)</f>
        <v>1,3-Butanediol (PW2)</v>
      </c>
      <c r="BA859" t="s">
        <v>72</v>
      </c>
      <c r="BB859" t="s">
        <v>71</v>
      </c>
      <c r="BC859">
        <v>90.119200000000006</v>
      </c>
      <c r="BD859">
        <v>5.5</v>
      </c>
      <c r="BE859">
        <v>207</v>
      </c>
      <c r="BF859" t="s">
        <v>208</v>
      </c>
      <c r="BG859">
        <v>1.627844011043148</v>
      </c>
      <c r="BH859">
        <v>0.27272727272727298</v>
      </c>
      <c r="BI859">
        <v>0.40927801965569199</v>
      </c>
      <c r="BJ859">
        <v>90</v>
      </c>
      <c r="BK859">
        <v>790.88739111684845</v>
      </c>
      <c r="BL859">
        <v>114.41380040172081</v>
      </c>
      <c r="BM859">
        <v>2.3514124049281921</v>
      </c>
      <c r="BN859">
        <v>399.74010883779272</v>
      </c>
      <c r="BO859">
        <v>391.14728227905579</v>
      </c>
    </row>
    <row r="860" spans="1:67" x14ac:dyDescent="0.25">
      <c r="A860" s="1">
        <v>858</v>
      </c>
      <c r="B860" t="s">
        <v>206</v>
      </c>
      <c r="C860" t="s">
        <v>207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67</v>
      </c>
      <c r="J860">
        <v>1.3440000000000001</v>
      </c>
      <c r="K860">
        <v>500</v>
      </c>
      <c r="L860">
        <v>100</v>
      </c>
      <c r="N860" t="s">
        <v>68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39084.229027281202</v>
      </c>
      <c r="Z860">
        <v>195421145.136406</v>
      </c>
      <c r="AA860">
        <v>262646019.06332961</v>
      </c>
      <c r="AB860">
        <v>262646.01906332962</v>
      </c>
      <c r="AC860">
        <v>0</v>
      </c>
      <c r="AD860">
        <v>2025.3974284251649</v>
      </c>
      <c r="AE860">
        <v>911428.84279132436</v>
      </c>
      <c r="AF860">
        <v>911428.84279132436</v>
      </c>
      <c r="AG860">
        <v>54.731994695539548</v>
      </c>
      <c r="AH860">
        <v>80.223966742492365</v>
      </c>
      <c r="AI860">
        <v>80.223966742492365</v>
      </c>
      <c r="AJ860">
        <v>8535.9956195582126</v>
      </c>
      <c r="AK860">
        <v>854.70085470085473</v>
      </c>
      <c r="AL860" t="s">
        <v>69</v>
      </c>
      <c r="AM860">
        <v>6217.3574225431576</v>
      </c>
      <c r="AN860">
        <v>425.5329901780575</v>
      </c>
      <c r="AO860">
        <v>13638.074346223701</v>
      </c>
      <c r="AP860">
        <v>16033.58688698028</v>
      </c>
      <c r="AQ860">
        <v>2395.5125407565811</v>
      </c>
      <c r="AR860">
        <v>9.3655096468266662E-3</v>
      </c>
      <c r="AS860">
        <v>155.95988538407619</v>
      </c>
      <c r="AT860">
        <v>113.5963974477592</v>
      </c>
      <c r="AU860">
        <v>7.7748489260293114</v>
      </c>
      <c r="AV860">
        <v>249.17919440153631</v>
      </c>
      <c r="AW860">
        <v>292.94724184950928</v>
      </c>
      <c r="AX860">
        <v>43.768047447973032</v>
      </c>
      <c r="AY860">
        <v>1.46575996706786</v>
      </c>
      <c r="AZ860" t="str">
        <f>VLOOKUP(BA860,Sheet1!$A$1:$B$58,2,FALSE)</f>
        <v>1,3-Diaminopropane</v>
      </c>
      <c r="BA860" t="s">
        <v>73</v>
      </c>
      <c r="BB860" t="s">
        <v>74</v>
      </c>
      <c r="BC860">
        <v>76.139580000000009</v>
      </c>
      <c r="BD860">
        <v>6</v>
      </c>
      <c r="BE860">
        <v>139.30000000000001</v>
      </c>
      <c r="BF860" t="s">
        <v>208</v>
      </c>
      <c r="BG860">
        <v>1.474840290155961</v>
      </c>
      <c r="BH860">
        <v>0.36025974025974</v>
      </c>
      <c r="BI860">
        <v>0.45677122018060501</v>
      </c>
      <c r="BJ860">
        <v>90</v>
      </c>
      <c r="BK860">
        <v>712.60386164356817</v>
      </c>
      <c r="BL860">
        <v>106.4672240336259</v>
      </c>
      <c r="BM860">
        <v>2.0906693428436989</v>
      </c>
      <c r="BN860">
        <v>355.41378828342891</v>
      </c>
      <c r="BO860">
        <v>357.19007336013931</v>
      </c>
    </row>
    <row r="861" spans="1:67" x14ac:dyDescent="0.25">
      <c r="A861" s="1">
        <v>859</v>
      </c>
      <c r="B861" t="s">
        <v>206</v>
      </c>
      <c r="C861" t="s">
        <v>207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67</v>
      </c>
      <c r="J861">
        <v>1.3440000000000001</v>
      </c>
      <c r="K861">
        <v>500</v>
      </c>
      <c r="L861">
        <v>100</v>
      </c>
      <c r="N861" t="s">
        <v>68</v>
      </c>
      <c r="O861">
        <v>0</v>
      </c>
      <c r="P861">
        <v>0.25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37571.00487212545</v>
      </c>
      <c r="Z861">
        <v>187855024.3606272</v>
      </c>
      <c r="AA861">
        <v>252477152.74068299</v>
      </c>
      <c r="AB861">
        <v>252477.152740683</v>
      </c>
      <c r="AC861">
        <v>0</v>
      </c>
      <c r="AD861">
        <v>1946.9801130843921</v>
      </c>
      <c r="AE861">
        <v>876141.05088797654</v>
      </c>
      <c r="AF861">
        <v>876141.05088797654</v>
      </c>
      <c r="AG861">
        <v>52.612935973021663</v>
      </c>
      <c r="AH861">
        <v>77.117935299159697</v>
      </c>
      <c r="AI861">
        <v>77.117935299159697</v>
      </c>
      <c r="AJ861">
        <v>8205.5074640721996</v>
      </c>
      <c r="AK861">
        <v>854.70085470085473</v>
      </c>
      <c r="AL861" t="s">
        <v>69</v>
      </c>
      <c r="AM861">
        <v>5976.6399856848766</v>
      </c>
      <c r="AN861">
        <v>409.05762874509639</v>
      </c>
      <c r="AO861">
        <v>13110.049000857151</v>
      </c>
      <c r="AP861">
        <v>15445.90593320303</v>
      </c>
      <c r="AQ861">
        <v>2335.8569323458801</v>
      </c>
      <c r="AR861">
        <v>9.3655096468266679E-3</v>
      </c>
      <c r="AS861">
        <v>155.95988538407619</v>
      </c>
      <c r="AT861">
        <v>113.5963974477592</v>
      </c>
      <c r="AU861">
        <v>7.7748489260293123</v>
      </c>
      <c r="AV861">
        <v>249.17919440153631</v>
      </c>
      <c r="AW861">
        <v>293.5762022694044</v>
      </c>
      <c r="AX861">
        <v>44.397007867868098</v>
      </c>
      <c r="AY861">
        <v>1.4657599670678609</v>
      </c>
      <c r="AZ861" t="str">
        <f>VLOOKUP(BA861,Sheet1!$A$1:$B$58,2,FALSE)</f>
        <v>1,3-Propanediol</v>
      </c>
      <c r="BA861" t="s">
        <v>75</v>
      </c>
      <c r="BB861" t="s">
        <v>76</v>
      </c>
      <c r="BC861">
        <v>76.092820000000003</v>
      </c>
      <c r="BD861">
        <v>5.333333333333333</v>
      </c>
      <c r="BE861">
        <v>213</v>
      </c>
      <c r="BF861" t="s">
        <v>208</v>
      </c>
      <c r="BG861">
        <v>1.349536000899954</v>
      </c>
      <c r="BH861">
        <v>0.375</v>
      </c>
      <c r="BI861">
        <v>0.47516831246253299</v>
      </c>
      <c r="BJ861">
        <v>90</v>
      </c>
      <c r="BK861">
        <v>686.48470814235691</v>
      </c>
      <c r="BL861">
        <v>103.815863659817</v>
      </c>
      <c r="BM861">
        <v>2.0779277901738111</v>
      </c>
      <c r="BN861">
        <v>353.24772432954791</v>
      </c>
      <c r="BO861">
        <v>333.236983812809</v>
      </c>
    </row>
    <row r="862" spans="1:67" x14ac:dyDescent="0.25">
      <c r="A862" s="1">
        <v>860</v>
      </c>
      <c r="B862" t="s">
        <v>206</v>
      </c>
      <c r="C862" t="s">
        <v>207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67</v>
      </c>
      <c r="J862">
        <v>1.3440000000000001</v>
      </c>
      <c r="K862">
        <v>500</v>
      </c>
      <c r="L862">
        <v>100</v>
      </c>
      <c r="N862" t="s">
        <v>68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40488.507055115137</v>
      </c>
      <c r="Z862">
        <v>202442535.2755757</v>
      </c>
      <c r="AA862">
        <v>272082767.41037369</v>
      </c>
      <c r="AB862">
        <v>272082.76741037372</v>
      </c>
      <c r="AC862">
        <v>0</v>
      </c>
      <c r="AD862">
        <v>2098.1690086035419</v>
      </c>
      <c r="AE862">
        <v>944176.0538715939</v>
      </c>
      <c r="AF862">
        <v>944176.0538715939</v>
      </c>
      <c r="AG862">
        <v>56.698489608790148</v>
      </c>
      <c r="AH862">
        <v>83.106376261777697</v>
      </c>
      <c r="AI862">
        <v>83.106376261777697</v>
      </c>
      <c r="AJ862">
        <v>8842.6899408371464</v>
      </c>
      <c r="AK862">
        <v>854.70085470085473</v>
      </c>
      <c r="AL862" t="s">
        <v>69</v>
      </c>
      <c r="AM862">
        <v>6440.7441602877716</v>
      </c>
      <c r="AN862">
        <v>440.82219104238601</v>
      </c>
      <c r="AO862">
        <v>14128.08396450221</v>
      </c>
      <c r="AP862">
        <v>16578.957146868161</v>
      </c>
      <c r="AQ862">
        <v>2450.8731823659491</v>
      </c>
      <c r="AR862">
        <v>9.3655096468266662E-3</v>
      </c>
      <c r="AS862">
        <v>155.95988538407619</v>
      </c>
      <c r="AT862">
        <v>113.5963974477592</v>
      </c>
      <c r="AU862">
        <v>7.7748489260293088</v>
      </c>
      <c r="AV862">
        <v>249.17919440153631</v>
      </c>
      <c r="AW862">
        <v>292.40562246472729</v>
      </c>
      <c r="AX862">
        <v>43.22642806319098</v>
      </c>
      <c r="AY862">
        <v>1.4657599670678609</v>
      </c>
      <c r="AZ862" t="str">
        <f>VLOOKUP(BA862,Sheet1!$A$1:$B$58,2,FALSE)</f>
        <v>1,4-Butanediol</v>
      </c>
      <c r="BA862" t="s">
        <v>77</v>
      </c>
      <c r="BB862" t="s">
        <v>71</v>
      </c>
      <c r="BC862">
        <v>90.119200000000006</v>
      </c>
      <c r="BD862">
        <v>5.5</v>
      </c>
      <c r="BE862">
        <v>230</v>
      </c>
      <c r="BF862" t="s">
        <v>208</v>
      </c>
      <c r="BG862">
        <v>1.370773595437822</v>
      </c>
      <c r="BH862">
        <v>0.29381818181818198</v>
      </c>
      <c r="BI862">
        <v>0.44092885317573199</v>
      </c>
      <c r="BJ862">
        <v>90</v>
      </c>
      <c r="BK862">
        <v>736.84253986080694</v>
      </c>
      <c r="BL862">
        <v>108.92769699404219</v>
      </c>
      <c r="BM862">
        <v>2.3228431273078538</v>
      </c>
      <c r="BN862">
        <v>394.88333164233512</v>
      </c>
      <c r="BO862">
        <v>341.95920821847182</v>
      </c>
    </row>
    <row r="863" spans="1:67" x14ac:dyDescent="0.25">
      <c r="A863" s="1">
        <v>861</v>
      </c>
      <c r="B863" t="s">
        <v>206</v>
      </c>
      <c r="C863" t="s">
        <v>207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67</v>
      </c>
      <c r="J863">
        <v>1.3440000000000001</v>
      </c>
      <c r="K863">
        <v>500</v>
      </c>
      <c r="L863">
        <v>100</v>
      </c>
      <c r="N863" t="s">
        <v>68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53520.381543775882</v>
      </c>
      <c r="Z863">
        <v>267601907.7188794</v>
      </c>
      <c r="AA863">
        <v>359656963.97417402</v>
      </c>
      <c r="AB863">
        <v>359656.96397417388</v>
      </c>
      <c r="AC863">
        <v>0</v>
      </c>
      <c r="AD863">
        <v>2773.4983098024782</v>
      </c>
      <c r="AE863">
        <v>1248074.2394111149</v>
      </c>
      <c r="AF863">
        <v>1248074.2394111149</v>
      </c>
      <c r="AG863">
        <v>74.947806613059413</v>
      </c>
      <c r="AH863">
        <v>109.85549455296641</v>
      </c>
      <c r="AI863">
        <v>109.85549455296641</v>
      </c>
      <c r="AJ863">
        <v>11688.85132916065</v>
      </c>
      <c r="AK863">
        <v>854.70085470085473</v>
      </c>
      <c r="AL863" t="s">
        <v>69</v>
      </c>
      <c r="AM863">
        <v>8513.8008278548932</v>
      </c>
      <c r="AN863">
        <v>582.70787375379723</v>
      </c>
      <c r="AO863">
        <v>18675.434074004279</v>
      </c>
      <c r="AP863">
        <v>21640.0608854702</v>
      </c>
      <c r="AQ863">
        <v>2964.6268114659142</v>
      </c>
      <c r="AR863">
        <v>9.3655096468266662E-3</v>
      </c>
      <c r="AS863">
        <v>155.95988538407619</v>
      </c>
      <c r="AT863">
        <v>113.5963974477592</v>
      </c>
      <c r="AU863">
        <v>7.7748489260293088</v>
      </c>
      <c r="AV863">
        <v>249.17919440153639</v>
      </c>
      <c r="AW863">
        <v>288.73507929582939</v>
      </c>
      <c r="AX863">
        <v>39.55588489429303</v>
      </c>
      <c r="AY863">
        <v>1.4657599670678609</v>
      </c>
      <c r="AZ863" t="str">
        <f>VLOOKUP(BA863,Sheet1!$A$1:$B$58,2,FALSE)</f>
        <v>1-Propanol (PW1)</v>
      </c>
      <c r="BA863" t="s">
        <v>78</v>
      </c>
      <c r="BB863" t="s">
        <v>79</v>
      </c>
      <c r="BC863">
        <v>60.093820000000001</v>
      </c>
      <c r="BD863">
        <v>6</v>
      </c>
      <c r="BE863">
        <v>97</v>
      </c>
      <c r="BF863" t="s">
        <v>208</v>
      </c>
      <c r="BG863">
        <v>2.1970645234401829</v>
      </c>
      <c r="BH863">
        <v>0.33333333333333298</v>
      </c>
      <c r="BI863">
        <v>0.333565465485468</v>
      </c>
      <c r="BJ863">
        <v>90</v>
      </c>
      <c r="BK863">
        <v>961.78048379867539</v>
      </c>
      <c r="BL863">
        <v>131.76119162070719</v>
      </c>
      <c r="BM863">
        <v>2.6854019011361001</v>
      </c>
      <c r="BN863">
        <v>456.51832319313701</v>
      </c>
      <c r="BO863">
        <v>505.26216060553838</v>
      </c>
    </row>
    <row r="864" spans="1:67" x14ac:dyDescent="0.25">
      <c r="A864" s="1">
        <v>862</v>
      </c>
      <c r="B864" t="s">
        <v>206</v>
      </c>
      <c r="C864" t="s">
        <v>207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67</v>
      </c>
      <c r="J864">
        <v>1.3440000000000001</v>
      </c>
      <c r="K864">
        <v>500</v>
      </c>
      <c r="L864">
        <v>100</v>
      </c>
      <c r="N864" t="s">
        <v>68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56833.349994685494</v>
      </c>
      <c r="Z864">
        <v>284166749.97342747</v>
      </c>
      <c r="AA864">
        <v>381920111.96428663</v>
      </c>
      <c r="AB864">
        <v>381920.11196428648</v>
      </c>
      <c r="AC864">
        <v>0</v>
      </c>
      <c r="AD864">
        <v>2945.1808003600459</v>
      </c>
      <c r="AE864">
        <v>1325331.3601620209</v>
      </c>
      <c r="AF864">
        <v>1325331.3601620209</v>
      </c>
      <c r="AG864">
        <v>79.587155429563055</v>
      </c>
      <c r="AH864">
        <v>116.6556663214611</v>
      </c>
      <c r="AI864">
        <v>116.6556663214611</v>
      </c>
      <c r="AJ864">
        <v>12412.403638839311</v>
      </c>
      <c r="AK864">
        <v>854.70085470085473</v>
      </c>
      <c r="AL864" t="s">
        <v>69</v>
      </c>
      <c r="AM864">
        <v>9040.814139913231</v>
      </c>
      <c r="AN864">
        <v>618.77810991726608</v>
      </c>
      <c r="AO864">
        <v>19831.46327464838</v>
      </c>
      <c r="AP864">
        <v>22926.69674337066</v>
      </c>
      <c r="AQ864">
        <v>3095.2334687222829</v>
      </c>
      <c r="AR864">
        <v>9.3655096468266679E-3</v>
      </c>
      <c r="AS864">
        <v>155.95988538407619</v>
      </c>
      <c r="AT864">
        <v>113.5963974477592</v>
      </c>
      <c r="AU864">
        <v>7.7748489260293114</v>
      </c>
      <c r="AV864">
        <v>249.17919440153631</v>
      </c>
      <c r="AW864">
        <v>288.07031259788459</v>
      </c>
      <c r="AX864">
        <v>38.891118196348287</v>
      </c>
      <c r="AY864">
        <v>1.4657599670678609</v>
      </c>
      <c r="AZ864" t="str">
        <f>VLOOKUP(BA864,Sheet1!$A$1:$B$58,2,FALSE)</f>
        <v>1-Propanol (PW2)</v>
      </c>
      <c r="BA864" t="s">
        <v>80</v>
      </c>
      <c r="BB864" t="s">
        <v>79</v>
      </c>
      <c r="BC864">
        <v>60.093820000000001</v>
      </c>
      <c r="BD864">
        <v>6</v>
      </c>
      <c r="BE864">
        <v>97</v>
      </c>
      <c r="BF864" t="s">
        <v>208</v>
      </c>
      <c r="BG864">
        <v>2.469065777572379</v>
      </c>
      <c r="BH864">
        <v>0.31390243902439102</v>
      </c>
      <c r="BI864">
        <v>0.31412103957058402</v>
      </c>
      <c r="BJ864">
        <v>90</v>
      </c>
      <c r="BK864">
        <v>1018.964299705363</v>
      </c>
      <c r="BL864">
        <v>137.56593194321241</v>
      </c>
      <c r="BM864">
        <v>2.7156305033814458</v>
      </c>
      <c r="BN864">
        <v>461.65718557484581</v>
      </c>
      <c r="BO864">
        <v>557.30711413051688</v>
      </c>
    </row>
    <row r="865" spans="1:67" x14ac:dyDescent="0.25">
      <c r="A865" s="1">
        <v>863</v>
      </c>
      <c r="B865" t="s">
        <v>206</v>
      </c>
      <c r="C865" t="s">
        <v>207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67</v>
      </c>
      <c r="J865">
        <v>1.3440000000000001</v>
      </c>
      <c r="K865">
        <v>500</v>
      </c>
      <c r="L865">
        <v>100</v>
      </c>
      <c r="N865" t="s">
        <v>68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43619.618267377249</v>
      </c>
      <c r="Z865">
        <v>218098091.33688629</v>
      </c>
      <c r="AA865">
        <v>293123834.75677508</v>
      </c>
      <c r="AB865">
        <v>293123.83475677512</v>
      </c>
      <c r="AC865">
        <v>0</v>
      </c>
      <c r="AD865">
        <v>2260.4274119355432</v>
      </c>
      <c r="AE865">
        <v>1017192.3353709941</v>
      </c>
      <c r="AF865">
        <v>1017192.3353709941</v>
      </c>
      <c r="AG865">
        <v>61.083172805203091</v>
      </c>
      <c r="AH865">
        <v>89.533269359354904</v>
      </c>
      <c r="AI865">
        <v>89.533269359354904</v>
      </c>
      <c r="AJ865">
        <v>9526.5246295951911</v>
      </c>
      <c r="AK865">
        <v>854.70085470085473</v>
      </c>
      <c r="AL865" t="s">
        <v>69</v>
      </c>
      <c r="AM865">
        <v>6938.8283753500054</v>
      </c>
      <c r="AN865">
        <v>474.91244048299592</v>
      </c>
      <c r="AO865">
        <v>15220.65579109033</v>
      </c>
      <c r="AP865">
        <v>17794.96630012905</v>
      </c>
      <c r="AQ865">
        <v>2574.310509038713</v>
      </c>
      <c r="AR865">
        <v>9.3655096468266644E-3</v>
      </c>
      <c r="AS865">
        <v>155.9598853840761</v>
      </c>
      <c r="AT865">
        <v>113.5963974477592</v>
      </c>
      <c r="AU865">
        <v>7.7748489260293088</v>
      </c>
      <c r="AV865">
        <v>249.17919440153631</v>
      </c>
      <c r="AW865">
        <v>291.32354268626437</v>
      </c>
      <c r="AX865">
        <v>42.144348284728117</v>
      </c>
      <c r="AY865">
        <v>1.46575996706786</v>
      </c>
      <c r="AZ865" t="str">
        <f>VLOOKUP(BA865,Sheet1!$A$1:$B$58,2,FALSE)</f>
        <v>2,3-Butanediol</v>
      </c>
      <c r="BA865" t="s">
        <v>81</v>
      </c>
      <c r="BB865" t="s">
        <v>71</v>
      </c>
      <c r="BC865">
        <v>90.119200000000006</v>
      </c>
      <c r="BD865">
        <v>5.5</v>
      </c>
      <c r="BE865">
        <v>177</v>
      </c>
      <c r="BF865" t="s">
        <v>208</v>
      </c>
      <c r="BG865">
        <v>1.62784401104315</v>
      </c>
      <c r="BH865">
        <v>0.27272727272727298</v>
      </c>
      <c r="BI865">
        <v>0.40927801965569299</v>
      </c>
      <c r="BJ865">
        <v>90</v>
      </c>
      <c r="BK865">
        <v>790.88739111684652</v>
      </c>
      <c r="BL865">
        <v>114.41380040172049</v>
      </c>
      <c r="BM865">
        <v>2.3514124049281788</v>
      </c>
      <c r="BN865">
        <v>399.74010883779039</v>
      </c>
      <c r="BO865">
        <v>391.14728227905613</v>
      </c>
    </row>
    <row r="866" spans="1:67" x14ac:dyDescent="0.25">
      <c r="A866" s="1">
        <v>864</v>
      </c>
      <c r="B866" t="s">
        <v>206</v>
      </c>
      <c r="C866" t="s">
        <v>207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67</v>
      </c>
      <c r="J866">
        <v>1.3440000000000001</v>
      </c>
      <c r="K866">
        <v>500</v>
      </c>
      <c r="L866">
        <v>100</v>
      </c>
      <c r="N866" t="s">
        <v>68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61426.688169489789</v>
      </c>
      <c r="Z866">
        <v>307133440.84744889</v>
      </c>
      <c r="AA866">
        <v>412787344.4989714</v>
      </c>
      <c r="AB866">
        <v>412787.34449897142</v>
      </c>
      <c r="AC866">
        <v>0</v>
      </c>
      <c r="AD866">
        <v>3183.2137757742971</v>
      </c>
      <c r="AE866">
        <v>1432446.1990984341</v>
      </c>
      <c r="AF866">
        <v>1432446.1990984341</v>
      </c>
      <c r="AG866">
        <v>86.019482914972244</v>
      </c>
      <c r="AH866">
        <v>126.08391444464409</v>
      </c>
      <c r="AI866">
        <v>126.08391444464409</v>
      </c>
      <c r="AJ866">
        <v>13415.58869621657</v>
      </c>
      <c r="AK866">
        <v>854.70085470085473</v>
      </c>
      <c r="AL866" t="s">
        <v>69</v>
      </c>
      <c r="AM866">
        <v>9771.5033694599169</v>
      </c>
      <c r="AN866">
        <v>668.78848435906843</v>
      </c>
      <c r="AO866">
        <v>21434.265455589499</v>
      </c>
      <c r="AP866">
        <v>24710.581404736411</v>
      </c>
      <c r="AQ866">
        <v>3276.315949146916</v>
      </c>
      <c r="AR866">
        <v>9.3655096468266662E-3</v>
      </c>
      <c r="AS866">
        <v>155.95988538407619</v>
      </c>
      <c r="AT866">
        <v>113.5963974477592</v>
      </c>
      <c r="AU866">
        <v>7.7748489260293088</v>
      </c>
      <c r="AV866">
        <v>249.17919440153631</v>
      </c>
      <c r="AW866">
        <v>287.26726280326631</v>
      </c>
      <c r="AX866">
        <v>38.088068401730062</v>
      </c>
      <c r="AY866">
        <v>1.46575996706786</v>
      </c>
      <c r="AZ866" t="str">
        <f>VLOOKUP(BA866,Sheet1!$A$1:$B$58,2,FALSE)</f>
        <v>2-Methyl-1-Butanol</v>
      </c>
      <c r="BA866" t="s">
        <v>82</v>
      </c>
      <c r="BB866" t="s">
        <v>83</v>
      </c>
      <c r="BC866">
        <v>88.14658</v>
      </c>
      <c r="BD866">
        <v>6</v>
      </c>
      <c r="BE866">
        <v>129</v>
      </c>
      <c r="BF866" t="s">
        <v>208</v>
      </c>
      <c r="BG866">
        <v>2.5468424815285462</v>
      </c>
      <c r="BH866">
        <v>0.19800000000000001</v>
      </c>
      <c r="BI866">
        <v>0.290631833077999</v>
      </c>
      <c r="BJ866">
        <v>90</v>
      </c>
      <c r="BK866">
        <v>1098.2480624327291</v>
      </c>
      <c r="BL866">
        <v>145.61404218430721</v>
      </c>
      <c r="BM866">
        <v>3.0568870493445242</v>
      </c>
      <c r="BN866">
        <v>519.6707983885691</v>
      </c>
      <c r="BO866">
        <v>578.57726404416019</v>
      </c>
    </row>
    <row r="867" spans="1:67" x14ac:dyDescent="0.25">
      <c r="A867" s="1">
        <v>865</v>
      </c>
      <c r="B867" t="s">
        <v>206</v>
      </c>
      <c r="C867" t="s">
        <v>207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67</v>
      </c>
      <c r="J867">
        <v>1.3440000000000001</v>
      </c>
      <c r="K867">
        <v>500</v>
      </c>
      <c r="L867">
        <v>100</v>
      </c>
      <c r="N867" t="s">
        <v>68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25644.584497532542</v>
      </c>
      <c r="Z867">
        <v>128222922.4876627</v>
      </c>
      <c r="AA867">
        <v>172331607.82341871</v>
      </c>
      <c r="AB867">
        <v>172331.60782341869</v>
      </c>
      <c r="AC867">
        <v>0</v>
      </c>
      <c r="AD867">
        <v>1328.9369340784301</v>
      </c>
      <c r="AE867">
        <v>598021.6203352937</v>
      </c>
      <c r="AF867">
        <v>598021.6203352937</v>
      </c>
      <c r="AG867">
        <v>35.911652797565843</v>
      </c>
      <c r="AH867">
        <v>52.637863021912551</v>
      </c>
      <c r="AI867">
        <v>52.637863021912551</v>
      </c>
      <c r="AJ867">
        <v>5600.7772542611074</v>
      </c>
      <c r="AK867">
        <v>1835.336538461539</v>
      </c>
      <c r="AL867" t="s">
        <v>84</v>
      </c>
      <c r="AM867">
        <v>4079.4343841982231</v>
      </c>
      <c r="AN867">
        <v>279.20767518509223</v>
      </c>
      <c r="AO867">
        <v>8948.4367137251338</v>
      </c>
      <c r="AP867">
        <v>11794.75585210596</v>
      </c>
      <c r="AQ867">
        <v>2846.319138380828</v>
      </c>
      <c r="AR867">
        <v>9.3655096468266662E-3</v>
      </c>
      <c r="AS867">
        <v>155.95988538407619</v>
      </c>
      <c r="AT867">
        <v>113.5963974477592</v>
      </c>
      <c r="AU867">
        <v>7.7748489260293114</v>
      </c>
      <c r="AV867">
        <v>249.17919440153631</v>
      </c>
      <c r="AW867">
        <v>328.43812337441148</v>
      </c>
      <c r="AX867">
        <v>79.258928972875225</v>
      </c>
      <c r="AY867">
        <v>1.46575996706786</v>
      </c>
      <c r="AZ867" t="str">
        <f>VLOOKUP(BA867,Sheet1!$A$1:$B$58,2,FALSE)</f>
        <v>2-Pyrone-4,6-Dicarboxylate</v>
      </c>
      <c r="BA867" t="s">
        <v>85</v>
      </c>
      <c r="BB867" t="s">
        <v>86</v>
      </c>
      <c r="BC867">
        <v>182.08457999999999</v>
      </c>
      <c r="BD867">
        <v>2.5714285714285721</v>
      </c>
      <c r="BE867">
        <v>355.5</v>
      </c>
      <c r="BF867" t="s">
        <v>208</v>
      </c>
      <c r="BG867">
        <v>0.41356500839436111</v>
      </c>
      <c r="BH867">
        <v>0.229593147751606</v>
      </c>
      <c r="BI867">
        <v>0.69615286550371602</v>
      </c>
      <c r="BJ867">
        <v>90</v>
      </c>
      <c r="BK867">
        <v>524.21137120470939</v>
      </c>
      <c r="BL867">
        <v>126.5030728169256</v>
      </c>
      <c r="BM867">
        <v>1.925895570357308</v>
      </c>
      <c r="BN867">
        <v>327.40224696074227</v>
      </c>
      <c r="BO867">
        <v>196.80912424396709</v>
      </c>
    </row>
    <row r="868" spans="1:67" x14ac:dyDescent="0.25">
      <c r="A868" s="1">
        <v>866</v>
      </c>
      <c r="B868" t="s">
        <v>206</v>
      </c>
      <c r="C868" t="s">
        <v>207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67</v>
      </c>
      <c r="J868">
        <v>1.3440000000000001</v>
      </c>
      <c r="K868">
        <v>500</v>
      </c>
      <c r="L868">
        <v>100</v>
      </c>
      <c r="N868" t="s">
        <v>68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64681.701569285309</v>
      </c>
      <c r="Z868">
        <v>323408507.84642649</v>
      </c>
      <c r="AA868">
        <v>434661034.54559731</v>
      </c>
      <c r="AB868">
        <v>434661.03454559727</v>
      </c>
      <c r="AC868">
        <v>0</v>
      </c>
      <c r="AD868">
        <v>3351.8929574675958</v>
      </c>
      <c r="AE868">
        <v>1508351.830860418</v>
      </c>
      <c r="AF868">
        <v>1508351.830860418</v>
      </c>
      <c r="AG868">
        <v>90.577673790559558</v>
      </c>
      <c r="AH868">
        <v>132.765128152334</v>
      </c>
      <c r="AI868">
        <v>132.765128152334</v>
      </c>
      <c r="AJ868">
        <v>14126.48362273191</v>
      </c>
      <c r="AK868">
        <v>854.70085470085473</v>
      </c>
      <c r="AL868" t="s">
        <v>69</v>
      </c>
      <c r="AM868">
        <v>10289.29743180588</v>
      </c>
      <c r="AN868">
        <v>704.2277297927651</v>
      </c>
      <c r="AO868">
        <v>22570.07178589678</v>
      </c>
      <c r="AP868">
        <v>25974.709639031418</v>
      </c>
      <c r="AQ868">
        <v>3404.6378531346381</v>
      </c>
      <c r="AR868">
        <v>9.3655096468266679E-3</v>
      </c>
      <c r="AS868">
        <v>155.95988538407619</v>
      </c>
      <c r="AT868">
        <v>113.5963974477592</v>
      </c>
      <c r="AU868">
        <v>7.7748489260293088</v>
      </c>
      <c r="AV868">
        <v>249.17919440153631</v>
      </c>
      <c r="AW868">
        <v>286.76724133026511</v>
      </c>
      <c r="AX868">
        <v>37.588046928728737</v>
      </c>
      <c r="AY868">
        <v>1.4657599670678609</v>
      </c>
      <c r="AZ868" t="str">
        <f>VLOOKUP(BA868,Sheet1!$A$1:$B$58,2,FALSE)</f>
        <v>3-Methyl-1-Pentanol</v>
      </c>
      <c r="BA868" t="s">
        <v>87</v>
      </c>
      <c r="BB868" t="s">
        <v>88</v>
      </c>
      <c r="BC868">
        <v>102.17296</v>
      </c>
      <c r="BD868">
        <v>6</v>
      </c>
      <c r="BE868">
        <v>153</v>
      </c>
      <c r="BF868" t="s">
        <v>208</v>
      </c>
      <c r="BG868">
        <v>2.7260543405602791</v>
      </c>
      <c r="BH868">
        <v>0.16222222222222199</v>
      </c>
      <c r="BI868">
        <v>0.27600620499271</v>
      </c>
      <c r="BJ868">
        <v>90</v>
      </c>
      <c r="BK868">
        <v>1154.431539512507</v>
      </c>
      <c r="BL868">
        <v>151.31723791709501</v>
      </c>
      <c r="BM868">
        <v>3.1746180217656779</v>
      </c>
      <c r="BN868">
        <v>539.6850637001653</v>
      </c>
      <c r="BO868">
        <v>614.74647581234217</v>
      </c>
    </row>
    <row r="869" spans="1:67" x14ac:dyDescent="0.25">
      <c r="A869" s="1">
        <v>867</v>
      </c>
      <c r="B869" t="s">
        <v>206</v>
      </c>
      <c r="C869" t="s">
        <v>207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67</v>
      </c>
      <c r="J869">
        <v>1.3440000000000001</v>
      </c>
      <c r="K869">
        <v>500</v>
      </c>
      <c r="L869">
        <v>100</v>
      </c>
      <c r="N869" t="s">
        <v>68</v>
      </c>
      <c r="O869">
        <v>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59625.711492109593</v>
      </c>
      <c r="Z869">
        <v>298128557.46054792</v>
      </c>
      <c r="AA869">
        <v>400684781.22697651</v>
      </c>
      <c r="AB869">
        <v>400684.78122697643</v>
      </c>
      <c r="AC869">
        <v>0</v>
      </c>
      <c r="AD869">
        <v>3089.8847368805409</v>
      </c>
      <c r="AE869">
        <v>1390448.1315962439</v>
      </c>
      <c r="AF869">
        <v>1390448.1315962439</v>
      </c>
      <c r="AG869">
        <v>83.497467042934446</v>
      </c>
      <c r="AH869">
        <v>122.3872445431014</v>
      </c>
      <c r="AI869">
        <v>122.3872445431014</v>
      </c>
      <c r="AJ869">
        <v>13022.255389876729</v>
      </c>
      <c r="AK869">
        <v>854.70085470085473</v>
      </c>
      <c r="AL869" t="s">
        <v>69</v>
      </c>
      <c r="AM869">
        <v>9485.0114520903571</v>
      </c>
      <c r="AN869">
        <v>649.18019196492639</v>
      </c>
      <c r="AO869">
        <v>20805.831572327239</v>
      </c>
      <c r="AP869">
        <v>24011.14788863287</v>
      </c>
      <c r="AQ869">
        <v>3205.3163163056379</v>
      </c>
      <c r="AR869">
        <v>9.3655096468266662E-3</v>
      </c>
      <c r="AS869">
        <v>155.95988538407619</v>
      </c>
      <c r="AT869">
        <v>113.5963974477592</v>
      </c>
      <c r="AU869">
        <v>7.7748489260293088</v>
      </c>
      <c r="AV869">
        <v>249.17919440153639</v>
      </c>
      <c r="AW869">
        <v>287.56738065223379</v>
      </c>
      <c r="AX869">
        <v>38.38818625069743</v>
      </c>
      <c r="AY869">
        <v>1.4657599670678609</v>
      </c>
      <c r="AZ869" t="str">
        <f>VLOOKUP(BA869,Sheet1!$A$1:$B$58,2,FALSE)</f>
        <v>4-Hydroxystyrene</v>
      </c>
      <c r="BA869" t="s">
        <v>89</v>
      </c>
      <c r="BB869" t="s">
        <v>90</v>
      </c>
      <c r="BC869">
        <v>120.14731999999999</v>
      </c>
      <c r="BD869">
        <v>4.75</v>
      </c>
      <c r="BE869">
        <v>229</v>
      </c>
      <c r="BF869" t="s">
        <v>208</v>
      </c>
      <c r="BG869">
        <v>1.964986253274992</v>
      </c>
      <c r="BH869">
        <v>0.14965116279069701</v>
      </c>
      <c r="BI869">
        <v>0.29941028016029497</v>
      </c>
      <c r="BJ869">
        <v>90</v>
      </c>
      <c r="BK869">
        <v>1067.162128383683</v>
      </c>
      <c r="BL869">
        <v>142.45850294691729</v>
      </c>
      <c r="BM869">
        <v>3.474446837529515</v>
      </c>
      <c r="BN869">
        <v>590.65596238001751</v>
      </c>
      <c r="BO869">
        <v>476.50616600366601</v>
      </c>
    </row>
    <row r="870" spans="1:67" x14ac:dyDescent="0.25">
      <c r="A870" s="1">
        <v>868</v>
      </c>
      <c r="B870" t="s">
        <v>206</v>
      </c>
      <c r="C870" t="s">
        <v>207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67</v>
      </c>
      <c r="J870">
        <v>1.3440000000000001</v>
      </c>
      <c r="K870">
        <v>500</v>
      </c>
      <c r="L870">
        <v>100</v>
      </c>
      <c r="N870" t="s">
        <v>68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44208.361504974768</v>
      </c>
      <c r="Z870">
        <v>221041807.52487391</v>
      </c>
      <c r="AA870">
        <v>297080189.31343049</v>
      </c>
      <c r="AB870">
        <v>297080.18931343051</v>
      </c>
      <c r="AC870">
        <v>0</v>
      </c>
      <c r="AD870">
        <v>2290.936880053755</v>
      </c>
      <c r="AE870">
        <v>1030921.59602419</v>
      </c>
      <c r="AF870">
        <v>1030921.59602419</v>
      </c>
      <c r="AG870">
        <v>61.907625341665558</v>
      </c>
      <c r="AH870">
        <v>90.741718882049156</v>
      </c>
      <c r="AI870">
        <v>90.741718882049156</v>
      </c>
      <c r="AJ870">
        <v>9655.1061526864924</v>
      </c>
      <c r="AK870">
        <v>854.70085470085473</v>
      </c>
      <c r="AL870" t="s">
        <v>69</v>
      </c>
      <c r="AM870">
        <v>7032.4832133588097</v>
      </c>
      <c r="AN870">
        <v>481.32243440067322</v>
      </c>
      <c r="AO870">
        <v>15426.09220994836</v>
      </c>
      <c r="AP870">
        <v>18023.61265514683</v>
      </c>
      <c r="AQ870">
        <v>2597.5204451984741</v>
      </c>
      <c r="AR870">
        <v>9.3655096468266679E-3</v>
      </c>
      <c r="AS870">
        <v>155.95988538407619</v>
      </c>
      <c r="AT870">
        <v>113.5963974477592</v>
      </c>
      <c r="AU870">
        <v>7.774848926029307</v>
      </c>
      <c r="AV870">
        <v>249.17919440153631</v>
      </c>
      <c r="AW870">
        <v>291.13719926544229</v>
      </c>
      <c r="AX870">
        <v>41.958004863906041</v>
      </c>
      <c r="AY870">
        <v>1.46575996706786</v>
      </c>
      <c r="AZ870" t="str">
        <f>VLOOKUP(BA870,Sheet1!$A$1:$B$58,2,FALSE)</f>
        <v>5-Aminopentanoate</v>
      </c>
      <c r="BA870" t="s">
        <v>91</v>
      </c>
      <c r="BB870" t="s">
        <v>92</v>
      </c>
      <c r="BC870">
        <v>117.14444</v>
      </c>
      <c r="BD870">
        <v>4.8</v>
      </c>
      <c r="BE870">
        <v>247.5</v>
      </c>
      <c r="BF870" t="s">
        <v>208</v>
      </c>
      <c r="BG870">
        <v>1.7511435793127079</v>
      </c>
      <c r="BH870">
        <v>0.20701492537313501</v>
      </c>
      <c r="BI870">
        <v>0.40382747459664398</v>
      </c>
      <c r="BJ870">
        <v>90</v>
      </c>
      <c r="BK870">
        <v>801.04945133985905</v>
      </c>
      <c r="BL870">
        <v>115.44535311993231</v>
      </c>
      <c r="BM870">
        <v>2.28182170433392</v>
      </c>
      <c r="BN870">
        <v>387.9096897367665</v>
      </c>
      <c r="BO870">
        <v>413.13976160309261</v>
      </c>
    </row>
    <row r="871" spans="1:67" x14ac:dyDescent="0.25">
      <c r="A871" s="1">
        <v>869</v>
      </c>
      <c r="B871" t="s">
        <v>206</v>
      </c>
      <c r="C871" t="s">
        <v>207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67</v>
      </c>
      <c r="J871">
        <v>1.3440000000000001</v>
      </c>
      <c r="K871">
        <v>500</v>
      </c>
      <c r="L871">
        <v>100</v>
      </c>
      <c r="N871" t="s">
        <v>68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51132.344356921523</v>
      </c>
      <c r="Z871">
        <v>255661721.78460759</v>
      </c>
      <c r="AA871">
        <v>343609354.07851273</v>
      </c>
      <c r="AB871">
        <v>343609.3540785127</v>
      </c>
      <c r="AC871">
        <v>0</v>
      </c>
      <c r="AD871">
        <v>2649.7470040299531</v>
      </c>
      <c r="AE871">
        <v>1192386.1518134789</v>
      </c>
      <c r="AF871">
        <v>1192386.1518134789</v>
      </c>
      <c r="AG871">
        <v>71.603694629874767</v>
      </c>
      <c r="AH871">
        <v>104.95382908262241</v>
      </c>
      <c r="AI871">
        <v>104.95382908262241</v>
      </c>
      <c r="AJ871">
        <v>11167.30400755166</v>
      </c>
      <c r="AK871">
        <v>854.70085470085473</v>
      </c>
      <c r="AL871" t="s">
        <v>69</v>
      </c>
      <c r="AM871">
        <v>8133.9217539032352</v>
      </c>
      <c r="AN871">
        <v>556.70790829281248</v>
      </c>
      <c r="AO871">
        <v>17842.15094404581</v>
      </c>
      <c r="AP871">
        <v>20712.634524448571</v>
      </c>
      <c r="AQ871">
        <v>2870.4835804027612</v>
      </c>
      <c r="AR871">
        <v>9.3655096468266696E-3</v>
      </c>
      <c r="AS871">
        <v>155.95988538407619</v>
      </c>
      <c r="AT871">
        <v>113.5963974477592</v>
      </c>
      <c r="AU871">
        <v>7.7748489260293114</v>
      </c>
      <c r="AV871">
        <v>249.17919440153631</v>
      </c>
      <c r="AW871">
        <v>289.26767859555059</v>
      </c>
      <c r="AX871">
        <v>40.088484194014278</v>
      </c>
      <c r="AY871">
        <v>1.4657599670678609</v>
      </c>
      <c r="AZ871" t="str">
        <f>VLOOKUP(BA871,Sheet1!$A$1:$B$58,2,FALSE)</f>
        <v>Acetone</v>
      </c>
      <c r="BA871" t="s">
        <v>93</v>
      </c>
      <c r="BB871" t="s">
        <v>94</v>
      </c>
      <c r="BC871">
        <v>58.078139999999998</v>
      </c>
      <c r="BD871">
        <v>5.333333333333333</v>
      </c>
      <c r="BE871">
        <v>56</v>
      </c>
      <c r="BF871" t="s">
        <v>208</v>
      </c>
      <c r="BG871">
        <v>1.9247498724538821</v>
      </c>
      <c r="BH871">
        <v>0.361010101010101</v>
      </c>
      <c r="BI871">
        <v>0.34914399500231103</v>
      </c>
      <c r="BJ871">
        <v>90</v>
      </c>
      <c r="BK871">
        <v>920.56153441993627</v>
      </c>
      <c r="BL871">
        <v>127.5770480179004</v>
      </c>
      <c r="BM871">
        <v>2.7398647534404472</v>
      </c>
      <c r="BN871">
        <v>465.77700808487589</v>
      </c>
      <c r="BO871">
        <v>454.78452633506032</v>
      </c>
    </row>
    <row r="872" spans="1:67" x14ac:dyDescent="0.25">
      <c r="A872" s="1">
        <v>870</v>
      </c>
      <c r="B872" t="s">
        <v>206</v>
      </c>
      <c r="C872" t="s">
        <v>207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67</v>
      </c>
      <c r="J872">
        <v>1.3440000000000001</v>
      </c>
      <c r="K872">
        <v>500</v>
      </c>
      <c r="L872">
        <v>100</v>
      </c>
      <c r="N872" t="s">
        <v>68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35170.962758289883</v>
      </c>
      <c r="Z872">
        <v>175854813.7914494</v>
      </c>
      <c r="AA872">
        <v>236348869.73570809</v>
      </c>
      <c r="AB872">
        <v>236348.86973570811</v>
      </c>
      <c r="AC872">
        <v>0</v>
      </c>
      <c r="AD872">
        <v>1822.6066958146901</v>
      </c>
      <c r="AE872">
        <v>820173.01311661059</v>
      </c>
      <c r="AF872">
        <v>820173.01311661059</v>
      </c>
      <c r="AG872">
        <v>49.252012769142432</v>
      </c>
      <c r="AH872">
        <v>72.191628614524063</v>
      </c>
      <c r="AI872">
        <v>72.191628614524063</v>
      </c>
      <c r="AJ872">
        <v>7681.338266410512</v>
      </c>
      <c r="AK872">
        <v>854.70085470085473</v>
      </c>
      <c r="AL872" t="s">
        <v>69</v>
      </c>
      <c r="AM872">
        <v>5594.8512176256136</v>
      </c>
      <c r="AN872">
        <v>382.92695858294888</v>
      </c>
      <c r="AO872">
        <v>12272.576864469091</v>
      </c>
      <c r="AP872">
        <v>14513.817297319931</v>
      </c>
      <c r="AQ872">
        <v>2241.2404328508419</v>
      </c>
      <c r="AR872">
        <v>9.3655096468266679E-3</v>
      </c>
      <c r="AS872">
        <v>155.95988538407619</v>
      </c>
      <c r="AT872">
        <v>113.5963974477592</v>
      </c>
      <c r="AU872">
        <v>7.7748489260293114</v>
      </c>
      <c r="AV872">
        <v>249.17919440153631</v>
      </c>
      <c r="AW872">
        <v>294.68475461805258</v>
      </c>
      <c r="AX872">
        <v>45.505560216516329</v>
      </c>
      <c r="AY872">
        <v>1.4657599670678609</v>
      </c>
      <c r="AZ872" t="str">
        <f>VLOOKUP(BA872,Sheet1!$A$1:$B$58,2,FALSE)</f>
        <v>Acrylate (PW1)</v>
      </c>
      <c r="BA872" t="s">
        <v>95</v>
      </c>
      <c r="BB872" t="s">
        <v>96</v>
      </c>
      <c r="BC872">
        <v>71.053619999999995</v>
      </c>
      <c r="BD872">
        <v>3.666666666666667</v>
      </c>
      <c r="BE872">
        <v>80</v>
      </c>
      <c r="BF872" t="s">
        <v>208</v>
      </c>
      <c r="BG872">
        <v>1.029431367111558</v>
      </c>
      <c r="BH872">
        <v>0.42900000000000099</v>
      </c>
      <c r="BI872">
        <v>0.50759346866049504</v>
      </c>
      <c r="BJ872">
        <v>90</v>
      </c>
      <c r="BK872">
        <v>645.05854654755251</v>
      </c>
      <c r="BL872">
        <v>99.610685904481855</v>
      </c>
      <c r="BM872">
        <v>2.1790854602006231</v>
      </c>
      <c r="BN872">
        <v>370.44452823410592</v>
      </c>
      <c r="BO872">
        <v>274.61401831344659</v>
      </c>
    </row>
    <row r="873" spans="1:67" x14ac:dyDescent="0.25">
      <c r="A873" s="1">
        <v>871</v>
      </c>
      <c r="B873" t="s">
        <v>206</v>
      </c>
      <c r="C873" t="s">
        <v>207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67</v>
      </c>
      <c r="J873">
        <v>1.3440000000000001</v>
      </c>
      <c r="K873">
        <v>500</v>
      </c>
      <c r="L873">
        <v>100</v>
      </c>
      <c r="N873" t="s">
        <v>68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30176.686046612729</v>
      </c>
      <c r="Z873">
        <v>150883430.2330637</v>
      </c>
      <c r="AA873">
        <v>202787330.23323759</v>
      </c>
      <c r="AB873">
        <v>202787.33023323759</v>
      </c>
      <c r="AC873">
        <v>0</v>
      </c>
      <c r="AD873">
        <v>1563.7965450090051</v>
      </c>
      <c r="AE873">
        <v>703708.44525405229</v>
      </c>
      <c r="AF873">
        <v>703708.44525405229</v>
      </c>
      <c r="AG873">
        <v>42.258226955924229</v>
      </c>
      <c r="AH873">
        <v>61.940417351261672</v>
      </c>
      <c r="AI873">
        <v>61.940417351261672</v>
      </c>
      <c r="AJ873">
        <v>6590.5882325802222</v>
      </c>
      <c r="AK873">
        <v>854.70085470085473</v>
      </c>
      <c r="AL873" t="s">
        <v>69</v>
      </c>
      <c r="AM873">
        <v>4800.3823447227787</v>
      </c>
      <c r="AN873">
        <v>328.55133046417029</v>
      </c>
      <c r="AO873">
        <v>10529.870949714479</v>
      </c>
      <c r="AP873">
        <v>12574.222762468031</v>
      </c>
      <c r="AQ873">
        <v>2044.3518127535431</v>
      </c>
      <c r="AR873">
        <v>9.3655096468266662E-3</v>
      </c>
      <c r="AS873">
        <v>155.95988538407619</v>
      </c>
      <c r="AT873">
        <v>113.5963974477592</v>
      </c>
      <c r="AU873">
        <v>7.7748489260293088</v>
      </c>
      <c r="AV873">
        <v>249.17919440153631</v>
      </c>
      <c r="AW873">
        <v>297.55679942708127</v>
      </c>
      <c r="AX873">
        <v>48.377605025545023</v>
      </c>
      <c r="AY873">
        <v>1.46575996706786</v>
      </c>
      <c r="AZ873" t="str">
        <f>VLOOKUP(BA873,Sheet1!$A$1:$B$58,2,FALSE)</f>
        <v>Acrylate (PW2)</v>
      </c>
      <c r="BA873" t="s">
        <v>97</v>
      </c>
      <c r="BB873" t="s">
        <v>96</v>
      </c>
      <c r="BC873">
        <v>71.053619999999995</v>
      </c>
      <c r="BD873">
        <v>3.666666666666667</v>
      </c>
      <c r="BE873">
        <v>80</v>
      </c>
      <c r="BF873" t="s">
        <v>208</v>
      </c>
      <c r="BG873">
        <v>0.61939138357764301</v>
      </c>
      <c r="BH873">
        <v>0.5</v>
      </c>
      <c r="BI873">
        <v>0.59160077932458599</v>
      </c>
      <c r="BJ873">
        <v>90</v>
      </c>
      <c r="BK873">
        <v>558.85434499857888</v>
      </c>
      <c r="BL873">
        <v>90.860080566824081</v>
      </c>
      <c r="BM873">
        <v>2.133516054256209</v>
      </c>
      <c r="BN873">
        <v>362.69772922355548</v>
      </c>
      <c r="BO873">
        <v>196.1566157750234</v>
      </c>
    </row>
    <row r="874" spans="1:67" x14ac:dyDescent="0.25">
      <c r="A874" s="1">
        <v>872</v>
      </c>
      <c r="B874" t="s">
        <v>206</v>
      </c>
      <c r="C874" t="s">
        <v>207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67</v>
      </c>
      <c r="J874">
        <v>1.3440000000000001</v>
      </c>
      <c r="K874">
        <v>500</v>
      </c>
      <c r="L874">
        <v>100</v>
      </c>
      <c r="N874" t="s">
        <v>68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37745.675444028057</v>
      </c>
      <c r="Z874">
        <v>188728377.22014031</v>
      </c>
      <c r="AA874">
        <v>253650938.98386851</v>
      </c>
      <c r="AB874">
        <v>253650.93898386849</v>
      </c>
      <c r="AC874">
        <v>0</v>
      </c>
      <c r="AD874">
        <v>1956.0317775525889</v>
      </c>
      <c r="AE874">
        <v>880214.29989866505</v>
      </c>
      <c r="AF874">
        <v>880214.29989866505</v>
      </c>
      <c r="AG874">
        <v>52.857537671782751</v>
      </c>
      <c r="AH874">
        <v>77.476462677080491</v>
      </c>
      <c r="AI874">
        <v>77.476462677080491</v>
      </c>
      <c r="AJ874">
        <v>8243.6555169757285</v>
      </c>
      <c r="AK874">
        <v>854.70085470085473</v>
      </c>
      <c r="AL874" t="s">
        <v>69</v>
      </c>
      <c r="AM874">
        <v>6004.4258574737378</v>
      </c>
      <c r="AN874">
        <v>410.95937000001402</v>
      </c>
      <c r="AO874">
        <v>13170.99865510368</v>
      </c>
      <c r="AP874">
        <v>15513.741599150329</v>
      </c>
      <c r="AQ874">
        <v>2342.7429440466508</v>
      </c>
      <c r="AR874">
        <v>9.3655096468266662E-3</v>
      </c>
      <c r="AS874">
        <v>155.95988538407619</v>
      </c>
      <c r="AT874">
        <v>113.5963974477592</v>
      </c>
      <c r="AU874">
        <v>7.7748489260293114</v>
      </c>
      <c r="AV874">
        <v>249.17919440153631</v>
      </c>
      <c r="AW874">
        <v>293.50102714739438</v>
      </c>
      <c r="AX874">
        <v>44.321832745858131</v>
      </c>
      <c r="AY874">
        <v>1.4657599670678609</v>
      </c>
      <c r="AZ874" t="str">
        <f>VLOOKUP(BA874,Sheet1!$A$1:$B$58,2,FALSE)</f>
        <v>Adipate</v>
      </c>
      <c r="BA874" t="s">
        <v>98</v>
      </c>
      <c r="BB874" t="s">
        <v>99</v>
      </c>
      <c r="BC874">
        <v>144.12291999999999</v>
      </c>
      <c r="BD874">
        <v>4</v>
      </c>
      <c r="BE874">
        <v>337.5</v>
      </c>
      <c r="BF874" t="s">
        <v>208</v>
      </c>
      <c r="BG874">
        <v>1.266808489682707</v>
      </c>
      <c r="BH874">
        <v>0.19707317073170699</v>
      </c>
      <c r="BI874">
        <v>0.47296944014374498</v>
      </c>
      <c r="BJ874">
        <v>90</v>
      </c>
      <c r="BK874">
        <v>689.4996266289038</v>
      </c>
      <c r="BL874">
        <v>104.1219086242956</v>
      </c>
      <c r="BM874">
        <v>2.176589851520871</v>
      </c>
      <c r="BN874">
        <v>370.020274758548</v>
      </c>
      <c r="BO874">
        <v>319.4793518703558</v>
      </c>
    </row>
    <row r="875" spans="1:67" x14ac:dyDescent="0.25">
      <c r="A875" s="1">
        <v>873</v>
      </c>
      <c r="B875" t="s">
        <v>206</v>
      </c>
      <c r="C875" t="s">
        <v>207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67</v>
      </c>
      <c r="J875">
        <v>1.3440000000000001</v>
      </c>
      <c r="K875">
        <v>500</v>
      </c>
      <c r="L875">
        <v>100</v>
      </c>
      <c r="N875" t="s">
        <v>68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50538.580986948327</v>
      </c>
      <c r="Z875">
        <v>252692904.93474159</v>
      </c>
      <c r="AA875">
        <v>339619264.23229277</v>
      </c>
      <c r="AB875">
        <v>339619.26423229277</v>
      </c>
      <c r="AC875">
        <v>0</v>
      </c>
      <c r="AD875">
        <v>2618.977385885577</v>
      </c>
      <c r="AE875">
        <v>1178539.82364851</v>
      </c>
      <c r="AF875">
        <v>1178539.82364851</v>
      </c>
      <c r="AG875">
        <v>70.772212100358956</v>
      </c>
      <c r="AH875">
        <v>103.7350752775418</v>
      </c>
      <c r="AI875">
        <v>103.7350752775418</v>
      </c>
      <c r="AJ875">
        <v>11037.626087549521</v>
      </c>
      <c r="AK875">
        <v>854.70085470085473</v>
      </c>
      <c r="AL875" t="s">
        <v>69</v>
      </c>
      <c r="AM875">
        <v>8039.4683340094916</v>
      </c>
      <c r="AN875">
        <v>550.24325724119444</v>
      </c>
      <c r="AO875">
        <v>17634.96279718211</v>
      </c>
      <c r="AP875">
        <v>20482.038533501051</v>
      </c>
      <c r="AQ875">
        <v>2847.0757363189441</v>
      </c>
      <c r="AR875">
        <v>9.3655096468266679E-3</v>
      </c>
      <c r="AS875">
        <v>155.95988538407619</v>
      </c>
      <c r="AT875">
        <v>113.5963974477592</v>
      </c>
      <c r="AU875">
        <v>7.7748489260293114</v>
      </c>
      <c r="AV875">
        <v>249.17919440153639</v>
      </c>
      <c r="AW875">
        <v>289.40791767899492</v>
      </c>
      <c r="AX875">
        <v>40.228723277458499</v>
      </c>
      <c r="AY875">
        <v>1.4657599670678609</v>
      </c>
      <c r="AZ875" t="str">
        <f>VLOOKUP(BA875,Sheet1!$A$1:$B$58,2,FALSE)</f>
        <v>Benzoate (PW1)</v>
      </c>
      <c r="BA875" t="s">
        <v>100</v>
      </c>
      <c r="BB875" t="s">
        <v>101</v>
      </c>
      <c r="BC875">
        <v>121.1121</v>
      </c>
      <c r="BD875">
        <v>4.1428571428571432</v>
      </c>
      <c r="BE875">
        <v>249.2</v>
      </c>
      <c r="BF875" t="s">
        <v>208</v>
      </c>
      <c r="BG875">
        <v>1.6056408527909249</v>
      </c>
      <c r="BH875">
        <v>0.17515283842794799</v>
      </c>
      <c r="BI875">
        <v>0.35324598819305802</v>
      </c>
      <c r="BJ875">
        <v>90</v>
      </c>
      <c r="BK875">
        <v>910.31282371115776</v>
      </c>
      <c r="BL875">
        <v>126.53669939195289</v>
      </c>
      <c r="BM875">
        <v>3.004806937322047</v>
      </c>
      <c r="BN875">
        <v>510.8171793447479</v>
      </c>
      <c r="BO875">
        <v>399.49564436640992</v>
      </c>
    </row>
    <row r="876" spans="1:67" x14ac:dyDescent="0.25">
      <c r="A876" s="1">
        <v>874</v>
      </c>
      <c r="B876" t="s">
        <v>206</v>
      </c>
      <c r="C876" t="s">
        <v>207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67</v>
      </c>
      <c r="J876">
        <v>1.3440000000000001</v>
      </c>
      <c r="K876">
        <v>500</v>
      </c>
      <c r="L876">
        <v>100</v>
      </c>
      <c r="N876" t="s">
        <v>68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50538.580986948458</v>
      </c>
      <c r="Z876">
        <v>252692904.9347423</v>
      </c>
      <c r="AA876">
        <v>339619264.23229373</v>
      </c>
      <c r="AB876">
        <v>339619.26423229359</v>
      </c>
      <c r="AC876">
        <v>0</v>
      </c>
      <c r="AD876">
        <v>2618.9773858855842</v>
      </c>
      <c r="AE876">
        <v>1178539.8236485131</v>
      </c>
      <c r="AF876">
        <v>1178539.8236485131</v>
      </c>
      <c r="AG876">
        <v>70.772212100359155</v>
      </c>
      <c r="AH876">
        <v>103.73507527754209</v>
      </c>
      <c r="AI876">
        <v>103.73507527754209</v>
      </c>
      <c r="AJ876">
        <v>11037.626087549541</v>
      </c>
      <c r="AK876">
        <v>854.70085470085473</v>
      </c>
      <c r="AL876" t="s">
        <v>69</v>
      </c>
      <c r="AM876">
        <v>8039.4683340095098</v>
      </c>
      <c r="AN876">
        <v>550.24325724119581</v>
      </c>
      <c r="AO876">
        <v>17634.96279718215</v>
      </c>
      <c r="AP876">
        <v>20482.038533501109</v>
      </c>
      <c r="AQ876">
        <v>2847.075736318955</v>
      </c>
      <c r="AR876">
        <v>9.3655096468266679E-3</v>
      </c>
      <c r="AS876">
        <v>155.95988538407619</v>
      </c>
      <c r="AT876">
        <v>113.5963974477592</v>
      </c>
      <c r="AU876">
        <v>7.7748489260293088</v>
      </c>
      <c r="AV876">
        <v>249.17919440153631</v>
      </c>
      <c r="AW876">
        <v>289.40791767899492</v>
      </c>
      <c r="AX876">
        <v>40.228723277458613</v>
      </c>
      <c r="AY876">
        <v>1.46575996706786</v>
      </c>
      <c r="AZ876" t="str">
        <f>VLOOKUP(BA876,Sheet1!$A$1:$B$58,2,FALSE)</f>
        <v>Benzoate (PW2)</v>
      </c>
      <c r="BA876" t="s">
        <v>102</v>
      </c>
      <c r="BB876" t="s">
        <v>101</v>
      </c>
      <c r="BC876">
        <v>121.1121</v>
      </c>
      <c r="BD876">
        <v>4.1428571428571432</v>
      </c>
      <c r="BE876">
        <v>249.2</v>
      </c>
      <c r="BF876" t="s">
        <v>208</v>
      </c>
      <c r="BG876">
        <v>1.6056408527909229</v>
      </c>
      <c r="BH876">
        <v>0.17515283842794799</v>
      </c>
      <c r="BI876">
        <v>0.35324598819305703</v>
      </c>
      <c r="BJ876">
        <v>90</v>
      </c>
      <c r="BK876">
        <v>910.31282371116038</v>
      </c>
      <c r="BL876">
        <v>126.5366993919536</v>
      </c>
      <c r="BM876">
        <v>3.0048069373220589</v>
      </c>
      <c r="BN876">
        <v>510.81717934475</v>
      </c>
      <c r="BO876">
        <v>399.49564436641037</v>
      </c>
    </row>
    <row r="877" spans="1:67" x14ac:dyDescent="0.25">
      <c r="A877" s="1">
        <v>875</v>
      </c>
      <c r="B877" t="s">
        <v>206</v>
      </c>
      <c r="C877" t="s">
        <v>207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67</v>
      </c>
      <c r="J877">
        <v>1.3440000000000001</v>
      </c>
      <c r="K877">
        <v>500</v>
      </c>
      <c r="L877">
        <v>100</v>
      </c>
      <c r="N877" t="s">
        <v>68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65714.220401911385</v>
      </c>
      <c r="Z877">
        <v>328571102.00955689</v>
      </c>
      <c r="AA877">
        <v>441599561.1008445</v>
      </c>
      <c r="AB877">
        <v>441599.56110084453</v>
      </c>
      <c r="AC877">
        <v>0</v>
      </c>
      <c r="AD877">
        <v>3405.399475069406</v>
      </c>
      <c r="AE877">
        <v>1532429.763781233</v>
      </c>
      <c r="AF877">
        <v>1532429.763781233</v>
      </c>
      <c r="AG877">
        <v>92.023571961683501</v>
      </c>
      <c r="AH877">
        <v>134.88446780802411</v>
      </c>
      <c r="AI877">
        <v>134.88446780802411</v>
      </c>
      <c r="AJ877">
        <v>14351.985735777451</v>
      </c>
      <c r="AK877">
        <v>854.70085470085473</v>
      </c>
      <c r="AL877" t="s">
        <v>69</v>
      </c>
      <c r="AM877">
        <v>10453.54625512187</v>
      </c>
      <c r="AN877">
        <v>715.46936963567589</v>
      </c>
      <c r="AO877">
        <v>22930.3595273641</v>
      </c>
      <c r="AP877">
        <v>26375.702215235851</v>
      </c>
      <c r="AQ877">
        <v>3445.3426878717469</v>
      </c>
      <c r="AR877">
        <v>9.3655096468266679E-3</v>
      </c>
      <c r="AS877">
        <v>155.95988538407619</v>
      </c>
      <c r="AT877">
        <v>113.5963974477592</v>
      </c>
      <c r="AU877">
        <v>7.7748489260293114</v>
      </c>
      <c r="AV877">
        <v>249.17919440153639</v>
      </c>
      <c r="AW877">
        <v>286.61897873534059</v>
      </c>
      <c r="AX877">
        <v>37.439784333804234</v>
      </c>
      <c r="AY877">
        <v>1.4657599670678609</v>
      </c>
      <c r="AZ877" t="str">
        <f>VLOOKUP(BA877,Sheet1!$A$1:$B$58,2,FALSE)</f>
        <v>Benzyl Alcohol</v>
      </c>
      <c r="BA877" t="s">
        <v>103</v>
      </c>
      <c r="BB877" t="s">
        <v>104</v>
      </c>
      <c r="BC877">
        <v>108.13661999999999</v>
      </c>
      <c r="BD877">
        <v>4.8571428571428568</v>
      </c>
      <c r="BE877">
        <v>205</v>
      </c>
      <c r="BF877" t="s">
        <v>208</v>
      </c>
      <c r="BG877">
        <v>2.546371158006282</v>
      </c>
      <c r="BH877">
        <v>0.15086746987951799</v>
      </c>
      <c r="BI877">
        <v>0.27166952409116901</v>
      </c>
      <c r="BJ877">
        <v>90</v>
      </c>
      <c r="BK877">
        <v>1172.2534317882601</v>
      </c>
      <c r="BL877">
        <v>153.1263416831886</v>
      </c>
      <c r="BM877">
        <v>3.448494077905901</v>
      </c>
      <c r="BN877">
        <v>586.24399324400315</v>
      </c>
      <c r="BO877">
        <v>586.00943854425668</v>
      </c>
    </row>
    <row r="878" spans="1:67" x14ac:dyDescent="0.25">
      <c r="A878" s="1">
        <v>876</v>
      </c>
      <c r="B878" t="s">
        <v>206</v>
      </c>
      <c r="C878" t="s">
        <v>207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67</v>
      </c>
      <c r="J878">
        <v>1.3440000000000001</v>
      </c>
      <c r="K878">
        <v>500</v>
      </c>
      <c r="L878">
        <v>100</v>
      </c>
      <c r="N878" t="s">
        <v>68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76355.699157316543</v>
      </c>
      <c r="Z878">
        <v>381778495.78658271</v>
      </c>
      <c r="AA878">
        <v>513110298.3371672</v>
      </c>
      <c r="AB878">
        <v>513110.29833716719</v>
      </c>
      <c r="AC878">
        <v>0</v>
      </c>
      <c r="AD878">
        <v>3956.855247442305</v>
      </c>
      <c r="AE878">
        <v>1780584.8613490369</v>
      </c>
      <c r="AF878">
        <v>1780584.8613490369</v>
      </c>
      <c r="AG878">
        <v>106.92547416850429</v>
      </c>
      <c r="AH878">
        <v>156.72707949594229</v>
      </c>
      <c r="AI878">
        <v>156.72707949594229</v>
      </c>
      <c r="AJ878">
        <v>16676.084695957939</v>
      </c>
      <c r="AK878">
        <v>854.70085470085473</v>
      </c>
      <c r="AL878" t="s">
        <v>69</v>
      </c>
      <c r="AM878">
        <v>12146.34866093553</v>
      </c>
      <c r="AN878">
        <v>831.32940800417055</v>
      </c>
      <c r="AO878">
        <v>26643.603514310191</v>
      </c>
      <c r="AP878">
        <v>30508.463619598489</v>
      </c>
      <c r="AQ878">
        <v>3864.8601052882991</v>
      </c>
      <c r="AR878">
        <v>9.3655096468266679E-3</v>
      </c>
      <c r="AS878">
        <v>155.95988538407619</v>
      </c>
      <c r="AT878">
        <v>113.5963974477592</v>
      </c>
      <c r="AU878">
        <v>7.7748489260293114</v>
      </c>
      <c r="AV878">
        <v>249.17919440153639</v>
      </c>
      <c r="AW878">
        <v>285.3245576589174</v>
      </c>
      <c r="AX878">
        <v>36.145363257381042</v>
      </c>
      <c r="AY878">
        <v>1.4657599670678609</v>
      </c>
      <c r="AZ878" t="str">
        <f>VLOOKUP(BA878,Sheet1!$A$1:$B$58,2,FALSE)</f>
        <v>Beta Carotene</v>
      </c>
      <c r="BA878" t="s">
        <v>105</v>
      </c>
      <c r="BB878" t="s">
        <v>106</v>
      </c>
      <c r="BC878">
        <v>536.86703999999997</v>
      </c>
      <c r="BD878">
        <v>5.4</v>
      </c>
      <c r="BE878">
        <v>633</v>
      </c>
      <c r="BF878" t="s">
        <v>208</v>
      </c>
      <c r="BG878">
        <v>2.9899295614145629</v>
      </c>
      <c r="BH878">
        <v>2.6152882205513799E-2</v>
      </c>
      <c r="BI878">
        <v>0.23380770760578901</v>
      </c>
      <c r="BJ878">
        <v>90</v>
      </c>
      <c r="BK878">
        <v>1355.931716426599</v>
      </c>
      <c r="BL878">
        <v>171.77156023503559</v>
      </c>
      <c r="BM878">
        <v>3.97571841618287</v>
      </c>
      <c r="BN878">
        <v>675.87213075108798</v>
      </c>
      <c r="BO878">
        <v>680.05958567551147</v>
      </c>
    </row>
    <row r="879" spans="1:67" x14ac:dyDescent="0.25">
      <c r="A879" s="1">
        <v>877</v>
      </c>
      <c r="B879" t="s">
        <v>206</v>
      </c>
      <c r="C879" t="s">
        <v>207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67</v>
      </c>
      <c r="J879">
        <v>1.3440000000000001</v>
      </c>
      <c r="K879">
        <v>500</v>
      </c>
      <c r="L879">
        <v>100</v>
      </c>
      <c r="N879" t="s">
        <v>68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79876.345246835772</v>
      </c>
      <c r="Z879">
        <v>399381726.23417878</v>
      </c>
      <c r="AA879">
        <v>536769040.05873638</v>
      </c>
      <c r="AB879">
        <v>536769.04005873634</v>
      </c>
      <c r="AC879">
        <v>66773.504273504266</v>
      </c>
      <c r="AD879">
        <v>4139.2998731538692</v>
      </c>
      <c r="AE879">
        <v>1862684.942919241</v>
      </c>
      <c r="AF879">
        <v>1862684.942919241</v>
      </c>
      <c r="AG879">
        <v>111.855646462857</v>
      </c>
      <c r="AH879">
        <v>163.95352867575161</v>
      </c>
      <c r="AI879">
        <v>163.95352867575161</v>
      </c>
      <c r="AJ879">
        <v>17444.993801908931</v>
      </c>
      <c r="AK879">
        <v>2170.1388888888891</v>
      </c>
      <c r="AL879" t="s">
        <v>107</v>
      </c>
      <c r="AM879">
        <v>12706.398472370751</v>
      </c>
      <c r="AN879">
        <v>869.66075277205812</v>
      </c>
      <c r="AO879">
        <v>27872.099874877771</v>
      </c>
      <c r="AP879">
        <v>33191.191915940632</v>
      </c>
      <c r="AQ879">
        <v>5319.0920410628569</v>
      </c>
      <c r="AR879">
        <v>9.3655096468266662E-3</v>
      </c>
      <c r="AS879">
        <v>155.95988538407619</v>
      </c>
      <c r="AT879">
        <v>113.5963974477592</v>
      </c>
      <c r="AU879">
        <v>7.7748489260293088</v>
      </c>
      <c r="AV879">
        <v>249.17919440153639</v>
      </c>
      <c r="AW879">
        <v>296.7323775377057</v>
      </c>
      <c r="AX879">
        <v>47.553183136169338</v>
      </c>
      <c r="AY879">
        <v>1.4657599670678609</v>
      </c>
      <c r="AZ879" t="str">
        <f>VLOOKUP(BA879,Sheet1!$A$1:$B$58,2,FALSE)</f>
        <v>Butane</v>
      </c>
      <c r="BA879" t="s">
        <v>108</v>
      </c>
      <c r="BB879" t="s">
        <v>109</v>
      </c>
      <c r="BC879">
        <v>58.121200000000002</v>
      </c>
      <c r="BD879">
        <v>6.5</v>
      </c>
      <c r="BE879">
        <v>-1</v>
      </c>
      <c r="BF879" t="s">
        <v>208</v>
      </c>
      <c r="BG879">
        <v>3.5291625534909459</v>
      </c>
      <c r="BH879">
        <v>0.230927152317881</v>
      </c>
      <c r="BI879">
        <v>0.22350235138376801</v>
      </c>
      <c r="BJ879">
        <v>90</v>
      </c>
      <c r="BK879">
        <v>1475.1640851529171</v>
      </c>
      <c r="BL879">
        <v>236.40409071390459</v>
      </c>
      <c r="BM879">
        <v>3.757660943209125</v>
      </c>
      <c r="BN879">
        <v>638.80236034555128</v>
      </c>
      <c r="BO879">
        <v>836.36172480736559</v>
      </c>
    </row>
    <row r="880" spans="1:67" x14ac:dyDescent="0.25">
      <c r="A880" s="1">
        <v>878</v>
      </c>
      <c r="B880" t="s">
        <v>206</v>
      </c>
      <c r="C880" t="s">
        <v>207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67</v>
      </c>
      <c r="J880">
        <v>1.3440000000000001</v>
      </c>
      <c r="K880">
        <v>500</v>
      </c>
      <c r="L880">
        <v>100</v>
      </c>
      <c r="N880" t="s">
        <v>68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57856.3679864687</v>
      </c>
      <c r="Z880">
        <v>289281839.93234348</v>
      </c>
      <c r="AA880">
        <v>388794792.86906958</v>
      </c>
      <c r="AB880">
        <v>388794.79286906961</v>
      </c>
      <c r="AC880">
        <v>0</v>
      </c>
      <c r="AD880">
        <v>2998.1949715835358</v>
      </c>
      <c r="AE880">
        <v>1349187.7372125911</v>
      </c>
      <c r="AF880">
        <v>1349187.7372125911</v>
      </c>
      <c r="AG880">
        <v>81.019749002296379</v>
      </c>
      <c r="AH880">
        <v>118.7555046294523</v>
      </c>
      <c r="AI880">
        <v>118.7555046294523</v>
      </c>
      <c r="AJ880">
        <v>12635.830768244759</v>
      </c>
      <c r="AK880">
        <v>854.70085470085473</v>
      </c>
      <c r="AL880" t="s">
        <v>69</v>
      </c>
      <c r="AM880">
        <v>9203.5516087825508</v>
      </c>
      <c r="AN880">
        <v>629.91630851766809</v>
      </c>
      <c r="AO880">
        <v>20188.435787006889</v>
      </c>
      <c r="AP880">
        <v>23323.999540245841</v>
      </c>
      <c r="AQ880">
        <v>3135.563753238956</v>
      </c>
      <c r="AR880">
        <v>9.3655096468266662E-3</v>
      </c>
      <c r="AS880">
        <v>155.95988538407619</v>
      </c>
      <c r="AT880">
        <v>113.5963974477592</v>
      </c>
      <c r="AU880">
        <v>7.7748489260293088</v>
      </c>
      <c r="AV880">
        <v>249.17919440153631</v>
      </c>
      <c r="AW880">
        <v>287.88042208801158</v>
      </c>
      <c r="AX880">
        <v>38.701227686475328</v>
      </c>
      <c r="AY880">
        <v>1.46575996706786</v>
      </c>
      <c r="AZ880" t="str">
        <f>VLOOKUP(BA880,Sheet1!$A$1:$B$58,2,FALSE)</f>
        <v>Butanol (PW1)</v>
      </c>
      <c r="BA880" t="s">
        <v>110</v>
      </c>
      <c r="BB880" t="s">
        <v>111</v>
      </c>
      <c r="BC880">
        <v>74.120199999999997</v>
      </c>
      <c r="BD880">
        <v>6</v>
      </c>
      <c r="BE880">
        <v>117.7</v>
      </c>
      <c r="BF880" t="s">
        <v>208</v>
      </c>
      <c r="BG880">
        <v>2.3750610494844859</v>
      </c>
      <c r="BH880">
        <v>0.25</v>
      </c>
      <c r="BI880">
        <v>0.30856674215679702</v>
      </c>
      <c r="BJ880">
        <v>90</v>
      </c>
      <c r="BK880">
        <v>1036.6222017887039</v>
      </c>
      <c r="BL880">
        <v>139.35838903284241</v>
      </c>
      <c r="BM880">
        <v>2.9029613784911712</v>
      </c>
      <c r="BN880">
        <v>493.50343434349901</v>
      </c>
      <c r="BO880">
        <v>543.11876744520509</v>
      </c>
    </row>
    <row r="881" spans="1:67" x14ac:dyDescent="0.25">
      <c r="A881" s="1">
        <v>879</v>
      </c>
      <c r="B881" t="s">
        <v>206</v>
      </c>
      <c r="C881" t="s">
        <v>207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67</v>
      </c>
      <c r="J881">
        <v>1.3440000000000001</v>
      </c>
      <c r="K881">
        <v>500</v>
      </c>
      <c r="L881">
        <v>100</v>
      </c>
      <c r="N881" t="s">
        <v>68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61005.7232734032</v>
      </c>
      <c r="Z881">
        <v>305028616.36701602</v>
      </c>
      <c r="AA881">
        <v>409958460.39726949</v>
      </c>
      <c r="AB881">
        <v>409958.46039726952</v>
      </c>
      <c r="AC881">
        <v>0</v>
      </c>
      <c r="AD881">
        <v>3161.398807455595</v>
      </c>
      <c r="AE881">
        <v>1422629.4633550181</v>
      </c>
      <c r="AF881">
        <v>1422629.4633550181</v>
      </c>
      <c r="AG881">
        <v>85.429980472860947</v>
      </c>
      <c r="AH881">
        <v>125.2198453645086</v>
      </c>
      <c r="AI881">
        <v>125.2198453645086</v>
      </c>
      <c r="AJ881">
        <v>13323.64996291126</v>
      </c>
      <c r="AK881">
        <v>854.70085470085473</v>
      </c>
      <c r="AL881" t="s">
        <v>69</v>
      </c>
      <c r="AM881">
        <v>9704.5380157494201</v>
      </c>
      <c r="AN881">
        <v>664.20519193012763</v>
      </c>
      <c r="AO881">
        <v>21287.373711966469</v>
      </c>
      <c r="AP881">
        <v>24547.094025291659</v>
      </c>
      <c r="AQ881">
        <v>3259.7203133251928</v>
      </c>
      <c r="AR881">
        <v>9.3655096468266662E-3</v>
      </c>
      <c r="AS881">
        <v>155.95988538407619</v>
      </c>
      <c r="AT881">
        <v>113.5963974477592</v>
      </c>
      <c r="AU881">
        <v>7.774848926029307</v>
      </c>
      <c r="AV881">
        <v>249.17919440153631</v>
      </c>
      <c r="AW881">
        <v>287.3358262453271</v>
      </c>
      <c r="AX881">
        <v>38.156631843790791</v>
      </c>
      <c r="AY881">
        <v>1.4657599670678609</v>
      </c>
      <c r="AZ881" t="str">
        <f>VLOOKUP(BA881,Sheet1!$A$1:$B$58,2,FALSE)</f>
        <v>Butanol (PW2)</v>
      </c>
      <c r="BA881" t="s">
        <v>112</v>
      </c>
      <c r="BB881" t="s">
        <v>111</v>
      </c>
      <c r="BC881">
        <v>74.120199999999997</v>
      </c>
      <c r="BD881">
        <v>6</v>
      </c>
      <c r="BE881">
        <v>117.7</v>
      </c>
      <c r="BF881" t="s">
        <v>208</v>
      </c>
      <c r="BG881">
        <v>2.6336293396590742</v>
      </c>
      <c r="BH881">
        <v>0.23709401709401701</v>
      </c>
      <c r="BI881">
        <v>0.29263731375827601</v>
      </c>
      <c r="BJ881">
        <v>90</v>
      </c>
      <c r="BK881">
        <v>1090.9819566796291</v>
      </c>
      <c r="BL881">
        <v>144.87645837000849</v>
      </c>
      <c r="BM881">
        <v>2.931697120985755</v>
      </c>
      <c r="BN881">
        <v>498.38851056757841</v>
      </c>
      <c r="BO881">
        <v>592.59344611205097</v>
      </c>
    </row>
    <row r="882" spans="1:67" x14ac:dyDescent="0.25">
      <c r="A882" s="1">
        <v>880</v>
      </c>
      <c r="B882" t="s">
        <v>206</v>
      </c>
      <c r="C882" t="s">
        <v>207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67</v>
      </c>
      <c r="J882">
        <v>1.3440000000000001</v>
      </c>
      <c r="K882">
        <v>500</v>
      </c>
      <c r="L882">
        <v>100</v>
      </c>
      <c r="N882" t="s">
        <v>68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41030.790949587848</v>
      </c>
      <c r="Z882">
        <v>205153954.7479392</v>
      </c>
      <c r="AA882">
        <v>275726915.18123043</v>
      </c>
      <c r="AB882">
        <v>275726.91518123029</v>
      </c>
      <c r="AC882">
        <v>0</v>
      </c>
      <c r="AD882">
        <v>2126.2708909401431</v>
      </c>
      <c r="AE882">
        <v>956821.90092306409</v>
      </c>
      <c r="AF882">
        <v>956821.90092306409</v>
      </c>
      <c r="AG882">
        <v>57.4578823350747</v>
      </c>
      <c r="AH882">
        <v>84.219463719248097</v>
      </c>
      <c r="AI882">
        <v>84.219463719248097</v>
      </c>
      <c r="AJ882">
        <v>8961.1247433899862</v>
      </c>
      <c r="AK882">
        <v>854.70085470085473</v>
      </c>
      <c r="AL882" t="s">
        <v>69</v>
      </c>
      <c r="AM882">
        <v>6527.0084382417272</v>
      </c>
      <c r="AN882">
        <v>446.72635476477387</v>
      </c>
      <c r="AO882">
        <v>14317.30883227218</v>
      </c>
      <c r="AP882">
        <v>16789.56039109734</v>
      </c>
      <c r="AQ882">
        <v>2472.2515588251681</v>
      </c>
      <c r="AR882">
        <v>9.3655096468266662E-3</v>
      </c>
      <c r="AS882">
        <v>155.95988538407619</v>
      </c>
      <c r="AT882">
        <v>113.5963974477592</v>
      </c>
      <c r="AU882">
        <v>7.7748489260293088</v>
      </c>
      <c r="AV882">
        <v>249.17919440153631</v>
      </c>
      <c r="AW882">
        <v>292.20639029448353</v>
      </c>
      <c r="AX882">
        <v>43.027195892947162</v>
      </c>
      <c r="AY882">
        <v>1.46575996706786</v>
      </c>
      <c r="AZ882" t="str">
        <f>VLOOKUP(BA882,Sheet1!$A$1:$B$58,2,FALSE)</f>
        <v>Butyrate</v>
      </c>
      <c r="BA882" t="s">
        <v>113</v>
      </c>
      <c r="BB882" t="s">
        <v>114</v>
      </c>
      <c r="BC882">
        <v>87.095680000000002</v>
      </c>
      <c r="BD882">
        <v>4.75</v>
      </c>
      <c r="BE882">
        <v>163.5</v>
      </c>
      <c r="BF882" t="s">
        <v>208</v>
      </c>
      <c r="BG882">
        <v>1.3474835950531621</v>
      </c>
      <c r="BH882">
        <v>0.30000000000000099</v>
      </c>
      <c r="BI882">
        <v>0.43510131219609799</v>
      </c>
      <c r="BJ882">
        <v>90</v>
      </c>
      <c r="BK882">
        <v>746.20268404877083</v>
      </c>
      <c r="BL882">
        <v>109.87784705889629</v>
      </c>
      <c r="BM882">
        <v>2.3956036813578652</v>
      </c>
      <c r="BN882">
        <v>407.25262583083702</v>
      </c>
      <c r="BO882">
        <v>338.95005821793382</v>
      </c>
    </row>
    <row r="883" spans="1:67" x14ac:dyDescent="0.25">
      <c r="A883" s="1">
        <v>881</v>
      </c>
      <c r="B883" t="s">
        <v>206</v>
      </c>
      <c r="C883" t="s">
        <v>207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67</v>
      </c>
      <c r="J883">
        <v>1.3440000000000001</v>
      </c>
      <c r="K883">
        <v>500</v>
      </c>
      <c r="L883">
        <v>100</v>
      </c>
      <c r="N883" t="s">
        <v>68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44009.529399440209</v>
      </c>
      <c r="Z883">
        <v>220047646.99720111</v>
      </c>
      <c r="AA883">
        <v>295744037.56423831</v>
      </c>
      <c r="AB883">
        <v>295744.03756423818</v>
      </c>
      <c r="AC883">
        <v>0</v>
      </c>
      <c r="AD883">
        <v>2280.633132346285</v>
      </c>
      <c r="AE883">
        <v>1026284.909555828</v>
      </c>
      <c r="AF883">
        <v>1026284.909555828</v>
      </c>
      <c r="AG883">
        <v>61.629188795358743</v>
      </c>
      <c r="AH883">
        <v>90.333597739104007</v>
      </c>
      <c r="AI883">
        <v>90.333597739104007</v>
      </c>
      <c r="AJ883">
        <v>9611.6812208377432</v>
      </c>
      <c r="AK883">
        <v>854.70085470085473</v>
      </c>
      <c r="AL883" t="s">
        <v>69</v>
      </c>
      <c r="AM883">
        <v>7000.8538247805609</v>
      </c>
      <c r="AN883">
        <v>479.15763231765243</v>
      </c>
      <c r="AO883">
        <v>15356.71161564768</v>
      </c>
      <c r="AP883">
        <v>17946.393532636808</v>
      </c>
      <c r="AQ883">
        <v>2589.681916989131</v>
      </c>
      <c r="AR883">
        <v>9.3655096468266679E-3</v>
      </c>
      <c r="AS883">
        <v>155.95988538407619</v>
      </c>
      <c r="AT883">
        <v>113.5963974477592</v>
      </c>
      <c r="AU883">
        <v>7.7748489260293088</v>
      </c>
      <c r="AV883">
        <v>249.17919440153631</v>
      </c>
      <c r="AW883">
        <v>291.19957415354372</v>
      </c>
      <c r="AX883">
        <v>42.020379752007358</v>
      </c>
      <c r="AY883">
        <v>1.4657599670678609</v>
      </c>
      <c r="AZ883" t="str">
        <f>VLOOKUP(BA883,Sheet1!$A$1:$B$58,2,FALSE)</f>
        <v>Catechol</v>
      </c>
      <c r="BA883" t="s">
        <v>115</v>
      </c>
      <c r="BB883" t="s">
        <v>116</v>
      </c>
      <c r="BC883">
        <v>110.10924</v>
      </c>
      <c r="BD883">
        <v>4.333333333333333</v>
      </c>
      <c r="BE883">
        <v>245</v>
      </c>
      <c r="BF883" t="s">
        <v>208</v>
      </c>
      <c r="BG883">
        <v>1.2151054386352329</v>
      </c>
      <c r="BH883">
        <v>0.22123674911660801</v>
      </c>
      <c r="BI883">
        <v>0.405651940073609</v>
      </c>
      <c r="BJ883">
        <v>90</v>
      </c>
      <c r="BK883">
        <v>797.61749033941373</v>
      </c>
      <c r="BL883">
        <v>115.0969740884058</v>
      </c>
      <c r="BM883">
        <v>2.7997211275471678</v>
      </c>
      <c r="BN883">
        <v>475.95259168301851</v>
      </c>
      <c r="BO883">
        <v>321.66489865639522</v>
      </c>
    </row>
    <row r="884" spans="1:67" x14ac:dyDescent="0.25">
      <c r="A884" s="1">
        <v>882</v>
      </c>
      <c r="B884" t="s">
        <v>206</v>
      </c>
      <c r="C884" t="s">
        <v>207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67</v>
      </c>
      <c r="J884">
        <v>1.3440000000000001</v>
      </c>
      <c r="K884">
        <v>500</v>
      </c>
      <c r="L884">
        <v>100</v>
      </c>
      <c r="N884" t="s">
        <v>68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34957.318852137709</v>
      </c>
      <c r="Z884">
        <v>174786594.26068851</v>
      </c>
      <c r="AA884">
        <v>234913182.6863654</v>
      </c>
      <c r="AB884">
        <v>234913.18268636541</v>
      </c>
      <c r="AC884">
        <v>0</v>
      </c>
      <c r="AD884">
        <v>1811.535380634921</v>
      </c>
      <c r="AE884">
        <v>815190.92128571449</v>
      </c>
      <c r="AF884">
        <v>815190.92128571449</v>
      </c>
      <c r="AG884">
        <v>48.952834368307329</v>
      </c>
      <c r="AH884">
        <v>71.753104891568569</v>
      </c>
      <c r="AI884">
        <v>71.753104891568569</v>
      </c>
      <c r="AJ884">
        <v>7634.6784373068758</v>
      </c>
      <c r="AK884">
        <v>854.70085470085473</v>
      </c>
      <c r="AL884" t="s">
        <v>69</v>
      </c>
      <c r="AM884">
        <v>5560.8656290965637</v>
      </c>
      <c r="AN884">
        <v>380.60089171452478</v>
      </c>
      <c r="AO884">
        <v>12198.02783156666</v>
      </c>
      <c r="AP884">
        <v>14430.845812818819</v>
      </c>
      <c r="AQ884">
        <v>2232.817981252163</v>
      </c>
      <c r="AR884">
        <v>9.3655096468266662E-3</v>
      </c>
      <c r="AS884">
        <v>155.95988538407619</v>
      </c>
      <c r="AT884">
        <v>113.5963974477592</v>
      </c>
      <c r="AU884">
        <v>7.7748489260293088</v>
      </c>
      <c r="AV884">
        <v>249.17919440153631</v>
      </c>
      <c r="AW884">
        <v>294.79081240210121</v>
      </c>
      <c r="AX884">
        <v>45.61161800056496</v>
      </c>
      <c r="AY884">
        <v>1.46575996706786</v>
      </c>
      <c r="AZ884" t="str">
        <f>VLOOKUP(BA884,Sheet1!$A$1:$B$58,2,FALSE)</f>
        <v>cis,cis-Muconate</v>
      </c>
      <c r="BA884" t="s">
        <v>117</v>
      </c>
      <c r="BB884" t="s">
        <v>118</v>
      </c>
      <c r="BC884">
        <v>140.09155999999999</v>
      </c>
      <c r="BD884">
        <v>3.333333333333333</v>
      </c>
      <c r="BE884">
        <v>345.4</v>
      </c>
      <c r="BF884" t="s">
        <v>208</v>
      </c>
      <c r="BG884">
        <v>0.98515480520479159</v>
      </c>
      <c r="BH884">
        <v>0.218916083916084</v>
      </c>
      <c r="BI884">
        <v>0.51069565884391999</v>
      </c>
      <c r="BJ884">
        <v>90</v>
      </c>
      <c r="BK884">
        <v>641.37092501416976</v>
      </c>
      <c r="BL884">
        <v>99.236354722318282</v>
      </c>
      <c r="BM884">
        <v>2.2038720788649222</v>
      </c>
      <c r="BN884">
        <v>374.6582534070368</v>
      </c>
      <c r="BO884">
        <v>266.71267160713302</v>
      </c>
    </row>
    <row r="885" spans="1:67" x14ac:dyDescent="0.25">
      <c r="A885" s="1">
        <v>883</v>
      </c>
      <c r="B885" t="s">
        <v>206</v>
      </c>
      <c r="C885" t="s">
        <v>207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67</v>
      </c>
      <c r="J885">
        <v>1.3440000000000001</v>
      </c>
      <c r="K885">
        <v>500</v>
      </c>
      <c r="L885">
        <v>100</v>
      </c>
      <c r="N885" t="s">
        <v>68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18877.171015303749</v>
      </c>
      <c r="Z885">
        <v>94385855.076518759</v>
      </c>
      <c r="AA885">
        <v>126854589.2228412</v>
      </c>
      <c r="AB885">
        <v>126854.5892228412</v>
      </c>
      <c r="AC885">
        <v>0</v>
      </c>
      <c r="AD885">
        <v>978.24044587525862</v>
      </c>
      <c r="AE885">
        <v>440208.20064386638</v>
      </c>
      <c r="AF885">
        <v>440208.20064386638</v>
      </c>
      <c r="AG885">
        <v>26.434837006896661</v>
      </c>
      <c r="AH885">
        <v>38.747125820673112</v>
      </c>
      <c r="AI885">
        <v>38.747125820673112</v>
      </c>
      <c r="AJ885">
        <v>4122.7741497423394</v>
      </c>
      <c r="AK885">
        <v>854.70085470085473</v>
      </c>
      <c r="AL885" t="s">
        <v>69</v>
      </c>
      <c r="AM885">
        <v>3002.9022511021658</v>
      </c>
      <c r="AN885">
        <v>205.5268641128304</v>
      </c>
      <c r="AO885">
        <v>6587.0113895144286</v>
      </c>
      <c r="AP885">
        <v>8185.9041196581911</v>
      </c>
      <c r="AQ885">
        <v>1598.892730143762</v>
      </c>
      <c r="AR885">
        <v>9.3655096468266662E-3</v>
      </c>
      <c r="AS885">
        <v>155.95988538407619</v>
      </c>
      <c r="AT885">
        <v>113.5963974477592</v>
      </c>
      <c r="AU885">
        <v>7.7748489260293114</v>
      </c>
      <c r="AV885">
        <v>249.17919440153631</v>
      </c>
      <c r="AW885">
        <v>309.66349887168008</v>
      </c>
      <c r="AX885">
        <v>60.484304470143833</v>
      </c>
      <c r="AY885">
        <v>1.46575996706786</v>
      </c>
      <c r="AZ885" t="str">
        <f>VLOOKUP(BA885,Sheet1!$A$1:$B$58,2,FALSE)</f>
        <v>Citrate</v>
      </c>
      <c r="BA885" t="s">
        <v>119</v>
      </c>
      <c r="BB885" t="s">
        <v>120</v>
      </c>
      <c r="BC885">
        <v>189.09639999999999</v>
      </c>
      <c r="BD885">
        <v>2.5</v>
      </c>
      <c r="BF885" t="s">
        <v>208</v>
      </c>
      <c r="BG885">
        <v>0.15342242595592639</v>
      </c>
      <c r="BH885">
        <v>0.30033613445378099</v>
      </c>
      <c r="BI885">
        <v>0.94572173807909898</v>
      </c>
      <c r="BJ885">
        <v>90</v>
      </c>
      <c r="BK885">
        <v>363.81796087369742</v>
      </c>
      <c r="BL885">
        <v>71.061899117500602</v>
      </c>
      <c r="BM885">
        <v>1.568672054962879</v>
      </c>
      <c r="BN885">
        <v>266.67424934368933</v>
      </c>
      <c r="BO885">
        <v>97.143711530008034</v>
      </c>
    </row>
    <row r="886" spans="1:67" x14ac:dyDescent="0.25">
      <c r="A886" s="1">
        <v>884</v>
      </c>
      <c r="B886" t="s">
        <v>206</v>
      </c>
      <c r="C886" t="s">
        <v>207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67</v>
      </c>
      <c r="J886">
        <v>1.3440000000000001</v>
      </c>
      <c r="K886">
        <v>500</v>
      </c>
      <c r="L886">
        <v>100</v>
      </c>
      <c r="N886" t="s">
        <v>68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44165.493250274158</v>
      </c>
      <c r="Z886">
        <v>220827466.25137079</v>
      </c>
      <c r="AA886">
        <v>296792114.64184242</v>
      </c>
      <c r="AB886">
        <v>296792.11464184237</v>
      </c>
      <c r="AC886">
        <v>0</v>
      </c>
      <c r="AD886">
        <v>2288.7153893145851</v>
      </c>
      <c r="AE886">
        <v>1029921.925191563</v>
      </c>
      <c r="AF886">
        <v>1029921.925191563</v>
      </c>
      <c r="AG886">
        <v>61.847594348416521</v>
      </c>
      <c r="AH886">
        <v>90.653727855361382</v>
      </c>
      <c r="AI886">
        <v>90.653727855361382</v>
      </c>
      <c r="AJ886">
        <v>9645.7437258598802</v>
      </c>
      <c r="AK886">
        <v>854.70085470085473</v>
      </c>
      <c r="AL886" t="s">
        <v>69</v>
      </c>
      <c r="AM886">
        <v>7025.6639087905069</v>
      </c>
      <c r="AN886">
        <v>480.85570249728261</v>
      </c>
      <c r="AO886">
        <v>15411.133735411429</v>
      </c>
      <c r="AP886">
        <v>18006.964191848521</v>
      </c>
      <c r="AQ886">
        <v>2595.8304564370901</v>
      </c>
      <c r="AR886">
        <v>9.3655096468266679E-3</v>
      </c>
      <c r="AS886">
        <v>155.95988538407619</v>
      </c>
      <c r="AT886">
        <v>113.5963974477592</v>
      </c>
      <c r="AU886">
        <v>7.7748489260293088</v>
      </c>
      <c r="AV886">
        <v>249.17919440153631</v>
      </c>
      <c r="AW886">
        <v>291.1505998181085</v>
      </c>
      <c r="AX886">
        <v>41.971405416572253</v>
      </c>
      <c r="AY886">
        <v>1.46575996706786</v>
      </c>
      <c r="AZ886" t="str">
        <f>VLOOKUP(BA886,Sheet1!$A$1:$B$58,2,FALSE)</f>
        <v>Coumaric Acid</v>
      </c>
      <c r="BA886" t="s">
        <v>121</v>
      </c>
      <c r="BB886" t="s">
        <v>122</v>
      </c>
      <c r="BC886">
        <v>163.14818</v>
      </c>
      <c r="BD886">
        <v>4.1111111111111107</v>
      </c>
      <c r="BE886">
        <v>346</v>
      </c>
      <c r="BF886" t="s">
        <v>208</v>
      </c>
      <c r="BG886">
        <v>1.198281296104025</v>
      </c>
      <c r="BH886">
        <v>0.14878612716763001</v>
      </c>
      <c r="BI886">
        <v>0.40421944076213001</v>
      </c>
      <c r="BJ886">
        <v>90</v>
      </c>
      <c r="BK886">
        <v>800.30951963771236</v>
      </c>
      <c r="BL886">
        <v>115.3702425083152</v>
      </c>
      <c r="BM886">
        <v>2.8307732752453689</v>
      </c>
      <c r="BN886">
        <v>481.23145679171279</v>
      </c>
      <c r="BO886">
        <v>319.07806284599963</v>
      </c>
    </row>
    <row r="887" spans="1:67" x14ac:dyDescent="0.25">
      <c r="A887" s="1">
        <v>885</v>
      </c>
      <c r="B887" t="s">
        <v>206</v>
      </c>
      <c r="C887" t="s">
        <v>207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67</v>
      </c>
      <c r="J887">
        <v>1.3440000000000001</v>
      </c>
      <c r="K887">
        <v>500</v>
      </c>
      <c r="L887">
        <v>100</v>
      </c>
      <c r="N887" t="s">
        <v>68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40561.42863182092</v>
      </c>
      <c r="Z887">
        <v>202807143.15910459</v>
      </c>
      <c r="AA887">
        <v>272572800.40583658</v>
      </c>
      <c r="AB887">
        <v>272572.80040583672</v>
      </c>
      <c r="AC887">
        <v>0</v>
      </c>
      <c r="AD887">
        <v>2101.9479029968152</v>
      </c>
      <c r="AE887">
        <v>945876.55634856678</v>
      </c>
      <c r="AF887">
        <v>945876.55634856678</v>
      </c>
      <c r="AG887">
        <v>56.800606074914263</v>
      </c>
      <c r="AH887">
        <v>83.25605448980086</v>
      </c>
      <c r="AI887">
        <v>83.25605448980086</v>
      </c>
      <c r="AJ887">
        <v>8858.6160131896922</v>
      </c>
      <c r="AK887">
        <v>854.70085470085473</v>
      </c>
      <c r="AL887" t="s">
        <v>69</v>
      </c>
      <c r="AM887">
        <v>6452.3442229595667</v>
      </c>
      <c r="AN887">
        <v>441.61613113936102</v>
      </c>
      <c r="AO887">
        <v>14153.529263266149</v>
      </c>
      <c r="AP887">
        <v>16607.277221989469</v>
      </c>
      <c r="AQ887">
        <v>2453.747958723327</v>
      </c>
      <c r="AR887">
        <v>9.3655096468266696E-3</v>
      </c>
      <c r="AS887">
        <v>155.95988538407619</v>
      </c>
      <c r="AT887">
        <v>113.5963974477592</v>
      </c>
      <c r="AU887">
        <v>7.7748489260293088</v>
      </c>
      <c r="AV887">
        <v>249.17919440153639</v>
      </c>
      <c r="AW887">
        <v>292.37852145602369</v>
      </c>
      <c r="AX887">
        <v>43.199327054487377</v>
      </c>
      <c r="AY887">
        <v>1.4657599670678609</v>
      </c>
      <c r="AZ887" t="str">
        <f>VLOOKUP(BA887,Sheet1!$A$1:$B$58,2,FALSE)</f>
        <v>Ethyl Acetate</v>
      </c>
      <c r="BA887" t="s">
        <v>123</v>
      </c>
      <c r="BB887" t="s">
        <v>124</v>
      </c>
      <c r="BC887">
        <v>88.103520000000003</v>
      </c>
      <c r="BD887">
        <v>5</v>
      </c>
      <c r="BE887">
        <v>77.099999999999994</v>
      </c>
      <c r="BF887" t="s">
        <v>208</v>
      </c>
      <c r="BG887">
        <v>1.332069365673471</v>
      </c>
      <c r="BH887">
        <v>0.3</v>
      </c>
      <c r="BI887">
        <v>0.44013614867115203</v>
      </c>
      <c r="BJ887">
        <v>90</v>
      </c>
      <c r="BK887">
        <v>738.10120986619859</v>
      </c>
      <c r="BL887">
        <v>109.05546483214771</v>
      </c>
      <c r="BM887">
        <v>2.3681997227621232</v>
      </c>
      <c r="BN887">
        <v>402.59395286956089</v>
      </c>
      <c r="BO887">
        <v>335.50725699663769</v>
      </c>
    </row>
    <row r="888" spans="1:67" x14ac:dyDescent="0.25">
      <c r="A888" s="1">
        <v>886</v>
      </c>
      <c r="B888" t="s">
        <v>206</v>
      </c>
      <c r="C888" t="s">
        <v>207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67</v>
      </c>
      <c r="J888">
        <v>1.3440000000000001</v>
      </c>
      <c r="K888">
        <v>500</v>
      </c>
      <c r="L888">
        <v>100</v>
      </c>
      <c r="N888" t="s">
        <v>68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73448.680713185327</v>
      </c>
      <c r="Z888">
        <v>367243403.56592661</v>
      </c>
      <c r="AA888">
        <v>493575134.39260542</v>
      </c>
      <c r="AB888">
        <v>493575.1343926054</v>
      </c>
      <c r="AC888">
        <v>0</v>
      </c>
      <c r="AD888">
        <v>3806.2096334014582</v>
      </c>
      <c r="AE888">
        <v>1712794.3350306561</v>
      </c>
      <c r="AF888">
        <v>1712794.3350306561</v>
      </c>
      <c r="AG888">
        <v>102.85460154228549</v>
      </c>
      <c r="AH888">
        <v>150.76015736939831</v>
      </c>
      <c r="AI888">
        <v>150.76015736939831</v>
      </c>
      <c r="AJ888">
        <v>16041.19186775968</v>
      </c>
      <c r="AK888">
        <v>1835.336538461539</v>
      </c>
      <c r="AL888" t="s">
        <v>84</v>
      </c>
      <c r="AM888">
        <v>11683.912196128371</v>
      </c>
      <c r="AN888">
        <v>799.67898833821107</v>
      </c>
      <c r="AO888">
        <v>25629.22675279772</v>
      </c>
      <c r="AP888">
        <v>30360.119590687798</v>
      </c>
      <c r="AQ888">
        <v>4730.8928378900819</v>
      </c>
      <c r="AR888">
        <v>9.3655096468266679E-3</v>
      </c>
      <c r="AS888">
        <v>155.95988538407619</v>
      </c>
      <c r="AT888">
        <v>113.5963974477592</v>
      </c>
      <c r="AU888">
        <v>7.7748489260293114</v>
      </c>
      <c r="AV888">
        <v>249.17919440153631</v>
      </c>
      <c r="AW888">
        <v>295.17512231289112</v>
      </c>
      <c r="AX888">
        <v>45.995927911354762</v>
      </c>
      <c r="AY888">
        <v>1.46575996706786</v>
      </c>
      <c r="AZ888" t="str">
        <f>VLOOKUP(BA888,Sheet1!$A$1:$B$58,2,FALSE)</f>
        <v>Farnesene</v>
      </c>
      <c r="BA888" t="s">
        <v>125</v>
      </c>
      <c r="BB888" t="s">
        <v>126</v>
      </c>
      <c r="BC888">
        <v>204.34866</v>
      </c>
      <c r="BD888">
        <v>5.6</v>
      </c>
      <c r="BE888" t="s">
        <v>127</v>
      </c>
      <c r="BF888" t="s">
        <v>208</v>
      </c>
      <c r="BG888">
        <v>2.7997736809235709</v>
      </c>
      <c r="BH888">
        <v>7.1428571428571397E-2</v>
      </c>
      <c r="BI888">
        <v>0.24306156093290601</v>
      </c>
      <c r="BJ888">
        <v>90</v>
      </c>
      <c r="BK888">
        <v>1349.3386484750131</v>
      </c>
      <c r="BL888">
        <v>210.26190390622591</v>
      </c>
      <c r="BM888">
        <v>3.9006777577163549</v>
      </c>
      <c r="BN888">
        <v>663.11521881178044</v>
      </c>
      <c r="BO888">
        <v>686.22342966323288</v>
      </c>
    </row>
    <row r="889" spans="1:67" x14ac:dyDescent="0.25">
      <c r="A889" s="1">
        <v>887</v>
      </c>
      <c r="B889" t="s">
        <v>206</v>
      </c>
      <c r="C889" t="s">
        <v>207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67</v>
      </c>
      <c r="J889">
        <v>1.3440000000000001</v>
      </c>
      <c r="K889">
        <v>500</v>
      </c>
      <c r="L889">
        <v>100</v>
      </c>
      <c r="N889" t="s">
        <v>68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40419.355824411083</v>
      </c>
      <c r="Z889">
        <v>202096779.12205541</v>
      </c>
      <c r="AA889">
        <v>271618071.14004242</v>
      </c>
      <c r="AB889">
        <v>271618.07114004239</v>
      </c>
      <c r="AC889">
        <v>0</v>
      </c>
      <c r="AD889">
        <v>2094.585498621992</v>
      </c>
      <c r="AE889">
        <v>942563.47437989642</v>
      </c>
      <c r="AF889">
        <v>942563.47437989642</v>
      </c>
      <c r="AG889">
        <v>56.601652984753301</v>
      </c>
      <c r="AH889">
        <v>82.964437014918474</v>
      </c>
      <c r="AI889">
        <v>82.964437014918474</v>
      </c>
      <c r="AJ889">
        <v>8827.5873120513806</v>
      </c>
      <c r="AK889">
        <v>1835.336538461539</v>
      </c>
      <c r="AL889" t="s">
        <v>84</v>
      </c>
      <c r="AM889">
        <v>6429.7438686561818</v>
      </c>
      <c r="AN889">
        <v>440.06930091999288</v>
      </c>
      <c r="AO889">
        <v>14103.95429253614</v>
      </c>
      <c r="AP889">
        <v>17532.737020089091</v>
      </c>
      <c r="AQ889">
        <v>3428.7827275529539</v>
      </c>
      <c r="AR889">
        <v>9.3655096468266679E-3</v>
      </c>
      <c r="AS889">
        <v>155.95988538407619</v>
      </c>
      <c r="AT889">
        <v>113.5963974477592</v>
      </c>
      <c r="AU889">
        <v>7.7748489260293114</v>
      </c>
      <c r="AV889">
        <v>249.17919440153631</v>
      </c>
      <c r="AW889">
        <v>309.75662539063762</v>
      </c>
      <c r="AX889">
        <v>60.577430989101323</v>
      </c>
      <c r="AY889">
        <v>1.4657599670678609</v>
      </c>
      <c r="AZ889" t="str">
        <f>VLOOKUP(BA889,Sheet1!$A$1:$B$58,2,FALSE)</f>
        <v>Gamma Butyrolactone</v>
      </c>
      <c r="BA889" t="s">
        <v>128</v>
      </c>
      <c r="BB889" t="s">
        <v>129</v>
      </c>
      <c r="BC889">
        <v>86.08784</v>
      </c>
      <c r="BD889">
        <v>4.5</v>
      </c>
      <c r="BE889">
        <v>204</v>
      </c>
      <c r="BF889" t="s">
        <v>208</v>
      </c>
      <c r="BG889">
        <v>1.273620851063358</v>
      </c>
      <c r="BH889">
        <v>0.308103448275862</v>
      </c>
      <c r="BI889">
        <v>0.44168321385833398</v>
      </c>
      <c r="BJ889">
        <v>90</v>
      </c>
      <c r="BK889">
        <v>779.23275644840419</v>
      </c>
      <c r="BL889">
        <v>152.39034344679791</v>
      </c>
      <c r="BM889">
        <v>2.413687460710797</v>
      </c>
      <c r="BN889">
        <v>410.32686832083539</v>
      </c>
      <c r="BO889">
        <v>368.9058881275688</v>
      </c>
    </row>
    <row r="890" spans="1:67" x14ac:dyDescent="0.25">
      <c r="A890" s="1">
        <v>888</v>
      </c>
      <c r="B890" t="s">
        <v>206</v>
      </c>
      <c r="C890" t="s">
        <v>207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67</v>
      </c>
      <c r="J890">
        <v>1.3440000000000001</v>
      </c>
      <c r="K890">
        <v>500</v>
      </c>
      <c r="L890">
        <v>100</v>
      </c>
      <c r="N890" t="s">
        <v>68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23813.583053549581</v>
      </c>
      <c r="Z890">
        <v>119067915.26774789</v>
      </c>
      <c r="AA890">
        <v>160027278.1198532</v>
      </c>
      <c r="AB890">
        <v>160027.2781198532</v>
      </c>
      <c r="AC890">
        <v>0</v>
      </c>
      <c r="AD890">
        <v>1234.0519713100141</v>
      </c>
      <c r="AE890">
        <v>555323.38708950626</v>
      </c>
      <c r="AF890">
        <v>555323.38708950626</v>
      </c>
      <c r="AG890">
        <v>33.347591440499038</v>
      </c>
      <c r="AH890">
        <v>48.879564531618342</v>
      </c>
      <c r="AI890">
        <v>48.879564531618342</v>
      </c>
      <c r="AJ890">
        <v>5200.8865388952299</v>
      </c>
      <c r="AK890">
        <v>854.70085470085473</v>
      </c>
      <c r="AL890" t="s">
        <v>69</v>
      </c>
      <c r="AM890">
        <v>3788.1662512004209</v>
      </c>
      <c r="AN890">
        <v>259.2724854968281</v>
      </c>
      <c r="AO890">
        <v>8309.525970375118</v>
      </c>
      <c r="AP890">
        <v>10103.02613029333</v>
      </c>
      <c r="AQ890">
        <v>1793.500159918216</v>
      </c>
      <c r="AR890">
        <v>9.3655096468266662E-3</v>
      </c>
      <c r="AS890">
        <v>155.95988538407619</v>
      </c>
      <c r="AT890">
        <v>113.5963974477592</v>
      </c>
      <c r="AU890">
        <v>7.7748489260293088</v>
      </c>
      <c r="AV890">
        <v>249.17919440153631</v>
      </c>
      <c r="AW890">
        <v>302.96119431353293</v>
      </c>
      <c r="AX890">
        <v>53.781999911996621</v>
      </c>
      <c r="AY890">
        <v>1.4657599670678609</v>
      </c>
      <c r="AZ890" t="str">
        <f>VLOOKUP(BA890,Sheet1!$A$1:$B$58,2,FALSE)</f>
        <v>L-Glutamate</v>
      </c>
      <c r="BA890" t="s">
        <v>130</v>
      </c>
      <c r="BB890" t="s">
        <v>131</v>
      </c>
      <c r="BC890">
        <v>146.11892</v>
      </c>
      <c r="BD890">
        <v>3.4</v>
      </c>
      <c r="BE890">
        <v>333.8</v>
      </c>
      <c r="BF890" t="s">
        <v>208</v>
      </c>
      <c r="BG890">
        <v>0.44917706787735778</v>
      </c>
      <c r="BH890">
        <v>0.308103448275862</v>
      </c>
      <c r="BI890">
        <v>0.74967932975329399</v>
      </c>
      <c r="BJ890">
        <v>90</v>
      </c>
      <c r="BK890">
        <v>449.02338356859269</v>
      </c>
      <c r="BL890">
        <v>79.711118218587472</v>
      </c>
      <c r="BM890">
        <v>1.723248022416791</v>
      </c>
      <c r="BN890">
        <v>292.95216381085447</v>
      </c>
      <c r="BO890">
        <v>156.07121975773819</v>
      </c>
    </row>
    <row r="891" spans="1:67" x14ac:dyDescent="0.25">
      <c r="A891" s="1">
        <v>889</v>
      </c>
      <c r="B891" t="s">
        <v>206</v>
      </c>
      <c r="C891" t="s">
        <v>207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67</v>
      </c>
      <c r="J891">
        <v>1.3440000000000001</v>
      </c>
      <c r="K891">
        <v>500</v>
      </c>
      <c r="L891">
        <v>100</v>
      </c>
      <c r="N891" t="s">
        <v>68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35648.13393365364</v>
      </c>
      <c r="Z891">
        <v>178240669.6682682</v>
      </c>
      <c r="AA891">
        <v>239555460.03415251</v>
      </c>
      <c r="AB891">
        <v>239555.46003415249</v>
      </c>
      <c r="AC891">
        <v>0</v>
      </c>
      <c r="AD891">
        <v>1847.3343492839649</v>
      </c>
      <c r="AE891">
        <v>831300.45717778406</v>
      </c>
      <c r="AF891">
        <v>831300.45717778406</v>
      </c>
      <c r="AG891">
        <v>49.920224241873377</v>
      </c>
      <c r="AH891">
        <v>73.171066240788548</v>
      </c>
      <c r="AI891">
        <v>73.171066240788548</v>
      </c>
      <c r="AJ891">
        <v>7785.5524511099557</v>
      </c>
      <c r="AK891">
        <v>854.70085470085473</v>
      </c>
      <c r="AL891" t="s">
        <v>69</v>
      </c>
      <c r="AM891">
        <v>5670.7576336611128</v>
      </c>
      <c r="AN891">
        <v>388.12220183407157</v>
      </c>
      <c r="AO891">
        <v>12439.08126093405</v>
      </c>
      <c r="AP891">
        <v>14699.133141306</v>
      </c>
      <c r="AQ891">
        <v>2260.0518803719419</v>
      </c>
      <c r="AR891">
        <v>9.3655096468266679E-3</v>
      </c>
      <c r="AS891">
        <v>155.95988538407619</v>
      </c>
      <c r="AT891">
        <v>113.5963974477592</v>
      </c>
      <c r="AU891">
        <v>7.7748489260293114</v>
      </c>
      <c r="AV891">
        <v>249.17919440153631</v>
      </c>
      <c r="AW891">
        <v>294.45246620058788</v>
      </c>
      <c r="AX891">
        <v>45.273271799051628</v>
      </c>
      <c r="AY891">
        <v>1.46575996706786</v>
      </c>
      <c r="AZ891" t="str">
        <f>VLOOKUP(BA891,Sheet1!$A$1:$B$58,2,FALSE)</f>
        <v>Glutarate</v>
      </c>
      <c r="BA891" t="s">
        <v>132</v>
      </c>
      <c r="BB891" t="s">
        <v>133</v>
      </c>
      <c r="BC891">
        <v>130.09654</v>
      </c>
      <c r="BD891">
        <v>3.6</v>
      </c>
      <c r="BE891">
        <v>200</v>
      </c>
      <c r="BF891" t="s">
        <v>208</v>
      </c>
      <c r="BG891">
        <v>1.235345992795325</v>
      </c>
      <c r="BH891">
        <v>0.23116666666666699</v>
      </c>
      <c r="BI891">
        <v>0.50079903244965496</v>
      </c>
      <c r="BJ891">
        <v>90</v>
      </c>
      <c r="BK891">
        <v>653.29480628026636</v>
      </c>
      <c r="BL891">
        <v>100.4467502387529</v>
      </c>
      <c r="BM891">
        <v>2.0167013956841648</v>
      </c>
      <c r="BN891">
        <v>342.83923726630798</v>
      </c>
      <c r="BO891">
        <v>310.45556901395832</v>
      </c>
    </row>
    <row r="892" spans="1:67" x14ac:dyDescent="0.25">
      <c r="A892" s="1">
        <v>890</v>
      </c>
      <c r="B892" t="s">
        <v>206</v>
      </c>
      <c r="C892" t="s">
        <v>207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67</v>
      </c>
      <c r="J892">
        <v>1.3440000000000001</v>
      </c>
      <c r="K892">
        <v>500</v>
      </c>
      <c r="L892">
        <v>100</v>
      </c>
      <c r="N892" t="s">
        <v>68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12913.749633584481</v>
      </c>
      <c r="Z892">
        <v>64568748.167922407</v>
      </c>
      <c r="AA892">
        <v>86780397.537687719</v>
      </c>
      <c r="AB892">
        <v>86780.397537687721</v>
      </c>
      <c r="AC892">
        <v>0</v>
      </c>
      <c r="AD892">
        <v>669.2079119926259</v>
      </c>
      <c r="AE892">
        <v>301143.56039668171</v>
      </c>
      <c r="AF892">
        <v>301143.56039668171</v>
      </c>
      <c r="AG892">
        <v>18.08389967092663</v>
      </c>
      <c r="AH892">
        <v>26.506656186115919</v>
      </c>
      <c r="AI892">
        <v>26.506656186115919</v>
      </c>
      <c r="AJ892">
        <v>2820.3629199748511</v>
      </c>
      <c r="AK892">
        <v>854.70085470085473</v>
      </c>
      <c r="AL892" t="s">
        <v>69</v>
      </c>
      <c r="AM892">
        <v>2054.265854423983</v>
      </c>
      <c r="AN892">
        <v>140.59958793492569</v>
      </c>
      <c r="AO892">
        <v>4506.1315516397053</v>
      </c>
      <c r="AP892">
        <v>5869.9292170346143</v>
      </c>
      <c r="AQ892">
        <v>1363.797665394909</v>
      </c>
      <c r="AR892">
        <v>9.3655096468266679E-3</v>
      </c>
      <c r="AS892">
        <v>155.95988538407619</v>
      </c>
      <c r="AT892">
        <v>113.5963974477592</v>
      </c>
      <c r="AU892">
        <v>7.7748489260293088</v>
      </c>
      <c r="AV892">
        <v>249.17919440153631</v>
      </c>
      <c r="AW892">
        <v>324.59421495639361</v>
      </c>
      <c r="AX892">
        <v>75.415020554857307</v>
      </c>
      <c r="AY892">
        <v>1.46575996706786</v>
      </c>
      <c r="AZ892" t="str">
        <f>VLOOKUP(BA892,Sheet1!$A$1:$B$58,2,FALSE)</f>
        <v>Glycolate</v>
      </c>
      <c r="BA892" t="s">
        <v>134</v>
      </c>
      <c r="BB892" t="s">
        <v>135</v>
      </c>
      <c r="BC892">
        <v>75.041920000000005</v>
      </c>
      <c r="BD892">
        <v>2.5</v>
      </c>
      <c r="BE892">
        <v>112</v>
      </c>
      <c r="BF892" t="s">
        <v>208</v>
      </c>
      <c r="BG892">
        <v>-0.1127000480257936</v>
      </c>
      <c r="BH892">
        <v>1.1062962962963001</v>
      </c>
      <c r="BI892">
        <v>1.38244518355697</v>
      </c>
      <c r="BJ892">
        <v>90</v>
      </c>
      <c r="BK892">
        <v>260.88574297931621</v>
      </c>
      <c r="BL892">
        <v>60.613229573107077</v>
      </c>
      <c r="BM892">
        <v>1.290773656297612</v>
      </c>
      <c r="BN892">
        <v>219.4315215705941</v>
      </c>
      <c r="BO892">
        <v>41.454221408722127</v>
      </c>
    </row>
    <row r="893" spans="1:67" x14ac:dyDescent="0.25">
      <c r="A893" s="1">
        <v>891</v>
      </c>
      <c r="B893" t="s">
        <v>206</v>
      </c>
      <c r="C893" t="s">
        <v>207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67</v>
      </c>
      <c r="J893">
        <v>1.3440000000000001</v>
      </c>
      <c r="K893">
        <v>500</v>
      </c>
      <c r="L893">
        <v>100</v>
      </c>
      <c r="N893" t="s">
        <v>68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78462.111057935137</v>
      </c>
      <c r="Z893">
        <v>392310555.28967571</v>
      </c>
      <c r="AA893">
        <v>527265386.30932409</v>
      </c>
      <c r="AB893">
        <v>527265.38630932407</v>
      </c>
      <c r="AC893">
        <v>0</v>
      </c>
      <c r="AD893">
        <v>4066.0123512894638</v>
      </c>
      <c r="AE893">
        <v>1829705.558080259</v>
      </c>
      <c r="AF893">
        <v>1829705.558080259</v>
      </c>
      <c r="AG893">
        <v>109.87520933894371</v>
      </c>
      <c r="AH893">
        <v>161.05068322222439</v>
      </c>
      <c r="AI893">
        <v>161.05068322222439</v>
      </c>
      <c r="AJ893">
        <v>17136.125055053031</v>
      </c>
      <c r="AK893">
        <v>854.70085470085473</v>
      </c>
      <c r="AL893" t="s">
        <v>69</v>
      </c>
      <c r="AM893">
        <v>12481.427949722391</v>
      </c>
      <c r="AN893">
        <v>854.26315332613183</v>
      </c>
      <c r="AO893">
        <v>27378.61614777815</v>
      </c>
      <c r="AP893">
        <v>31326.517012802411</v>
      </c>
      <c r="AQ893">
        <v>3947.9008650242608</v>
      </c>
      <c r="AR893">
        <v>9.3655096468266662E-3</v>
      </c>
      <c r="AS893">
        <v>155.95988538407619</v>
      </c>
      <c r="AT893">
        <v>113.5963974477592</v>
      </c>
      <c r="AU893">
        <v>7.7748489260293114</v>
      </c>
      <c r="AV893">
        <v>249.17919440153639</v>
      </c>
      <c r="AW893">
        <v>285.10996430656343</v>
      </c>
      <c r="AX893">
        <v>35.930769905027013</v>
      </c>
      <c r="AY893">
        <v>1.4657599670678609</v>
      </c>
      <c r="AZ893" t="str">
        <f>VLOOKUP(BA893,Sheet1!$A$1:$B$58,2,FALSE)</f>
        <v>Heptane</v>
      </c>
      <c r="BA893" t="s">
        <v>136</v>
      </c>
      <c r="BB893" t="s">
        <v>137</v>
      </c>
      <c r="BC893">
        <v>100.20034</v>
      </c>
      <c r="BD893">
        <v>6.2857142857142856</v>
      </c>
      <c r="BE893">
        <v>98</v>
      </c>
      <c r="BF893" t="s">
        <v>208</v>
      </c>
      <c r="BG893">
        <v>3.367353843310311</v>
      </c>
      <c r="BH893">
        <v>0.13636363636363699</v>
      </c>
      <c r="BI893">
        <v>0.22753085204943599</v>
      </c>
      <c r="BJ893">
        <v>90</v>
      </c>
      <c r="BK893">
        <v>1392.2896450134399</v>
      </c>
      <c r="BL893">
        <v>175.46226066774491</v>
      </c>
      <c r="BM893">
        <v>3.7904542998996611</v>
      </c>
      <c r="BN893">
        <v>644.37723098294236</v>
      </c>
      <c r="BO893">
        <v>747.91241403049798</v>
      </c>
    </row>
    <row r="894" spans="1:67" x14ac:dyDescent="0.25">
      <c r="A894" s="1">
        <v>892</v>
      </c>
      <c r="B894" t="s">
        <v>206</v>
      </c>
      <c r="C894" t="s">
        <v>207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67</v>
      </c>
      <c r="J894">
        <v>1.3440000000000001</v>
      </c>
      <c r="K894">
        <v>500</v>
      </c>
      <c r="L894">
        <v>100</v>
      </c>
      <c r="N894" t="s">
        <v>68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76529.179354050793</v>
      </c>
      <c r="Z894">
        <v>382645896.77025402</v>
      </c>
      <c r="AA894">
        <v>514276085.25922137</v>
      </c>
      <c r="AB894">
        <v>514276.08525922138</v>
      </c>
      <c r="AC894">
        <v>0</v>
      </c>
      <c r="AD894">
        <v>3965.8452250648138</v>
      </c>
      <c r="AE894">
        <v>1784630.3512791661</v>
      </c>
      <c r="AF894">
        <v>1784630.3512791661</v>
      </c>
      <c r="AG894">
        <v>107.1684089133809</v>
      </c>
      <c r="AH894">
        <v>157.0831635195922</v>
      </c>
      <c r="AI894">
        <v>157.0831635195922</v>
      </c>
      <c r="AJ894">
        <v>16713.972770924691</v>
      </c>
      <c r="AK894">
        <v>854.70085470085473</v>
      </c>
      <c r="AL894" t="s">
        <v>69</v>
      </c>
      <c r="AM894">
        <v>12173.945172768401</v>
      </c>
      <c r="AN894">
        <v>833.21818894446938</v>
      </c>
      <c r="AO894">
        <v>26704.13779833067</v>
      </c>
      <c r="AP894">
        <v>30575.836987338411</v>
      </c>
      <c r="AQ894">
        <v>3871.6991890077411</v>
      </c>
      <c r="AR894">
        <v>9.3655096468266662E-3</v>
      </c>
      <c r="AS894">
        <v>155.95988538407619</v>
      </c>
      <c r="AT894">
        <v>113.5963974477592</v>
      </c>
      <c r="AU894">
        <v>7.7748489260293114</v>
      </c>
      <c r="AV894">
        <v>249.17919440153631</v>
      </c>
      <c r="AW894">
        <v>285.30643775864399</v>
      </c>
      <c r="AX894">
        <v>36.127243357107687</v>
      </c>
      <c r="AY894">
        <v>1.46575996706786</v>
      </c>
      <c r="AZ894" t="str">
        <f>VLOOKUP(BA894,Sheet1!$A$1:$B$58,2,FALSE)</f>
        <v>Hexane</v>
      </c>
      <c r="BA894" t="s">
        <v>138</v>
      </c>
      <c r="BB894" t="s">
        <v>139</v>
      </c>
      <c r="BC894">
        <v>86.173959999999994</v>
      </c>
      <c r="BD894">
        <v>6.333333333333333</v>
      </c>
      <c r="BE894">
        <v>69</v>
      </c>
      <c r="BF894" t="s">
        <v>208</v>
      </c>
      <c r="BG894">
        <v>3.2189300518023489</v>
      </c>
      <c r="BH894">
        <v>0.162564102564102</v>
      </c>
      <c r="BI894">
        <v>0.23327770052279401</v>
      </c>
      <c r="BJ894">
        <v>90</v>
      </c>
      <c r="BK894">
        <v>1358.926088326152</v>
      </c>
      <c r="BL894">
        <v>172.07551951145521</v>
      </c>
      <c r="BM894">
        <v>3.7625438824017481</v>
      </c>
      <c r="BN894">
        <v>639.63246000829713</v>
      </c>
      <c r="BO894">
        <v>719.29362831785488</v>
      </c>
    </row>
    <row r="895" spans="1:67" x14ac:dyDescent="0.25">
      <c r="A895" s="1">
        <v>893</v>
      </c>
      <c r="B895" t="s">
        <v>206</v>
      </c>
      <c r="C895" t="s">
        <v>207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67</v>
      </c>
      <c r="J895">
        <v>1.3440000000000001</v>
      </c>
      <c r="K895">
        <v>500</v>
      </c>
      <c r="L895">
        <v>100</v>
      </c>
      <c r="N895" t="s">
        <v>68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49788.468092527233</v>
      </c>
      <c r="Z895">
        <v>248942340.4626362</v>
      </c>
      <c r="AA895">
        <v>334578505.58178312</v>
      </c>
      <c r="AB895">
        <v>334578.50558178307</v>
      </c>
      <c r="AC895">
        <v>0</v>
      </c>
      <c r="AD895">
        <v>2580.1055246463911</v>
      </c>
      <c r="AE895">
        <v>1161047.4860908759</v>
      </c>
      <c r="AF895">
        <v>1161047.4860908759</v>
      </c>
      <c r="AG895">
        <v>69.721783935846517</v>
      </c>
      <c r="AH895">
        <v>102.1953997257189</v>
      </c>
      <c r="AI895">
        <v>102.1953997257189</v>
      </c>
      <c r="AJ895">
        <v>10873.80143140795</v>
      </c>
      <c r="AK895">
        <v>854.70085470085473</v>
      </c>
      <c r="AL895" t="s">
        <v>69</v>
      </c>
      <c r="AM895">
        <v>7920.1434787432136</v>
      </c>
      <c r="AN895">
        <v>542.07633695446384</v>
      </c>
      <c r="AO895">
        <v>17373.217953372208</v>
      </c>
      <c r="AP895">
        <v>20190.722101806481</v>
      </c>
      <c r="AQ895">
        <v>2817.5041484342728</v>
      </c>
      <c r="AR895">
        <v>9.3655096468266679E-3</v>
      </c>
      <c r="AS895">
        <v>155.95988538407619</v>
      </c>
      <c r="AT895">
        <v>113.5963974477592</v>
      </c>
      <c r="AU895">
        <v>7.7748489260293088</v>
      </c>
      <c r="AV895">
        <v>249.17919440153631</v>
      </c>
      <c r="AW895">
        <v>289.58986649545119</v>
      </c>
      <c r="AX895">
        <v>40.410672093914883</v>
      </c>
      <c r="AY895">
        <v>1.4657599670678609</v>
      </c>
      <c r="AZ895" t="str">
        <f>VLOOKUP(BA895,Sheet1!$A$1:$B$58,2,FALSE)</f>
        <v>Isobutanol</v>
      </c>
      <c r="BA895" t="s">
        <v>140</v>
      </c>
      <c r="BB895" t="s">
        <v>141</v>
      </c>
      <c r="BC895">
        <v>86.130899999999997</v>
      </c>
      <c r="BD895">
        <v>5.6</v>
      </c>
      <c r="BE895">
        <v>108</v>
      </c>
      <c r="BF895" t="s">
        <v>208</v>
      </c>
      <c r="BG895">
        <v>2.0438657903261199</v>
      </c>
      <c r="BH895">
        <v>0.25</v>
      </c>
      <c r="BI895">
        <v>0.35856799107440201</v>
      </c>
      <c r="BJ895">
        <v>90</v>
      </c>
      <c r="BK895">
        <v>897.36542674695488</v>
      </c>
      <c r="BL895">
        <v>125.2224065970789</v>
      </c>
      <c r="BM895">
        <v>2.4981519752613872</v>
      </c>
      <c r="BN895">
        <v>424.68583579443577</v>
      </c>
      <c r="BO895">
        <v>472.67959095251911</v>
      </c>
    </row>
    <row r="896" spans="1:67" x14ac:dyDescent="0.25">
      <c r="A896" s="1">
        <v>894</v>
      </c>
      <c r="B896" t="s">
        <v>206</v>
      </c>
      <c r="C896" t="s">
        <v>207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67</v>
      </c>
      <c r="J896">
        <v>1.3440000000000001</v>
      </c>
      <c r="K896">
        <v>500</v>
      </c>
      <c r="L896">
        <v>100</v>
      </c>
      <c r="N896" t="s">
        <v>68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41096.022731701763</v>
      </c>
      <c r="Z896">
        <v>205480113.65850881</v>
      </c>
      <c r="AA896">
        <v>276165272.75703591</v>
      </c>
      <c r="AB896">
        <v>276165.27275703591</v>
      </c>
      <c r="AC896">
        <v>0</v>
      </c>
      <c r="AD896">
        <v>2129.6512898128672</v>
      </c>
      <c r="AE896">
        <v>958343.08041578997</v>
      </c>
      <c r="AF896">
        <v>958343.08041578997</v>
      </c>
      <c r="AG896">
        <v>57.549230319709302</v>
      </c>
      <c r="AH896">
        <v>84.353357938197831</v>
      </c>
      <c r="AI896">
        <v>84.353357938197831</v>
      </c>
      <c r="AJ896">
        <v>8975.3713646036649</v>
      </c>
      <c r="AK896">
        <v>854.70085470085473</v>
      </c>
      <c r="AL896" t="s">
        <v>69</v>
      </c>
      <c r="AM896">
        <v>6537.3852402103321</v>
      </c>
      <c r="AN896">
        <v>447.43657154500522</v>
      </c>
      <c r="AO896">
        <v>14340.07084949363</v>
      </c>
      <c r="AP896">
        <v>16814.894031059859</v>
      </c>
      <c r="AQ896">
        <v>2474.8231815662239</v>
      </c>
      <c r="AR896">
        <v>9.3655096468266662E-3</v>
      </c>
      <c r="AS896">
        <v>155.95988538407619</v>
      </c>
      <c r="AT896">
        <v>113.5963974477592</v>
      </c>
      <c r="AU896">
        <v>7.7748489260293114</v>
      </c>
      <c r="AV896">
        <v>249.17919440153631</v>
      </c>
      <c r="AW896">
        <v>292.18277877299658</v>
      </c>
      <c r="AX896">
        <v>43.003584371460327</v>
      </c>
      <c r="AY896">
        <v>1.46575996706786</v>
      </c>
      <c r="AZ896" t="str">
        <f>VLOOKUP(BA896,Sheet1!$A$1:$B$58,2,FALSE)</f>
        <v>Isobutyrate</v>
      </c>
      <c r="BA896" t="s">
        <v>142</v>
      </c>
      <c r="BB896" t="s">
        <v>114</v>
      </c>
      <c r="BC896">
        <v>87.095680000000002</v>
      </c>
      <c r="BD896">
        <v>4.75</v>
      </c>
      <c r="BE896">
        <v>155</v>
      </c>
      <c r="BF896" t="s">
        <v>208</v>
      </c>
      <c r="BG896">
        <v>1.352839253221102</v>
      </c>
      <c r="BH896">
        <v>0.29952380952381003</v>
      </c>
      <c r="BI896">
        <v>0.43441067519261101</v>
      </c>
      <c r="BJ896">
        <v>90</v>
      </c>
      <c r="BK896">
        <v>747.32862360266017</v>
      </c>
      <c r="BL896">
        <v>109.9921414029432</v>
      </c>
      <c r="BM896">
        <v>2.3961988773654679</v>
      </c>
      <c r="BN896">
        <v>407.3538091521296</v>
      </c>
      <c r="BO896">
        <v>339.97481445053057</v>
      </c>
    </row>
    <row r="897" spans="1:67" x14ac:dyDescent="0.25">
      <c r="A897" s="1">
        <v>895</v>
      </c>
      <c r="B897" t="s">
        <v>206</v>
      </c>
      <c r="C897" t="s">
        <v>207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67</v>
      </c>
      <c r="J897">
        <v>1.3440000000000001</v>
      </c>
      <c r="K897">
        <v>500</v>
      </c>
      <c r="L897">
        <v>100</v>
      </c>
      <c r="N897" t="s">
        <v>68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73574.247428797098</v>
      </c>
      <c r="Z897">
        <v>367871237.14398551</v>
      </c>
      <c r="AA897">
        <v>494418942.72151649</v>
      </c>
      <c r="AB897">
        <v>494418.94272151648</v>
      </c>
      <c r="AC897">
        <v>66773.504273504266</v>
      </c>
      <c r="AD897">
        <v>3812.7166698513361</v>
      </c>
      <c r="AE897">
        <v>1715722.501433101</v>
      </c>
      <c r="AF897">
        <v>1715722.501433101</v>
      </c>
      <c r="AG897">
        <v>103.0304401601588</v>
      </c>
      <c r="AH897">
        <v>151.0178945761416</v>
      </c>
      <c r="AI897">
        <v>151.0178945761416</v>
      </c>
      <c r="AJ897">
        <v>16068.61563844929</v>
      </c>
      <c r="AK897">
        <v>2170.1388888888891</v>
      </c>
      <c r="AL897" t="s">
        <v>107</v>
      </c>
      <c r="AM897">
        <v>11703.88682965097</v>
      </c>
      <c r="AN897">
        <v>801.04610702753769</v>
      </c>
      <c r="AO897">
        <v>25673.042077944068</v>
      </c>
      <c r="AP897">
        <v>30743.68746401669</v>
      </c>
      <c r="AQ897">
        <v>5070.6453860726178</v>
      </c>
      <c r="AR897">
        <v>9.3655096468266679E-3</v>
      </c>
      <c r="AS897">
        <v>155.95988538407619</v>
      </c>
      <c r="AT897">
        <v>113.5963974477592</v>
      </c>
      <c r="AU897">
        <v>7.7748489260293114</v>
      </c>
      <c r="AV897">
        <v>249.17919440153639</v>
      </c>
      <c r="AW897">
        <v>298.39421646870801</v>
      </c>
      <c r="AX897">
        <v>49.215022067171589</v>
      </c>
      <c r="AY897">
        <v>1.4657599670678609</v>
      </c>
      <c r="AZ897" t="str">
        <f>VLOOKUP(BA897,Sheet1!$A$1:$B$58,2,FALSE)</f>
        <v>Isoprene</v>
      </c>
      <c r="BA897" t="s">
        <v>143</v>
      </c>
      <c r="BB897" t="s">
        <v>144</v>
      </c>
      <c r="BC897">
        <v>68.116219999999998</v>
      </c>
      <c r="BD897">
        <v>5.6</v>
      </c>
      <c r="BE897">
        <v>34.07</v>
      </c>
      <c r="BF897" t="s">
        <v>208</v>
      </c>
      <c r="BG897">
        <v>2.8100829563150418</v>
      </c>
      <c r="BH897">
        <v>0.21392</v>
      </c>
      <c r="BI897">
        <v>0.242646735868914</v>
      </c>
      <c r="BJ897">
        <v>90</v>
      </c>
      <c r="BK897">
        <v>1366.386109511853</v>
      </c>
      <c r="BL897">
        <v>225.362017158783</v>
      </c>
      <c r="BM897">
        <v>3.9018234692912479</v>
      </c>
      <c r="BN897">
        <v>663.30998977951219</v>
      </c>
      <c r="BO897">
        <v>703.07611973234032</v>
      </c>
    </row>
    <row r="898" spans="1:67" x14ac:dyDescent="0.25">
      <c r="A898" s="1">
        <v>896</v>
      </c>
      <c r="B898" t="s">
        <v>206</v>
      </c>
      <c r="C898" t="s">
        <v>207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67</v>
      </c>
      <c r="J898">
        <v>1.3440000000000001</v>
      </c>
      <c r="K898">
        <v>500</v>
      </c>
      <c r="L898">
        <v>100</v>
      </c>
      <c r="N898" t="s">
        <v>68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53909.729590820687</v>
      </c>
      <c r="Z898">
        <v>269548647.95410353</v>
      </c>
      <c r="AA898">
        <v>362273382.85031509</v>
      </c>
      <c r="AB898">
        <v>362273.38285031507</v>
      </c>
      <c r="AC898">
        <v>0</v>
      </c>
      <c r="AD898">
        <v>2793.6748503886179</v>
      </c>
      <c r="AE898">
        <v>1257153.682674878</v>
      </c>
      <c r="AF898">
        <v>1257153.682674878</v>
      </c>
      <c r="AG898">
        <v>75.49303408142525</v>
      </c>
      <c r="AH898">
        <v>110.65466714904279</v>
      </c>
      <c r="AI898">
        <v>110.65466714904279</v>
      </c>
      <c r="AJ898">
        <v>11773.884942635241</v>
      </c>
      <c r="AK898">
        <v>854.70085470085473</v>
      </c>
      <c r="AL898" t="s">
        <v>69</v>
      </c>
      <c r="AM898">
        <v>8575.7367040508125</v>
      </c>
      <c r="AN898">
        <v>586.94693495066315</v>
      </c>
      <c r="AO898">
        <v>18811.29341533727</v>
      </c>
      <c r="AP898">
        <v>21791.26943633757</v>
      </c>
      <c r="AQ898">
        <v>2979.9760210003042</v>
      </c>
      <c r="AR898">
        <v>9.3655096468266662E-3</v>
      </c>
      <c r="AS898">
        <v>155.95988538407619</v>
      </c>
      <c r="AT898">
        <v>113.5963974477592</v>
      </c>
      <c r="AU898">
        <v>7.7748489260293088</v>
      </c>
      <c r="AV898">
        <v>249.17919440153631</v>
      </c>
      <c r="AW898">
        <v>288.65271745249959</v>
      </c>
      <c r="AX898">
        <v>39.473523050963387</v>
      </c>
      <c r="AY898">
        <v>1.46575996706786</v>
      </c>
      <c r="AZ898" t="str">
        <f>VLOOKUP(BA898,Sheet1!$A$1:$B$58,2,FALSE)</f>
        <v>Isopropanol</v>
      </c>
      <c r="BA898" t="s">
        <v>145</v>
      </c>
      <c r="BB898" t="s">
        <v>79</v>
      </c>
      <c r="BC898">
        <v>60.093820000000001</v>
      </c>
      <c r="BD898">
        <v>6</v>
      </c>
      <c r="BE898">
        <v>82.5</v>
      </c>
      <c r="BF898" t="s">
        <v>208</v>
      </c>
      <c r="BG898">
        <v>2.2290307672059528</v>
      </c>
      <c r="BH898">
        <v>0.33092592592592601</v>
      </c>
      <c r="BI898">
        <v>0.33115638156807298</v>
      </c>
      <c r="BJ898">
        <v>90</v>
      </c>
      <c r="BK898">
        <v>968.50086383722544</v>
      </c>
      <c r="BL898">
        <v>132.44337871112469</v>
      </c>
      <c r="BM898">
        <v>2.6889544394181688</v>
      </c>
      <c r="BN898">
        <v>457.12225470108882</v>
      </c>
      <c r="BO898">
        <v>511.37860913613667</v>
      </c>
    </row>
    <row r="899" spans="1:67" x14ac:dyDescent="0.25">
      <c r="A899" s="1">
        <v>897</v>
      </c>
      <c r="B899" t="s">
        <v>206</v>
      </c>
      <c r="C899" t="s">
        <v>207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67</v>
      </c>
      <c r="J899">
        <v>1.3440000000000001</v>
      </c>
      <c r="K899">
        <v>500</v>
      </c>
      <c r="L899">
        <v>100</v>
      </c>
      <c r="N899" t="s">
        <v>68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27167.330365481361</v>
      </c>
      <c r="Z899">
        <v>135836651.82740679</v>
      </c>
      <c r="AA899">
        <v>182564460.0560348</v>
      </c>
      <c r="AB899">
        <v>182564.46005603479</v>
      </c>
      <c r="AC899">
        <v>0</v>
      </c>
      <c r="AD899">
        <v>1407.8476774101159</v>
      </c>
      <c r="AE899">
        <v>633531.45483455202</v>
      </c>
      <c r="AF899">
        <v>633531.45483455202</v>
      </c>
      <c r="AG899">
        <v>38.044045346720523</v>
      </c>
      <c r="AH899">
        <v>55.763438654537268</v>
      </c>
      <c r="AI899">
        <v>55.763438654537268</v>
      </c>
      <c r="AJ899">
        <v>5933.3449518211301</v>
      </c>
      <c r="AK899">
        <v>854.70085470085473</v>
      </c>
      <c r="AL899" t="s">
        <v>69</v>
      </c>
      <c r="AM899">
        <v>4321.6664957266375</v>
      </c>
      <c r="AN899">
        <v>295.7867051057604</v>
      </c>
      <c r="AO899">
        <v>9479.784571271337</v>
      </c>
      <c r="AP899">
        <v>11405.49900735438</v>
      </c>
      <c r="AQ899">
        <v>1925.7144360830459</v>
      </c>
      <c r="AR899">
        <v>9.3655096468266679E-3</v>
      </c>
      <c r="AS899">
        <v>155.95988538407619</v>
      </c>
      <c r="AT899">
        <v>113.5963974477592</v>
      </c>
      <c r="AU899">
        <v>7.7748489260293114</v>
      </c>
      <c r="AV899">
        <v>249.17919440153639</v>
      </c>
      <c r="AW899">
        <v>299.7972193390197</v>
      </c>
      <c r="AX899">
        <v>50.618024937483341</v>
      </c>
      <c r="AY899">
        <v>1.4657599670678609</v>
      </c>
      <c r="AZ899" t="str">
        <f>VLOOKUP(BA899,Sheet1!$A$1:$B$58,2,FALSE)</f>
        <v>Itaconate</v>
      </c>
      <c r="BA899" t="s">
        <v>146</v>
      </c>
      <c r="BB899" t="s">
        <v>147</v>
      </c>
      <c r="BC899">
        <v>128.08086</v>
      </c>
      <c r="BD899">
        <v>3.2</v>
      </c>
      <c r="BE899">
        <v>381</v>
      </c>
      <c r="BF899" t="s">
        <v>208</v>
      </c>
      <c r="BG899">
        <v>0.51243619106716143</v>
      </c>
      <c r="BH899">
        <v>0.308103448275862</v>
      </c>
      <c r="BI899">
        <v>0.65713306174878305</v>
      </c>
      <c r="BJ899">
        <v>90</v>
      </c>
      <c r="BK899">
        <v>506.91106699352821</v>
      </c>
      <c r="BL899">
        <v>85.587308270357624</v>
      </c>
      <c r="BM899">
        <v>1.9659388602456069</v>
      </c>
      <c r="BN899">
        <v>334.20960624175308</v>
      </c>
      <c r="BO899">
        <v>172.7014607517751</v>
      </c>
    </row>
    <row r="900" spans="1:67" x14ac:dyDescent="0.25">
      <c r="A900" s="1">
        <v>898</v>
      </c>
      <c r="B900" t="s">
        <v>206</v>
      </c>
      <c r="C900" t="s">
        <v>207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67</v>
      </c>
      <c r="J900">
        <v>1.3440000000000001</v>
      </c>
      <c r="K900">
        <v>500</v>
      </c>
      <c r="L900">
        <v>100</v>
      </c>
      <c r="N900" t="s">
        <v>68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73448.680713185327</v>
      </c>
      <c r="Z900">
        <v>367243403.56592661</v>
      </c>
      <c r="AA900">
        <v>493575134.39260542</v>
      </c>
      <c r="AB900">
        <v>493575.1343926054</v>
      </c>
      <c r="AC900">
        <v>0</v>
      </c>
      <c r="AD900">
        <v>3806.2096334014582</v>
      </c>
      <c r="AE900">
        <v>1712794.3350306561</v>
      </c>
      <c r="AF900">
        <v>1712794.3350306561</v>
      </c>
      <c r="AG900">
        <v>102.85460154228549</v>
      </c>
      <c r="AH900">
        <v>150.76015736939831</v>
      </c>
      <c r="AI900">
        <v>150.76015736939831</v>
      </c>
      <c r="AJ900">
        <v>16041.19186775968</v>
      </c>
      <c r="AK900">
        <v>854.70085470085473</v>
      </c>
      <c r="AL900" t="s">
        <v>69</v>
      </c>
      <c r="AM900">
        <v>11683.912196128371</v>
      </c>
      <c r="AN900">
        <v>799.67898833821107</v>
      </c>
      <c r="AO900">
        <v>25629.22675279772</v>
      </c>
      <c r="AP900">
        <v>29379.483906927111</v>
      </c>
      <c r="AQ900">
        <v>3750.2571541293978</v>
      </c>
      <c r="AR900">
        <v>9.3655096468266679E-3</v>
      </c>
      <c r="AS900">
        <v>155.95988538407619</v>
      </c>
      <c r="AT900">
        <v>113.5963974477592</v>
      </c>
      <c r="AU900">
        <v>7.7748489260293114</v>
      </c>
      <c r="AV900">
        <v>249.17919440153631</v>
      </c>
      <c r="AW900">
        <v>285.64092871283577</v>
      </c>
      <c r="AX900">
        <v>36.461734311299523</v>
      </c>
      <c r="AY900">
        <v>1.46575996706786</v>
      </c>
      <c r="AZ900" t="str">
        <f>VLOOKUP(BA900,Sheet1!$A$1:$B$58,2,FALSE)</f>
        <v>Limonene</v>
      </c>
      <c r="BA900" t="s">
        <v>148</v>
      </c>
      <c r="BB900" t="s">
        <v>149</v>
      </c>
      <c r="BC900">
        <v>136.23244</v>
      </c>
      <c r="BD900">
        <v>5.6</v>
      </c>
      <c r="BE900">
        <v>176</v>
      </c>
      <c r="BF900" t="s">
        <v>208</v>
      </c>
      <c r="BG900">
        <v>2.7997736809235758</v>
      </c>
      <c r="BH900">
        <v>0.107142857142857</v>
      </c>
      <c r="BI900">
        <v>0.24306156093290601</v>
      </c>
      <c r="BJ900">
        <v>90</v>
      </c>
      <c r="BK900">
        <v>1305.754840307872</v>
      </c>
      <c r="BL900">
        <v>166.67809573908411</v>
      </c>
      <c r="BM900">
        <v>3.9006777577163501</v>
      </c>
      <c r="BN900">
        <v>663.11521881177953</v>
      </c>
      <c r="BO900">
        <v>642.63962149609199</v>
      </c>
    </row>
    <row r="901" spans="1:67" x14ac:dyDescent="0.25">
      <c r="A901" s="1">
        <v>899</v>
      </c>
      <c r="B901" t="s">
        <v>206</v>
      </c>
      <c r="C901" t="s">
        <v>207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67</v>
      </c>
      <c r="J901">
        <v>1.3440000000000001</v>
      </c>
      <c r="K901">
        <v>500</v>
      </c>
      <c r="L901">
        <v>100</v>
      </c>
      <c r="N901" t="s">
        <v>68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35708.57032246227</v>
      </c>
      <c r="Z901">
        <v>178542851.6123113</v>
      </c>
      <c r="AA901">
        <v>239961592.56694639</v>
      </c>
      <c r="AB901">
        <v>239961.5925669464</v>
      </c>
      <c r="AC901">
        <v>0</v>
      </c>
      <c r="AD901">
        <v>1850.46624441207</v>
      </c>
      <c r="AE901">
        <v>832709.80998543161</v>
      </c>
      <c r="AF901">
        <v>832709.80998543161</v>
      </c>
      <c r="AG901">
        <v>50.004856949080761</v>
      </c>
      <c r="AH901">
        <v>73.295117474917674</v>
      </c>
      <c r="AI901">
        <v>73.295117474917674</v>
      </c>
      <c r="AJ901">
        <v>7798.7517584257594</v>
      </c>
      <c r="AK901">
        <v>854.70085470085473</v>
      </c>
      <c r="AL901" t="s">
        <v>69</v>
      </c>
      <c r="AM901">
        <v>5680.3716043061186</v>
      </c>
      <c r="AN901">
        <v>388.78020834680967</v>
      </c>
      <c r="AO901">
        <v>12460.169970736</v>
      </c>
      <c r="AP901">
        <v>14722.604425779549</v>
      </c>
      <c r="AQ901">
        <v>2262.4344550435421</v>
      </c>
      <c r="AR901">
        <v>9.3655096468266662E-3</v>
      </c>
      <c r="AS901">
        <v>155.95988538407619</v>
      </c>
      <c r="AT901">
        <v>113.5963974477592</v>
      </c>
      <c r="AU901">
        <v>7.7748489260293088</v>
      </c>
      <c r="AV901">
        <v>249.17919440153631</v>
      </c>
      <c r="AW901">
        <v>294.42348851775279</v>
      </c>
      <c r="AX901">
        <v>45.244294116216537</v>
      </c>
      <c r="AY901">
        <v>1.46575996706786</v>
      </c>
      <c r="AZ901" t="str">
        <f>VLOOKUP(BA901,Sheet1!$A$1:$B$58,2,FALSE)</f>
        <v>L-Lysine</v>
      </c>
      <c r="BA901" t="s">
        <v>150</v>
      </c>
      <c r="BB901" t="s">
        <v>151</v>
      </c>
      <c r="BC901">
        <v>147.19319999999999</v>
      </c>
      <c r="BD901">
        <v>4.833333333333333</v>
      </c>
      <c r="BF901" t="s">
        <v>208</v>
      </c>
      <c r="BG901">
        <v>1.137775417711385</v>
      </c>
      <c r="BH901">
        <v>0.20397058823529399</v>
      </c>
      <c r="BI901">
        <v>0.49995143522672503</v>
      </c>
      <c r="BJ901">
        <v>90</v>
      </c>
      <c r="BK901">
        <v>654.33797447909114</v>
      </c>
      <c r="BL901">
        <v>100.55264244637971</v>
      </c>
      <c r="BM901">
        <v>2.1197853589516229</v>
      </c>
      <c r="BN901">
        <v>360.36351102177588</v>
      </c>
      <c r="BO901">
        <v>293.97446345731532</v>
      </c>
    </row>
    <row r="902" spans="1:67" x14ac:dyDescent="0.25">
      <c r="A902" s="1">
        <v>900</v>
      </c>
      <c r="B902" t="s">
        <v>206</v>
      </c>
      <c r="C902" t="s">
        <v>207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67</v>
      </c>
      <c r="J902">
        <v>1.3440000000000001</v>
      </c>
      <c r="K902">
        <v>500</v>
      </c>
      <c r="L902">
        <v>100</v>
      </c>
      <c r="N902" t="s">
        <v>68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16679.949876692121</v>
      </c>
      <c r="Z902">
        <v>83399749.383460596</v>
      </c>
      <c r="AA902">
        <v>112089263.171371</v>
      </c>
      <c r="AB902">
        <v>112089.263171371</v>
      </c>
      <c r="AC902">
        <v>0</v>
      </c>
      <c r="AD902">
        <v>864.37748491678371</v>
      </c>
      <c r="AE902">
        <v>388969.86821255268</v>
      </c>
      <c r="AF902">
        <v>388969.86821255268</v>
      </c>
      <c r="AG902">
        <v>23.35793620326363</v>
      </c>
      <c r="AH902">
        <v>34.237127800068883</v>
      </c>
      <c r="AI902">
        <v>34.237127800068883</v>
      </c>
      <c r="AJ902">
        <v>3642.9010530695591</v>
      </c>
      <c r="AK902">
        <v>854.70085470085473</v>
      </c>
      <c r="AL902" t="s">
        <v>69</v>
      </c>
      <c r="AM902">
        <v>2653.3774045053378</v>
      </c>
      <c r="AN902">
        <v>181.60442520420531</v>
      </c>
      <c r="AO902">
        <v>5820.3117260117087</v>
      </c>
      <c r="AP902">
        <v>7332.5837374799576</v>
      </c>
      <c r="AQ902">
        <v>1512.272011468249</v>
      </c>
      <c r="AR902">
        <v>9.3655096468266662E-3</v>
      </c>
      <c r="AS902">
        <v>155.95988538407619</v>
      </c>
      <c r="AT902">
        <v>113.5963974477592</v>
      </c>
      <c r="AU902">
        <v>7.7748489260293088</v>
      </c>
      <c r="AV902">
        <v>249.17919440153631</v>
      </c>
      <c r="AW902">
        <v>313.92258603974739</v>
      </c>
      <c r="AX902">
        <v>64.743391638211136</v>
      </c>
      <c r="AY902">
        <v>1.46575996706786</v>
      </c>
      <c r="AZ902" t="str">
        <f>VLOOKUP(BA902,Sheet1!$A$1:$B$58,2,FALSE)</f>
        <v>L-Malate</v>
      </c>
      <c r="BA902" t="s">
        <v>152</v>
      </c>
      <c r="BB902" t="s">
        <v>153</v>
      </c>
      <c r="BC902">
        <v>132.06916000000001</v>
      </c>
      <c r="BD902">
        <v>2.5</v>
      </c>
      <c r="BF902" t="s">
        <v>208</v>
      </c>
      <c r="BG902">
        <v>3.6518848901819133E-2</v>
      </c>
      <c r="BH902">
        <v>0.48666666666666702</v>
      </c>
      <c r="BI902">
        <v>1.07030003774507</v>
      </c>
      <c r="BJ902">
        <v>90</v>
      </c>
      <c r="BK902">
        <v>325.89261055466483</v>
      </c>
      <c r="BL902">
        <v>67.212089398588788</v>
      </c>
      <c r="BM902">
        <v>1.485131275545686</v>
      </c>
      <c r="BN902">
        <v>252.4723168427667</v>
      </c>
      <c r="BO902">
        <v>73.420293711898069</v>
      </c>
    </row>
    <row r="903" spans="1:67" x14ac:dyDescent="0.25">
      <c r="A903" s="1">
        <v>901</v>
      </c>
      <c r="B903" t="s">
        <v>206</v>
      </c>
      <c r="C903" t="s">
        <v>207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67</v>
      </c>
      <c r="J903">
        <v>1.3440000000000001</v>
      </c>
      <c r="K903">
        <v>500</v>
      </c>
      <c r="L903">
        <v>100</v>
      </c>
      <c r="N903" t="s">
        <v>68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16864.11589410411</v>
      </c>
      <c r="Z903">
        <v>84320579.470520556</v>
      </c>
      <c r="AA903">
        <v>113326858.80837961</v>
      </c>
      <c r="AB903">
        <v>113326.85880837961</v>
      </c>
      <c r="AC903">
        <v>0</v>
      </c>
      <c r="AD903">
        <v>873.92121616984718</v>
      </c>
      <c r="AE903">
        <v>393264.54727643123</v>
      </c>
      <c r="AF903">
        <v>393264.54727643123</v>
      </c>
      <c r="AG903">
        <v>23.615834945005631</v>
      </c>
      <c r="AH903">
        <v>34.615145451271466</v>
      </c>
      <c r="AI903">
        <v>34.615145451271466</v>
      </c>
      <c r="AJ903">
        <v>3683.1229112723381</v>
      </c>
      <c r="AK903">
        <v>854.70085470085473</v>
      </c>
      <c r="AL903" t="s">
        <v>69</v>
      </c>
      <c r="AM903">
        <v>2682.673772473539</v>
      </c>
      <c r="AN903">
        <v>183.6095489594623</v>
      </c>
      <c r="AO903">
        <v>5884.5747267161514</v>
      </c>
      <c r="AP903">
        <v>7404.1070874061943</v>
      </c>
      <c r="AQ903">
        <v>1519.532360690044</v>
      </c>
      <c r="AR903">
        <v>9.3655096468266662E-3</v>
      </c>
      <c r="AS903">
        <v>155.95988538407619</v>
      </c>
      <c r="AT903">
        <v>113.5963974477592</v>
      </c>
      <c r="AU903">
        <v>7.774848926029307</v>
      </c>
      <c r="AV903">
        <v>249.17919440153631</v>
      </c>
      <c r="AW903">
        <v>313.52298593923081</v>
      </c>
      <c r="AX903">
        <v>64.3437915376945</v>
      </c>
      <c r="AY903">
        <v>1.46575996706786</v>
      </c>
      <c r="AZ903" t="str">
        <f>VLOOKUP(BA903,Sheet1!$A$1:$B$58,2,FALSE)</f>
        <v>Malonate</v>
      </c>
      <c r="BA903" t="s">
        <v>154</v>
      </c>
      <c r="BB903" t="s">
        <v>155</v>
      </c>
      <c r="BC903">
        <v>102.04378</v>
      </c>
      <c r="BD903">
        <v>2</v>
      </c>
      <c r="BE903">
        <v>199</v>
      </c>
      <c r="BF903" t="s">
        <v>208</v>
      </c>
      <c r="BG903">
        <v>9.0720806408204818E-2</v>
      </c>
      <c r="BH903">
        <v>0.62298507462686603</v>
      </c>
      <c r="BI903">
        <v>1.05861173480496</v>
      </c>
      <c r="BJ903">
        <v>90</v>
      </c>
      <c r="BK903">
        <v>329.07142610694189</v>
      </c>
      <c r="BL903">
        <v>67.534771586224124</v>
      </c>
      <c r="BM903">
        <v>1.447730102537194</v>
      </c>
      <c r="BN903">
        <v>246.11411743132291</v>
      </c>
      <c r="BO903">
        <v>82.957308675619004</v>
      </c>
    </row>
    <row r="904" spans="1:67" x14ac:dyDescent="0.25">
      <c r="A904" s="1">
        <v>902</v>
      </c>
      <c r="B904" t="s">
        <v>206</v>
      </c>
      <c r="C904" t="s">
        <v>207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67</v>
      </c>
      <c r="J904">
        <v>1.3440000000000001</v>
      </c>
      <c r="K904">
        <v>500</v>
      </c>
      <c r="L904">
        <v>100</v>
      </c>
      <c r="N904" t="s">
        <v>68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78018.332409416922</v>
      </c>
      <c r="Z904">
        <v>390091662.04708463</v>
      </c>
      <c r="AA904">
        <v>524283193.79128182</v>
      </c>
      <c r="AB904">
        <v>524283.19379128178</v>
      </c>
      <c r="AC904">
        <v>0</v>
      </c>
      <c r="AD904">
        <v>4043.0151435699158</v>
      </c>
      <c r="AE904">
        <v>1819356.8146064619</v>
      </c>
      <c r="AF904">
        <v>1819356.8146064619</v>
      </c>
      <c r="AG904">
        <v>109.2537594282972</v>
      </c>
      <c r="AH904">
        <v>160.13978682166081</v>
      </c>
      <c r="AI904">
        <v>160.13978682166081</v>
      </c>
      <c r="AJ904">
        <v>17039.203798216658</v>
      </c>
      <c r="AK904">
        <v>854.70085470085473</v>
      </c>
      <c r="AL904" t="s">
        <v>69</v>
      </c>
      <c r="AM904">
        <v>12410.833478678711</v>
      </c>
      <c r="AN904">
        <v>849.43147415576061</v>
      </c>
      <c r="AO904">
        <v>27223.76375968233</v>
      </c>
      <c r="AP904">
        <v>31154.16960575198</v>
      </c>
      <c r="AQ904">
        <v>3930.405846069651</v>
      </c>
      <c r="AR904">
        <v>9.3655096468266662E-3</v>
      </c>
      <c r="AS904">
        <v>155.95988538407619</v>
      </c>
      <c r="AT904">
        <v>113.5963974477592</v>
      </c>
      <c r="AU904">
        <v>7.7748489260293088</v>
      </c>
      <c r="AV904">
        <v>249.17919440153631</v>
      </c>
      <c r="AW904">
        <v>285.15421134041941</v>
      </c>
      <c r="AX904">
        <v>35.975016938883101</v>
      </c>
      <c r="AY904">
        <v>1.46575996706786</v>
      </c>
      <c r="AZ904" t="str">
        <f>VLOOKUP(BA904,Sheet1!$A$1:$B$58,2,FALSE)</f>
        <v>Nonane</v>
      </c>
      <c r="BA904" t="s">
        <v>156</v>
      </c>
      <c r="BB904" t="s">
        <v>157</v>
      </c>
      <c r="BC904">
        <v>128.25309999999999</v>
      </c>
      <c r="BD904">
        <v>6.2222222222222223</v>
      </c>
      <c r="BE904">
        <v>151</v>
      </c>
      <c r="BF904" t="s">
        <v>208</v>
      </c>
      <c r="BG904">
        <v>3.3171128027314918</v>
      </c>
      <c r="BH904">
        <v>0.107142857142857</v>
      </c>
      <c r="BI904">
        <v>0.228825077789725</v>
      </c>
      <c r="BJ904">
        <v>90</v>
      </c>
      <c r="BK904">
        <v>1384.629760255644</v>
      </c>
      <c r="BL904">
        <v>174.68470426976219</v>
      </c>
      <c r="BM904">
        <v>3.8002110560089868</v>
      </c>
      <c r="BN904">
        <v>646.03587952152782</v>
      </c>
      <c r="BO904">
        <v>738.59388073411594</v>
      </c>
    </row>
    <row r="905" spans="1:67" x14ac:dyDescent="0.25">
      <c r="A905" s="1">
        <v>903</v>
      </c>
      <c r="B905" t="s">
        <v>206</v>
      </c>
      <c r="C905" t="s">
        <v>207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67</v>
      </c>
      <c r="J905">
        <v>1.3440000000000001</v>
      </c>
      <c r="K905">
        <v>500</v>
      </c>
      <c r="L905">
        <v>100</v>
      </c>
      <c r="N905" t="s">
        <v>68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75768.118606456585</v>
      </c>
      <c r="Z905">
        <v>378840593.03228289</v>
      </c>
      <c r="AA905">
        <v>509161757.03538829</v>
      </c>
      <c r="AB905">
        <v>509161.75703538832</v>
      </c>
      <c r="AC905">
        <v>0</v>
      </c>
      <c r="AD905">
        <v>3926.406031317978</v>
      </c>
      <c r="AE905">
        <v>1766882.71409309</v>
      </c>
      <c r="AF905">
        <v>1766882.71409309</v>
      </c>
      <c r="AG905">
        <v>106.1026498121528</v>
      </c>
      <c r="AH905">
        <v>155.5210164944738</v>
      </c>
      <c r="AI905">
        <v>155.5210164944738</v>
      </c>
      <c r="AJ905">
        <v>16547.757103650121</v>
      </c>
      <c r="AK905">
        <v>854.70085470085473</v>
      </c>
      <c r="AL905" t="s">
        <v>69</v>
      </c>
      <c r="AM905">
        <v>12052.878778321719</v>
      </c>
      <c r="AN905">
        <v>824.93207294087972</v>
      </c>
      <c r="AO905">
        <v>26438.57280406055</v>
      </c>
      <c r="AP905">
        <v>30280.268809613572</v>
      </c>
      <c r="AQ905">
        <v>3841.6960055530249</v>
      </c>
      <c r="AR905">
        <v>9.3655096468266644E-3</v>
      </c>
      <c r="AS905">
        <v>155.9598853840761</v>
      </c>
      <c r="AT905">
        <v>113.5963974477592</v>
      </c>
      <c r="AU905">
        <v>7.7748489260293088</v>
      </c>
      <c r="AV905">
        <v>249.17919440153631</v>
      </c>
      <c r="AW905">
        <v>285.38654654923931</v>
      </c>
      <c r="AX905">
        <v>36.207352147703013</v>
      </c>
      <c r="AY905">
        <v>1.46575996706786</v>
      </c>
      <c r="AZ905" t="str">
        <f>VLOOKUP(BA905,Sheet1!$A$1:$B$58,2,FALSE)</f>
        <v>Octane</v>
      </c>
      <c r="BA905" t="s">
        <v>158</v>
      </c>
      <c r="BB905" t="s">
        <v>159</v>
      </c>
      <c r="BC905">
        <v>114.22672</v>
      </c>
      <c r="BD905">
        <v>6.25</v>
      </c>
      <c r="BE905">
        <v>126</v>
      </c>
      <c r="BF905" t="s">
        <v>208</v>
      </c>
      <c r="BG905">
        <v>3.1384211284094872</v>
      </c>
      <c r="BH905">
        <v>0.123872113676731</v>
      </c>
      <c r="BI905">
        <v>0.235620882647707</v>
      </c>
      <c r="BJ905">
        <v>90</v>
      </c>
      <c r="BK905">
        <v>1345.789724871714</v>
      </c>
      <c r="BL905">
        <v>170.74204469124581</v>
      </c>
      <c r="BM905">
        <v>3.7736240491226809</v>
      </c>
      <c r="BN905">
        <v>641.51608835085574</v>
      </c>
      <c r="BO905">
        <v>704.27363652085853</v>
      </c>
    </row>
    <row r="906" spans="1:67" x14ac:dyDescent="0.25">
      <c r="A906" s="1">
        <v>904</v>
      </c>
      <c r="B906" t="s">
        <v>206</v>
      </c>
      <c r="C906" t="s">
        <v>207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67</v>
      </c>
      <c r="J906">
        <v>1.3440000000000001</v>
      </c>
      <c r="K906">
        <v>500</v>
      </c>
      <c r="L906">
        <v>100</v>
      </c>
      <c r="N906" t="s">
        <v>68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80202.13478703046</v>
      </c>
      <c r="Z906">
        <v>401010673.93515229</v>
      </c>
      <c r="AA906">
        <v>538958345.76884472</v>
      </c>
      <c r="AB906">
        <v>538958.34576884471</v>
      </c>
      <c r="AC906">
        <v>66773.504273504266</v>
      </c>
      <c r="AD906">
        <v>4156.1827262468023</v>
      </c>
      <c r="AE906">
        <v>1870282.2268110609</v>
      </c>
      <c r="AF906">
        <v>1870282.2268110609</v>
      </c>
      <c r="AG906">
        <v>112.3118691344966</v>
      </c>
      <c r="AH906">
        <v>164.6222416039096</v>
      </c>
      <c r="AI906">
        <v>164.6222416039096</v>
      </c>
      <c r="AJ906">
        <v>17516.14623748745</v>
      </c>
      <c r="AK906">
        <v>2170.1388888888891</v>
      </c>
      <c r="AL906" t="s">
        <v>107</v>
      </c>
      <c r="AM906">
        <v>12758.22372430299</v>
      </c>
      <c r="AN906">
        <v>873.20781512068515</v>
      </c>
      <c r="AO906">
        <v>27985.781072664631</v>
      </c>
      <c r="AP906">
        <v>33317.716665800021</v>
      </c>
      <c r="AQ906">
        <v>5331.9355931353894</v>
      </c>
      <c r="AR906">
        <v>9.3655096468266679E-3</v>
      </c>
      <c r="AS906">
        <v>155.95988538407619</v>
      </c>
      <c r="AT906">
        <v>113.5963974477592</v>
      </c>
      <c r="AU906">
        <v>7.7748489260293114</v>
      </c>
      <c r="AV906">
        <v>249.17919440153639</v>
      </c>
      <c r="AW906">
        <v>296.653567628735</v>
      </c>
      <c r="AX906">
        <v>47.47437322719864</v>
      </c>
      <c r="AY906">
        <v>1.4657599670678609</v>
      </c>
      <c r="AZ906" t="str">
        <f>VLOOKUP(BA906,Sheet1!$A$1:$B$58,2,FALSE)</f>
        <v>Pentane</v>
      </c>
      <c r="BA906" t="s">
        <v>160</v>
      </c>
      <c r="BB906" t="s">
        <v>161</v>
      </c>
      <c r="BC906">
        <v>72.147580000000005</v>
      </c>
      <c r="BD906">
        <v>6.4</v>
      </c>
      <c r="BE906">
        <v>36.1</v>
      </c>
      <c r="BF906" t="s">
        <v>208</v>
      </c>
      <c r="BG906">
        <v>3.5347553436741799</v>
      </c>
      <c r="BH906">
        <v>0.18527638190954801</v>
      </c>
      <c r="BI906">
        <v>0.22259446123242599</v>
      </c>
      <c r="BJ906">
        <v>90</v>
      </c>
      <c r="BK906">
        <v>1480.787407368889</v>
      </c>
      <c r="BL906">
        <v>236.97491525046141</v>
      </c>
      <c r="BM906">
        <v>3.781788727610691</v>
      </c>
      <c r="BN906">
        <v>642.90408369381748</v>
      </c>
      <c r="BO906">
        <v>837.88332367507201</v>
      </c>
    </row>
    <row r="907" spans="1:67" x14ac:dyDescent="0.25">
      <c r="A907" s="1">
        <v>905</v>
      </c>
      <c r="B907" t="s">
        <v>206</v>
      </c>
      <c r="C907" t="s">
        <v>207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67</v>
      </c>
      <c r="J907">
        <v>1.3440000000000001</v>
      </c>
      <c r="K907">
        <v>500</v>
      </c>
      <c r="L907">
        <v>100</v>
      </c>
      <c r="N907" t="s">
        <v>68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57436.389248025444</v>
      </c>
      <c r="Z907">
        <v>287181946.24012721</v>
      </c>
      <c r="AA907">
        <v>385972535.74673098</v>
      </c>
      <c r="AB907">
        <v>385972.53574673098</v>
      </c>
      <c r="AC907">
        <v>0</v>
      </c>
      <c r="AD907">
        <v>2976.4311072831179</v>
      </c>
      <c r="AE907">
        <v>1339393.9982774029</v>
      </c>
      <c r="AF907">
        <v>1339393.9982774029</v>
      </c>
      <c r="AG907">
        <v>80.431627535996739</v>
      </c>
      <c r="AH907">
        <v>117.893459728377</v>
      </c>
      <c r="AI907">
        <v>117.893459728377</v>
      </c>
      <c r="AJ907">
        <v>12544.10741176876</v>
      </c>
      <c r="AK907">
        <v>854.70085470085473</v>
      </c>
      <c r="AL907" t="s">
        <v>69</v>
      </c>
      <c r="AM907">
        <v>9136.7431289492179</v>
      </c>
      <c r="AN907">
        <v>625.34375296703377</v>
      </c>
      <c r="AO907">
        <v>20041.888153824089</v>
      </c>
      <c r="AP907">
        <v>23160.895148385869</v>
      </c>
      <c r="AQ907">
        <v>3119.0069945617761</v>
      </c>
      <c r="AR907">
        <v>9.3655096468266662E-3</v>
      </c>
      <c r="AS907">
        <v>155.95988538407619</v>
      </c>
      <c r="AT907">
        <v>113.5963974477592</v>
      </c>
      <c r="AU907">
        <v>7.7748489260293123</v>
      </c>
      <c r="AV907">
        <v>249.17919440153631</v>
      </c>
      <c r="AW907">
        <v>287.95755920791652</v>
      </c>
      <c r="AX907">
        <v>38.778364806380146</v>
      </c>
      <c r="AY907">
        <v>1.46575996706786</v>
      </c>
      <c r="AZ907" t="str">
        <f>VLOOKUP(BA907,Sheet1!$A$1:$B$58,2,FALSE)</f>
        <v>Pentanol (PW1)</v>
      </c>
      <c r="BA907" t="s">
        <v>162</v>
      </c>
      <c r="BB907" t="s">
        <v>83</v>
      </c>
      <c r="BC907">
        <v>88.14658</v>
      </c>
      <c r="BD907">
        <v>6</v>
      </c>
      <c r="BE907">
        <v>138</v>
      </c>
      <c r="BF907" t="s">
        <v>208</v>
      </c>
      <c r="BG907">
        <v>2.219231057790835</v>
      </c>
      <c r="BH907">
        <v>0.21175572519083999</v>
      </c>
      <c r="BI907">
        <v>0.31082300291401399</v>
      </c>
      <c r="BJ907">
        <v>90</v>
      </c>
      <c r="BK907">
        <v>1029.3731177060381</v>
      </c>
      <c r="BL907">
        <v>138.6225330916343</v>
      </c>
      <c r="BM907">
        <v>3.020478263470364</v>
      </c>
      <c r="BN907">
        <v>513.481304789962</v>
      </c>
      <c r="BO907">
        <v>515.89181291607633</v>
      </c>
    </row>
    <row r="908" spans="1:67" x14ac:dyDescent="0.25">
      <c r="A908" s="1">
        <v>906</v>
      </c>
      <c r="B908" t="s">
        <v>206</v>
      </c>
      <c r="C908" t="s">
        <v>207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67</v>
      </c>
      <c r="J908">
        <v>1.3440000000000001</v>
      </c>
      <c r="K908">
        <v>500</v>
      </c>
      <c r="L908">
        <v>100</v>
      </c>
      <c r="N908" t="s">
        <v>68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66019.080748921071</v>
      </c>
      <c r="Z908">
        <v>330095403.74460542</v>
      </c>
      <c r="AA908">
        <v>443648222.63274962</v>
      </c>
      <c r="AB908">
        <v>443648.22263274959</v>
      </c>
      <c r="AC908">
        <v>0</v>
      </c>
      <c r="AD908">
        <v>3421.197749161784</v>
      </c>
      <c r="AE908">
        <v>1539538.987122803</v>
      </c>
      <c r="AF908">
        <v>1539538.987122803</v>
      </c>
      <c r="AG908">
        <v>92.450486226354499</v>
      </c>
      <c r="AH908">
        <v>135.5102216465491</v>
      </c>
      <c r="AI908">
        <v>135.5102216465491</v>
      </c>
      <c r="AJ908">
        <v>14418.56723556436</v>
      </c>
      <c r="AK908">
        <v>854.70085470085473</v>
      </c>
      <c r="AL908" t="s">
        <v>69</v>
      </c>
      <c r="AM908">
        <v>10502.042177607549</v>
      </c>
      <c r="AN908">
        <v>718.78856354785967</v>
      </c>
      <c r="AO908">
        <v>23036.737679913349</v>
      </c>
      <c r="AP908">
        <v>26494.09883142063</v>
      </c>
      <c r="AQ908">
        <v>3457.3611515072839</v>
      </c>
      <c r="AR908">
        <v>9.3655096468266662E-3</v>
      </c>
      <c r="AS908">
        <v>155.95988538407619</v>
      </c>
      <c r="AT908">
        <v>113.5963974477592</v>
      </c>
      <c r="AU908">
        <v>7.7748489260293088</v>
      </c>
      <c r="AV908">
        <v>249.17919440153639</v>
      </c>
      <c r="AW908">
        <v>286.57608967629272</v>
      </c>
      <c r="AX908">
        <v>37.396895274756297</v>
      </c>
      <c r="AY908">
        <v>1.4657599670678609</v>
      </c>
      <c r="AZ908" t="str">
        <f>VLOOKUP(BA908,Sheet1!$A$1:$B$58,2,FALSE)</f>
        <v>Pentanol (PW2)</v>
      </c>
      <c r="BA908" t="s">
        <v>163</v>
      </c>
      <c r="BB908" t="s">
        <v>83</v>
      </c>
      <c r="BC908">
        <v>88.14658</v>
      </c>
      <c r="BD908">
        <v>6</v>
      </c>
      <c r="BE908">
        <v>138</v>
      </c>
      <c r="BF908" t="s">
        <v>208</v>
      </c>
      <c r="BG908">
        <v>2.9238869839383721</v>
      </c>
      <c r="BH908">
        <v>0.18422680412371101</v>
      </c>
      <c r="BI908">
        <v>0.270415019114019</v>
      </c>
      <c r="BJ908">
        <v>90</v>
      </c>
      <c r="BK908">
        <v>1177.515503618695</v>
      </c>
      <c r="BL908">
        <v>153.66049562254571</v>
      </c>
      <c r="BM908">
        <v>3.0987895336860332</v>
      </c>
      <c r="BN908">
        <v>526.79422072662555</v>
      </c>
      <c r="BO908">
        <v>650.72128289206898</v>
      </c>
    </row>
    <row r="909" spans="1:67" x14ac:dyDescent="0.25">
      <c r="A909" s="1">
        <v>907</v>
      </c>
      <c r="B909" t="s">
        <v>206</v>
      </c>
      <c r="C909" t="s">
        <v>207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67</v>
      </c>
      <c r="J909">
        <v>1.3440000000000001</v>
      </c>
      <c r="K909">
        <v>500</v>
      </c>
      <c r="L909">
        <v>100</v>
      </c>
      <c r="N909" t="s">
        <v>68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60093.525815420297</v>
      </c>
      <c r="Z909">
        <v>300467629.07710153</v>
      </c>
      <c r="AA909">
        <v>403828493.47962451</v>
      </c>
      <c r="AB909">
        <v>403828.49347962439</v>
      </c>
      <c r="AC909">
        <v>0</v>
      </c>
      <c r="AD909">
        <v>3114.1275056646618</v>
      </c>
      <c r="AE909">
        <v>1401357.3775490981</v>
      </c>
      <c r="AF909">
        <v>1401357.3775490981</v>
      </c>
      <c r="AG909">
        <v>84.152575553430253</v>
      </c>
      <c r="AH909">
        <v>123.34747637187159</v>
      </c>
      <c r="AI909">
        <v>123.34747637187159</v>
      </c>
      <c r="AJ909">
        <v>13124.426038087789</v>
      </c>
      <c r="AK909">
        <v>854.70085470085473</v>
      </c>
      <c r="AL909" t="s">
        <v>69</v>
      </c>
      <c r="AM909">
        <v>9559.4294188200492</v>
      </c>
      <c r="AN909">
        <v>654.27356166418747</v>
      </c>
      <c r="AO909">
        <v>20969.070983218171</v>
      </c>
      <c r="AP909">
        <v>24192.829873272891</v>
      </c>
      <c r="AQ909">
        <v>3223.7588900547162</v>
      </c>
      <c r="AR909">
        <v>9.3655096468266662E-3</v>
      </c>
      <c r="AS909">
        <v>155.95988538407619</v>
      </c>
      <c r="AT909">
        <v>113.5963974477592</v>
      </c>
      <c r="AU909">
        <v>7.7748489260293088</v>
      </c>
      <c r="AV909">
        <v>249.17919440153631</v>
      </c>
      <c r="AW909">
        <v>287.48769380103329</v>
      </c>
      <c r="AX909">
        <v>38.308499399497038</v>
      </c>
      <c r="AY909">
        <v>1.4657599670678609</v>
      </c>
      <c r="AZ909" t="str">
        <f>VLOOKUP(BA909,Sheet1!$A$1:$B$58,2,FALSE)</f>
        <v>Phenol</v>
      </c>
      <c r="BA909" t="s">
        <v>164</v>
      </c>
      <c r="BB909" t="s">
        <v>165</v>
      </c>
      <c r="BC909">
        <v>94.11023999999999</v>
      </c>
      <c r="BD909">
        <v>4.666666666666667</v>
      </c>
      <c r="BE909">
        <v>181.7</v>
      </c>
      <c r="BF909" t="s">
        <v>208</v>
      </c>
      <c r="BG909">
        <v>2.1279388548729501</v>
      </c>
      <c r="BH909">
        <v>0.189567198177677</v>
      </c>
      <c r="BI909">
        <v>0.29707943976268403</v>
      </c>
      <c r="BJ909">
        <v>90</v>
      </c>
      <c r="BK909">
        <v>1075.236883256573</v>
      </c>
      <c r="BL909">
        <v>143.27817289132051</v>
      </c>
      <c r="BM909">
        <v>3.3541712060991209</v>
      </c>
      <c r="BN909">
        <v>570.20910503685059</v>
      </c>
      <c r="BO909">
        <v>505.02777821972199</v>
      </c>
    </row>
    <row r="910" spans="1:67" x14ac:dyDescent="0.25">
      <c r="A910" s="1">
        <v>908</v>
      </c>
      <c r="B910" t="s">
        <v>206</v>
      </c>
      <c r="C910" t="s">
        <v>207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67</v>
      </c>
      <c r="J910">
        <v>1.3440000000000001</v>
      </c>
      <c r="K910">
        <v>500</v>
      </c>
      <c r="L910">
        <v>100</v>
      </c>
      <c r="N910" t="s">
        <v>68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84406.718388468522</v>
      </c>
      <c r="Z910">
        <v>422033591.94234258</v>
      </c>
      <c r="AA910">
        <v>567213147.5705086</v>
      </c>
      <c r="AB910">
        <v>567213.14757050865</v>
      </c>
      <c r="AC910">
        <v>66773.504273504266</v>
      </c>
      <c r="AD910">
        <v>4374.0699156808596</v>
      </c>
      <c r="AE910">
        <v>1968331.462056387</v>
      </c>
      <c r="AF910">
        <v>1968331.462056387</v>
      </c>
      <c r="AG910">
        <v>118.19980022839719</v>
      </c>
      <c r="AH910">
        <v>173.25253529020321</v>
      </c>
      <c r="AI910">
        <v>173.25253529020321</v>
      </c>
      <c r="AJ910">
        <v>18434.427296041529</v>
      </c>
      <c r="AK910">
        <v>2170.1388888888891</v>
      </c>
      <c r="AL910" t="s">
        <v>107</v>
      </c>
      <c r="AM910">
        <v>13427.071484990751</v>
      </c>
      <c r="AN910">
        <v>918.98558986263265</v>
      </c>
      <c r="AO910">
        <v>29452.930999334541</v>
      </c>
      <c r="AP910">
        <v>34950.623259783802</v>
      </c>
      <c r="AQ910">
        <v>5497.6922604492611</v>
      </c>
      <c r="AR910">
        <v>9.3655096468266679E-3</v>
      </c>
      <c r="AS910">
        <v>155.95988538407619</v>
      </c>
      <c r="AT910">
        <v>113.5963974477592</v>
      </c>
      <c r="AU910">
        <v>7.7748489260293088</v>
      </c>
      <c r="AV910">
        <v>249.17919440153631</v>
      </c>
      <c r="AW910">
        <v>295.69105186513679</v>
      </c>
      <c r="AX910">
        <v>46.511857463600478</v>
      </c>
      <c r="AY910">
        <v>1.4657599670678609</v>
      </c>
      <c r="AZ910" t="str">
        <f>VLOOKUP(BA910,Sheet1!$A$1:$B$58,2,FALSE)</f>
        <v>Propane (PW1)</v>
      </c>
      <c r="BA910" t="s">
        <v>166</v>
      </c>
      <c r="BB910" t="s">
        <v>167</v>
      </c>
      <c r="BC910">
        <v>44.094819999999999</v>
      </c>
      <c r="BD910">
        <v>6.666666666666667</v>
      </c>
      <c r="BE910">
        <v>-42</v>
      </c>
      <c r="BF910" t="s">
        <v>208</v>
      </c>
      <c r="BG910">
        <v>3.9357290593914729</v>
      </c>
      <c r="BH910">
        <v>0.28804687499999998</v>
      </c>
      <c r="BI910">
        <v>0.21150627963577401</v>
      </c>
      <c r="BJ910">
        <v>90</v>
      </c>
      <c r="BK910">
        <v>1553.3610337681689</v>
      </c>
      <c r="BL910">
        <v>244.34187824218941</v>
      </c>
      <c r="BM910">
        <v>3.764383620173112</v>
      </c>
      <c r="BN910">
        <v>639.94521542942903</v>
      </c>
      <c r="BO910">
        <v>913.41581833873988</v>
      </c>
    </row>
    <row r="911" spans="1:67" x14ac:dyDescent="0.25">
      <c r="A911" s="1">
        <v>909</v>
      </c>
      <c r="B911" t="s">
        <v>206</v>
      </c>
      <c r="C911" t="s">
        <v>207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67</v>
      </c>
      <c r="J911">
        <v>1.3440000000000001</v>
      </c>
      <c r="K911">
        <v>500</v>
      </c>
      <c r="L911">
        <v>100</v>
      </c>
      <c r="N911" t="s">
        <v>68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101551.8330611264</v>
      </c>
      <c r="Z911">
        <v>507759165.30563182</v>
      </c>
      <c r="AA911">
        <v>682428318.1707691</v>
      </c>
      <c r="AB911">
        <v>682428.31817076914</v>
      </c>
      <c r="AC911">
        <v>66773.504273504266</v>
      </c>
      <c r="AD911">
        <v>5262.5528673035424</v>
      </c>
      <c r="AE911">
        <v>2368148.7902865941</v>
      </c>
      <c r="AF911">
        <v>2368148.7902865941</v>
      </c>
      <c r="AG911">
        <v>142.2091346497906</v>
      </c>
      <c r="AH911">
        <v>208.44445652102601</v>
      </c>
      <c r="AI911">
        <v>208.44445652102601</v>
      </c>
      <c r="AJ911">
        <v>22178.920340550001</v>
      </c>
      <c r="AK911">
        <v>2170.1388888888891</v>
      </c>
      <c r="AL911" t="s">
        <v>107</v>
      </c>
      <c r="AM911">
        <v>16154.44538037952</v>
      </c>
      <c r="AN911">
        <v>1105.6545378034821</v>
      </c>
      <c r="AO911">
        <v>35435.557608574432</v>
      </c>
      <c r="AP911">
        <v>41609.159147621882</v>
      </c>
      <c r="AQ911">
        <v>6173.6015390474568</v>
      </c>
      <c r="AR911">
        <v>9.3655096468266662E-3</v>
      </c>
      <c r="AS911">
        <v>155.95988538407619</v>
      </c>
      <c r="AT911">
        <v>113.5963974477592</v>
      </c>
      <c r="AU911">
        <v>7.7748489260293088</v>
      </c>
      <c r="AV911">
        <v>249.17919440153639</v>
      </c>
      <c r="AW911">
        <v>292.59132509377912</v>
      </c>
      <c r="AX911">
        <v>43.412130692242698</v>
      </c>
      <c r="AY911">
        <v>1.46575996706786</v>
      </c>
      <c r="AZ911" t="str">
        <f>VLOOKUP(BA911,Sheet1!$A$1:$B$58,2,FALSE)</f>
        <v>Propane (PW2)</v>
      </c>
      <c r="BA911" t="s">
        <v>168</v>
      </c>
      <c r="BB911" t="s">
        <v>167</v>
      </c>
      <c r="BC911">
        <v>44.094819999999999</v>
      </c>
      <c r="BD911">
        <v>6.666666666666667</v>
      </c>
      <c r="BE911">
        <v>-42</v>
      </c>
      <c r="BF911" t="s">
        <v>208</v>
      </c>
      <c r="BG911">
        <v>5.3433768418274026</v>
      </c>
      <c r="BH911">
        <v>0.239415584415584</v>
      </c>
      <c r="BI911">
        <v>0.17579742722973399</v>
      </c>
      <c r="BJ911">
        <v>90</v>
      </c>
      <c r="BK911">
        <v>1849.295962116528</v>
      </c>
      <c r="BL911">
        <v>274.38229062433101</v>
      </c>
      <c r="BM911">
        <v>3.9208212257737531</v>
      </c>
      <c r="BN911">
        <v>666.53960838153796</v>
      </c>
      <c r="BO911">
        <v>1182.7563537349899</v>
      </c>
    </row>
    <row r="912" spans="1:67" x14ac:dyDescent="0.25">
      <c r="A912" s="1">
        <v>910</v>
      </c>
      <c r="B912" t="s">
        <v>206</v>
      </c>
      <c r="C912" t="s">
        <v>207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67</v>
      </c>
      <c r="J912">
        <v>1.3440000000000001</v>
      </c>
      <c r="K912">
        <v>500</v>
      </c>
      <c r="L912">
        <v>100</v>
      </c>
      <c r="N912" t="s">
        <v>68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29829.24996607273</v>
      </c>
      <c r="Z912">
        <v>149146249.8303636</v>
      </c>
      <c r="AA912">
        <v>200452559.77200869</v>
      </c>
      <c r="AB912">
        <v>200452.55977200871</v>
      </c>
      <c r="AC912">
        <v>0</v>
      </c>
      <c r="AD912">
        <v>1545.7919390187819</v>
      </c>
      <c r="AE912">
        <v>695606.37255845172</v>
      </c>
      <c r="AF912">
        <v>695606.37255845172</v>
      </c>
      <c r="AG912">
        <v>41.771691332978158</v>
      </c>
      <c r="AH912">
        <v>61.227272912594913</v>
      </c>
      <c r="AI912">
        <v>61.227272912594913</v>
      </c>
      <c r="AJ912">
        <v>6514.7081925902839</v>
      </c>
      <c r="AK912">
        <v>854.70085470085473</v>
      </c>
      <c r="AL912" t="s">
        <v>69</v>
      </c>
      <c r="AM912">
        <v>4745.1136507261053</v>
      </c>
      <c r="AN912">
        <v>324.7685894986331</v>
      </c>
      <c r="AO912">
        <v>10408.636395141129</v>
      </c>
      <c r="AP912">
        <v>12439.29128751588</v>
      </c>
      <c r="AQ912">
        <v>2030.654892374743</v>
      </c>
      <c r="AR912">
        <v>9.3655096468266662E-3</v>
      </c>
      <c r="AS912">
        <v>155.95988538407619</v>
      </c>
      <c r="AT912">
        <v>113.5963974477592</v>
      </c>
      <c r="AU912">
        <v>7.7748489260293088</v>
      </c>
      <c r="AV912">
        <v>249.17919440153631</v>
      </c>
      <c r="AW912">
        <v>297.79237781773111</v>
      </c>
      <c r="AX912">
        <v>48.613183416194801</v>
      </c>
      <c r="AY912">
        <v>1.46575996706786</v>
      </c>
      <c r="AZ912" t="str">
        <f>VLOOKUP(BA912,Sheet1!$A$1:$B$58,2,FALSE)</f>
        <v>Shikimate</v>
      </c>
      <c r="BA912" t="s">
        <v>169</v>
      </c>
      <c r="BB912" t="s">
        <v>170</v>
      </c>
      <c r="BC912">
        <v>173.14045999999999</v>
      </c>
      <c r="BD912">
        <v>3.8571428571428572</v>
      </c>
      <c r="BE912">
        <v>400.5</v>
      </c>
      <c r="BF912" t="s">
        <v>208</v>
      </c>
      <c r="BG912">
        <v>0.66973353327103347</v>
      </c>
      <c r="BH912">
        <v>0.20758064516128999</v>
      </c>
      <c r="BI912">
        <v>0.59849144725109205</v>
      </c>
      <c r="BJ912">
        <v>90</v>
      </c>
      <c r="BK912">
        <v>552.85739055626118</v>
      </c>
      <c r="BL912">
        <v>90.251328549988543</v>
      </c>
      <c r="BM912">
        <v>2.051478596177629</v>
      </c>
      <c r="BN912">
        <v>348.75136135019699</v>
      </c>
      <c r="BO912">
        <v>204.10602920606419</v>
      </c>
    </row>
    <row r="913" spans="1:67" x14ac:dyDescent="0.25">
      <c r="A913" s="1">
        <v>911</v>
      </c>
      <c r="B913" t="s">
        <v>206</v>
      </c>
      <c r="C913" t="s">
        <v>207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67</v>
      </c>
      <c r="J913">
        <v>1.3440000000000001</v>
      </c>
      <c r="K913">
        <v>500</v>
      </c>
      <c r="L913">
        <v>100</v>
      </c>
      <c r="N913" t="s">
        <v>68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71584.661806073171</v>
      </c>
      <c r="Z913">
        <v>357923309.03036582</v>
      </c>
      <c r="AA913">
        <v>481048927.33681172</v>
      </c>
      <c r="AB913">
        <v>481048.92733681173</v>
      </c>
      <c r="AC913">
        <v>0</v>
      </c>
      <c r="AD913">
        <v>3709.6136611906309</v>
      </c>
      <c r="AE913">
        <v>1669326.1475357839</v>
      </c>
      <c r="AF913">
        <v>1669326.1475357839</v>
      </c>
      <c r="AG913">
        <v>100.2443038473959</v>
      </c>
      <c r="AH913">
        <v>146.9340875060997</v>
      </c>
      <c r="AI913">
        <v>146.9340875060997</v>
      </c>
      <c r="AJ913">
        <v>15634.09013844638</v>
      </c>
      <c r="AK913">
        <v>854.70085470085473</v>
      </c>
      <c r="AL913" t="s">
        <v>69</v>
      </c>
      <c r="AM913">
        <v>11387.39178172273</v>
      </c>
      <c r="AN913">
        <v>779.38431810848215</v>
      </c>
      <c r="AO913">
        <v>24978.794876036951</v>
      </c>
      <c r="AP913">
        <v>28655.567092978439</v>
      </c>
      <c r="AQ913">
        <v>3676.7722169414919</v>
      </c>
      <c r="AR913">
        <v>9.3655096468266679E-3</v>
      </c>
      <c r="AS913">
        <v>155.95988538407619</v>
      </c>
      <c r="AT913">
        <v>113.5963974477592</v>
      </c>
      <c r="AU913">
        <v>7.7748489260293114</v>
      </c>
      <c r="AV913">
        <v>249.17919440153639</v>
      </c>
      <c r="AW913">
        <v>285.85731052211628</v>
      </c>
      <c r="AX913">
        <v>36.678116120579922</v>
      </c>
      <c r="AY913">
        <v>1.4657599670678609</v>
      </c>
      <c r="AZ913" t="str">
        <f>VLOOKUP(BA913,Sheet1!$A$1:$B$58,2,FALSE)</f>
        <v>Styrene</v>
      </c>
      <c r="BA913" t="s">
        <v>171</v>
      </c>
      <c r="BB913" t="s">
        <v>172</v>
      </c>
      <c r="BC913">
        <v>104.14832</v>
      </c>
      <c r="BD913">
        <v>5</v>
      </c>
      <c r="BE913">
        <v>145</v>
      </c>
      <c r="BF913" t="s">
        <v>208</v>
      </c>
      <c r="BG913">
        <v>2.4966787280380092</v>
      </c>
      <c r="BH913">
        <v>0.14379888268156399</v>
      </c>
      <c r="BI913">
        <v>0.24939072885436001</v>
      </c>
      <c r="BJ913">
        <v>90</v>
      </c>
      <c r="BK913">
        <v>1273.580759687931</v>
      </c>
      <c r="BL913">
        <v>163.41209853073261</v>
      </c>
      <c r="BM913">
        <v>4.0337251611219767</v>
      </c>
      <c r="BN913">
        <v>685.73327739073602</v>
      </c>
      <c r="BO913">
        <v>587.84748229719457</v>
      </c>
    </row>
    <row r="914" spans="1:67" x14ac:dyDescent="0.25">
      <c r="A914" s="1">
        <v>912</v>
      </c>
      <c r="B914" t="s">
        <v>206</v>
      </c>
      <c r="C914" t="s">
        <v>207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67</v>
      </c>
      <c r="J914">
        <v>1.3440000000000001</v>
      </c>
      <c r="K914">
        <v>500</v>
      </c>
      <c r="L914">
        <v>100</v>
      </c>
      <c r="N914" t="s">
        <v>68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20310.96478024733</v>
      </c>
      <c r="Z914">
        <v>101554823.9012367</v>
      </c>
      <c r="AA914">
        <v>136489683.3232621</v>
      </c>
      <c r="AB914">
        <v>136489.68332326211</v>
      </c>
      <c r="AC914">
        <v>0</v>
      </c>
      <c r="AD914">
        <v>1052.5415713338609</v>
      </c>
      <c r="AE914">
        <v>473643.70710023743</v>
      </c>
      <c r="AF914">
        <v>473643.70710023743</v>
      </c>
      <c r="AG914">
        <v>28.442664580586651</v>
      </c>
      <c r="AH914">
        <v>41.690119098962903</v>
      </c>
      <c r="AI914">
        <v>41.690119098962903</v>
      </c>
      <c r="AJ914">
        <v>4435.9147080060166</v>
      </c>
      <c r="AK914">
        <v>854.70085470085473</v>
      </c>
      <c r="AL914" t="s">
        <v>69</v>
      </c>
      <c r="AM914">
        <v>3230.9842301696249</v>
      </c>
      <c r="AN914">
        <v>221.13742016778599</v>
      </c>
      <c r="AO914">
        <v>7087.3202468236932</v>
      </c>
      <c r="AP914">
        <v>8742.7372130442836</v>
      </c>
      <c r="AQ914">
        <v>1655.41696622059</v>
      </c>
      <c r="AR914">
        <v>9.3655096468266662E-3</v>
      </c>
      <c r="AS914">
        <v>155.95988538407619</v>
      </c>
      <c r="AT914">
        <v>113.5963974477592</v>
      </c>
      <c r="AU914">
        <v>7.7748489260293114</v>
      </c>
      <c r="AV914">
        <v>249.17919440153639</v>
      </c>
      <c r="AW914">
        <v>307.38108900709602</v>
      </c>
      <c r="AX914">
        <v>58.201894605559659</v>
      </c>
      <c r="AY914">
        <v>1.4657599670678609</v>
      </c>
      <c r="AZ914" t="str">
        <f>VLOOKUP(BA914,Sheet1!$A$1:$B$58,2,FALSE)</f>
        <v>Succinate</v>
      </c>
      <c r="BA914" t="s">
        <v>173</v>
      </c>
      <c r="BB914" t="s">
        <v>174</v>
      </c>
      <c r="BC914">
        <v>116.07016</v>
      </c>
      <c r="BD914">
        <v>3</v>
      </c>
      <c r="BE914">
        <v>235</v>
      </c>
      <c r="BF914" t="s">
        <v>208</v>
      </c>
      <c r="BG914">
        <v>0.15090144625297919</v>
      </c>
      <c r="BH914">
        <v>0.454754098360656</v>
      </c>
      <c r="BI914">
        <v>0.87896124954001598</v>
      </c>
      <c r="BJ914">
        <v>90</v>
      </c>
      <c r="BK914">
        <v>388.56609835752369</v>
      </c>
      <c r="BL914">
        <v>73.574087387581727</v>
      </c>
      <c r="BM914">
        <v>1.7019927359231499</v>
      </c>
      <c r="BN914">
        <v>289.33876510693551</v>
      </c>
      <c r="BO914">
        <v>99.227333250588231</v>
      </c>
    </row>
    <row r="915" spans="1:67" x14ac:dyDescent="0.25">
      <c r="A915" s="1">
        <v>913</v>
      </c>
      <c r="B915" t="s">
        <v>206</v>
      </c>
      <c r="C915" t="s">
        <v>207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67</v>
      </c>
      <c r="J915">
        <v>1.3440000000000001</v>
      </c>
      <c r="K915">
        <v>500</v>
      </c>
      <c r="L915">
        <v>100</v>
      </c>
      <c r="N915" t="s">
        <v>68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34758.324960383157</v>
      </c>
      <c r="Z915">
        <v>173791624.80191579</v>
      </c>
      <c r="AA915">
        <v>233575943.7337749</v>
      </c>
      <c r="AB915">
        <v>233575.94373377491</v>
      </c>
      <c r="AC915">
        <v>0</v>
      </c>
      <c r="AD915">
        <v>1801.2232489474659</v>
      </c>
      <c r="AE915">
        <v>810550.46202635963</v>
      </c>
      <c r="AF915">
        <v>810550.46202635963</v>
      </c>
      <c r="AG915">
        <v>48.674171263034033</v>
      </c>
      <c r="AH915">
        <v>71.344651667560171</v>
      </c>
      <c r="AI915">
        <v>71.344651667560171</v>
      </c>
      <c r="AJ915">
        <v>7591.2181713476839</v>
      </c>
      <c r="AK915">
        <v>854.70085470085473</v>
      </c>
      <c r="AL915" t="s">
        <v>69</v>
      </c>
      <c r="AM915">
        <v>5529.2105042359144</v>
      </c>
      <c r="AN915">
        <v>378.43432816976679</v>
      </c>
      <c r="AO915">
        <v>12128.59078348523</v>
      </c>
      <c r="AP915">
        <v>14353.563858454219</v>
      </c>
      <c r="AQ915">
        <v>2224.9730749689902</v>
      </c>
      <c r="AR915">
        <v>9.3655096468266679E-3</v>
      </c>
      <c r="AS915">
        <v>155.95988538407619</v>
      </c>
      <c r="AT915">
        <v>113.5963974477592</v>
      </c>
      <c r="AU915">
        <v>7.7748489260293088</v>
      </c>
      <c r="AV915">
        <v>249.17919440153631</v>
      </c>
      <c r="AW915">
        <v>294.89077032021578</v>
      </c>
      <c r="AX915">
        <v>45.711575918679529</v>
      </c>
      <c r="AY915">
        <v>1.4657599670678609</v>
      </c>
      <c r="AZ915" t="str">
        <f>VLOOKUP(BA915,Sheet1!$A$1:$B$58,2,FALSE)</f>
        <v>1,3-Butanediol (PW1)</v>
      </c>
      <c r="BA915" t="s">
        <v>70</v>
      </c>
      <c r="BB915" t="s">
        <v>71</v>
      </c>
      <c r="BC915">
        <v>90.119200000000006</v>
      </c>
      <c r="BD915">
        <v>5.5</v>
      </c>
      <c r="BE915">
        <v>207</v>
      </c>
      <c r="BF915" t="s">
        <v>209</v>
      </c>
      <c r="BG915">
        <v>0.9003143262754687</v>
      </c>
      <c r="BH915">
        <v>0.34225641025641101</v>
      </c>
      <c r="BI915">
        <v>0.51361942794877002</v>
      </c>
      <c r="BJ915">
        <v>90</v>
      </c>
      <c r="BK915">
        <v>637.93617148685416</v>
      </c>
      <c r="BL915">
        <v>98.887692220843974</v>
      </c>
      <c r="BM915">
        <v>2.2705590811716498</v>
      </c>
      <c r="BN915">
        <v>385.99504379918062</v>
      </c>
      <c r="BO915">
        <v>251.9411276876736</v>
      </c>
    </row>
    <row r="916" spans="1:67" x14ac:dyDescent="0.25">
      <c r="A916" s="1">
        <v>914</v>
      </c>
      <c r="B916" t="s">
        <v>206</v>
      </c>
      <c r="C916" t="s">
        <v>207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67</v>
      </c>
      <c r="J916">
        <v>1.3440000000000001</v>
      </c>
      <c r="K916">
        <v>500</v>
      </c>
      <c r="L916">
        <v>100</v>
      </c>
      <c r="N916" t="s">
        <v>68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34758.324960383157</v>
      </c>
      <c r="Z916">
        <v>173791624.80191579</v>
      </c>
      <c r="AA916">
        <v>233575943.7337749</v>
      </c>
      <c r="AB916">
        <v>233575.94373377491</v>
      </c>
      <c r="AC916">
        <v>0</v>
      </c>
      <c r="AD916">
        <v>1801.2232489474659</v>
      </c>
      <c r="AE916">
        <v>810550.46202635963</v>
      </c>
      <c r="AF916">
        <v>810550.46202635963</v>
      </c>
      <c r="AG916">
        <v>48.674171263034033</v>
      </c>
      <c r="AH916">
        <v>71.344651667560171</v>
      </c>
      <c r="AI916">
        <v>71.344651667560171</v>
      </c>
      <c r="AJ916">
        <v>7591.2181713476839</v>
      </c>
      <c r="AK916">
        <v>854.70085470085473</v>
      </c>
      <c r="AL916" t="s">
        <v>69</v>
      </c>
      <c r="AM916">
        <v>5529.2105042359144</v>
      </c>
      <c r="AN916">
        <v>378.43432816976679</v>
      </c>
      <c r="AO916">
        <v>12128.59078348523</v>
      </c>
      <c r="AP916">
        <v>14353.563858454219</v>
      </c>
      <c r="AQ916">
        <v>2224.9730749689902</v>
      </c>
      <c r="AR916">
        <v>9.3655096468266679E-3</v>
      </c>
      <c r="AS916">
        <v>155.95988538407619</v>
      </c>
      <c r="AT916">
        <v>113.5963974477592</v>
      </c>
      <c r="AU916">
        <v>7.7748489260293088</v>
      </c>
      <c r="AV916">
        <v>249.17919440153631</v>
      </c>
      <c r="AW916">
        <v>294.89077032021578</v>
      </c>
      <c r="AX916">
        <v>45.711575918679529</v>
      </c>
      <c r="AY916">
        <v>1.4657599670678609</v>
      </c>
      <c r="AZ916" t="str">
        <f>VLOOKUP(BA916,Sheet1!$A$1:$B$58,2,FALSE)</f>
        <v>1,3-Butanediol (PW2)</v>
      </c>
      <c r="BA916" t="s">
        <v>72</v>
      </c>
      <c r="BB916" t="s">
        <v>71</v>
      </c>
      <c r="BC916">
        <v>90.119200000000006</v>
      </c>
      <c r="BD916">
        <v>5.5</v>
      </c>
      <c r="BE916">
        <v>207</v>
      </c>
      <c r="BF916" t="s">
        <v>209</v>
      </c>
      <c r="BG916">
        <v>0.90031432627546992</v>
      </c>
      <c r="BH916">
        <v>0.34225641025641101</v>
      </c>
      <c r="BI916">
        <v>0.51361942794877002</v>
      </c>
      <c r="BJ916">
        <v>90</v>
      </c>
      <c r="BK916">
        <v>637.93617148685416</v>
      </c>
      <c r="BL916">
        <v>98.887692220843974</v>
      </c>
      <c r="BM916">
        <v>2.270559081171649</v>
      </c>
      <c r="BN916">
        <v>385.99504379918028</v>
      </c>
      <c r="BO916">
        <v>251.9411276876738</v>
      </c>
    </row>
    <row r="917" spans="1:67" x14ac:dyDescent="0.25">
      <c r="A917" s="1">
        <v>915</v>
      </c>
      <c r="B917" t="s">
        <v>206</v>
      </c>
      <c r="C917" t="s">
        <v>207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67</v>
      </c>
      <c r="J917">
        <v>1.3440000000000001</v>
      </c>
      <c r="K917">
        <v>500</v>
      </c>
      <c r="L917">
        <v>100</v>
      </c>
      <c r="N917" t="s">
        <v>68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35035.477156150577</v>
      </c>
      <c r="Z917">
        <v>175177385.7807529</v>
      </c>
      <c r="AA917">
        <v>235438406.48933199</v>
      </c>
      <c r="AB917">
        <v>235438.406489332</v>
      </c>
      <c r="AC917">
        <v>0</v>
      </c>
      <c r="AD917">
        <v>1815.585649295645</v>
      </c>
      <c r="AE917">
        <v>817013.54218304018</v>
      </c>
      <c r="AF917">
        <v>817013.54218304018</v>
      </c>
      <c r="AG917">
        <v>49.062284138383617</v>
      </c>
      <c r="AH917">
        <v>71.913531982951199</v>
      </c>
      <c r="AI917">
        <v>71.913531982951199</v>
      </c>
      <c r="AJ917">
        <v>7651.748210903289</v>
      </c>
      <c r="AK917">
        <v>854.70085470085473</v>
      </c>
      <c r="AL917" t="s">
        <v>69</v>
      </c>
      <c r="AM917">
        <v>5573.2987286787175</v>
      </c>
      <c r="AN917">
        <v>381.45184714185672</v>
      </c>
      <c r="AO917">
        <v>12225.3004371017</v>
      </c>
      <c r="AP917">
        <v>14461.199641424721</v>
      </c>
      <c r="AQ917">
        <v>2235.899204323016</v>
      </c>
      <c r="AR917">
        <v>9.3655096468266679E-3</v>
      </c>
      <c r="AS917">
        <v>155.95988538407619</v>
      </c>
      <c r="AT917">
        <v>113.5963974477592</v>
      </c>
      <c r="AU917">
        <v>7.7748489260293088</v>
      </c>
      <c r="AV917">
        <v>249.17919440153631</v>
      </c>
      <c r="AW917">
        <v>294.75186276765862</v>
      </c>
      <c r="AX917">
        <v>45.572668366122258</v>
      </c>
      <c r="AY917">
        <v>1.4657599670678609</v>
      </c>
      <c r="AZ917" t="str">
        <f>VLOOKUP(BA917,Sheet1!$A$1:$B$58,2,FALSE)</f>
        <v>1,3-Diaminopropane</v>
      </c>
      <c r="BA917" t="s">
        <v>73</v>
      </c>
      <c r="BB917" t="s">
        <v>74</v>
      </c>
      <c r="BC917">
        <v>76.139580000000009</v>
      </c>
      <c r="BD917">
        <v>6</v>
      </c>
      <c r="BE917">
        <v>139.30000000000001</v>
      </c>
      <c r="BF917" t="s">
        <v>209</v>
      </c>
      <c r="BG917">
        <v>1.1424297637849059</v>
      </c>
      <c r="BH917">
        <v>0.40189189189189201</v>
      </c>
      <c r="BI917">
        <v>0.50955638203646902</v>
      </c>
      <c r="BJ917">
        <v>90</v>
      </c>
      <c r="BK917">
        <v>642.71998406332091</v>
      </c>
      <c r="BL917">
        <v>99.37329796991186</v>
      </c>
      <c r="BM917">
        <v>2.0537272132351472</v>
      </c>
      <c r="BN917">
        <v>349.13362624997501</v>
      </c>
      <c r="BO917">
        <v>293.5863578133459</v>
      </c>
    </row>
    <row r="918" spans="1:67" x14ac:dyDescent="0.25">
      <c r="A918" s="1">
        <v>916</v>
      </c>
      <c r="B918" t="s">
        <v>206</v>
      </c>
      <c r="C918" t="s">
        <v>207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67</v>
      </c>
      <c r="J918">
        <v>1.3440000000000001</v>
      </c>
      <c r="K918">
        <v>500</v>
      </c>
      <c r="L918">
        <v>100</v>
      </c>
      <c r="N918" t="s">
        <v>68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69</v>
      </c>
      <c r="AM918">
        <v>5494.0273841010867</v>
      </c>
      <c r="AN918">
        <v>376.02629895457619</v>
      </c>
      <c r="AO918">
        <v>12051.414907060451</v>
      </c>
      <c r="AP918">
        <v>14267.66875310766</v>
      </c>
      <c r="AQ918">
        <v>2216.2538460472169</v>
      </c>
      <c r="AR918">
        <v>9.3655096468266662E-3</v>
      </c>
      <c r="AS918">
        <v>155.95988538407619</v>
      </c>
      <c r="AT918">
        <v>113.5963974477592</v>
      </c>
      <c r="AU918">
        <v>7.7748489260293088</v>
      </c>
      <c r="AV918">
        <v>249.17919440153631</v>
      </c>
      <c r="AW918">
        <v>295.003220228065</v>
      </c>
      <c r="AX918">
        <v>45.824025826528747</v>
      </c>
      <c r="AY918">
        <v>1.46575996706786</v>
      </c>
      <c r="AZ918" t="str">
        <f>VLOOKUP(BA918,Sheet1!$A$1:$B$58,2,FALSE)</f>
        <v>1,3-Propanediol</v>
      </c>
      <c r="BA918" t="s">
        <v>75</v>
      </c>
      <c r="BB918" t="s">
        <v>76</v>
      </c>
      <c r="BC918">
        <v>76.092820000000003</v>
      </c>
      <c r="BD918">
        <v>5.333333333333333</v>
      </c>
      <c r="BE918">
        <v>213</v>
      </c>
      <c r="BF918" t="s">
        <v>209</v>
      </c>
      <c r="BG918">
        <v>1.100450769299097</v>
      </c>
      <c r="BH918">
        <v>0.40794117647058897</v>
      </c>
      <c r="BI918">
        <v>0.51690858775336002</v>
      </c>
      <c r="BJ918">
        <v>90</v>
      </c>
      <c r="BK918">
        <v>634.11861124922939</v>
      </c>
      <c r="BL918">
        <v>98.500170935431797</v>
      </c>
      <c r="BM918">
        <v>2.0502459384291249</v>
      </c>
      <c r="BN918">
        <v>348.54180953295122</v>
      </c>
      <c r="BO918">
        <v>285.57680171627823</v>
      </c>
    </row>
    <row r="919" spans="1:67" x14ac:dyDescent="0.25">
      <c r="A919" s="1">
        <v>917</v>
      </c>
      <c r="B919" t="s">
        <v>206</v>
      </c>
      <c r="C919" t="s">
        <v>207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67</v>
      </c>
      <c r="J919">
        <v>1.3440000000000001</v>
      </c>
      <c r="K919">
        <v>500</v>
      </c>
      <c r="L919">
        <v>100</v>
      </c>
      <c r="N919" t="s">
        <v>68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36880.977626608677</v>
      </c>
      <c r="Z919">
        <v>184404888.13304341</v>
      </c>
      <c r="AA919">
        <v>247840169.6508103</v>
      </c>
      <c r="AB919">
        <v>247840.16965081031</v>
      </c>
      <c r="AC919">
        <v>0</v>
      </c>
      <c r="AD919">
        <v>1911.2219711587211</v>
      </c>
      <c r="AE919">
        <v>860049.88702142437</v>
      </c>
      <c r="AF919">
        <v>860049.88702142437</v>
      </c>
      <c r="AG919">
        <v>51.646649353550657</v>
      </c>
      <c r="AH919">
        <v>75.701591055625784</v>
      </c>
      <c r="AI919">
        <v>75.701591055625784</v>
      </c>
      <c r="AJ919">
        <v>8054.8055136513358</v>
      </c>
      <c r="AK919">
        <v>854.70085470085473</v>
      </c>
      <c r="AL919" t="s">
        <v>69</v>
      </c>
      <c r="AM919">
        <v>5866.8733068109987</v>
      </c>
      <c r="AN919">
        <v>401.54489625946582</v>
      </c>
      <c r="AO919">
        <v>12869.27047945638</v>
      </c>
      <c r="AP919">
        <v>15177.924571422651</v>
      </c>
      <c r="AQ919">
        <v>2308.6540919662712</v>
      </c>
      <c r="AR919">
        <v>9.3655096468266679E-3</v>
      </c>
      <c r="AS919">
        <v>155.95988538407619</v>
      </c>
      <c r="AT919">
        <v>113.5963974477592</v>
      </c>
      <c r="AU919">
        <v>7.7748489260293123</v>
      </c>
      <c r="AV919">
        <v>249.17919440153639</v>
      </c>
      <c r="AW919">
        <v>293.88014055899612</v>
      </c>
      <c r="AX919">
        <v>44.700946157459747</v>
      </c>
      <c r="AY919">
        <v>1.4657599670678609</v>
      </c>
      <c r="AZ919" t="str">
        <f>VLOOKUP(BA919,Sheet1!$A$1:$B$58,2,FALSE)</f>
        <v>1,4-Butanediol</v>
      </c>
      <c r="BA919" t="s">
        <v>77</v>
      </c>
      <c r="BB919" t="s">
        <v>71</v>
      </c>
      <c r="BC919">
        <v>90.119200000000006</v>
      </c>
      <c r="BD919">
        <v>5.5</v>
      </c>
      <c r="BE919">
        <v>230</v>
      </c>
      <c r="BF919" t="s">
        <v>209</v>
      </c>
      <c r="BG919">
        <v>1.0745883031803229</v>
      </c>
      <c r="BH919">
        <v>0.32255813953488299</v>
      </c>
      <c r="BI919">
        <v>0.48405850743309198</v>
      </c>
      <c r="BJ919">
        <v>90</v>
      </c>
      <c r="BK919">
        <v>674.57442539656245</v>
      </c>
      <c r="BL919">
        <v>102.6068485318343</v>
      </c>
      <c r="BM919">
        <v>2.28992685484749</v>
      </c>
      <c r="BN919">
        <v>389.28756532407323</v>
      </c>
      <c r="BO919">
        <v>285.28686007248922</v>
      </c>
    </row>
    <row r="920" spans="1:67" x14ac:dyDescent="0.25">
      <c r="A920" s="1">
        <v>918</v>
      </c>
      <c r="B920" t="s">
        <v>206</v>
      </c>
      <c r="C920" t="s">
        <v>207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67</v>
      </c>
      <c r="J920">
        <v>1.3440000000000001</v>
      </c>
      <c r="K920">
        <v>500</v>
      </c>
      <c r="L920">
        <v>100</v>
      </c>
      <c r="N920" t="s">
        <v>68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47797.139629676603</v>
      </c>
      <c r="Z920">
        <v>238985698.14838299</v>
      </c>
      <c r="AA920">
        <v>321196778.31142682</v>
      </c>
      <c r="AB920">
        <v>321196.77831142681</v>
      </c>
      <c r="AC920">
        <v>0</v>
      </c>
      <c r="AD920">
        <v>2476.9121996612089</v>
      </c>
      <c r="AE920">
        <v>1114610.4898475441</v>
      </c>
      <c r="AF920">
        <v>1114610.4898475441</v>
      </c>
      <c r="AG920">
        <v>66.933207019317308</v>
      </c>
      <c r="AH920">
        <v>98.108015316380829</v>
      </c>
      <c r="AI920">
        <v>98.108015316380829</v>
      </c>
      <c r="AJ920">
        <v>10438.895295121371</v>
      </c>
      <c r="AK920">
        <v>854.70085470085473</v>
      </c>
      <c r="AL920" t="s">
        <v>69</v>
      </c>
      <c r="AM920">
        <v>7603.3711870195139</v>
      </c>
      <c r="AN920">
        <v>520.39557270983653</v>
      </c>
      <c r="AO920">
        <v>16678.362603784739</v>
      </c>
      <c r="AP920">
        <v>19417.362909551579</v>
      </c>
      <c r="AQ920">
        <v>2739.0003057668359</v>
      </c>
      <c r="AR920">
        <v>9.3655096468266679E-3</v>
      </c>
      <c r="AS920">
        <v>155.95988538407619</v>
      </c>
      <c r="AT920">
        <v>113.5963974477592</v>
      </c>
      <c r="AU920">
        <v>7.7748489260293088</v>
      </c>
      <c r="AV920">
        <v>249.17919440153631</v>
      </c>
      <c r="AW920">
        <v>290.1005909360897</v>
      </c>
      <c r="AX920">
        <v>40.921396534553388</v>
      </c>
      <c r="AY920">
        <v>1.46575996706786</v>
      </c>
      <c r="AZ920" t="str">
        <f>VLOOKUP(BA920,Sheet1!$A$1:$B$58,2,FALSE)</f>
        <v>1-Propanol (PW1)</v>
      </c>
      <c r="BA920" t="s">
        <v>78</v>
      </c>
      <c r="BB920" t="s">
        <v>79</v>
      </c>
      <c r="BC920">
        <v>60.093820000000001</v>
      </c>
      <c r="BD920">
        <v>6</v>
      </c>
      <c r="BE920">
        <v>97</v>
      </c>
      <c r="BF920" t="s">
        <v>209</v>
      </c>
      <c r="BG920">
        <v>1.7271750568171551</v>
      </c>
      <c r="BH920">
        <v>0.37324675324675599</v>
      </c>
      <c r="BI920">
        <v>0.37350668096308098</v>
      </c>
      <c r="BJ920">
        <v>90</v>
      </c>
      <c r="BK920">
        <v>862.9939070911812</v>
      </c>
      <c r="BL920">
        <v>121.7333469229705</v>
      </c>
      <c r="BM920">
        <v>2.6331811794664368</v>
      </c>
      <c r="BN920">
        <v>447.64080050929431</v>
      </c>
      <c r="BO920">
        <v>415.35310658188689</v>
      </c>
    </row>
    <row r="921" spans="1:67" x14ac:dyDescent="0.25">
      <c r="A921" s="1">
        <v>919</v>
      </c>
      <c r="B921" t="s">
        <v>206</v>
      </c>
      <c r="C921" t="s">
        <v>207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67</v>
      </c>
      <c r="J921">
        <v>1.3440000000000001</v>
      </c>
      <c r="K921">
        <v>500</v>
      </c>
      <c r="L921">
        <v>100</v>
      </c>
      <c r="N921" t="s">
        <v>68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50988.931082951713</v>
      </c>
      <c r="Z921">
        <v>254944655.4147585</v>
      </c>
      <c r="AA921">
        <v>342645616.87743551</v>
      </c>
      <c r="AB921">
        <v>342645.61687743547</v>
      </c>
      <c r="AC921">
        <v>0</v>
      </c>
      <c r="AD921">
        <v>2642.3151348712249</v>
      </c>
      <c r="AE921">
        <v>1189041.810692051</v>
      </c>
      <c r="AF921">
        <v>1189041.810692051</v>
      </c>
      <c r="AG921">
        <v>71.402864403833789</v>
      </c>
      <c r="AH921">
        <v>104.6594601771143</v>
      </c>
      <c r="AI921">
        <v>104.6594601771143</v>
      </c>
      <c r="AJ921">
        <v>11135.982548516649</v>
      </c>
      <c r="AK921">
        <v>854.70085470085473</v>
      </c>
      <c r="AL921" t="s">
        <v>69</v>
      </c>
      <c r="AM921">
        <v>8111.1081637263615</v>
      </c>
      <c r="AN921">
        <v>555.14648362556352</v>
      </c>
      <c r="AO921">
        <v>17792.108230109439</v>
      </c>
      <c r="AP921">
        <v>20656.938050569432</v>
      </c>
      <c r="AQ921">
        <v>2864.8298204599919</v>
      </c>
      <c r="AR921">
        <v>9.3655096468266679E-3</v>
      </c>
      <c r="AS921">
        <v>155.95988538407619</v>
      </c>
      <c r="AT921">
        <v>113.5963974477592</v>
      </c>
      <c r="AU921">
        <v>7.7748489260293088</v>
      </c>
      <c r="AV921">
        <v>249.17919440153631</v>
      </c>
      <c r="AW921">
        <v>289.30125175006719</v>
      </c>
      <c r="AX921">
        <v>40.122057348530888</v>
      </c>
      <c r="AY921">
        <v>1.4657599670678609</v>
      </c>
      <c r="AZ921" t="str">
        <f>VLOOKUP(BA921,Sheet1!$A$1:$B$58,2,FALSE)</f>
        <v>1-Propanol (PW2)</v>
      </c>
      <c r="BA921" t="s">
        <v>80</v>
      </c>
      <c r="BB921" t="s">
        <v>79</v>
      </c>
      <c r="BC921">
        <v>60.093820000000001</v>
      </c>
      <c r="BD921">
        <v>6</v>
      </c>
      <c r="BE921">
        <v>97</v>
      </c>
      <c r="BF921" t="s">
        <v>209</v>
      </c>
      <c r="BG921">
        <v>1.989227440075072</v>
      </c>
      <c r="BH921">
        <v>0.34988235294117598</v>
      </c>
      <c r="BI921">
        <v>0.35012600977192299</v>
      </c>
      <c r="BJ921">
        <v>90</v>
      </c>
      <c r="BK921">
        <v>918.08613558086347</v>
      </c>
      <c r="BL921">
        <v>127.325769798222</v>
      </c>
      <c r="BM921">
        <v>2.6623041233522322</v>
      </c>
      <c r="BN921">
        <v>452.59170096987953</v>
      </c>
      <c r="BO921">
        <v>465.494434610984</v>
      </c>
    </row>
    <row r="922" spans="1:67" x14ac:dyDescent="0.25">
      <c r="A922" s="1">
        <v>920</v>
      </c>
      <c r="B922" t="s">
        <v>206</v>
      </c>
      <c r="C922" t="s">
        <v>207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67</v>
      </c>
      <c r="J922">
        <v>1.3440000000000001</v>
      </c>
      <c r="K922">
        <v>500</v>
      </c>
      <c r="L922">
        <v>100</v>
      </c>
      <c r="N922" t="s">
        <v>68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34832.588245375853</v>
      </c>
      <c r="Z922">
        <v>174162941.2268793</v>
      </c>
      <c r="AA922">
        <v>234074993.0089258</v>
      </c>
      <c r="AB922">
        <v>234074.99300892581</v>
      </c>
      <c r="AC922">
        <v>0</v>
      </c>
      <c r="AD922">
        <v>1805.0716724726069</v>
      </c>
      <c r="AE922">
        <v>812282.25261267321</v>
      </c>
      <c r="AF922">
        <v>812282.25261267321</v>
      </c>
      <c r="AG922">
        <v>48.77816660390301</v>
      </c>
      <c r="AH922">
        <v>71.497083874967501</v>
      </c>
      <c r="AI922">
        <v>71.497083874967501</v>
      </c>
      <c r="AJ922">
        <v>7607.4372727900873</v>
      </c>
      <c r="AK922">
        <v>854.70085470085473</v>
      </c>
      <c r="AL922" t="s">
        <v>69</v>
      </c>
      <c r="AM922">
        <v>5541.0240003099816</v>
      </c>
      <c r="AN922">
        <v>379.24287623403399</v>
      </c>
      <c r="AO922">
        <v>12154.50425874448</v>
      </c>
      <c r="AP922">
        <v>14382.405004034959</v>
      </c>
      <c r="AQ922">
        <v>2227.900745290483</v>
      </c>
      <c r="AR922">
        <v>9.3655096468266679E-3</v>
      </c>
      <c r="AS922">
        <v>155.95988538407619</v>
      </c>
      <c r="AT922">
        <v>113.5963974477592</v>
      </c>
      <c r="AU922">
        <v>7.7748489260293114</v>
      </c>
      <c r="AV922">
        <v>249.17919440153631</v>
      </c>
      <c r="AW922">
        <v>294.85333306652291</v>
      </c>
      <c r="AX922">
        <v>45.6741386649866</v>
      </c>
      <c r="AY922">
        <v>1.4657599670678609</v>
      </c>
      <c r="AZ922" t="str">
        <f>VLOOKUP(BA922,Sheet1!$A$1:$B$58,2,FALSE)</f>
        <v>2,3-Butanediol</v>
      </c>
      <c r="BA922" t="s">
        <v>81</v>
      </c>
      <c r="BB922" t="s">
        <v>71</v>
      </c>
      <c r="BC922">
        <v>90.119200000000006</v>
      </c>
      <c r="BD922">
        <v>5.5</v>
      </c>
      <c r="BE922">
        <v>177</v>
      </c>
      <c r="BF922" t="s">
        <v>209</v>
      </c>
      <c r="BG922">
        <v>0.90641148867024945</v>
      </c>
      <c r="BH922">
        <v>0.341526717557252</v>
      </c>
      <c r="BI922">
        <v>0.51252438827825098</v>
      </c>
      <c r="BJ922">
        <v>90</v>
      </c>
      <c r="BK922">
        <v>639.21800017933151</v>
      </c>
      <c r="BL922">
        <v>99.017810901799308</v>
      </c>
      <c r="BM922">
        <v>2.2712366835505282</v>
      </c>
      <c r="BN922">
        <v>386.11023620358981</v>
      </c>
      <c r="BO922">
        <v>253.1077639757417</v>
      </c>
    </row>
    <row r="923" spans="1:67" x14ac:dyDescent="0.25">
      <c r="A923" s="1">
        <v>921</v>
      </c>
      <c r="B923" t="s">
        <v>206</v>
      </c>
      <c r="C923" t="s">
        <v>207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67</v>
      </c>
      <c r="J923">
        <v>1.3440000000000001</v>
      </c>
      <c r="K923">
        <v>500</v>
      </c>
      <c r="L923">
        <v>100</v>
      </c>
      <c r="N923" t="s">
        <v>68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54800.702438228167</v>
      </c>
      <c r="Z923">
        <v>274003512.19114077</v>
      </c>
      <c r="AA923">
        <v>368260720.3848933</v>
      </c>
      <c r="AB923">
        <v>368260.7203848933</v>
      </c>
      <c r="AC923">
        <v>0</v>
      </c>
      <c r="AD923">
        <v>2839.8462642516402</v>
      </c>
      <c r="AE923">
        <v>1277930.8189132379</v>
      </c>
      <c r="AF923">
        <v>1277930.8189132379</v>
      </c>
      <c r="AG923">
        <v>76.740716903162294</v>
      </c>
      <c r="AH923">
        <v>112.4834706807432</v>
      </c>
      <c r="AI923">
        <v>112.4834706807432</v>
      </c>
      <c r="AJ923">
        <v>11968.473412509031</v>
      </c>
      <c r="AK923">
        <v>854.70085470085473</v>
      </c>
      <c r="AL923" t="s">
        <v>69</v>
      </c>
      <c r="AM923">
        <v>8717.4689777575968</v>
      </c>
      <c r="AN923">
        <v>596.64748039727078</v>
      </c>
      <c r="AO923">
        <v>19122.190015726341</v>
      </c>
      <c r="AP923">
        <v>22137.290725364761</v>
      </c>
      <c r="AQ923">
        <v>3015.100709638416</v>
      </c>
      <c r="AR923">
        <v>9.3655096468266679E-3</v>
      </c>
      <c r="AS923">
        <v>155.95988538407619</v>
      </c>
      <c r="AT923">
        <v>113.5963974477592</v>
      </c>
      <c r="AU923">
        <v>7.7748489260293114</v>
      </c>
      <c r="AV923">
        <v>249.17919440153631</v>
      </c>
      <c r="AW923">
        <v>288.46864635496428</v>
      </c>
      <c r="AX923">
        <v>39.289451953427971</v>
      </c>
      <c r="AY923">
        <v>1.4657599670678609</v>
      </c>
      <c r="AZ923" t="str">
        <f>VLOOKUP(BA923,Sheet1!$A$1:$B$58,2,FALSE)</f>
        <v>2-Methyl-1-Butanol</v>
      </c>
      <c r="BA923" t="s">
        <v>82</v>
      </c>
      <c r="BB923" t="s">
        <v>83</v>
      </c>
      <c r="BC923">
        <v>88.14658</v>
      </c>
      <c r="BD923">
        <v>6</v>
      </c>
      <c r="BE923">
        <v>129</v>
      </c>
      <c r="BF923" t="s">
        <v>209</v>
      </c>
      <c r="BG923">
        <v>2.0028359642704849</v>
      </c>
      <c r="BH923">
        <v>0.221940298507463</v>
      </c>
      <c r="BI923">
        <v>0.32577230196516199</v>
      </c>
      <c r="BJ923">
        <v>90</v>
      </c>
      <c r="BK923">
        <v>983.87958779398912</v>
      </c>
      <c r="BL923">
        <v>134.0044759839295</v>
      </c>
      <c r="BM923">
        <v>2.9964293993181008</v>
      </c>
      <c r="BN923">
        <v>509.39299788407709</v>
      </c>
      <c r="BO923">
        <v>474.48658990991203</v>
      </c>
    </row>
    <row r="924" spans="1:67" x14ac:dyDescent="0.25">
      <c r="A924" s="1">
        <v>922</v>
      </c>
      <c r="B924" t="s">
        <v>206</v>
      </c>
      <c r="C924" t="s">
        <v>207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67</v>
      </c>
      <c r="J924">
        <v>1.3440000000000001</v>
      </c>
      <c r="K924">
        <v>500</v>
      </c>
      <c r="L924">
        <v>100</v>
      </c>
      <c r="N924" t="s">
        <v>68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23630.523589384251</v>
      </c>
      <c r="Z924">
        <v>118152617.9469212</v>
      </c>
      <c r="AA924">
        <v>158797118.52066219</v>
      </c>
      <c r="AB924">
        <v>158797.11852066219</v>
      </c>
      <c r="AC924">
        <v>0</v>
      </c>
      <c r="AD924">
        <v>1224.565583137676</v>
      </c>
      <c r="AE924">
        <v>551054.512411954</v>
      </c>
      <c r="AF924">
        <v>551054.512411954</v>
      </c>
      <c r="AG924">
        <v>33.091242271767271</v>
      </c>
      <c r="AH924">
        <v>48.50381818250019</v>
      </c>
      <c r="AI924">
        <v>48.50381818250019</v>
      </c>
      <c r="AJ924">
        <v>5160.9063519215206</v>
      </c>
      <c r="AK924">
        <v>1835.336538461539</v>
      </c>
      <c r="AL924" t="s">
        <v>84</v>
      </c>
      <c r="AM924">
        <v>3759.0459091437651</v>
      </c>
      <c r="AN924">
        <v>257.27940943762542</v>
      </c>
      <c r="AO924">
        <v>8245.6490910250322</v>
      </c>
      <c r="AP924">
        <v>11012.568208964451</v>
      </c>
      <c r="AQ924">
        <v>2766.9191179394179</v>
      </c>
      <c r="AR924">
        <v>9.3655096468266679E-3</v>
      </c>
      <c r="AS924">
        <v>155.95988538407619</v>
      </c>
      <c r="AT924">
        <v>113.5963974477592</v>
      </c>
      <c r="AU924">
        <v>7.774848926029307</v>
      </c>
      <c r="AV924">
        <v>249.17919440153631</v>
      </c>
      <c r="AW924">
        <v>332.79404014276412</v>
      </c>
      <c r="AX924">
        <v>83.614845741227811</v>
      </c>
      <c r="AY924">
        <v>1.46575996706786</v>
      </c>
      <c r="AZ924" t="str">
        <f>VLOOKUP(BA924,Sheet1!$A$1:$B$58,2,FALSE)</f>
        <v>2-Pyrone-4,6-Dicarboxylate</v>
      </c>
      <c r="BA924" t="s">
        <v>85</v>
      </c>
      <c r="BB924" t="s">
        <v>86</v>
      </c>
      <c r="BC924">
        <v>182.08457999999999</v>
      </c>
      <c r="BD924">
        <v>2.5714285714285721</v>
      </c>
      <c r="BE924">
        <v>355.5</v>
      </c>
      <c r="BF924" t="s">
        <v>209</v>
      </c>
      <c r="BG924">
        <v>0.24820662933568469</v>
      </c>
      <c r="BH924">
        <v>0.24916167664670699</v>
      </c>
      <c r="BI924">
        <v>0.75548689875959896</v>
      </c>
      <c r="BJ924">
        <v>90</v>
      </c>
      <c r="BK924">
        <v>489.44747595397553</v>
      </c>
      <c r="BL924">
        <v>122.9741830195296</v>
      </c>
      <c r="BM924">
        <v>1.9075186232198791</v>
      </c>
      <c r="BN924">
        <v>324.27816594737948</v>
      </c>
      <c r="BO924">
        <v>165.16931000659599</v>
      </c>
    </row>
    <row r="925" spans="1:67" x14ac:dyDescent="0.25">
      <c r="A925" s="1">
        <v>923</v>
      </c>
      <c r="B925" t="s">
        <v>206</v>
      </c>
      <c r="C925" t="s">
        <v>207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67</v>
      </c>
      <c r="J925">
        <v>1.3440000000000001</v>
      </c>
      <c r="K925">
        <v>500</v>
      </c>
      <c r="L925">
        <v>100</v>
      </c>
      <c r="N925" t="s">
        <v>68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56450.891005697587</v>
      </c>
      <c r="Z925">
        <v>282254455.02848792</v>
      </c>
      <c r="AA925">
        <v>379349987.5582878</v>
      </c>
      <c r="AB925">
        <v>379349.9875582878</v>
      </c>
      <c r="AC925">
        <v>0</v>
      </c>
      <c r="AD925">
        <v>2925.36126004793</v>
      </c>
      <c r="AE925">
        <v>1316412.5670215681</v>
      </c>
      <c r="AF925">
        <v>1316412.5670215681</v>
      </c>
      <c r="AG925">
        <v>79.051575123196116</v>
      </c>
      <c r="AH925">
        <v>115.8706341492384</v>
      </c>
      <c r="AI925">
        <v>115.8706341492384</v>
      </c>
      <c r="AJ925">
        <v>12328.874595644351</v>
      </c>
      <c r="AK925">
        <v>854.70085470085473</v>
      </c>
      <c r="AL925" t="s">
        <v>69</v>
      </c>
      <c r="AM925">
        <v>8979.974146565979</v>
      </c>
      <c r="AN925">
        <v>614.61405394750648</v>
      </c>
      <c r="AO925">
        <v>19698.00780537054</v>
      </c>
      <c r="AP925">
        <v>22778.1636508587</v>
      </c>
      <c r="AQ925">
        <v>3080.1558454881601</v>
      </c>
      <c r="AR925">
        <v>9.3655096468266679E-3</v>
      </c>
      <c r="AS925">
        <v>155.95988538407619</v>
      </c>
      <c r="AT925">
        <v>113.5963974477592</v>
      </c>
      <c r="AU925">
        <v>7.7748489260293088</v>
      </c>
      <c r="AV925">
        <v>249.17919440153639</v>
      </c>
      <c r="AW925">
        <v>288.14307134754227</v>
      </c>
      <c r="AX925">
        <v>38.963876946005968</v>
      </c>
      <c r="AY925">
        <v>1.46575996706786</v>
      </c>
      <c r="AZ925" t="str">
        <f>VLOOKUP(BA925,Sheet1!$A$1:$B$58,2,FALSE)</f>
        <v>3-Methyl-1-Pentanol</v>
      </c>
      <c r="BA925" t="s">
        <v>87</v>
      </c>
      <c r="BB925" t="s">
        <v>88</v>
      </c>
      <c r="BC925">
        <v>102.17296</v>
      </c>
      <c r="BD925">
        <v>6</v>
      </c>
      <c r="BE925">
        <v>153</v>
      </c>
      <c r="BF925" t="s">
        <v>209</v>
      </c>
      <c r="BG925">
        <v>2.0502885344580131</v>
      </c>
      <c r="BH925">
        <v>0.18587500000000001</v>
      </c>
      <c r="BI925">
        <v>0.31624923299806901</v>
      </c>
      <c r="BJ925">
        <v>90</v>
      </c>
      <c r="BK925">
        <v>1012.362828927053</v>
      </c>
      <c r="BL925">
        <v>136.8958153550293</v>
      </c>
      <c r="BM925">
        <v>3.099517427730361</v>
      </c>
      <c r="BN925">
        <v>526.91796271416149</v>
      </c>
      <c r="BO925">
        <v>485.44486621289172</v>
      </c>
    </row>
    <row r="926" spans="1:67" x14ac:dyDescent="0.25">
      <c r="A926" s="1">
        <v>924</v>
      </c>
      <c r="B926" t="s">
        <v>206</v>
      </c>
      <c r="C926" t="s">
        <v>207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67</v>
      </c>
      <c r="J926">
        <v>1.3440000000000001</v>
      </c>
      <c r="K926">
        <v>500</v>
      </c>
      <c r="L926">
        <v>100</v>
      </c>
      <c r="N926" t="s">
        <v>68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56606.705831333107</v>
      </c>
      <c r="Z926">
        <v>283033529.15666562</v>
      </c>
      <c r="AA926">
        <v>380397063.18655849</v>
      </c>
      <c r="AB926">
        <v>380397.06318655849</v>
      </c>
      <c r="AC926">
        <v>0</v>
      </c>
      <c r="AD926">
        <v>2933.4357943295809</v>
      </c>
      <c r="AE926">
        <v>1320046.107448312</v>
      </c>
      <c r="AF926">
        <v>1320046.107448312</v>
      </c>
      <c r="AG926">
        <v>79.269771987312765</v>
      </c>
      <c r="AH926">
        <v>116.19045837760039</v>
      </c>
      <c r="AI926">
        <v>116.19045837760039</v>
      </c>
      <c r="AJ926">
        <v>12362.90455356315</v>
      </c>
      <c r="AK926">
        <v>854.70085470085473</v>
      </c>
      <c r="AL926" t="s">
        <v>69</v>
      </c>
      <c r="AM926">
        <v>9004.7605242640275</v>
      </c>
      <c r="AN926">
        <v>616.31050160214681</v>
      </c>
      <c r="AO926">
        <v>19752.37792419206</v>
      </c>
      <c r="AP926">
        <v>22838.676434130179</v>
      </c>
      <c r="AQ926">
        <v>3086.298509938119</v>
      </c>
      <c r="AR926">
        <v>9.3655096468266679E-3</v>
      </c>
      <c r="AS926">
        <v>155.95988538407619</v>
      </c>
      <c r="AT926">
        <v>113.5963974477592</v>
      </c>
      <c r="AU926">
        <v>7.7748489260293088</v>
      </c>
      <c r="AV926">
        <v>249.17919440153631</v>
      </c>
      <c r="AW926">
        <v>288.11331055406009</v>
      </c>
      <c r="AX926">
        <v>38.934116152523842</v>
      </c>
      <c r="AY926">
        <v>1.46575996706786</v>
      </c>
      <c r="AZ926" t="str">
        <f>VLOOKUP(BA926,Sheet1!$A$1:$B$58,2,FALSE)</f>
        <v>4-Hydroxystyrene</v>
      </c>
      <c r="BA926" t="s">
        <v>89</v>
      </c>
      <c r="BB926" t="s">
        <v>90</v>
      </c>
      <c r="BC926">
        <v>120.14731999999999</v>
      </c>
      <c r="BD926">
        <v>4.75</v>
      </c>
      <c r="BE926">
        <v>229</v>
      </c>
      <c r="BF926" t="s">
        <v>209</v>
      </c>
      <c r="BG926">
        <v>1.717119924895719</v>
      </c>
      <c r="BH926">
        <v>0.15763250883392199</v>
      </c>
      <c r="BI926">
        <v>0.315378729788718</v>
      </c>
      <c r="BJ926">
        <v>90</v>
      </c>
      <c r="BK926">
        <v>1015.052285961341</v>
      </c>
      <c r="BL926">
        <v>137.1688226639163</v>
      </c>
      <c r="BM926">
        <v>3.446900447442077</v>
      </c>
      <c r="BN926">
        <v>585.97307606515301</v>
      </c>
      <c r="BO926">
        <v>429.07920989618827</v>
      </c>
    </row>
    <row r="927" spans="1:67" x14ac:dyDescent="0.25">
      <c r="A927" s="1">
        <v>925</v>
      </c>
      <c r="B927" t="s">
        <v>206</v>
      </c>
      <c r="C927" t="s">
        <v>207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67</v>
      </c>
      <c r="J927">
        <v>1.3440000000000001</v>
      </c>
      <c r="K927">
        <v>500</v>
      </c>
      <c r="L927">
        <v>100</v>
      </c>
      <c r="N927" t="s">
        <v>68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39389.01157367439</v>
      </c>
      <c r="Z927">
        <v>196945057.8683719</v>
      </c>
      <c r="AA927">
        <v>264694157.77509189</v>
      </c>
      <c r="AB927">
        <v>264694.15777509188</v>
      </c>
      <c r="AC927">
        <v>0</v>
      </c>
      <c r="AD927">
        <v>2041.1916707847311</v>
      </c>
      <c r="AE927">
        <v>918536.25185312878</v>
      </c>
      <c r="AF927">
        <v>918536.25185312878</v>
      </c>
      <c r="AG927">
        <v>55.158800011331792</v>
      </c>
      <c r="AH927">
        <v>80.849560888112393</v>
      </c>
      <c r="AI927">
        <v>80.849560888112393</v>
      </c>
      <c r="AJ927">
        <v>8602.5601276904872</v>
      </c>
      <c r="AK927">
        <v>854.70085470085473</v>
      </c>
      <c r="AL927" t="s">
        <v>69</v>
      </c>
      <c r="AM927">
        <v>6265.8409688287102</v>
      </c>
      <c r="AN927">
        <v>428.85133702916829</v>
      </c>
      <c r="AO927">
        <v>13744.425350979111</v>
      </c>
      <c r="AP927">
        <v>16151.95328824922</v>
      </c>
      <c r="AQ927">
        <v>2407.5279372701129</v>
      </c>
      <c r="AR927">
        <v>9.3655096468266679E-3</v>
      </c>
      <c r="AS927">
        <v>155.95988538407619</v>
      </c>
      <c r="AT927">
        <v>113.5963974477592</v>
      </c>
      <c r="AU927">
        <v>7.7748489260293088</v>
      </c>
      <c r="AV927">
        <v>249.17919440153631</v>
      </c>
      <c r="AW927">
        <v>292.82640820559863</v>
      </c>
      <c r="AX927">
        <v>43.647213804062318</v>
      </c>
      <c r="AY927">
        <v>1.46575996706786</v>
      </c>
      <c r="AZ927" t="str">
        <f>VLOOKUP(BA927,Sheet1!$A$1:$B$58,2,FALSE)</f>
        <v>5-Aminopentanoate</v>
      </c>
      <c r="BA927" t="s">
        <v>91</v>
      </c>
      <c r="BB927" t="s">
        <v>92</v>
      </c>
      <c r="BC927">
        <v>117.14444</v>
      </c>
      <c r="BD927">
        <v>4.8</v>
      </c>
      <c r="BE927">
        <v>247.5</v>
      </c>
      <c r="BF927" t="s">
        <v>209</v>
      </c>
      <c r="BG927">
        <v>1.3554654299914659</v>
      </c>
      <c r="BH927">
        <v>0.23234374999999999</v>
      </c>
      <c r="BI927">
        <v>0.45323683609621701</v>
      </c>
      <c r="BJ927">
        <v>90</v>
      </c>
      <c r="BK927">
        <v>717.86459058885418</v>
      </c>
      <c r="BL927">
        <v>107.00124165644949</v>
      </c>
      <c r="BM927">
        <v>2.2378483872579742</v>
      </c>
      <c r="BN927">
        <v>380.43422583385552</v>
      </c>
      <c r="BO927">
        <v>337.43036475499872</v>
      </c>
    </row>
    <row r="928" spans="1:67" x14ac:dyDescent="0.25">
      <c r="A928" s="1">
        <v>926</v>
      </c>
      <c r="B928" t="s">
        <v>206</v>
      </c>
      <c r="C928" t="s">
        <v>207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67</v>
      </c>
      <c r="J928">
        <v>1.3440000000000001</v>
      </c>
      <c r="K928">
        <v>500</v>
      </c>
      <c r="L928">
        <v>100</v>
      </c>
      <c r="N928" t="s">
        <v>68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36918.585602351013</v>
      </c>
      <c r="Z928">
        <v>184592928.01175499</v>
      </c>
      <c r="AA928">
        <v>248092895.2477988</v>
      </c>
      <c r="AB928">
        <v>248092.89524779879</v>
      </c>
      <c r="AC928">
        <v>0</v>
      </c>
      <c r="AD928">
        <v>1913.170867152131</v>
      </c>
      <c r="AE928">
        <v>860926.89021845895</v>
      </c>
      <c r="AF928">
        <v>860926.89021845895</v>
      </c>
      <c r="AG928">
        <v>51.699314062055016</v>
      </c>
      <c r="AH928">
        <v>75.778784877028755</v>
      </c>
      <c r="AI928">
        <v>75.778784877028755</v>
      </c>
      <c r="AJ928">
        <v>8063.0190955534599</v>
      </c>
      <c r="AK928">
        <v>854.70085470085473</v>
      </c>
      <c r="AL928" t="s">
        <v>69</v>
      </c>
      <c r="AM928">
        <v>5872.8558279697281</v>
      </c>
      <c r="AN928">
        <v>401.95435641182041</v>
      </c>
      <c r="AO928">
        <v>12882.393429094889</v>
      </c>
      <c r="AP928">
        <v>15192.530134635859</v>
      </c>
      <c r="AQ928">
        <v>2310.136705540976</v>
      </c>
      <c r="AR928">
        <v>9.3655096468266662E-3</v>
      </c>
      <c r="AS928">
        <v>155.95988538407619</v>
      </c>
      <c r="AT928">
        <v>113.5963974477592</v>
      </c>
      <c r="AU928">
        <v>7.7748489260293088</v>
      </c>
      <c r="AV928">
        <v>249.17919440153631</v>
      </c>
      <c r="AW928">
        <v>293.86328252634399</v>
      </c>
      <c r="AX928">
        <v>44.684088124807687</v>
      </c>
      <c r="AY928">
        <v>1.4657599670678609</v>
      </c>
      <c r="AZ928" t="str">
        <f>VLOOKUP(BA928,Sheet1!$A$1:$B$58,2,FALSE)</f>
        <v>Acetone</v>
      </c>
      <c r="BA928" t="s">
        <v>93</v>
      </c>
      <c r="BB928" t="s">
        <v>94</v>
      </c>
      <c r="BC928">
        <v>58.078139999999998</v>
      </c>
      <c r="BD928">
        <v>5.333333333333333</v>
      </c>
      <c r="BE928">
        <v>56</v>
      </c>
      <c r="BF928" t="s">
        <v>209</v>
      </c>
      <c r="BG928">
        <v>0.75777220138248214</v>
      </c>
      <c r="BH928">
        <v>0.5</v>
      </c>
      <c r="BI928">
        <v>0.483565409978019</v>
      </c>
      <c r="BJ928">
        <v>90</v>
      </c>
      <c r="BK928">
        <v>675.22356153937176</v>
      </c>
      <c r="BL928">
        <v>102.6727424684878</v>
      </c>
      <c r="BM928">
        <v>2.6101737931521289</v>
      </c>
      <c r="BN928">
        <v>443.72954483586199</v>
      </c>
      <c r="BO928">
        <v>231.4940167035098</v>
      </c>
    </row>
    <row r="929" spans="1:67" x14ac:dyDescent="0.25">
      <c r="A929" s="1">
        <v>927</v>
      </c>
      <c r="B929" t="s">
        <v>206</v>
      </c>
      <c r="C929" t="s">
        <v>207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67</v>
      </c>
      <c r="J929">
        <v>1.3440000000000001</v>
      </c>
      <c r="K929">
        <v>500</v>
      </c>
      <c r="L929">
        <v>100</v>
      </c>
      <c r="N929" t="s">
        <v>68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32977.212391221103</v>
      </c>
      <c r="Z929">
        <v>164886061.9561055</v>
      </c>
      <c r="AA929">
        <v>221606867.26900581</v>
      </c>
      <c r="AB929">
        <v>221606.8672690058</v>
      </c>
      <c r="AC929">
        <v>0</v>
      </c>
      <c r="AD929">
        <v>1708.923594915695</v>
      </c>
      <c r="AE929">
        <v>769015.61771206255</v>
      </c>
      <c r="AF929">
        <v>769015.61771206255</v>
      </c>
      <c r="AG929">
        <v>46.179972295478812</v>
      </c>
      <c r="AH929">
        <v>67.688754671015744</v>
      </c>
      <c r="AI929">
        <v>67.688754671015744</v>
      </c>
      <c r="AJ929">
        <v>7202.2231862426897</v>
      </c>
      <c r="AK929">
        <v>854.70085470085473</v>
      </c>
      <c r="AL929" t="s">
        <v>69</v>
      </c>
      <c r="AM929">
        <v>5245.8784870037198</v>
      </c>
      <c r="AN929">
        <v>359.04230800556661</v>
      </c>
      <c r="AO929">
        <v>11507.088294072681</v>
      </c>
      <c r="AP929">
        <v>13661.84483595283</v>
      </c>
      <c r="AQ929">
        <v>2154.7565418801528</v>
      </c>
      <c r="AR929">
        <v>9.3655096468266662E-3</v>
      </c>
      <c r="AS929">
        <v>155.95988538407619</v>
      </c>
      <c r="AT929">
        <v>113.5963974477592</v>
      </c>
      <c r="AU929">
        <v>7.774848926029307</v>
      </c>
      <c r="AV929">
        <v>249.17919440153631</v>
      </c>
      <c r="AW929">
        <v>295.83917349578769</v>
      </c>
      <c r="AX929">
        <v>46.65997909425144</v>
      </c>
      <c r="AY929">
        <v>1.4657599670678609</v>
      </c>
      <c r="AZ929" t="str">
        <f>VLOOKUP(BA929,Sheet1!$A$1:$B$58,2,FALSE)</f>
        <v>Acrylate (PW1)</v>
      </c>
      <c r="BA929" t="s">
        <v>95</v>
      </c>
      <c r="BB929" t="s">
        <v>96</v>
      </c>
      <c r="BC929">
        <v>71.053619999999995</v>
      </c>
      <c r="BD929">
        <v>3.666666666666667</v>
      </c>
      <c r="BE929">
        <v>80</v>
      </c>
      <c r="BF929" t="s">
        <v>209</v>
      </c>
      <c r="BG929">
        <v>0.84932012852374728</v>
      </c>
      <c r="BH929">
        <v>0.45753846153846101</v>
      </c>
      <c r="BI929">
        <v>0.54136022083425095</v>
      </c>
      <c r="BJ929">
        <v>90</v>
      </c>
      <c r="BK929">
        <v>607.19310382012566</v>
      </c>
      <c r="BL929">
        <v>95.76695741689565</v>
      </c>
      <c r="BM929">
        <v>2.1590689679658408</v>
      </c>
      <c r="BN929">
        <v>367.04172455419302</v>
      </c>
      <c r="BO929">
        <v>240.1513792659326</v>
      </c>
    </row>
    <row r="930" spans="1:67" x14ac:dyDescent="0.25">
      <c r="A930" s="1">
        <v>928</v>
      </c>
      <c r="B930" t="s">
        <v>206</v>
      </c>
      <c r="C930" t="s">
        <v>207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67</v>
      </c>
      <c r="J930">
        <v>1.3440000000000001</v>
      </c>
      <c r="K930">
        <v>500</v>
      </c>
      <c r="L930">
        <v>100</v>
      </c>
      <c r="N930" t="s">
        <v>68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25874.42818388114</v>
      </c>
      <c r="Z930">
        <v>129372140.9194057</v>
      </c>
      <c r="AA930">
        <v>173876157.39568129</v>
      </c>
      <c r="AB930">
        <v>173876.15739568131</v>
      </c>
      <c r="AC930">
        <v>0</v>
      </c>
      <c r="AD930">
        <v>1340.847743703082</v>
      </c>
      <c r="AE930">
        <v>603381.48466638685</v>
      </c>
      <c r="AF930">
        <v>603381.48466638685</v>
      </c>
      <c r="AG930">
        <v>36.233516724144877</v>
      </c>
      <c r="AH930">
        <v>53.109638280335368</v>
      </c>
      <c r="AI930">
        <v>53.109638280335368</v>
      </c>
      <c r="AJ930">
        <v>5650.9751153596426</v>
      </c>
      <c r="AK930">
        <v>854.70085470085473</v>
      </c>
      <c r="AL930" t="s">
        <v>69</v>
      </c>
      <c r="AM930">
        <v>4115.9969667259911</v>
      </c>
      <c r="AN930">
        <v>281.71011858898282</v>
      </c>
      <c r="AO930">
        <v>9028.6385076570132</v>
      </c>
      <c r="AP930">
        <v>10903.383055375471</v>
      </c>
      <c r="AQ930">
        <v>1874.744547718459</v>
      </c>
      <c r="AR930">
        <v>9.3655096468266662E-3</v>
      </c>
      <c r="AS930">
        <v>155.95988538407619</v>
      </c>
      <c r="AT930">
        <v>113.5963974477592</v>
      </c>
      <c r="AU930">
        <v>7.7748489260293088</v>
      </c>
      <c r="AV930">
        <v>249.17919440153631</v>
      </c>
      <c r="AW930">
        <v>300.91981240423729</v>
      </c>
      <c r="AX930">
        <v>51.740618002701041</v>
      </c>
      <c r="AY930">
        <v>1.46575996706786</v>
      </c>
      <c r="AZ930" t="str">
        <f>VLOOKUP(BA930,Sheet1!$A$1:$B$58,2,FALSE)</f>
        <v>Acrylate (PW2)</v>
      </c>
      <c r="BA930" t="s">
        <v>97</v>
      </c>
      <c r="BB930" t="s">
        <v>96</v>
      </c>
      <c r="BC930">
        <v>71.053619999999995</v>
      </c>
      <c r="BD930">
        <v>3.666666666666667</v>
      </c>
      <c r="BE930">
        <v>80</v>
      </c>
      <c r="BF930" t="s">
        <v>209</v>
      </c>
      <c r="BG930">
        <v>0.26616751453000242</v>
      </c>
      <c r="BH930">
        <v>0.583137254901961</v>
      </c>
      <c r="BI930">
        <v>0.68996890890639895</v>
      </c>
      <c r="BJ930">
        <v>90</v>
      </c>
      <c r="BK930">
        <v>484.59480246113208</v>
      </c>
      <c r="BL930">
        <v>83.321979898598215</v>
      </c>
      <c r="BM930">
        <v>2.094260853484903</v>
      </c>
      <c r="BN930">
        <v>356.02434509243341</v>
      </c>
      <c r="BO930">
        <v>128.5704573686987</v>
      </c>
    </row>
    <row r="931" spans="1:67" x14ac:dyDescent="0.25">
      <c r="A931" s="1">
        <v>929</v>
      </c>
      <c r="B931" t="s">
        <v>206</v>
      </c>
      <c r="C931" t="s">
        <v>207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67</v>
      </c>
      <c r="J931">
        <v>1.3440000000000001</v>
      </c>
      <c r="K931">
        <v>500</v>
      </c>
      <c r="L931">
        <v>100</v>
      </c>
      <c r="N931" t="s">
        <v>68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35486.03696998705</v>
      </c>
      <c r="Z931">
        <v>177430184.84993529</v>
      </c>
      <c r="AA931">
        <v>238466168.43831301</v>
      </c>
      <c r="AB931">
        <v>238466.16843831301</v>
      </c>
      <c r="AC931">
        <v>0</v>
      </c>
      <c r="AD931">
        <v>1838.9342661420751</v>
      </c>
      <c r="AE931">
        <v>827520.41976393363</v>
      </c>
      <c r="AF931">
        <v>827520.41976393363</v>
      </c>
      <c r="AG931">
        <v>49.693230122343238</v>
      </c>
      <c r="AH931">
        <v>72.838347347621436</v>
      </c>
      <c r="AI931">
        <v>72.838347347621436</v>
      </c>
      <c r="AJ931">
        <v>7750.1504742451734</v>
      </c>
      <c r="AK931">
        <v>854.70085470085473</v>
      </c>
      <c r="AL931" t="s">
        <v>69</v>
      </c>
      <c r="AM931">
        <v>5644.9719194406616</v>
      </c>
      <c r="AN931">
        <v>386.3573568476275</v>
      </c>
      <c r="AO931">
        <v>12382.519049095639</v>
      </c>
      <c r="AP931">
        <v>14636.18060523432</v>
      </c>
      <c r="AQ931">
        <v>2253.661556138672</v>
      </c>
      <c r="AR931">
        <v>9.3655096468266662E-3</v>
      </c>
      <c r="AS931">
        <v>155.95988538407619</v>
      </c>
      <c r="AT931">
        <v>113.5963974477592</v>
      </c>
      <c r="AU931">
        <v>7.774848926029307</v>
      </c>
      <c r="AV931">
        <v>249.17919440153631</v>
      </c>
      <c r="AW931">
        <v>294.53067488670962</v>
      </c>
      <c r="AX931">
        <v>45.351480485173248</v>
      </c>
      <c r="AY931">
        <v>1.46575996706786</v>
      </c>
      <c r="AZ931" t="str">
        <f>VLOOKUP(BA931,Sheet1!$A$1:$B$58,2,FALSE)</f>
        <v>Adipate</v>
      </c>
      <c r="BA931" t="s">
        <v>98</v>
      </c>
      <c r="BB931" t="s">
        <v>99</v>
      </c>
      <c r="BC931">
        <v>144.12291999999999</v>
      </c>
      <c r="BD931">
        <v>4</v>
      </c>
      <c r="BE931">
        <v>337.5</v>
      </c>
      <c r="BF931" t="s">
        <v>209</v>
      </c>
      <c r="BG931">
        <v>1.081287707359615</v>
      </c>
      <c r="BH931">
        <v>0.20962216624685101</v>
      </c>
      <c r="BI931">
        <v>0.50308663651871199</v>
      </c>
      <c r="BJ931">
        <v>90</v>
      </c>
      <c r="BK931">
        <v>650.49691578819193</v>
      </c>
      <c r="BL931">
        <v>100.16273582838549</v>
      </c>
      <c r="BM931">
        <v>2.1559721747568932</v>
      </c>
      <c r="BN931">
        <v>366.51526970867178</v>
      </c>
      <c r="BO931">
        <v>283.98164607952009</v>
      </c>
    </row>
    <row r="932" spans="1:67" x14ac:dyDescent="0.25">
      <c r="A932" s="1">
        <v>930</v>
      </c>
      <c r="B932" t="s">
        <v>206</v>
      </c>
      <c r="C932" t="s">
        <v>207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67</v>
      </c>
      <c r="J932">
        <v>1.3440000000000001</v>
      </c>
      <c r="K932">
        <v>500</v>
      </c>
      <c r="L932">
        <v>100</v>
      </c>
      <c r="N932" t="s">
        <v>68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48416.994441521529</v>
      </c>
      <c r="Z932">
        <v>242084972.20760769</v>
      </c>
      <c r="AA932">
        <v>325362202.64702469</v>
      </c>
      <c r="AB932">
        <v>325362.20264702471</v>
      </c>
      <c r="AC932">
        <v>0</v>
      </c>
      <c r="AD932">
        <v>2509.033911491098</v>
      </c>
      <c r="AE932">
        <v>1129065.2601709941</v>
      </c>
      <c r="AF932">
        <v>1129065.2601709941</v>
      </c>
      <c r="AG932">
        <v>67.801226962865897</v>
      </c>
      <c r="AH932">
        <v>99.380324200250882</v>
      </c>
      <c r="AI932">
        <v>99.380324200250882</v>
      </c>
      <c r="AJ932">
        <v>10574.271586028301</v>
      </c>
      <c r="AK932">
        <v>854.70085470085473</v>
      </c>
      <c r="AL932" t="s">
        <v>69</v>
      </c>
      <c r="AM932">
        <v>7701.9751255194433</v>
      </c>
      <c r="AN932">
        <v>527.14429663570752</v>
      </c>
      <c r="AO932">
        <v>16894.655114042649</v>
      </c>
      <c r="AP932">
        <v>19658.09186288431</v>
      </c>
      <c r="AQ932">
        <v>2763.436748841661</v>
      </c>
      <c r="AR932">
        <v>9.3655096468266679E-3</v>
      </c>
      <c r="AS932">
        <v>155.95988538407619</v>
      </c>
      <c r="AT932">
        <v>113.5963974477592</v>
      </c>
      <c r="AU932">
        <v>7.7748489260293114</v>
      </c>
      <c r="AV932">
        <v>249.17919440153631</v>
      </c>
      <c r="AW932">
        <v>289.93711092648601</v>
      </c>
      <c r="AX932">
        <v>40.757916524949707</v>
      </c>
      <c r="AY932">
        <v>1.4657599670678609</v>
      </c>
      <c r="AZ932" t="str">
        <f>VLOOKUP(BA932,Sheet1!$A$1:$B$58,2,FALSE)</f>
        <v>Benzoate (PW1)</v>
      </c>
      <c r="BA932" t="s">
        <v>100</v>
      </c>
      <c r="BB932" t="s">
        <v>101</v>
      </c>
      <c r="BC932">
        <v>121.1121</v>
      </c>
      <c r="BD932">
        <v>4.1428571428571432</v>
      </c>
      <c r="BE932">
        <v>249.2</v>
      </c>
      <c r="BF932" t="s">
        <v>209</v>
      </c>
      <c r="BG932">
        <v>1.431454406509596</v>
      </c>
      <c r="BH932">
        <v>0.182827868852459</v>
      </c>
      <c r="BI932">
        <v>0.36872489068217401</v>
      </c>
      <c r="BJ932">
        <v>90</v>
      </c>
      <c r="BK932">
        <v>873.69297168374692</v>
      </c>
      <c r="BL932">
        <v>122.8194110596292</v>
      </c>
      <c r="BM932">
        <v>2.985448891279332</v>
      </c>
      <c r="BN932">
        <v>507.52631151748648</v>
      </c>
      <c r="BO932">
        <v>366.16666016626039</v>
      </c>
    </row>
    <row r="933" spans="1:67" x14ac:dyDescent="0.25">
      <c r="A933" s="1">
        <v>931</v>
      </c>
      <c r="B933" t="s">
        <v>206</v>
      </c>
      <c r="C933" t="s">
        <v>207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67</v>
      </c>
      <c r="J933">
        <v>1.3440000000000001</v>
      </c>
      <c r="K933">
        <v>500</v>
      </c>
      <c r="L933">
        <v>100</v>
      </c>
      <c r="N933" t="s">
        <v>68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48416.994441521529</v>
      </c>
      <c r="Z933">
        <v>242084972.20760769</v>
      </c>
      <c r="AA933">
        <v>325362202.64702469</v>
      </c>
      <c r="AB933">
        <v>325362.20264702471</v>
      </c>
      <c r="AC933">
        <v>0</v>
      </c>
      <c r="AD933">
        <v>2509.033911491098</v>
      </c>
      <c r="AE933">
        <v>1129065.2601709941</v>
      </c>
      <c r="AF933">
        <v>1129065.2601709941</v>
      </c>
      <c r="AG933">
        <v>67.801226962865897</v>
      </c>
      <c r="AH933">
        <v>99.380324200250882</v>
      </c>
      <c r="AI933">
        <v>99.380324200250882</v>
      </c>
      <c r="AJ933">
        <v>10574.271586028301</v>
      </c>
      <c r="AK933">
        <v>854.70085470085473</v>
      </c>
      <c r="AL933" t="s">
        <v>69</v>
      </c>
      <c r="AM933">
        <v>7701.9751255194433</v>
      </c>
      <c r="AN933">
        <v>527.14429663570752</v>
      </c>
      <c r="AO933">
        <v>16894.655114042649</v>
      </c>
      <c r="AP933">
        <v>19658.09186288431</v>
      </c>
      <c r="AQ933">
        <v>2763.436748841661</v>
      </c>
      <c r="AR933">
        <v>9.3655096468266679E-3</v>
      </c>
      <c r="AS933">
        <v>155.95988538407619</v>
      </c>
      <c r="AT933">
        <v>113.5963974477592</v>
      </c>
      <c r="AU933">
        <v>7.7748489260293114</v>
      </c>
      <c r="AV933">
        <v>249.17919440153631</v>
      </c>
      <c r="AW933">
        <v>289.93711092648601</v>
      </c>
      <c r="AX933">
        <v>40.757916524949707</v>
      </c>
      <c r="AY933">
        <v>1.4657599670678609</v>
      </c>
      <c r="AZ933" t="str">
        <f>VLOOKUP(BA933,Sheet1!$A$1:$B$58,2,FALSE)</f>
        <v>Benzoate (PW2)</v>
      </c>
      <c r="BA933" t="s">
        <v>102</v>
      </c>
      <c r="BB933" t="s">
        <v>101</v>
      </c>
      <c r="BC933">
        <v>121.1121</v>
      </c>
      <c r="BD933">
        <v>4.1428571428571432</v>
      </c>
      <c r="BE933">
        <v>249.2</v>
      </c>
      <c r="BF933" t="s">
        <v>209</v>
      </c>
      <c r="BG933">
        <v>1.431454406509596</v>
      </c>
      <c r="BH933">
        <v>0.182827868852459</v>
      </c>
      <c r="BI933">
        <v>0.36872489068217401</v>
      </c>
      <c r="BJ933">
        <v>90</v>
      </c>
      <c r="BK933">
        <v>873.69297168374692</v>
      </c>
      <c r="BL933">
        <v>122.8194110596292</v>
      </c>
      <c r="BM933">
        <v>2.985448891279332</v>
      </c>
      <c r="BN933">
        <v>507.52631151748648</v>
      </c>
      <c r="BO933">
        <v>366.16666016626039</v>
      </c>
    </row>
    <row r="934" spans="1:67" x14ac:dyDescent="0.25">
      <c r="A934" s="1">
        <v>932</v>
      </c>
      <c r="B934" t="s">
        <v>206</v>
      </c>
      <c r="C934" t="s">
        <v>207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67</v>
      </c>
      <c r="J934">
        <v>1.3440000000000001</v>
      </c>
      <c r="K934">
        <v>500</v>
      </c>
      <c r="L934">
        <v>100</v>
      </c>
      <c r="N934" t="s">
        <v>68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62227.273857870117</v>
      </c>
      <c r="Z934">
        <v>311136369.28935063</v>
      </c>
      <c r="AA934">
        <v>418167280.32488722</v>
      </c>
      <c r="AB934">
        <v>418167.28032488719</v>
      </c>
      <c r="AC934">
        <v>0</v>
      </c>
      <c r="AD934">
        <v>3224.7012052269201</v>
      </c>
      <c r="AE934">
        <v>1451115.5423521141</v>
      </c>
      <c r="AF934">
        <v>1451115.5423521141</v>
      </c>
      <c r="AG934">
        <v>87.140591166056623</v>
      </c>
      <c r="AH934">
        <v>127.7271900378331</v>
      </c>
      <c r="AI934">
        <v>127.7271900378331</v>
      </c>
      <c r="AJ934">
        <v>13590.436610558831</v>
      </c>
      <c r="AK934">
        <v>854.70085470085473</v>
      </c>
      <c r="AL934" t="s">
        <v>69</v>
      </c>
      <c r="AM934">
        <v>9898.8572279320633</v>
      </c>
      <c r="AN934">
        <v>677.50493164097452</v>
      </c>
      <c r="AO934">
        <v>21713.622306431629</v>
      </c>
      <c r="AP934">
        <v>25021.49962483273</v>
      </c>
      <c r="AQ934">
        <v>3307.8773184011038</v>
      </c>
      <c r="AR934">
        <v>9.3655096468266679E-3</v>
      </c>
      <c r="AS934">
        <v>155.95988538407619</v>
      </c>
      <c r="AT934">
        <v>113.5963974477592</v>
      </c>
      <c r="AU934">
        <v>7.7748489260293114</v>
      </c>
      <c r="AV934">
        <v>249.17919440153639</v>
      </c>
      <c r="AW934">
        <v>287.13942939807839</v>
      </c>
      <c r="AX934">
        <v>37.960234996542027</v>
      </c>
      <c r="AY934">
        <v>1.4657599670678609</v>
      </c>
      <c r="AZ934" t="str">
        <f>VLOOKUP(BA934,Sheet1!$A$1:$B$58,2,FALSE)</f>
        <v>Benzyl Alcohol</v>
      </c>
      <c r="BA934" t="s">
        <v>103</v>
      </c>
      <c r="BB934" t="s">
        <v>104</v>
      </c>
      <c r="BC934">
        <v>108.13661999999999</v>
      </c>
      <c r="BD934">
        <v>4.8571428571428568</v>
      </c>
      <c r="BE934">
        <v>205</v>
      </c>
      <c r="BF934" t="s">
        <v>209</v>
      </c>
      <c r="BG934">
        <v>2.2600859587582369</v>
      </c>
      <c r="BH934">
        <v>0.159321428571429</v>
      </c>
      <c r="BI934">
        <v>0.286892705976249</v>
      </c>
      <c r="BJ934">
        <v>90</v>
      </c>
      <c r="BK934">
        <v>1112.066649992566</v>
      </c>
      <c r="BL934">
        <v>147.01676970671571</v>
      </c>
      <c r="BM934">
        <v>3.4166780429232331</v>
      </c>
      <c r="BN934">
        <v>580.8352672969495</v>
      </c>
      <c r="BO934">
        <v>531.23138269561605</v>
      </c>
    </row>
    <row r="935" spans="1:67" x14ac:dyDescent="0.25">
      <c r="A935" s="1">
        <v>933</v>
      </c>
      <c r="B935" t="s">
        <v>206</v>
      </c>
      <c r="C935" t="s">
        <v>207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67</v>
      </c>
      <c r="J935">
        <v>1.3440000000000001</v>
      </c>
      <c r="K935">
        <v>500</v>
      </c>
      <c r="L935">
        <v>100</v>
      </c>
      <c r="N935" t="s">
        <v>68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64500.42389256406</v>
      </c>
      <c r="Z935">
        <v>322502119.46282029</v>
      </c>
      <c r="AA935">
        <v>433442848.55803049</v>
      </c>
      <c r="AB935">
        <v>433442.8485580305</v>
      </c>
      <c r="AC935">
        <v>0</v>
      </c>
      <c r="AD935">
        <v>3342.4989039222178</v>
      </c>
      <c r="AE935">
        <v>1504124.506764998</v>
      </c>
      <c r="AF935">
        <v>1504124.506764998</v>
      </c>
      <c r="AG935">
        <v>90.323819765863263</v>
      </c>
      <c r="AH935">
        <v>132.39303908545509</v>
      </c>
      <c r="AI935">
        <v>132.39303908545509</v>
      </c>
      <c r="AJ935">
        <v>14086.89257813599</v>
      </c>
      <c r="AK935">
        <v>854.70085470085473</v>
      </c>
      <c r="AL935" t="s">
        <v>69</v>
      </c>
      <c r="AM935">
        <v>10260.460529122771</v>
      </c>
      <c r="AN935">
        <v>702.25405310148687</v>
      </c>
      <c r="AO935">
        <v>22506.816644527371</v>
      </c>
      <c r="AP935">
        <v>25904.308015061109</v>
      </c>
      <c r="AQ935">
        <v>3397.4913705337308</v>
      </c>
      <c r="AR935">
        <v>9.3655096468266679E-3</v>
      </c>
      <c r="AS935">
        <v>155.95988538407619</v>
      </c>
      <c r="AT935">
        <v>113.5963974477592</v>
      </c>
      <c r="AU935">
        <v>7.7748489260293088</v>
      </c>
      <c r="AV935">
        <v>249.17919440153639</v>
      </c>
      <c r="AW935">
        <v>286.7937614043567</v>
      </c>
      <c r="AX935">
        <v>37.614567002820337</v>
      </c>
      <c r="AY935">
        <v>1.4657599670678609</v>
      </c>
      <c r="AZ935" t="str">
        <f>VLOOKUP(BA935,Sheet1!$A$1:$B$58,2,FALSE)</f>
        <v>Beta Carotene</v>
      </c>
      <c r="BA935" t="s">
        <v>105</v>
      </c>
      <c r="BB935" t="s">
        <v>106</v>
      </c>
      <c r="BC935">
        <v>536.86703999999997</v>
      </c>
      <c r="BD935">
        <v>5.4</v>
      </c>
      <c r="BE935">
        <v>633</v>
      </c>
      <c r="BF935" t="s">
        <v>209</v>
      </c>
      <c r="BG935">
        <v>2.0165880437162711</v>
      </c>
      <c r="BH935">
        <v>3.0959821428571399E-2</v>
      </c>
      <c r="BI935">
        <v>0.27678191715988998</v>
      </c>
      <c r="BJ935">
        <v>90</v>
      </c>
      <c r="BK935">
        <v>1151.3025784471599</v>
      </c>
      <c r="BL935">
        <v>150.99961646816581</v>
      </c>
      <c r="BM935">
        <v>3.8675470267484018</v>
      </c>
      <c r="BN935">
        <v>657.48299454722826</v>
      </c>
      <c r="BO935">
        <v>493.81958389993213</v>
      </c>
    </row>
    <row r="936" spans="1:67" x14ac:dyDescent="0.25">
      <c r="A936" s="1">
        <v>934</v>
      </c>
      <c r="B936" t="s">
        <v>206</v>
      </c>
      <c r="C936" t="s">
        <v>207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67</v>
      </c>
      <c r="J936">
        <v>1.3440000000000001</v>
      </c>
      <c r="K936">
        <v>500</v>
      </c>
      <c r="L936">
        <v>100</v>
      </c>
      <c r="N936" t="s">
        <v>68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69465.672423877404</v>
      </c>
      <c r="Z936">
        <v>347328362.11938697</v>
      </c>
      <c r="AA936">
        <v>466809318.68845618</v>
      </c>
      <c r="AB936">
        <v>466809.3186884562</v>
      </c>
      <c r="AC936">
        <v>66773.504273504266</v>
      </c>
      <c r="AD936">
        <v>3599.8047752954071</v>
      </c>
      <c r="AE936">
        <v>1619912.148882933</v>
      </c>
      <c r="AF936">
        <v>1619912.148882933</v>
      </c>
      <c r="AG936">
        <v>97.276955673653291</v>
      </c>
      <c r="AH936">
        <v>142.58466734467581</v>
      </c>
      <c r="AI936">
        <v>142.58466734467581</v>
      </c>
      <c r="AJ936">
        <v>15171.302857374831</v>
      </c>
      <c r="AK936">
        <v>2170.1388888888891</v>
      </c>
      <c r="AL936" t="s">
        <v>107</v>
      </c>
      <c r="AM936">
        <v>11050.31171921237</v>
      </c>
      <c r="AN936">
        <v>756.31363434670391</v>
      </c>
      <c r="AO936">
        <v>24239.393448594881</v>
      </c>
      <c r="AP936">
        <v>29148.067099822791</v>
      </c>
      <c r="AQ936">
        <v>4908.6736512279131</v>
      </c>
      <c r="AR936">
        <v>9.3655096468266679E-3</v>
      </c>
      <c r="AS936">
        <v>155.95988538407619</v>
      </c>
      <c r="AT936">
        <v>113.5963974477592</v>
      </c>
      <c r="AU936">
        <v>7.7748489260293088</v>
      </c>
      <c r="AV936">
        <v>249.17919440153631</v>
      </c>
      <c r="AW936">
        <v>299.64000104618123</v>
      </c>
      <c r="AX936">
        <v>50.460806644644919</v>
      </c>
      <c r="AY936">
        <v>1.46575996706786</v>
      </c>
      <c r="AZ936" t="str">
        <f>VLOOKUP(BA936,Sheet1!$A$1:$B$58,2,FALSE)</f>
        <v>Butane</v>
      </c>
      <c r="BA936" t="s">
        <v>108</v>
      </c>
      <c r="BB936" t="s">
        <v>109</v>
      </c>
      <c r="BC936">
        <v>58.121200000000002</v>
      </c>
      <c r="BD936">
        <v>6.5</v>
      </c>
      <c r="BE936">
        <v>-1</v>
      </c>
      <c r="BF936" t="s">
        <v>209</v>
      </c>
      <c r="BG936">
        <v>2.674425749876912</v>
      </c>
      <c r="BH936">
        <v>0.26553571428571399</v>
      </c>
      <c r="BI936">
        <v>0.25699817420140603</v>
      </c>
      <c r="BJ936">
        <v>90</v>
      </c>
      <c r="BK936">
        <v>1295.469648881013</v>
      </c>
      <c r="BL936">
        <v>218.16327338790731</v>
      </c>
      <c r="BM936">
        <v>3.662670576553122</v>
      </c>
      <c r="BN936">
        <v>622.65399801403078</v>
      </c>
      <c r="BO936">
        <v>672.8156508669822</v>
      </c>
    </row>
    <row r="937" spans="1:67" x14ac:dyDescent="0.25">
      <c r="A937" s="1">
        <v>935</v>
      </c>
      <c r="B937" t="s">
        <v>206</v>
      </c>
      <c r="C937" t="s">
        <v>207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67</v>
      </c>
      <c r="J937">
        <v>1.3440000000000001</v>
      </c>
      <c r="K937">
        <v>500</v>
      </c>
      <c r="L937">
        <v>100</v>
      </c>
      <c r="N937" t="s">
        <v>68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46595.441703216748</v>
      </c>
      <c r="Z937">
        <v>232977208.51608381</v>
      </c>
      <c r="AA937">
        <v>313121368.24561661</v>
      </c>
      <c r="AB937">
        <v>313121.36824561661</v>
      </c>
      <c r="AC937">
        <v>0</v>
      </c>
      <c r="AD937">
        <v>2414.6385933864958</v>
      </c>
      <c r="AE937">
        <v>1086587.367023923</v>
      </c>
      <c r="AF937">
        <v>1086587.367023923</v>
      </c>
      <c r="AG937">
        <v>65.250397196185517</v>
      </c>
      <c r="AH937">
        <v>95.641420045445713</v>
      </c>
      <c r="AI937">
        <v>95.641420045445713</v>
      </c>
      <c r="AJ937">
        <v>10176.444467982539</v>
      </c>
      <c r="AK937">
        <v>854.70085470085473</v>
      </c>
      <c r="AL937" t="s">
        <v>69</v>
      </c>
      <c r="AM937">
        <v>7412.2100535220416</v>
      </c>
      <c r="AN937">
        <v>507.31198056374888</v>
      </c>
      <c r="AO937">
        <v>16259.04140772577</v>
      </c>
      <c r="AP937">
        <v>18950.667356769191</v>
      </c>
      <c r="AQ937">
        <v>2691.6259490434149</v>
      </c>
      <c r="AR937">
        <v>9.3655096468266679E-3</v>
      </c>
      <c r="AS937">
        <v>155.95988538407619</v>
      </c>
      <c r="AT937">
        <v>113.5963974477592</v>
      </c>
      <c r="AU937">
        <v>7.7748489260293114</v>
      </c>
      <c r="AV937">
        <v>249.17919440153631</v>
      </c>
      <c r="AW937">
        <v>290.42991569524162</v>
      </c>
      <c r="AX937">
        <v>41.250721293705247</v>
      </c>
      <c r="AY937">
        <v>1.4657599670678609</v>
      </c>
      <c r="AZ937" t="str">
        <f>VLOOKUP(BA937,Sheet1!$A$1:$B$58,2,FALSE)</f>
        <v>Butanol (PW1)</v>
      </c>
      <c r="BA937" t="s">
        <v>110</v>
      </c>
      <c r="BB937" t="s">
        <v>111</v>
      </c>
      <c r="BC937">
        <v>74.120199999999997</v>
      </c>
      <c r="BD937">
        <v>6</v>
      </c>
      <c r="BE937">
        <v>117.7</v>
      </c>
      <c r="BF937" t="s">
        <v>209</v>
      </c>
      <c r="BG937">
        <v>1.450516757221868</v>
      </c>
      <c r="BH937">
        <v>0.310418604651163</v>
      </c>
      <c r="BI937">
        <v>0.38313943016827301</v>
      </c>
      <c r="BJ937">
        <v>90</v>
      </c>
      <c r="BK937">
        <v>842.25188252307498</v>
      </c>
      <c r="BL937">
        <v>119.6278199574851</v>
      </c>
      <c r="BM937">
        <v>2.8002130225757189</v>
      </c>
      <c r="BN937">
        <v>476.03621383787231</v>
      </c>
      <c r="BO937">
        <v>366.21566868520267</v>
      </c>
    </row>
    <row r="938" spans="1:67" x14ac:dyDescent="0.25">
      <c r="A938" s="1">
        <v>936</v>
      </c>
      <c r="B938" t="s">
        <v>206</v>
      </c>
      <c r="C938" t="s">
        <v>207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67</v>
      </c>
      <c r="J938">
        <v>1.3440000000000001</v>
      </c>
      <c r="K938">
        <v>500</v>
      </c>
      <c r="L938">
        <v>100</v>
      </c>
      <c r="N938" t="s">
        <v>68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53012.307586794494</v>
      </c>
      <c r="Z938">
        <v>265061537.93397251</v>
      </c>
      <c r="AA938">
        <v>356242706.98325902</v>
      </c>
      <c r="AB938">
        <v>356242.70698325901</v>
      </c>
      <c r="AC938">
        <v>0</v>
      </c>
      <c r="AD938">
        <v>2747.1692325370259</v>
      </c>
      <c r="AE938">
        <v>1236226.154641662</v>
      </c>
      <c r="AF938">
        <v>1236226.154641662</v>
      </c>
      <c r="AG938">
        <v>74.236320118109319</v>
      </c>
      <c r="AH938">
        <v>108.8126261315591</v>
      </c>
      <c r="AI938">
        <v>108.8126261315591</v>
      </c>
      <c r="AJ938">
        <v>11577.887976955921</v>
      </c>
      <c r="AK938">
        <v>854.70085470085473</v>
      </c>
      <c r="AL938" t="s">
        <v>69</v>
      </c>
      <c r="AM938">
        <v>8432.9785251958274</v>
      </c>
      <c r="AN938">
        <v>577.17617374265012</v>
      </c>
      <c r="AO938">
        <v>18498.14644236504</v>
      </c>
      <c r="AP938">
        <v>21442.743530595249</v>
      </c>
      <c r="AQ938">
        <v>2944.5970882302099</v>
      </c>
      <c r="AR938">
        <v>9.3655096468266679E-3</v>
      </c>
      <c r="AS938">
        <v>155.95988538407619</v>
      </c>
      <c r="AT938">
        <v>113.5963974477592</v>
      </c>
      <c r="AU938">
        <v>7.7748489260293088</v>
      </c>
      <c r="AV938">
        <v>249.17919440153631</v>
      </c>
      <c r="AW938">
        <v>288.84437558973877</v>
      </c>
      <c r="AX938">
        <v>39.665181188202467</v>
      </c>
      <c r="AY938">
        <v>1.46575996706786</v>
      </c>
      <c r="AZ938" t="str">
        <f>VLOOKUP(BA938,Sheet1!$A$1:$B$58,2,FALSE)</f>
        <v>Butanol (PW2)</v>
      </c>
      <c r="BA938" t="s">
        <v>112</v>
      </c>
      <c r="BB938" t="s">
        <v>111</v>
      </c>
      <c r="BC938">
        <v>74.120199999999997</v>
      </c>
      <c r="BD938">
        <v>6</v>
      </c>
      <c r="BE938">
        <v>117.7</v>
      </c>
      <c r="BF938" t="s">
        <v>209</v>
      </c>
      <c r="BG938">
        <v>1.9773541218976389</v>
      </c>
      <c r="BH938">
        <v>0.27284403669724799</v>
      </c>
      <c r="BI938">
        <v>0.33676238208231801</v>
      </c>
      <c r="BJ938">
        <v>90</v>
      </c>
      <c r="BK938">
        <v>953.01082358201097</v>
      </c>
      <c r="BL938">
        <v>130.87098169912031</v>
      </c>
      <c r="BM938">
        <v>2.8587625950605409</v>
      </c>
      <c r="BN938">
        <v>485.98964116029202</v>
      </c>
      <c r="BO938">
        <v>467.02118242171889</v>
      </c>
    </row>
    <row r="939" spans="1:67" x14ac:dyDescent="0.25">
      <c r="A939" s="1">
        <v>937</v>
      </c>
      <c r="B939" t="s">
        <v>206</v>
      </c>
      <c r="C939" t="s">
        <v>207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67</v>
      </c>
      <c r="J939">
        <v>1.3440000000000001</v>
      </c>
      <c r="K939">
        <v>500</v>
      </c>
      <c r="L939">
        <v>100</v>
      </c>
      <c r="N939" t="s">
        <v>68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31722.936964320292</v>
      </c>
      <c r="Z939">
        <v>158614684.82160151</v>
      </c>
      <c r="AA939">
        <v>213178136.4002324</v>
      </c>
      <c r="AB939">
        <v>213178.13640023241</v>
      </c>
      <c r="AC939">
        <v>0</v>
      </c>
      <c r="AD939">
        <v>1643.9253517008019</v>
      </c>
      <c r="AE939">
        <v>739766.40826536086</v>
      </c>
      <c r="AF939">
        <v>739766.40826536086</v>
      </c>
      <c r="AG939">
        <v>44.423535038805198</v>
      </c>
      <c r="AH939">
        <v>65.114239255517077</v>
      </c>
      <c r="AI939">
        <v>65.114239255517077</v>
      </c>
      <c r="AJ939">
        <v>6928.2894330075524</v>
      </c>
      <c r="AK939">
        <v>854.70085470085473</v>
      </c>
      <c r="AL939" t="s">
        <v>69</v>
      </c>
      <c r="AM939">
        <v>5046.3535423025733</v>
      </c>
      <c r="AN939">
        <v>345.38627368687997</v>
      </c>
      <c r="AO939">
        <v>11069.4206734379</v>
      </c>
      <c r="AP939">
        <v>13174.730103697861</v>
      </c>
      <c r="AQ939">
        <v>2105.309430259957</v>
      </c>
      <c r="AR939">
        <v>9.3655096468266679E-3</v>
      </c>
      <c r="AS939">
        <v>155.95988538407619</v>
      </c>
      <c r="AT939">
        <v>113.5963974477592</v>
      </c>
      <c r="AU939">
        <v>7.7748489260293088</v>
      </c>
      <c r="AV939">
        <v>249.17919440153639</v>
      </c>
      <c r="AW939">
        <v>296.57095258604181</v>
      </c>
      <c r="AX939">
        <v>47.391758184505328</v>
      </c>
      <c r="AY939">
        <v>1.4657599670678609</v>
      </c>
      <c r="AZ939" t="str">
        <f>VLOOKUP(BA939,Sheet1!$A$1:$B$58,2,FALSE)</f>
        <v>Butyrate</v>
      </c>
      <c r="BA939" t="s">
        <v>113</v>
      </c>
      <c r="BB939" t="s">
        <v>114</v>
      </c>
      <c r="BC939">
        <v>87.095680000000002</v>
      </c>
      <c r="BD939">
        <v>4.75</v>
      </c>
      <c r="BE939">
        <v>163.5</v>
      </c>
      <c r="BF939" t="s">
        <v>209</v>
      </c>
      <c r="BG939">
        <v>0.58329039648015979</v>
      </c>
      <c r="BH939">
        <v>0.38802325581395403</v>
      </c>
      <c r="BI939">
        <v>0.56276475922417701</v>
      </c>
      <c r="BJ939">
        <v>90</v>
      </c>
      <c r="BK939">
        <v>585.5435601643494</v>
      </c>
      <c r="BL939">
        <v>93.569308011553588</v>
      </c>
      <c r="BM939">
        <v>2.310675792653933</v>
      </c>
      <c r="BN939">
        <v>392.81488475116851</v>
      </c>
      <c r="BO939">
        <v>192.72867541318089</v>
      </c>
    </row>
    <row r="940" spans="1:67" x14ac:dyDescent="0.25">
      <c r="A940" s="1">
        <v>938</v>
      </c>
      <c r="B940" t="s">
        <v>206</v>
      </c>
      <c r="C940" t="s">
        <v>207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67</v>
      </c>
      <c r="J940">
        <v>1.3440000000000001</v>
      </c>
      <c r="K940">
        <v>500</v>
      </c>
      <c r="L940">
        <v>100</v>
      </c>
      <c r="N940" t="s">
        <v>68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41141.784418969371</v>
      </c>
      <c r="Z940">
        <v>205708922.09484681</v>
      </c>
      <c r="AA940">
        <v>276472791.29547417</v>
      </c>
      <c r="AB940">
        <v>276472.79129547422</v>
      </c>
      <c r="AC940">
        <v>0</v>
      </c>
      <c r="AD940">
        <v>2132.0227221276118</v>
      </c>
      <c r="AE940">
        <v>959410.2249574255</v>
      </c>
      <c r="AF940">
        <v>959410.2249574255</v>
      </c>
      <c r="AG940">
        <v>57.613313160464372</v>
      </c>
      <c r="AH940">
        <v>84.447288000752579</v>
      </c>
      <c r="AI940">
        <v>84.447288000752579</v>
      </c>
      <c r="AJ940">
        <v>8985.3657171029099</v>
      </c>
      <c r="AK940">
        <v>854.70085470085473</v>
      </c>
      <c r="AL940" t="s">
        <v>69</v>
      </c>
      <c r="AM940">
        <v>6544.6648200583249</v>
      </c>
      <c r="AN940">
        <v>447.93480595062658</v>
      </c>
      <c r="AO940">
        <v>14356.03896012794</v>
      </c>
      <c r="AP940">
        <v>16832.666197812719</v>
      </c>
      <c r="AQ940">
        <v>2476.6272376847769</v>
      </c>
      <c r="AR940">
        <v>9.3655096468266662E-3</v>
      </c>
      <c r="AS940">
        <v>155.95988538407619</v>
      </c>
      <c r="AT940">
        <v>113.5963974477592</v>
      </c>
      <c r="AU940">
        <v>7.7748489260293088</v>
      </c>
      <c r="AV940">
        <v>249.17919440153631</v>
      </c>
      <c r="AW940">
        <v>292.16625940137209</v>
      </c>
      <c r="AX940">
        <v>42.987064999835781</v>
      </c>
      <c r="AY940">
        <v>1.46575996706786</v>
      </c>
      <c r="AZ940" t="str">
        <f>VLOOKUP(BA940,Sheet1!$A$1:$B$58,2,FALSE)</f>
        <v>Catechol</v>
      </c>
      <c r="BA940" t="s">
        <v>115</v>
      </c>
      <c r="BB940" t="s">
        <v>116</v>
      </c>
      <c r="BC940">
        <v>110.10924</v>
      </c>
      <c r="BD940">
        <v>4.333333333333333</v>
      </c>
      <c r="BE940">
        <v>245</v>
      </c>
      <c r="BF940" t="s">
        <v>209</v>
      </c>
      <c r="BG940">
        <v>0.97965791090366061</v>
      </c>
      <c r="BH940">
        <v>0.23665782493368701</v>
      </c>
      <c r="BI940">
        <v>0.43392748357259198</v>
      </c>
      <c r="BJ940">
        <v>90</v>
      </c>
      <c r="BK940">
        <v>748.11849768056516</v>
      </c>
      <c r="BL940">
        <v>110.07232167487891</v>
      </c>
      <c r="BM940">
        <v>2.773554889129787</v>
      </c>
      <c r="BN940">
        <v>471.50433115206391</v>
      </c>
      <c r="BO940">
        <v>276.6141665285013</v>
      </c>
    </row>
    <row r="941" spans="1:67" x14ac:dyDescent="0.25">
      <c r="A941" s="1">
        <v>939</v>
      </c>
      <c r="B941" t="s">
        <v>206</v>
      </c>
      <c r="C941" t="s">
        <v>207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67</v>
      </c>
      <c r="J941">
        <v>1.3440000000000001</v>
      </c>
      <c r="K941">
        <v>500</v>
      </c>
      <c r="L941">
        <v>100</v>
      </c>
      <c r="N941" t="s">
        <v>68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32851.283456870493</v>
      </c>
      <c r="Z941">
        <v>164256417.28435251</v>
      </c>
      <c r="AA941">
        <v>220760624.83016971</v>
      </c>
      <c r="AB941">
        <v>220760.62483016969</v>
      </c>
      <c r="AC941">
        <v>0</v>
      </c>
      <c r="AD941">
        <v>1702.397787802548</v>
      </c>
      <c r="AE941">
        <v>766079.00451114681</v>
      </c>
      <c r="AF941">
        <v>766079.00451114681</v>
      </c>
      <c r="AG941">
        <v>46.003626440937794</v>
      </c>
      <c r="AH941">
        <v>67.430273977071153</v>
      </c>
      <c r="AI941">
        <v>67.430273977071153</v>
      </c>
      <c r="AJ941">
        <v>7174.7203069805164</v>
      </c>
      <c r="AK941">
        <v>854.70085470085473</v>
      </c>
      <c r="AL941" t="s">
        <v>69</v>
      </c>
      <c r="AM941">
        <v>5225.8462332230147</v>
      </c>
      <c r="AN941">
        <v>357.67124562777877</v>
      </c>
      <c r="AO941">
        <v>11463.146576102101</v>
      </c>
      <c r="AP941">
        <v>13612.93864053216</v>
      </c>
      <c r="AQ941">
        <v>2149.792064430068</v>
      </c>
      <c r="AR941">
        <v>9.3655096468266679E-3</v>
      </c>
      <c r="AS941">
        <v>155.95988538407619</v>
      </c>
      <c r="AT941">
        <v>113.5963974477592</v>
      </c>
      <c r="AU941">
        <v>7.7748489260293114</v>
      </c>
      <c r="AV941">
        <v>249.17919440153639</v>
      </c>
      <c r="AW941">
        <v>295.91012043385899</v>
      </c>
      <c r="AX941">
        <v>46.730926032322692</v>
      </c>
      <c r="AY941">
        <v>1.4657599670678609</v>
      </c>
      <c r="AZ941" t="str">
        <f>VLOOKUP(BA941,Sheet1!$A$1:$B$58,2,FALSE)</f>
        <v>cis,cis-Muconate</v>
      </c>
      <c r="BA941" t="s">
        <v>117</v>
      </c>
      <c r="BB941" t="s">
        <v>118</v>
      </c>
      <c r="BC941">
        <v>140.09155999999999</v>
      </c>
      <c r="BD941">
        <v>3.333333333333333</v>
      </c>
      <c r="BE941">
        <v>345.4</v>
      </c>
      <c r="BF941" t="s">
        <v>209</v>
      </c>
      <c r="BG941">
        <v>0.8122451390707297</v>
      </c>
      <c r="BH941">
        <v>0.23295039164490799</v>
      </c>
      <c r="BI941">
        <v>0.54343541877283297</v>
      </c>
      <c r="BJ941">
        <v>90</v>
      </c>
      <c r="BK941">
        <v>605.01949513476279</v>
      </c>
      <c r="BL941">
        <v>95.546313974669687</v>
      </c>
      <c r="BM941">
        <v>2.1846559265768768</v>
      </c>
      <c r="BN941">
        <v>371.39150751806898</v>
      </c>
      <c r="BO941">
        <v>233.62798761669379</v>
      </c>
    </row>
    <row r="942" spans="1:67" x14ac:dyDescent="0.25">
      <c r="A942" s="1">
        <v>940</v>
      </c>
      <c r="B942" t="s">
        <v>206</v>
      </c>
      <c r="C942" t="s">
        <v>207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67</v>
      </c>
      <c r="J942">
        <v>1.3440000000000001</v>
      </c>
      <c r="K942">
        <v>500</v>
      </c>
      <c r="L942">
        <v>100</v>
      </c>
      <c r="N942" t="s">
        <v>68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15291.173327400569</v>
      </c>
      <c r="Z942">
        <v>76455866.637002856</v>
      </c>
      <c r="AA942">
        <v>102756684.7601319</v>
      </c>
      <c r="AB942">
        <v>102756.6847601318</v>
      </c>
      <c r="AC942">
        <v>0</v>
      </c>
      <c r="AD942">
        <v>792.40921225036129</v>
      </c>
      <c r="AE942">
        <v>356584.1455126626</v>
      </c>
      <c r="AF942">
        <v>356584.1455126626</v>
      </c>
      <c r="AG942">
        <v>21.41314894198598</v>
      </c>
      <c r="AH942">
        <v>31.38653648802455</v>
      </c>
      <c r="AI942">
        <v>31.38653648802455</v>
      </c>
      <c r="AJ942">
        <v>3339.5922547042851</v>
      </c>
      <c r="AK942">
        <v>854.70085470085473</v>
      </c>
      <c r="AL942" t="s">
        <v>69</v>
      </c>
      <c r="AM942">
        <v>2432.456577821903</v>
      </c>
      <c r="AN942">
        <v>166.48399805450529</v>
      </c>
      <c r="AO942">
        <v>5335.7112029641739</v>
      </c>
      <c r="AP942">
        <v>6793.2336852815488</v>
      </c>
      <c r="AQ942">
        <v>1457.5224823173751</v>
      </c>
      <c r="AR942">
        <v>9.3655096468266662E-3</v>
      </c>
      <c r="AS942">
        <v>155.95988538407619</v>
      </c>
      <c r="AT942">
        <v>113.5963974477592</v>
      </c>
      <c r="AU942">
        <v>7.774848926029307</v>
      </c>
      <c r="AV942">
        <v>249.17919440153631</v>
      </c>
      <c r="AW942">
        <v>317.24589894210612</v>
      </c>
      <c r="AX942">
        <v>68.066704540569816</v>
      </c>
      <c r="AY942">
        <v>1.46575996706786</v>
      </c>
      <c r="AZ942" t="str">
        <f>VLOOKUP(BA942,Sheet1!$A$1:$B$58,2,FALSE)</f>
        <v>Citrate</v>
      </c>
      <c r="BA942" t="s">
        <v>119</v>
      </c>
      <c r="BB942" t="s">
        <v>120</v>
      </c>
      <c r="BC942">
        <v>189.09639999999999</v>
      </c>
      <c r="BD942">
        <v>2.5</v>
      </c>
      <c r="BF942" t="s">
        <v>209</v>
      </c>
      <c r="BG942">
        <v>-0.14099506786505389</v>
      </c>
      <c r="BH942">
        <v>0.37076923076923102</v>
      </c>
      <c r="BI942">
        <v>1.1675069401390601</v>
      </c>
      <c r="BJ942">
        <v>90</v>
      </c>
      <c r="BK942">
        <v>301.92149712362442</v>
      </c>
      <c r="BL942">
        <v>64.778776991883319</v>
      </c>
      <c r="BM942">
        <v>1.53595224511059</v>
      </c>
      <c r="BN942">
        <v>261.11188166880021</v>
      </c>
      <c r="BO942">
        <v>40.809615454824147</v>
      </c>
    </row>
    <row r="943" spans="1:67" x14ac:dyDescent="0.25">
      <c r="A943" s="1">
        <v>941</v>
      </c>
      <c r="B943" t="s">
        <v>206</v>
      </c>
      <c r="C943" t="s">
        <v>207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67</v>
      </c>
      <c r="J943">
        <v>1.3440000000000001</v>
      </c>
      <c r="K943">
        <v>500</v>
      </c>
      <c r="L943">
        <v>100</v>
      </c>
      <c r="N943" t="s">
        <v>68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41907.868454875606</v>
      </c>
      <c r="Z943">
        <v>209539342.27437809</v>
      </c>
      <c r="AA943">
        <v>281620876.0167641</v>
      </c>
      <c r="AB943">
        <v>281620.87601676409</v>
      </c>
      <c r="AC943">
        <v>0</v>
      </c>
      <c r="AD943">
        <v>2171.7222294454882</v>
      </c>
      <c r="AE943">
        <v>977275.00325046945</v>
      </c>
      <c r="AF943">
        <v>977275.00325046945</v>
      </c>
      <c r="AG943">
        <v>58.686106674193162</v>
      </c>
      <c r="AH943">
        <v>86.019745786106313</v>
      </c>
      <c r="AI943">
        <v>86.019745786106313</v>
      </c>
      <c r="AJ943">
        <v>9152.6784705448335</v>
      </c>
      <c r="AK943">
        <v>854.70085470085473</v>
      </c>
      <c r="AL943" t="s">
        <v>69</v>
      </c>
      <c r="AM943">
        <v>6666.5302984232394</v>
      </c>
      <c r="AN943">
        <v>456.27561344869218</v>
      </c>
      <c r="AO943">
        <v>14623.35678363807</v>
      </c>
      <c r="AP943">
        <v>17130.185237117621</v>
      </c>
      <c r="AQ943">
        <v>2506.828453479548</v>
      </c>
      <c r="AR943">
        <v>9.3655096468266662E-3</v>
      </c>
      <c r="AS943">
        <v>155.95988538407619</v>
      </c>
      <c r="AT943">
        <v>113.5963974477592</v>
      </c>
      <c r="AU943">
        <v>7.7748489260293114</v>
      </c>
      <c r="AV943">
        <v>249.17919440153631</v>
      </c>
      <c r="AW943">
        <v>291.89507036510417</v>
      </c>
      <c r="AX943">
        <v>42.715875963567868</v>
      </c>
      <c r="AY943">
        <v>1.46575996706786</v>
      </c>
      <c r="AZ943" t="str">
        <f>VLOOKUP(BA943,Sheet1!$A$1:$B$58,2,FALSE)</f>
        <v>Coumaric Acid</v>
      </c>
      <c r="BA943" t="s">
        <v>121</v>
      </c>
      <c r="BB943" t="s">
        <v>122</v>
      </c>
      <c r="BC943">
        <v>163.14818</v>
      </c>
      <c r="BD943">
        <v>4.1111111111111107</v>
      </c>
      <c r="BE943">
        <v>346</v>
      </c>
      <c r="BF943" t="s">
        <v>209</v>
      </c>
      <c r="BG943">
        <v>1.012925840775208</v>
      </c>
      <c r="BH943">
        <v>0.15680140597539499</v>
      </c>
      <c r="BI943">
        <v>0.42599520426175402</v>
      </c>
      <c r="BJ943">
        <v>90</v>
      </c>
      <c r="BK943">
        <v>761.3415660941165</v>
      </c>
      <c r="BL943">
        <v>111.4145979324243</v>
      </c>
      <c r="BM943">
        <v>2.8101739719406291</v>
      </c>
      <c r="BN943">
        <v>477.72957522990691</v>
      </c>
      <c r="BO943">
        <v>283.61199086420959</v>
      </c>
    </row>
    <row r="944" spans="1:67" x14ac:dyDescent="0.25">
      <c r="A944" s="1">
        <v>942</v>
      </c>
      <c r="B944" t="s">
        <v>206</v>
      </c>
      <c r="C944" t="s">
        <v>207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67</v>
      </c>
      <c r="J944">
        <v>1.3440000000000001</v>
      </c>
      <c r="K944">
        <v>500</v>
      </c>
      <c r="L944">
        <v>100</v>
      </c>
      <c r="N944" t="s">
        <v>68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31907.027317509739</v>
      </c>
      <c r="Z944">
        <v>159535136.5875487</v>
      </c>
      <c r="AA944">
        <v>214415223.57366541</v>
      </c>
      <c r="AB944">
        <v>214415.2235736654</v>
      </c>
      <c r="AC944">
        <v>0</v>
      </c>
      <c r="AD944">
        <v>1653.4651619318679</v>
      </c>
      <c r="AE944">
        <v>744059.32286934054</v>
      </c>
      <c r="AF944">
        <v>744059.32286934054</v>
      </c>
      <c r="AG944">
        <v>44.681327823389267</v>
      </c>
      <c r="AH944">
        <v>65.492101598959351</v>
      </c>
      <c r="AI944">
        <v>65.492101598959351</v>
      </c>
      <c r="AJ944">
        <v>6968.4947661441274</v>
      </c>
      <c r="AK944">
        <v>854.70085470085473</v>
      </c>
      <c r="AL944" t="s">
        <v>69</v>
      </c>
      <c r="AM944">
        <v>5075.6378739193497</v>
      </c>
      <c r="AN944">
        <v>347.39057364124159</v>
      </c>
      <c r="AO944">
        <v>11133.657271823089</v>
      </c>
      <c r="AP944">
        <v>13246.224068405571</v>
      </c>
      <c r="AQ944">
        <v>2112.5667965824832</v>
      </c>
      <c r="AR944">
        <v>9.3655096468266662E-3</v>
      </c>
      <c r="AS944">
        <v>155.95988538407619</v>
      </c>
      <c r="AT944">
        <v>113.5963974477592</v>
      </c>
      <c r="AU944">
        <v>7.7748489260293088</v>
      </c>
      <c r="AV944">
        <v>249.17919440153631</v>
      </c>
      <c r="AW944">
        <v>296.45994677605768</v>
      </c>
      <c r="AX944">
        <v>47.280752374521427</v>
      </c>
      <c r="AY944">
        <v>1.4657599670678609</v>
      </c>
      <c r="AZ944" t="str">
        <f>VLOOKUP(BA944,Sheet1!$A$1:$B$58,2,FALSE)</f>
        <v>Ethyl Acetate</v>
      </c>
      <c r="BA944" t="s">
        <v>123</v>
      </c>
      <c r="BB944" t="s">
        <v>124</v>
      </c>
      <c r="BC944">
        <v>88.103520000000003</v>
      </c>
      <c r="BD944">
        <v>5</v>
      </c>
      <c r="BE944">
        <v>77.099999999999994</v>
      </c>
      <c r="BF944" t="s">
        <v>209</v>
      </c>
      <c r="BG944">
        <v>0.62152592219166725</v>
      </c>
      <c r="BH944">
        <v>0.38137142857142903</v>
      </c>
      <c r="BI944">
        <v>0.55951783928214605</v>
      </c>
      <c r="BJ944">
        <v>90</v>
      </c>
      <c r="BK944">
        <v>588.72106970691436</v>
      </c>
      <c r="BL944">
        <v>93.891857625888122</v>
      </c>
      <c r="BM944">
        <v>2.2892341488731929</v>
      </c>
      <c r="BN944">
        <v>389.16980530844279</v>
      </c>
      <c r="BO944">
        <v>199.55126439847149</v>
      </c>
    </row>
    <row r="945" spans="1:67" x14ac:dyDescent="0.25">
      <c r="A945" s="1">
        <v>943</v>
      </c>
      <c r="B945" t="s">
        <v>206</v>
      </c>
      <c r="C945" t="s">
        <v>207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67</v>
      </c>
      <c r="J945">
        <v>1.3440000000000001</v>
      </c>
      <c r="K945">
        <v>500</v>
      </c>
      <c r="L945">
        <v>100</v>
      </c>
      <c r="N945" t="s">
        <v>68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62800.774171135483</v>
      </c>
      <c r="Z945">
        <v>314003870.85567743</v>
      </c>
      <c r="AA945">
        <v>422021202.43003052</v>
      </c>
      <c r="AB945">
        <v>422021.20243003039</v>
      </c>
      <c r="AC945">
        <v>0</v>
      </c>
      <c r="AD945">
        <v>3254.4207644608482</v>
      </c>
      <c r="AE945">
        <v>1464489.3440073819</v>
      </c>
      <c r="AF945">
        <v>1464489.3440073819</v>
      </c>
      <c r="AG945">
        <v>87.94369811954472</v>
      </c>
      <c r="AH945">
        <v>128.90435205952971</v>
      </c>
      <c r="AI945">
        <v>128.90435205952971</v>
      </c>
      <c r="AJ945">
        <v>13715.689078975989</v>
      </c>
      <c r="AK945">
        <v>1835.336538461539</v>
      </c>
      <c r="AL945" t="s">
        <v>84</v>
      </c>
      <c r="AM945">
        <v>9990.0872846135553</v>
      </c>
      <c r="AN945">
        <v>683.74896687578791</v>
      </c>
      <c r="AO945">
        <v>21913.739850120059</v>
      </c>
      <c r="AP945">
        <v>26224.86186892687</v>
      </c>
      <c r="AQ945">
        <v>4311.1220188068182</v>
      </c>
      <c r="AR945">
        <v>9.3655096468266662E-3</v>
      </c>
      <c r="AS945">
        <v>155.95988538407619</v>
      </c>
      <c r="AT945">
        <v>113.5963974477592</v>
      </c>
      <c r="AU945">
        <v>7.7748489260293088</v>
      </c>
      <c r="AV945">
        <v>249.17919440153631</v>
      </c>
      <c r="AW945">
        <v>298.20058093620958</v>
      </c>
      <c r="AX945">
        <v>49.021386534673269</v>
      </c>
      <c r="AY945">
        <v>1.46575996706786</v>
      </c>
      <c r="AZ945" t="str">
        <f>VLOOKUP(BA945,Sheet1!$A$1:$B$58,2,FALSE)</f>
        <v>Farnesene</v>
      </c>
      <c r="BA945" t="s">
        <v>125</v>
      </c>
      <c r="BB945" t="s">
        <v>126</v>
      </c>
      <c r="BC945">
        <v>204.34866</v>
      </c>
      <c r="BD945">
        <v>5.6</v>
      </c>
      <c r="BE945" t="s">
        <v>127</v>
      </c>
      <c r="BF945" t="s">
        <v>209</v>
      </c>
      <c r="BG945">
        <v>1.925559520349641</v>
      </c>
      <c r="BH945">
        <v>8.3539325842696799E-2</v>
      </c>
      <c r="BI945">
        <v>0.28427278514051901</v>
      </c>
      <c r="BJ945">
        <v>90</v>
      </c>
      <c r="BK945">
        <v>1165.5494163967501</v>
      </c>
      <c r="BL945">
        <v>191.6054230580809</v>
      </c>
      <c r="BM945">
        <v>3.803522793407236</v>
      </c>
      <c r="BN945">
        <v>646.59887487923004</v>
      </c>
      <c r="BO945">
        <v>518.95054151752004</v>
      </c>
    </row>
    <row r="946" spans="1:67" x14ac:dyDescent="0.25">
      <c r="A946" s="1">
        <v>944</v>
      </c>
      <c r="B946" t="s">
        <v>206</v>
      </c>
      <c r="C946" t="s">
        <v>207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67</v>
      </c>
      <c r="J946">
        <v>1.3440000000000001</v>
      </c>
      <c r="K946">
        <v>500</v>
      </c>
      <c r="L946">
        <v>100</v>
      </c>
      <c r="N946" t="s">
        <v>68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32957.807314227117</v>
      </c>
      <c r="Z946">
        <v>164789036.57113561</v>
      </c>
      <c r="AA946">
        <v>221476465.1516062</v>
      </c>
      <c r="AB946">
        <v>221476.46515160619</v>
      </c>
      <c r="AC946">
        <v>0</v>
      </c>
      <c r="AD946">
        <v>1707.9179976704579</v>
      </c>
      <c r="AE946">
        <v>768563.0989517062</v>
      </c>
      <c r="AF946">
        <v>768563.0989517062</v>
      </c>
      <c r="AG946">
        <v>46.152798200005158</v>
      </c>
      <c r="AH946">
        <v>67.648923969729182</v>
      </c>
      <c r="AI946">
        <v>67.648923969729182</v>
      </c>
      <c r="AJ946">
        <v>7197.9851174272026</v>
      </c>
      <c r="AK946">
        <v>1835.336538461539</v>
      </c>
      <c r="AL946" t="s">
        <v>84</v>
      </c>
      <c r="AM946">
        <v>5242.7916076540114</v>
      </c>
      <c r="AN946">
        <v>358.83103351855749</v>
      </c>
      <c r="AO946">
        <v>11500.31707485396</v>
      </c>
      <c r="AP946">
        <v>14634.944297061311</v>
      </c>
      <c r="AQ946">
        <v>3134.627222207349</v>
      </c>
      <c r="AR946">
        <v>9.3655096468266679E-3</v>
      </c>
      <c r="AS946">
        <v>155.95988538407619</v>
      </c>
      <c r="AT946">
        <v>113.5963974477592</v>
      </c>
      <c r="AU946">
        <v>7.7748489260293088</v>
      </c>
      <c r="AV946">
        <v>249.17919440153639</v>
      </c>
      <c r="AW946">
        <v>317.09765968338792</v>
      </c>
      <c r="AX946">
        <v>67.918465281851496</v>
      </c>
      <c r="AY946">
        <v>1.4657599670678609</v>
      </c>
      <c r="AZ946" t="str">
        <f>VLOOKUP(BA946,Sheet1!$A$1:$B$58,2,FALSE)</f>
        <v>Gamma Butyrolactone</v>
      </c>
      <c r="BA946" t="s">
        <v>128</v>
      </c>
      <c r="BB946" t="s">
        <v>129</v>
      </c>
      <c r="BC946">
        <v>86.08784</v>
      </c>
      <c r="BD946">
        <v>4.5</v>
      </c>
      <c r="BE946">
        <v>204</v>
      </c>
      <c r="BF946" t="s">
        <v>209</v>
      </c>
      <c r="BG946">
        <v>0.6610129791166911</v>
      </c>
      <c r="BH946">
        <v>0.377857142857142</v>
      </c>
      <c r="BI946">
        <v>0.54167896584864506</v>
      </c>
      <c r="BJ946">
        <v>90</v>
      </c>
      <c r="BK946">
        <v>650.44196875828038</v>
      </c>
      <c r="BL946">
        <v>139.31676543143769</v>
      </c>
      <c r="BM946">
        <v>2.3456058639823829</v>
      </c>
      <c r="BN946">
        <v>398.75299687700522</v>
      </c>
      <c r="BO946">
        <v>251.68897188127519</v>
      </c>
    </row>
    <row r="947" spans="1:67" x14ac:dyDescent="0.25">
      <c r="A947" s="1">
        <v>945</v>
      </c>
      <c r="B947" t="s">
        <v>206</v>
      </c>
      <c r="C947" t="s">
        <v>207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67</v>
      </c>
      <c r="J947">
        <v>1.3440000000000001</v>
      </c>
      <c r="K947">
        <v>500</v>
      </c>
      <c r="L947">
        <v>100</v>
      </c>
      <c r="N947" t="s">
        <v>68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19136.340865589751</v>
      </c>
      <c r="Z947">
        <v>95681704.327948764</v>
      </c>
      <c r="AA947">
        <v>128596210.6167631</v>
      </c>
      <c r="AB947">
        <v>128596.2106167631</v>
      </c>
      <c r="AC947">
        <v>0</v>
      </c>
      <c r="AD947">
        <v>991.67097684283135</v>
      </c>
      <c r="AE947">
        <v>446251.9395792741</v>
      </c>
      <c r="AF947">
        <v>446251.9395792741</v>
      </c>
      <c r="AG947">
        <v>26.79776812320949</v>
      </c>
      <c r="AH947">
        <v>39.279095721767703</v>
      </c>
      <c r="AI947">
        <v>39.279095721767703</v>
      </c>
      <c r="AJ947">
        <v>4179.3768450448024</v>
      </c>
      <c r="AK947">
        <v>854.70085470085473</v>
      </c>
      <c r="AL947" t="s">
        <v>69</v>
      </c>
      <c r="AM947">
        <v>3044.1299184369968</v>
      </c>
      <c r="AN947">
        <v>208.34859871271769</v>
      </c>
      <c r="AO947">
        <v>6677.4462727005093</v>
      </c>
      <c r="AP947">
        <v>8286.5562168953711</v>
      </c>
      <c r="AQ947">
        <v>1609.109944194862</v>
      </c>
      <c r="AR947">
        <v>9.3655096468266662E-3</v>
      </c>
      <c r="AS947">
        <v>155.95988538407619</v>
      </c>
      <c r="AT947">
        <v>113.5963974477592</v>
      </c>
      <c r="AU947">
        <v>7.7748489260293088</v>
      </c>
      <c r="AV947">
        <v>249.17919440153631</v>
      </c>
      <c r="AW947">
        <v>309.22561083429929</v>
      </c>
      <c r="AX947">
        <v>60.046416432763039</v>
      </c>
      <c r="AY947">
        <v>1.4657599670678609</v>
      </c>
      <c r="AZ947" t="str">
        <f>VLOOKUP(BA947,Sheet1!$A$1:$B$58,2,FALSE)</f>
        <v>L-Glutamate</v>
      </c>
      <c r="BA947" t="s">
        <v>130</v>
      </c>
      <c r="BB947" t="s">
        <v>131</v>
      </c>
      <c r="BC947">
        <v>146.11892</v>
      </c>
      <c r="BD947">
        <v>3.4</v>
      </c>
      <c r="BE947">
        <v>333.8</v>
      </c>
      <c r="BF947" t="s">
        <v>209</v>
      </c>
      <c r="BG947">
        <v>6.516624499863663E-2</v>
      </c>
      <c r="BH947">
        <v>0.38340909090909098</v>
      </c>
      <c r="BI947">
        <v>0.93291351298571601</v>
      </c>
      <c r="BJ947">
        <v>90</v>
      </c>
      <c r="BK947">
        <v>368.29138741757191</v>
      </c>
      <c r="BL947">
        <v>71.515997519771545</v>
      </c>
      <c r="BM947">
        <v>1.680571342635484</v>
      </c>
      <c r="BN947">
        <v>285.69712824803219</v>
      </c>
      <c r="BO947">
        <v>82.594259169539669</v>
      </c>
    </row>
    <row r="948" spans="1:67" x14ac:dyDescent="0.25">
      <c r="A948" s="1">
        <v>946</v>
      </c>
      <c r="B948" t="s">
        <v>206</v>
      </c>
      <c r="C948" t="s">
        <v>207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67</v>
      </c>
      <c r="J948">
        <v>1.3440000000000001</v>
      </c>
      <c r="K948">
        <v>500</v>
      </c>
      <c r="L948">
        <v>100</v>
      </c>
      <c r="N948" t="s">
        <v>68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31588.274161182679</v>
      </c>
      <c r="Z948">
        <v>157941370.80591339</v>
      </c>
      <c r="AA948">
        <v>212273202.36314759</v>
      </c>
      <c r="AB948">
        <v>212273.2023631476</v>
      </c>
      <c r="AC948">
        <v>0</v>
      </c>
      <c r="AD948">
        <v>1636.9469437350449</v>
      </c>
      <c r="AE948">
        <v>736626.12468077044</v>
      </c>
      <c r="AF948">
        <v>736626.12468077044</v>
      </c>
      <c r="AG948">
        <v>44.234958622935018</v>
      </c>
      <c r="AH948">
        <v>64.837831494401414</v>
      </c>
      <c r="AI948">
        <v>64.837831494401414</v>
      </c>
      <c r="AJ948">
        <v>6898.8790768022982</v>
      </c>
      <c r="AK948">
        <v>854.70085470085473</v>
      </c>
      <c r="AL948" t="s">
        <v>69</v>
      </c>
      <c r="AM948">
        <v>5024.93194081611</v>
      </c>
      <c r="AN948">
        <v>343.92012054247721</v>
      </c>
      <c r="AO948">
        <v>11022.43135404824</v>
      </c>
      <c r="AP948">
        <v>13122.431992861741</v>
      </c>
      <c r="AQ948">
        <v>2100.000638813503</v>
      </c>
      <c r="AR948">
        <v>9.3655096468266662E-3</v>
      </c>
      <c r="AS948">
        <v>155.95988538407619</v>
      </c>
      <c r="AT948">
        <v>113.5963974477592</v>
      </c>
      <c r="AU948">
        <v>7.7748489260293088</v>
      </c>
      <c r="AV948">
        <v>249.17919440153631</v>
      </c>
      <c r="AW948">
        <v>296.65297315454018</v>
      </c>
      <c r="AX948">
        <v>47.473778753003927</v>
      </c>
      <c r="AY948">
        <v>1.4657599670678609</v>
      </c>
      <c r="AZ948" t="str">
        <f>VLOOKUP(BA948,Sheet1!$A$1:$B$58,2,FALSE)</f>
        <v>Glutarate</v>
      </c>
      <c r="BA948" t="s">
        <v>132</v>
      </c>
      <c r="BB948" t="s">
        <v>133</v>
      </c>
      <c r="BC948">
        <v>130.09654</v>
      </c>
      <c r="BD948">
        <v>3.6</v>
      </c>
      <c r="BE948">
        <v>200</v>
      </c>
      <c r="BF948" t="s">
        <v>209</v>
      </c>
      <c r="BG948">
        <v>0.90202348578210578</v>
      </c>
      <c r="BH948">
        <v>0.26087719298245698</v>
      </c>
      <c r="BI948">
        <v>0.56516386085275905</v>
      </c>
      <c r="BJ948">
        <v>90</v>
      </c>
      <c r="BK948">
        <v>583.21919968274403</v>
      </c>
      <c r="BL948">
        <v>93.333361725044455</v>
      </c>
      <c r="BM948">
        <v>1.979657913969068</v>
      </c>
      <c r="BN948">
        <v>336.54184537474163</v>
      </c>
      <c r="BO948">
        <v>246.67735430800249</v>
      </c>
    </row>
    <row r="949" spans="1:67" x14ac:dyDescent="0.25">
      <c r="A949" s="1">
        <v>947</v>
      </c>
      <c r="B949" t="s">
        <v>206</v>
      </c>
      <c r="C949" t="s">
        <v>207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67</v>
      </c>
      <c r="J949">
        <v>1.3440000000000001</v>
      </c>
      <c r="K949">
        <v>500</v>
      </c>
      <c r="L949">
        <v>100</v>
      </c>
      <c r="N949" t="s">
        <v>68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12841.172064461451</v>
      </c>
      <c r="Z949">
        <v>64205860.322307222</v>
      </c>
      <c r="AA949">
        <v>86292676.273180917</v>
      </c>
      <c r="AB949">
        <v>86292.676273180914</v>
      </c>
      <c r="AC949">
        <v>0</v>
      </c>
      <c r="AD949">
        <v>665.44684453596597</v>
      </c>
      <c r="AE949">
        <v>299451.08004118467</v>
      </c>
      <c r="AF949">
        <v>299451.08004118467</v>
      </c>
      <c r="AG949">
        <v>17.98226493929397</v>
      </c>
      <c r="AH949">
        <v>26.357684065225079</v>
      </c>
      <c r="AI949">
        <v>26.357684065225079</v>
      </c>
      <c r="AJ949">
        <v>2804.51197887838</v>
      </c>
      <c r="AK949">
        <v>854.70085470085473</v>
      </c>
      <c r="AL949" t="s">
        <v>69</v>
      </c>
      <c r="AM949">
        <v>2042.7205150549439</v>
      </c>
      <c r="AN949">
        <v>139.80939325084421</v>
      </c>
      <c r="AO949">
        <v>4480.8062910882636</v>
      </c>
      <c r="AP949">
        <v>5841.742741885023</v>
      </c>
      <c r="AQ949">
        <v>1360.9364507967589</v>
      </c>
      <c r="AR949">
        <v>9.3655096468266679E-3</v>
      </c>
      <c r="AS949">
        <v>155.95988538407619</v>
      </c>
      <c r="AT949">
        <v>113.5963974477592</v>
      </c>
      <c r="AU949">
        <v>7.7748489260293114</v>
      </c>
      <c r="AV949">
        <v>249.17919440153639</v>
      </c>
      <c r="AW949">
        <v>324.8613431959804</v>
      </c>
      <c r="AX949">
        <v>75.682148794444032</v>
      </c>
      <c r="AY949">
        <v>1.4657599670678609</v>
      </c>
      <c r="AZ949" t="str">
        <f>VLOOKUP(BA949,Sheet1!$A$1:$B$58,2,FALSE)</f>
        <v>Glycolate</v>
      </c>
      <c r="BA949" t="s">
        <v>134</v>
      </c>
      <c r="BB949" t="s">
        <v>135</v>
      </c>
      <c r="BC949">
        <v>75.041920000000005</v>
      </c>
      <c r="BD949">
        <v>2.5</v>
      </c>
      <c r="BE949">
        <v>112</v>
      </c>
      <c r="BF949" t="s">
        <v>209</v>
      </c>
      <c r="BG949">
        <v>-0.1186588098177816</v>
      </c>
      <c r="BH949">
        <v>1.11254901960784</v>
      </c>
      <c r="BI949">
        <v>1.3902586845648801</v>
      </c>
      <c r="BJ949">
        <v>90</v>
      </c>
      <c r="BK949">
        <v>259.63301075044552</v>
      </c>
      <c r="BL949">
        <v>60.486064479856012</v>
      </c>
      <c r="BM949">
        <v>1.290111434938896</v>
      </c>
      <c r="BN949">
        <v>219.31894393961241</v>
      </c>
      <c r="BO949">
        <v>40.314066810833111</v>
      </c>
    </row>
    <row r="950" spans="1:67" x14ac:dyDescent="0.25">
      <c r="A950" s="1">
        <v>948</v>
      </c>
      <c r="B950" t="s">
        <v>206</v>
      </c>
      <c r="C950" t="s">
        <v>207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67</v>
      </c>
      <c r="J950">
        <v>1.3440000000000001</v>
      </c>
      <c r="K950">
        <v>500</v>
      </c>
      <c r="L950">
        <v>100</v>
      </c>
      <c r="N950" t="s">
        <v>68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65087.620391590754</v>
      </c>
      <c r="Z950">
        <v>325438101.95795381</v>
      </c>
      <c r="AA950">
        <v>437388809.03148979</v>
      </c>
      <c r="AB950">
        <v>437388.80903148983</v>
      </c>
      <c r="AC950">
        <v>0</v>
      </c>
      <c r="AD950">
        <v>3372.9282179628958</v>
      </c>
      <c r="AE950">
        <v>1517817.6980833029</v>
      </c>
      <c r="AF950">
        <v>1517817.6980833029</v>
      </c>
      <c r="AG950">
        <v>91.146106311352895</v>
      </c>
      <c r="AH950">
        <v>133.59831378529231</v>
      </c>
      <c r="AI950">
        <v>133.59831378529231</v>
      </c>
      <c r="AJ950">
        <v>14215.136293523419</v>
      </c>
      <c r="AK950">
        <v>854.70085470085473</v>
      </c>
      <c r="AL950" t="s">
        <v>69</v>
      </c>
      <c r="AM950">
        <v>10353.869318360161</v>
      </c>
      <c r="AN950">
        <v>708.64720676657532</v>
      </c>
      <c r="AO950">
        <v>22711.713343499701</v>
      </c>
      <c r="AP950">
        <v>26132.353673351001</v>
      </c>
      <c r="AQ950">
        <v>3420.6403298513069</v>
      </c>
      <c r="AR950">
        <v>9.3655096468266662E-3</v>
      </c>
      <c r="AS950">
        <v>155.95988538407619</v>
      </c>
      <c r="AT950">
        <v>113.5963974477592</v>
      </c>
      <c r="AU950">
        <v>7.7748489260293114</v>
      </c>
      <c r="AV950">
        <v>249.17919440153631</v>
      </c>
      <c r="AW950">
        <v>286.70839305064243</v>
      </c>
      <c r="AX950">
        <v>37.529198649106057</v>
      </c>
      <c r="AY950">
        <v>1.46575996706786</v>
      </c>
      <c r="AZ950" t="str">
        <f>VLOOKUP(BA950,Sheet1!$A$1:$B$58,2,FALSE)</f>
        <v>Heptane</v>
      </c>
      <c r="BA950" t="s">
        <v>136</v>
      </c>
      <c r="BB950" t="s">
        <v>137</v>
      </c>
      <c r="BC950">
        <v>100.20034</v>
      </c>
      <c r="BD950">
        <v>6.2857142857142856</v>
      </c>
      <c r="BE950">
        <v>98</v>
      </c>
      <c r="BF950" t="s">
        <v>209</v>
      </c>
      <c r="BG950">
        <v>2.2692817401407068</v>
      </c>
      <c r="BH950">
        <v>0.16438423645320199</v>
      </c>
      <c r="BI950">
        <v>0.27428489281374901</v>
      </c>
      <c r="BJ950">
        <v>90</v>
      </c>
      <c r="BK950">
        <v>1161.4379410378219</v>
      </c>
      <c r="BL950">
        <v>152.0284591045023</v>
      </c>
      <c r="BM950">
        <v>3.668421094761174</v>
      </c>
      <c r="BN950">
        <v>623.63158610939968</v>
      </c>
      <c r="BO950">
        <v>537.80635492842271</v>
      </c>
    </row>
    <row r="951" spans="1:67" x14ac:dyDescent="0.25">
      <c r="A951" s="1">
        <v>949</v>
      </c>
      <c r="B951" t="s">
        <v>206</v>
      </c>
      <c r="C951" t="s">
        <v>207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67</v>
      </c>
      <c r="J951">
        <v>1.3440000000000001</v>
      </c>
      <c r="K951">
        <v>500</v>
      </c>
      <c r="L951">
        <v>100</v>
      </c>
      <c r="N951" t="s">
        <v>68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65242.9439104056</v>
      </c>
      <c r="Z951">
        <v>326214719.552028</v>
      </c>
      <c r="AA951">
        <v>438432583.07792568</v>
      </c>
      <c r="AB951">
        <v>438432.58307792572</v>
      </c>
      <c r="AC951">
        <v>0</v>
      </c>
      <c r="AD951">
        <v>3380.9772920628852</v>
      </c>
      <c r="AE951">
        <v>1521439.781428298</v>
      </c>
      <c r="AF951">
        <v>1521439.781428298</v>
      </c>
      <c r="AG951">
        <v>91.363615169003197</v>
      </c>
      <c r="AH951">
        <v>133.9171295613188</v>
      </c>
      <c r="AI951">
        <v>133.9171295613188</v>
      </c>
      <c r="AJ951">
        <v>14249.05895003258</v>
      </c>
      <c r="AK951">
        <v>854.70085470085473</v>
      </c>
      <c r="AL951" t="s">
        <v>69</v>
      </c>
      <c r="AM951">
        <v>10378.577541002211</v>
      </c>
      <c r="AN951">
        <v>710.33830527487964</v>
      </c>
      <c r="AO951">
        <v>22765.912025424201</v>
      </c>
      <c r="AP951">
        <v>26192.67565101053</v>
      </c>
      <c r="AQ951">
        <v>3426.7636255863249</v>
      </c>
      <c r="AR951">
        <v>9.3655096468266662E-3</v>
      </c>
      <c r="AS951">
        <v>155.95988538407619</v>
      </c>
      <c r="AT951">
        <v>113.5963974477592</v>
      </c>
      <c r="AU951">
        <v>7.7748489260293088</v>
      </c>
      <c r="AV951">
        <v>249.17919440153631</v>
      </c>
      <c r="AW951">
        <v>286.6860686561019</v>
      </c>
      <c r="AX951">
        <v>37.506874254565588</v>
      </c>
      <c r="AY951">
        <v>1.4657599670678609</v>
      </c>
      <c r="AZ951" t="str">
        <f>VLOOKUP(BA951,Sheet1!$A$1:$B$58,2,FALSE)</f>
        <v>Hexane</v>
      </c>
      <c r="BA951" t="s">
        <v>138</v>
      </c>
      <c r="BB951" t="s">
        <v>139</v>
      </c>
      <c r="BC951">
        <v>86.173959999999994</v>
      </c>
      <c r="BD951">
        <v>6.333333333333333</v>
      </c>
      <c r="BE951">
        <v>69</v>
      </c>
      <c r="BF951" t="s">
        <v>209</v>
      </c>
      <c r="BG951">
        <v>2.2923078274766979</v>
      </c>
      <c r="BH951">
        <v>0.19068571428571399</v>
      </c>
      <c r="BI951">
        <v>0.27363190427343898</v>
      </c>
      <c r="BJ951">
        <v>90</v>
      </c>
      <c r="BK951">
        <v>1164.11891782269</v>
      </c>
      <c r="BL951">
        <v>152.30060558161441</v>
      </c>
      <c r="BM951">
        <v>3.6595645974708062</v>
      </c>
      <c r="BN951">
        <v>622.12598157003697</v>
      </c>
      <c r="BO951">
        <v>541.99293625265284</v>
      </c>
    </row>
    <row r="952" spans="1:67" x14ac:dyDescent="0.25">
      <c r="A952" s="1">
        <v>950</v>
      </c>
      <c r="B952" t="s">
        <v>206</v>
      </c>
      <c r="C952" t="s">
        <v>207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67</v>
      </c>
      <c r="J952">
        <v>1.3440000000000001</v>
      </c>
      <c r="K952">
        <v>500</v>
      </c>
      <c r="L952">
        <v>100</v>
      </c>
      <c r="N952" t="s">
        <v>68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40340.455260485287</v>
      </c>
      <c r="Z952">
        <v>201702276.30242649</v>
      </c>
      <c r="AA952">
        <v>271087859.35046118</v>
      </c>
      <c r="AB952">
        <v>271087.85935046122</v>
      </c>
      <c r="AC952">
        <v>0</v>
      </c>
      <c r="AD952">
        <v>2090.4967650521162</v>
      </c>
      <c r="AE952">
        <v>940723.54427345213</v>
      </c>
      <c r="AF952">
        <v>940723.54427345213</v>
      </c>
      <c r="AG952">
        <v>56.491163783514438</v>
      </c>
      <c r="AH952">
        <v>82.802486366949239</v>
      </c>
      <c r="AI952">
        <v>82.802486366949239</v>
      </c>
      <c r="AJ952">
        <v>8810.3554288899886</v>
      </c>
      <c r="AK952">
        <v>854.70085470085473</v>
      </c>
      <c r="AL952" t="s">
        <v>69</v>
      </c>
      <c r="AM952">
        <v>6417.1926934385656</v>
      </c>
      <c r="AN952">
        <v>439.21026407240299</v>
      </c>
      <c r="AO952">
        <v>14076.42268238137</v>
      </c>
      <c r="AP952">
        <v>16521.459241101809</v>
      </c>
      <c r="AQ952">
        <v>2445.0365587204378</v>
      </c>
      <c r="AR952">
        <v>9.3655096468266662E-3</v>
      </c>
      <c r="AS952">
        <v>155.95988538407619</v>
      </c>
      <c r="AT952">
        <v>113.5963974477592</v>
      </c>
      <c r="AU952">
        <v>7.7748489260293088</v>
      </c>
      <c r="AV952">
        <v>249.17919440153631</v>
      </c>
      <c r="AW952">
        <v>292.46094671399197</v>
      </c>
      <c r="AX952">
        <v>43.281752312455673</v>
      </c>
      <c r="AY952">
        <v>1.46575996706786</v>
      </c>
      <c r="AZ952" t="str">
        <f>VLOOKUP(BA952,Sheet1!$A$1:$B$58,2,FALSE)</f>
        <v>Isobutanol</v>
      </c>
      <c r="BA952" t="s">
        <v>140</v>
      </c>
      <c r="BB952" t="s">
        <v>141</v>
      </c>
      <c r="BC952">
        <v>86.130899999999997</v>
      </c>
      <c r="BD952">
        <v>5.6</v>
      </c>
      <c r="BE952">
        <v>108</v>
      </c>
      <c r="BF952" t="s">
        <v>209</v>
      </c>
      <c r="BG952">
        <v>1.268165273568465</v>
      </c>
      <c r="BH952">
        <v>0.30855172413793103</v>
      </c>
      <c r="BI952">
        <v>0.442547087466724</v>
      </c>
      <c r="BJ952">
        <v>90</v>
      </c>
      <c r="BK952">
        <v>734.28707738230275</v>
      </c>
      <c r="BL952">
        <v>108.6682914986861</v>
      </c>
      <c r="BM952">
        <v>2.41194523162928</v>
      </c>
      <c r="BN952">
        <v>410.03068937697748</v>
      </c>
      <c r="BO952">
        <v>324.25638800532522</v>
      </c>
    </row>
    <row r="953" spans="1:67" x14ac:dyDescent="0.25">
      <c r="A953" s="1">
        <v>951</v>
      </c>
      <c r="B953" t="s">
        <v>206</v>
      </c>
      <c r="C953" t="s">
        <v>207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67</v>
      </c>
      <c r="J953">
        <v>1.3440000000000001</v>
      </c>
      <c r="K953">
        <v>500</v>
      </c>
      <c r="L953">
        <v>100</v>
      </c>
      <c r="N953" t="s">
        <v>68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33111.599959317777</v>
      </c>
      <c r="Z953">
        <v>165557999.7965889</v>
      </c>
      <c r="AA953">
        <v>222509951.72661549</v>
      </c>
      <c r="AB953">
        <v>222509.95172661549</v>
      </c>
      <c r="AC953">
        <v>0</v>
      </c>
      <c r="AD953">
        <v>1715.8877398306511</v>
      </c>
      <c r="AE953">
        <v>772149.48292379291</v>
      </c>
      <c r="AF953">
        <v>772149.48292379291</v>
      </c>
      <c r="AG953">
        <v>46.368163283180778</v>
      </c>
      <c r="AH953">
        <v>67.964597486952243</v>
      </c>
      <c r="AI953">
        <v>67.964597486952243</v>
      </c>
      <c r="AJ953">
        <v>7231.5734311150036</v>
      </c>
      <c r="AK953">
        <v>854.70085470085473</v>
      </c>
      <c r="AL953" t="s">
        <v>69</v>
      </c>
      <c r="AM953">
        <v>5267.2563052387986</v>
      </c>
      <c r="AN953">
        <v>360.50546450418972</v>
      </c>
      <c r="AO953">
        <v>11553.98157278188</v>
      </c>
      <c r="AP953">
        <v>13714.03605555885</v>
      </c>
      <c r="AQ953">
        <v>2160.0544827769659</v>
      </c>
      <c r="AR953">
        <v>9.3655096468266662E-3</v>
      </c>
      <c r="AS953">
        <v>155.95988538407619</v>
      </c>
      <c r="AT953">
        <v>113.5963974477592</v>
      </c>
      <c r="AU953">
        <v>7.7748489260293088</v>
      </c>
      <c r="AV953">
        <v>249.17919440153631</v>
      </c>
      <c r="AW953">
        <v>295.76405629449141</v>
      </c>
      <c r="AX953">
        <v>46.584861892955047</v>
      </c>
      <c r="AY953">
        <v>1.4657599670678609</v>
      </c>
      <c r="AZ953" t="str">
        <f>VLOOKUP(BA953,Sheet1!$A$1:$B$58,2,FALSE)</f>
        <v>Isobutyrate</v>
      </c>
      <c r="BA953" t="s">
        <v>142</v>
      </c>
      <c r="BB953" t="s">
        <v>114</v>
      </c>
      <c r="BC953">
        <v>87.095680000000002</v>
      </c>
      <c r="BD953">
        <v>4.75</v>
      </c>
      <c r="BE953">
        <v>155</v>
      </c>
      <c r="BF953" t="s">
        <v>209</v>
      </c>
      <c r="BG953">
        <v>0.69730237148178498</v>
      </c>
      <c r="BH953">
        <v>0.37175000000000002</v>
      </c>
      <c r="BI953">
        <v>0.53916304269632997</v>
      </c>
      <c r="BJ953">
        <v>90</v>
      </c>
      <c r="BK953">
        <v>609.51271358039321</v>
      </c>
      <c r="BL953">
        <v>96.002421456754021</v>
      </c>
      <c r="BM953">
        <v>2.3233464057160931</v>
      </c>
      <c r="BN953">
        <v>394.96888897173591</v>
      </c>
      <c r="BO953">
        <v>214.54382460865739</v>
      </c>
    </row>
    <row r="954" spans="1:67" x14ac:dyDescent="0.25">
      <c r="A954" s="1">
        <v>952</v>
      </c>
      <c r="B954" t="s">
        <v>206</v>
      </c>
      <c r="C954" t="s">
        <v>207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67</v>
      </c>
      <c r="J954">
        <v>1.3440000000000001</v>
      </c>
      <c r="K954">
        <v>500</v>
      </c>
      <c r="L954">
        <v>100</v>
      </c>
      <c r="N954" t="s">
        <v>68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62977.180840155532</v>
      </c>
      <c r="Z954">
        <v>314885904.20077759</v>
      </c>
      <c r="AA954">
        <v>423206655.2458452</v>
      </c>
      <c r="AB954">
        <v>423206.65524584521</v>
      </c>
      <c r="AC954">
        <v>66773.504273504266</v>
      </c>
      <c r="AD954">
        <v>3263.5623958216929</v>
      </c>
      <c r="AE954">
        <v>1468603.078119762</v>
      </c>
      <c r="AF954">
        <v>1468603.078119762</v>
      </c>
      <c r="AG954">
        <v>88.190730979431081</v>
      </c>
      <c r="AH954">
        <v>129.26644293610141</v>
      </c>
      <c r="AI954">
        <v>129.26644293610141</v>
      </c>
      <c r="AJ954">
        <v>13754.21629548997</v>
      </c>
      <c r="AK954">
        <v>2170.1388888888891</v>
      </c>
      <c r="AL954" t="s">
        <v>107</v>
      </c>
      <c r="AM954">
        <v>10018.149327547861</v>
      </c>
      <c r="AN954">
        <v>685.66961004116945</v>
      </c>
      <c r="AO954">
        <v>21975.29529913724</v>
      </c>
      <c r="AP954">
        <v>26628.174121967892</v>
      </c>
      <c r="AQ954">
        <v>4652.8788228306439</v>
      </c>
      <c r="AR954">
        <v>9.3655096468266679E-3</v>
      </c>
      <c r="AS954">
        <v>155.95988538407619</v>
      </c>
      <c r="AT954">
        <v>113.5963974477592</v>
      </c>
      <c r="AU954">
        <v>7.7748489260293114</v>
      </c>
      <c r="AV954">
        <v>249.17919440153631</v>
      </c>
      <c r="AW954">
        <v>301.93846707289953</v>
      </c>
      <c r="AX954">
        <v>52.759272671363163</v>
      </c>
      <c r="AY954">
        <v>1.46575996706786</v>
      </c>
      <c r="AZ954" t="str">
        <f>VLOOKUP(BA954,Sheet1!$A$1:$B$58,2,FALSE)</f>
        <v>Isoprene</v>
      </c>
      <c r="BA954" t="s">
        <v>143</v>
      </c>
      <c r="BB954" t="s">
        <v>144</v>
      </c>
      <c r="BC954">
        <v>68.116219999999998</v>
      </c>
      <c r="BD954">
        <v>5.6</v>
      </c>
      <c r="BE954">
        <v>34.07</v>
      </c>
      <c r="BF954" t="s">
        <v>209</v>
      </c>
      <c r="BG954">
        <v>1.940042856343243</v>
      </c>
      <c r="BH954">
        <v>0.249915966386555</v>
      </c>
      <c r="BI954">
        <v>0.283476502829201</v>
      </c>
      <c r="BJ954">
        <v>90</v>
      </c>
      <c r="BK954">
        <v>1183.4744054207949</v>
      </c>
      <c r="BL954">
        <v>206.7946143480284</v>
      </c>
      <c r="BM954">
        <v>3.805132385261266</v>
      </c>
      <c r="BN954">
        <v>646.87250549441524</v>
      </c>
      <c r="BO954">
        <v>536.6018999263797</v>
      </c>
    </row>
    <row r="955" spans="1:67" x14ac:dyDescent="0.25">
      <c r="A955" s="1">
        <v>953</v>
      </c>
      <c r="B955" t="s">
        <v>206</v>
      </c>
      <c r="C955" t="s">
        <v>207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67</v>
      </c>
      <c r="J955">
        <v>1.3440000000000001</v>
      </c>
      <c r="K955">
        <v>500</v>
      </c>
      <c r="L955">
        <v>100</v>
      </c>
      <c r="N955" t="s">
        <v>68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40363.488228499336</v>
      </c>
      <c r="Z955">
        <v>201817441.14249671</v>
      </c>
      <c r="AA955">
        <v>271242640.89551562</v>
      </c>
      <c r="AB955">
        <v>271242.64089551562</v>
      </c>
      <c r="AC955">
        <v>0</v>
      </c>
      <c r="AD955">
        <v>2091.6903644999161</v>
      </c>
      <c r="AE955">
        <v>941260.66402496211</v>
      </c>
      <c r="AF955">
        <v>941260.66402496211</v>
      </c>
      <c r="AG955">
        <v>56.523418232803628</v>
      </c>
      <c r="AH955">
        <v>82.849763647477147</v>
      </c>
      <c r="AI955">
        <v>82.849763647477147</v>
      </c>
      <c r="AJ955">
        <v>8815.3858291042561</v>
      </c>
      <c r="AK955">
        <v>854.70085470085473</v>
      </c>
      <c r="AL955" t="s">
        <v>69</v>
      </c>
      <c r="AM955">
        <v>6420.8566826794786</v>
      </c>
      <c r="AN955">
        <v>439.46103754281859</v>
      </c>
      <c r="AO955">
        <v>14084.459820071121</v>
      </c>
      <c r="AP955">
        <v>16530.404404027409</v>
      </c>
      <c r="AQ955">
        <v>2445.94458395629</v>
      </c>
      <c r="AR955">
        <v>9.3655096468266662E-3</v>
      </c>
      <c r="AS955">
        <v>155.95988538407619</v>
      </c>
      <c r="AT955">
        <v>113.5963974477592</v>
      </c>
      <c r="AU955">
        <v>7.774848926029307</v>
      </c>
      <c r="AV955">
        <v>249.17919440153631</v>
      </c>
      <c r="AW955">
        <v>292.45231305621758</v>
      </c>
      <c r="AX955">
        <v>43.273118654681383</v>
      </c>
      <c r="AY955">
        <v>1.46575996706786</v>
      </c>
      <c r="AZ955" t="str">
        <f>VLOOKUP(BA955,Sheet1!$A$1:$B$58,2,FALSE)</f>
        <v>Isopropanol</v>
      </c>
      <c r="BA955" t="s">
        <v>145</v>
      </c>
      <c r="BB955" t="s">
        <v>79</v>
      </c>
      <c r="BC955">
        <v>60.093820000000001</v>
      </c>
      <c r="BD955">
        <v>6</v>
      </c>
      <c r="BE955">
        <v>82.5</v>
      </c>
      <c r="BF955" t="s">
        <v>209</v>
      </c>
      <c r="BG955">
        <v>1.1168575926268189</v>
      </c>
      <c r="BH955">
        <v>0.441986754966888</v>
      </c>
      <c r="BI955">
        <v>0.44229455297682502</v>
      </c>
      <c r="BJ955">
        <v>90</v>
      </c>
      <c r="BK955">
        <v>734.68464017899578</v>
      </c>
      <c r="BL955">
        <v>108.70864817583519</v>
      </c>
      <c r="BM955">
        <v>2.5653541250388319</v>
      </c>
      <c r="BN955">
        <v>436.11020125660139</v>
      </c>
      <c r="BO955">
        <v>298.57443892239428</v>
      </c>
    </row>
    <row r="956" spans="1:67" x14ac:dyDescent="0.25">
      <c r="A956" s="1">
        <v>954</v>
      </c>
      <c r="B956" t="s">
        <v>206</v>
      </c>
      <c r="C956" t="s">
        <v>207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67</v>
      </c>
      <c r="J956">
        <v>1.3440000000000001</v>
      </c>
      <c r="K956">
        <v>500</v>
      </c>
      <c r="L956">
        <v>100</v>
      </c>
      <c r="N956" t="s">
        <v>68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21831.376366709599</v>
      </c>
      <c r="Z956">
        <v>109156881.83354799</v>
      </c>
      <c r="AA956">
        <v>146706849.1842885</v>
      </c>
      <c r="AB956">
        <v>146706.8491842885</v>
      </c>
      <c r="AC956">
        <v>0</v>
      </c>
      <c r="AD956">
        <v>1131.3313490526191</v>
      </c>
      <c r="AE956">
        <v>509099.1070736784</v>
      </c>
      <c r="AF956">
        <v>509099.1070736784</v>
      </c>
      <c r="AG956">
        <v>30.571788295095761</v>
      </c>
      <c r="AH956">
        <v>44.810903404625172</v>
      </c>
      <c r="AI956">
        <v>44.810903404625172</v>
      </c>
      <c r="AJ956">
        <v>4767.9725984893767</v>
      </c>
      <c r="AK956">
        <v>854.70085470085473</v>
      </c>
      <c r="AL956" t="s">
        <v>69</v>
      </c>
      <c r="AM956">
        <v>3472.8450138584499</v>
      </c>
      <c r="AN956">
        <v>237.6910353929207</v>
      </c>
      <c r="AO956">
        <v>7617.8535787862784</v>
      </c>
      <c r="AP956">
        <v>9333.209502441603</v>
      </c>
      <c r="AQ956">
        <v>1715.3559236553249</v>
      </c>
      <c r="AR956">
        <v>9.3655096468266662E-3</v>
      </c>
      <c r="AS956">
        <v>155.95988538407619</v>
      </c>
      <c r="AT956">
        <v>113.5963974477592</v>
      </c>
      <c r="AU956">
        <v>7.7748489260293114</v>
      </c>
      <c r="AV956">
        <v>249.17919440153631</v>
      </c>
      <c r="AW956">
        <v>305.28830738824689</v>
      </c>
      <c r="AX956">
        <v>56.109112986710578</v>
      </c>
      <c r="AY956">
        <v>1.46575996706786</v>
      </c>
      <c r="AZ956" t="str">
        <f>VLOOKUP(BA956,Sheet1!$A$1:$B$58,2,FALSE)</f>
        <v>Itaconate</v>
      </c>
      <c r="BA956" t="s">
        <v>146</v>
      </c>
      <c r="BB956" t="s">
        <v>147</v>
      </c>
      <c r="BC956">
        <v>128.08086</v>
      </c>
      <c r="BD956">
        <v>3.2</v>
      </c>
      <c r="BE956">
        <v>381</v>
      </c>
      <c r="BF956" t="s">
        <v>209</v>
      </c>
      <c r="BG956">
        <v>7.4343827326395107E-2</v>
      </c>
      <c r="BH956">
        <v>0.38340909090909098</v>
      </c>
      <c r="BI956">
        <v>0.81774738718867901</v>
      </c>
      <c r="BJ956">
        <v>90</v>
      </c>
      <c r="BK956">
        <v>414.80931121962681</v>
      </c>
      <c r="BL956">
        <v>76.238041051347736</v>
      </c>
      <c r="BM956">
        <v>1.9172518795458351</v>
      </c>
      <c r="BN956">
        <v>325.93281952279187</v>
      </c>
      <c r="BO956">
        <v>88.876491696834933</v>
      </c>
    </row>
    <row r="957" spans="1:67" x14ac:dyDescent="0.25">
      <c r="A957" s="1">
        <v>955</v>
      </c>
      <c r="B957" t="s">
        <v>206</v>
      </c>
      <c r="C957" t="s">
        <v>207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67</v>
      </c>
      <c r="J957">
        <v>1.3440000000000001</v>
      </c>
      <c r="K957">
        <v>500</v>
      </c>
      <c r="L957">
        <v>100</v>
      </c>
      <c r="N957" t="s">
        <v>68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62712.570836625448</v>
      </c>
      <c r="Z957">
        <v>313562854.18312728</v>
      </c>
      <c r="AA957">
        <v>421428476.0221231</v>
      </c>
      <c r="AB957">
        <v>421428.47602212313</v>
      </c>
      <c r="AC957">
        <v>0</v>
      </c>
      <c r="AD957">
        <v>3249.8499487804261</v>
      </c>
      <c r="AE957">
        <v>1462432.476951191</v>
      </c>
      <c r="AF957">
        <v>1462432.476951191</v>
      </c>
      <c r="AG957">
        <v>87.820181689601526</v>
      </c>
      <c r="AH957">
        <v>128.72330662124389</v>
      </c>
      <c r="AI957">
        <v>128.72330662124389</v>
      </c>
      <c r="AJ957">
        <v>13696.425470718999</v>
      </c>
      <c r="AK957">
        <v>854.70085470085473</v>
      </c>
      <c r="AL957" t="s">
        <v>69</v>
      </c>
      <c r="AM957">
        <v>9976.0562631464018</v>
      </c>
      <c r="AN957">
        <v>682.78864529309726</v>
      </c>
      <c r="AO957">
        <v>21882.962125611459</v>
      </c>
      <c r="AP957">
        <v>25209.97123385936</v>
      </c>
      <c r="AQ957">
        <v>3327.0091082478939</v>
      </c>
      <c r="AR957">
        <v>9.3655096468266679E-3</v>
      </c>
      <c r="AS957">
        <v>155.95988538407619</v>
      </c>
      <c r="AT957">
        <v>113.5963974477592</v>
      </c>
      <c r="AU957">
        <v>7.7748489260293114</v>
      </c>
      <c r="AV957">
        <v>249.17919440153639</v>
      </c>
      <c r="AW957">
        <v>287.0635285515969</v>
      </c>
      <c r="AX957">
        <v>37.884334150060539</v>
      </c>
      <c r="AY957">
        <v>1.4657599670678609</v>
      </c>
      <c r="AZ957" t="str">
        <f>VLOOKUP(BA957,Sheet1!$A$1:$B$58,2,FALSE)</f>
        <v>Limonene</v>
      </c>
      <c r="BA957" t="s">
        <v>148</v>
      </c>
      <c r="BB957" t="s">
        <v>149</v>
      </c>
      <c r="BC957">
        <v>136.23244</v>
      </c>
      <c r="BD957">
        <v>5.6</v>
      </c>
      <c r="BE957">
        <v>176</v>
      </c>
      <c r="BF957" t="s">
        <v>209</v>
      </c>
      <c r="BG957">
        <v>1.9183178523528339</v>
      </c>
      <c r="BH957">
        <v>0.125485232067511</v>
      </c>
      <c r="BI957">
        <v>0.28467260621666601</v>
      </c>
      <c r="BJ957">
        <v>90</v>
      </c>
      <c r="BK957">
        <v>1120.443165949305</v>
      </c>
      <c r="BL957">
        <v>147.86707147768411</v>
      </c>
      <c r="BM957">
        <v>3.802717997480229</v>
      </c>
      <c r="BN957">
        <v>646.46205957163886</v>
      </c>
      <c r="BO957">
        <v>473.98110637766592</v>
      </c>
    </row>
    <row r="958" spans="1:67" x14ac:dyDescent="0.25">
      <c r="A958" s="1">
        <v>956</v>
      </c>
      <c r="B958" t="s">
        <v>206</v>
      </c>
      <c r="C958" t="s">
        <v>207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67</v>
      </c>
      <c r="J958">
        <v>1.3440000000000001</v>
      </c>
      <c r="K958">
        <v>500</v>
      </c>
      <c r="L958">
        <v>100</v>
      </c>
      <c r="N958" t="s">
        <v>68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31837.7522590054</v>
      </c>
      <c r="Z958">
        <v>159188761.29502699</v>
      </c>
      <c r="AA958">
        <v>213949695.1805163</v>
      </c>
      <c r="AB958">
        <v>213949.69518051631</v>
      </c>
      <c r="AC958">
        <v>0</v>
      </c>
      <c r="AD958">
        <v>1649.8752350268051</v>
      </c>
      <c r="AE958">
        <v>742443.85576206225</v>
      </c>
      <c r="AF958">
        <v>742443.85576206225</v>
      </c>
      <c r="AG958">
        <v>44.584317795842217</v>
      </c>
      <c r="AH958">
        <v>65.349908184176726</v>
      </c>
      <c r="AI958">
        <v>65.349908184176726</v>
      </c>
      <c r="AJ958">
        <v>6953.3650933667814</v>
      </c>
      <c r="AK958">
        <v>854.70085470085473</v>
      </c>
      <c r="AL958" t="s">
        <v>69</v>
      </c>
      <c r="AM958">
        <v>5064.6178842736963</v>
      </c>
      <c r="AN958">
        <v>346.63633533275328</v>
      </c>
      <c r="AO958">
        <v>11109.484391310039</v>
      </c>
      <c r="AP958">
        <v>13219.320167674079</v>
      </c>
      <c r="AQ958">
        <v>2109.835776364042</v>
      </c>
      <c r="AR958">
        <v>9.3655096468266679E-3</v>
      </c>
      <c r="AS958">
        <v>155.95988538407619</v>
      </c>
      <c r="AT958">
        <v>113.5963974477592</v>
      </c>
      <c r="AU958">
        <v>7.7748489260293114</v>
      </c>
      <c r="AV958">
        <v>249.17919440153639</v>
      </c>
      <c r="AW958">
        <v>296.50156874009349</v>
      </c>
      <c r="AX958">
        <v>47.322374338557132</v>
      </c>
      <c r="AY958">
        <v>1.4657599670678609</v>
      </c>
      <c r="AZ958" t="str">
        <f>VLOOKUP(BA958,Sheet1!$A$1:$B$58,2,FALSE)</f>
        <v>L-Lysine</v>
      </c>
      <c r="BA958" t="s">
        <v>150</v>
      </c>
      <c r="BB958" t="s">
        <v>151</v>
      </c>
      <c r="BC958">
        <v>147.19319999999999</v>
      </c>
      <c r="BD958">
        <v>4.833333333333333</v>
      </c>
      <c r="BF958" t="s">
        <v>209</v>
      </c>
      <c r="BG958">
        <v>0.81997360843405087</v>
      </c>
      <c r="BH958">
        <v>0.228769230769231</v>
      </c>
      <c r="BI958">
        <v>0.56073528173019205</v>
      </c>
      <c r="BJ958">
        <v>90</v>
      </c>
      <c r="BK958">
        <v>587.5253407855148</v>
      </c>
      <c r="BL958">
        <v>93.770478949512864</v>
      </c>
      <c r="BM958">
        <v>2.0844667553071372</v>
      </c>
      <c r="BN958">
        <v>354.3593484022133</v>
      </c>
      <c r="BO958">
        <v>233.1659923833015</v>
      </c>
    </row>
    <row r="959" spans="1:67" x14ac:dyDescent="0.25">
      <c r="A959" s="1">
        <v>957</v>
      </c>
      <c r="B959" t="s">
        <v>206</v>
      </c>
      <c r="C959" t="s">
        <v>207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67</v>
      </c>
      <c r="J959">
        <v>1.3440000000000001</v>
      </c>
      <c r="K959">
        <v>500</v>
      </c>
      <c r="L959">
        <v>100</v>
      </c>
      <c r="N959" t="s">
        <v>68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14916.70680535646</v>
      </c>
      <c r="Z959">
        <v>74583534.026782289</v>
      </c>
      <c r="AA959">
        <v>100240269.7319954</v>
      </c>
      <c r="AB959">
        <v>100240.2697319954</v>
      </c>
      <c r="AC959">
        <v>0</v>
      </c>
      <c r="AD959">
        <v>773.00385234803184</v>
      </c>
      <c r="AE959">
        <v>347851.73355661432</v>
      </c>
      <c r="AF959">
        <v>347851.73355661432</v>
      </c>
      <c r="AG959">
        <v>20.888760967392191</v>
      </c>
      <c r="AH959">
        <v>30.617909587653191</v>
      </c>
      <c r="AI959">
        <v>30.617909587653191</v>
      </c>
      <c r="AJ959">
        <v>3257.8087662898511</v>
      </c>
      <c r="AK959">
        <v>854.70085470085473</v>
      </c>
      <c r="AL959" t="s">
        <v>69</v>
      </c>
      <c r="AM959">
        <v>2372.8879930431222</v>
      </c>
      <c r="AN959">
        <v>162.4069607734121</v>
      </c>
      <c r="AO959">
        <v>5205.0446299010428</v>
      </c>
      <c r="AP959">
        <v>6647.8045748072391</v>
      </c>
      <c r="AQ959">
        <v>1442.7599449061961</v>
      </c>
      <c r="AR959">
        <v>9.3655096468266662E-3</v>
      </c>
      <c r="AS959">
        <v>155.95988538407619</v>
      </c>
      <c r="AT959">
        <v>113.5963974477592</v>
      </c>
      <c r="AU959">
        <v>7.7748489260293088</v>
      </c>
      <c r="AV959">
        <v>249.17919440153631</v>
      </c>
      <c r="AW959">
        <v>318.24791260643008</v>
      </c>
      <c r="AX959">
        <v>69.068718204893827</v>
      </c>
      <c r="AY959">
        <v>1.4657599670678609</v>
      </c>
      <c r="AZ959" t="str">
        <f>VLOOKUP(BA959,Sheet1!$A$1:$B$58,2,FALSE)</f>
        <v>L-Malate</v>
      </c>
      <c r="BA959" t="s">
        <v>152</v>
      </c>
      <c r="BB959" t="s">
        <v>153</v>
      </c>
      <c r="BC959">
        <v>132.06916000000001</v>
      </c>
      <c r="BD959">
        <v>2.5</v>
      </c>
      <c r="BF959" t="s">
        <v>209</v>
      </c>
      <c r="BG959">
        <v>-0.1082468902984854</v>
      </c>
      <c r="BH959">
        <v>0.54419354838709699</v>
      </c>
      <c r="BI959">
        <v>1.19681583982054</v>
      </c>
      <c r="BJ959">
        <v>90</v>
      </c>
      <c r="BK959">
        <v>295.45798110254401</v>
      </c>
      <c r="BL959">
        <v>64.122664218053188</v>
      </c>
      <c r="BM959">
        <v>1.469042871971961</v>
      </c>
      <c r="BN959">
        <v>249.73728823523331</v>
      </c>
      <c r="BO959">
        <v>45.720692867310653</v>
      </c>
    </row>
    <row r="960" spans="1:67" x14ac:dyDescent="0.25">
      <c r="A960" s="1">
        <v>958</v>
      </c>
      <c r="B960" t="s">
        <v>206</v>
      </c>
      <c r="C960" t="s">
        <v>207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67</v>
      </c>
      <c r="J960">
        <v>1.3440000000000001</v>
      </c>
      <c r="K960">
        <v>500</v>
      </c>
      <c r="L960">
        <v>100</v>
      </c>
      <c r="N960" t="s">
        <v>68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13902.201794259359</v>
      </c>
      <c r="Z960">
        <v>69511008.971296787</v>
      </c>
      <c r="AA960">
        <v>93422796.057422891</v>
      </c>
      <c r="AB960">
        <v>93422.796057422893</v>
      </c>
      <c r="AC960">
        <v>0</v>
      </c>
      <c r="AD960">
        <v>720.4308352580374</v>
      </c>
      <c r="AE960">
        <v>324193.87586611678</v>
      </c>
      <c r="AF960">
        <v>324193.87586611678</v>
      </c>
      <c r="AG960">
        <v>19.468088633105971</v>
      </c>
      <c r="AH960">
        <v>28.535544953735599</v>
      </c>
      <c r="AI960">
        <v>28.535544953735599</v>
      </c>
      <c r="AJ960">
        <v>3036.2408718662441</v>
      </c>
      <c r="AK960">
        <v>854.70085470085473</v>
      </c>
      <c r="AL960" t="s">
        <v>69</v>
      </c>
      <c r="AM960">
        <v>2211.504733914509</v>
      </c>
      <c r="AN960">
        <v>151.36144800094741</v>
      </c>
      <c r="AO960">
        <v>4851.0426421350521</v>
      </c>
      <c r="AP960">
        <v>6253.8079084825549</v>
      </c>
      <c r="AQ960">
        <v>1402.765266347503</v>
      </c>
      <c r="AR960">
        <v>9.3655096468266662E-3</v>
      </c>
      <c r="AS960">
        <v>155.95988538407619</v>
      </c>
      <c r="AT960">
        <v>113.5963974477592</v>
      </c>
      <c r="AU960">
        <v>7.7748489260293088</v>
      </c>
      <c r="AV960">
        <v>249.17919440153631</v>
      </c>
      <c r="AW960">
        <v>321.23379065820552</v>
      </c>
      <c r="AX960">
        <v>72.054596256669214</v>
      </c>
      <c r="AY960">
        <v>1.46575996706786</v>
      </c>
      <c r="AZ960" t="str">
        <f>VLOOKUP(BA960,Sheet1!$A$1:$B$58,2,FALSE)</f>
        <v>Malonate</v>
      </c>
      <c r="BA960" t="s">
        <v>154</v>
      </c>
      <c r="BB960" t="s">
        <v>155</v>
      </c>
      <c r="BC960">
        <v>102.04378</v>
      </c>
      <c r="BD960">
        <v>2</v>
      </c>
      <c r="BE960">
        <v>199</v>
      </c>
      <c r="BF960" t="s">
        <v>209</v>
      </c>
      <c r="BG960">
        <v>-0.15245819204207781</v>
      </c>
      <c r="BH960">
        <v>0.75571428571428401</v>
      </c>
      <c r="BI960">
        <v>1.28415277283497</v>
      </c>
      <c r="BJ960">
        <v>90</v>
      </c>
      <c r="BK960">
        <v>277.94701815478021</v>
      </c>
      <c r="BL960">
        <v>62.345122948777878</v>
      </c>
      <c r="BM960">
        <v>1.4207046344303269</v>
      </c>
      <c r="BN960">
        <v>241.51978785315549</v>
      </c>
      <c r="BO960">
        <v>36.427230301624661</v>
      </c>
    </row>
    <row r="961" spans="1:67" x14ac:dyDescent="0.25">
      <c r="A961" s="1">
        <v>959</v>
      </c>
      <c r="B961" t="s">
        <v>206</v>
      </c>
      <c r="C961" t="s">
        <v>207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67</v>
      </c>
      <c r="J961">
        <v>1.3440000000000001</v>
      </c>
      <c r="K961">
        <v>500</v>
      </c>
      <c r="L961">
        <v>100</v>
      </c>
      <c r="N961" t="s">
        <v>68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64377.8996186273</v>
      </c>
      <c r="Z961">
        <v>321889498.09313649</v>
      </c>
      <c r="AA961">
        <v>432619485.43717551</v>
      </c>
      <c r="AB961">
        <v>432619.48543717538</v>
      </c>
      <c r="AC961">
        <v>0</v>
      </c>
      <c r="AD961">
        <v>3336.1495309007378</v>
      </c>
      <c r="AE961">
        <v>1501267.2889053321</v>
      </c>
      <c r="AF961">
        <v>1501267.2889053321</v>
      </c>
      <c r="AG961">
        <v>90.152241661904753</v>
      </c>
      <c r="AH961">
        <v>132.1415467694473</v>
      </c>
      <c r="AI961">
        <v>132.1415467694473</v>
      </c>
      <c r="AJ961">
        <v>14060.1332767082</v>
      </c>
      <c r="AK961">
        <v>854.70085470085473</v>
      </c>
      <c r="AL961" t="s">
        <v>69</v>
      </c>
      <c r="AM961">
        <v>10240.96987463217</v>
      </c>
      <c r="AN961">
        <v>700.92005926419483</v>
      </c>
      <c r="AO961">
        <v>22464.062950806041</v>
      </c>
      <c r="AP961">
        <v>25856.724065305421</v>
      </c>
      <c r="AQ961">
        <v>3392.6611144993772</v>
      </c>
      <c r="AR961">
        <v>9.3655096468266662E-3</v>
      </c>
      <c r="AS961">
        <v>155.95988538407619</v>
      </c>
      <c r="AT961">
        <v>113.5963974477592</v>
      </c>
      <c r="AU961">
        <v>7.7748489260293088</v>
      </c>
      <c r="AV961">
        <v>249.17919440153631</v>
      </c>
      <c r="AW961">
        <v>286.81177071863738</v>
      </c>
      <c r="AX961">
        <v>37.632576317101133</v>
      </c>
      <c r="AY961">
        <v>1.46575996706786</v>
      </c>
      <c r="AZ961" t="str">
        <f>VLOOKUP(BA961,Sheet1!$A$1:$B$58,2,FALSE)</f>
        <v>Nonane</v>
      </c>
      <c r="BA961" t="s">
        <v>156</v>
      </c>
      <c r="BB961" t="s">
        <v>157</v>
      </c>
      <c r="BC961">
        <v>128.25309999999999</v>
      </c>
      <c r="BD961">
        <v>6.2222222222222223</v>
      </c>
      <c r="BE961">
        <v>151</v>
      </c>
      <c r="BF961" t="s">
        <v>209</v>
      </c>
      <c r="BG961">
        <v>2.1972063258128771</v>
      </c>
      <c r="BH961">
        <v>0.129844357976654</v>
      </c>
      <c r="BI961">
        <v>0.27730868960260302</v>
      </c>
      <c r="BJ961">
        <v>90</v>
      </c>
      <c r="BK961">
        <v>1149.1877362357959</v>
      </c>
      <c r="BL961">
        <v>150.78493842219439</v>
      </c>
      <c r="BM961">
        <v>3.6757513083847799</v>
      </c>
      <c r="BN961">
        <v>624.87772242541268</v>
      </c>
      <c r="BO961">
        <v>524.31001381038345</v>
      </c>
    </row>
    <row r="962" spans="1:67" x14ac:dyDescent="0.25">
      <c r="A962" s="1">
        <v>960</v>
      </c>
      <c r="B962" t="s">
        <v>206</v>
      </c>
      <c r="C962" t="s">
        <v>207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67</v>
      </c>
      <c r="J962">
        <v>1.3440000000000001</v>
      </c>
      <c r="K962">
        <v>500</v>
      </c>
      <c r="L962">
        <v>100</v>
      </c>
      <c r="N962" t="s">
        <v>68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64407.927876830683</v>
      </c>
      <c r="Z962">
        <v>322039639.38415343</v>
      </c>
      <c r="AA962">
        <v>432821275.33230221</v>
      </c>
      <c r="AB962">
        <v>432821.27533230209</v>
      </c>
      <c r="AC962">
        <v>0</v>
      </c>
      <c r="AD962">
        <v>3337.705635714849</v>
      </c>
      <c r="AE962">
        <v>1501967.5360716821</v>
      </c>
      <c r="AF962">
        <v>1501967.5360716821</v>
      </c>
      <c r="AG962">
        <v>90.194292036431932</v>
      </c>
      <c r="AH962">
        <v>132.20318252502949</v>
      </c>
      <c r="AI962">
        <v>132.20318252502949</v>
      </c>
      <c r="AJ962">
        <v>14066.69144829982</v>
      </c>
      <c r="AK962">
        <v>854.70085470085473</v>
      </c>
      <c r="AL962" t="s">
        <v>69</v>
      </c>
      <c r="AM962">
        <v>10245.746645689789</v>
      </c>
      <c r="AN962">
        <v>701.2469945734266</v>
      </c>
      <c r="AO962">
        <v>22474.541029255019</v>
      </c>
      <c r="AP962">
        <v>25868.385943263889</v>
      </c>
      <c r="AQ962">
        <v>3393.8449140088742</v>
      </c>
      <c r="AR962">
        <v>9.3655096468266662E-3</v>
      </c>
      <c r="AS962">
        <v>155.95988538407619</v>
      </c>
      <c r="AT962">
        <v>113.5963974477592</v>
      </c>
      <c r="AU962">
        <v>7.7748489260293088</v>
      </c>
      <c r="AV962">
        <v>249.17919440153639</v>
      </c>
      <c r="AW962">
        <v>286.80735065601431</v>
      </c>
      <c r="AX962">
        <v>37.628156254477886</v>
      </c>
      <c r="AY962">
        <v>1.4657599670678609</v>
      </c>
      <c r="AZ962" t="str">
        <f>VLOOKUP(BA962,Sheet1!$A$1:$B$58,2,FALSE)</f>
        <v>Octane</v>
      </c>
      <c r="BA962" t="s">
        <v>158</v>
      </c>
      <c r="BB962" t="s">
        <v>159</v>
      </c>
      <c r="BC962">
        <v>114.22672</v>
      </c>
      <c r="BD962">
        <v>6.25</v>
      </c>
      <c r="BE962">
        <v>126</v>
      </c>
      <c r="BF962" t="s">
        <v>209</v>
      </c>
      <c r="BG962">
        <v>2.2057270290163848</v>
      </c>
      <c r="BH962">
        <v>0.14572052401746699</v>
      </c>
      <c r="BI962">
        <v>0.27717940277087399</v>
      </c>
      <c r="BJ962">
        <v>90</v>
      </c>
      <c r="BK962">
        <v>1149.7060419228389</v>
      </c>
      <c r="BL962">
        <v>150.83755173372759</v>
      </c>
      <c r="BM962">
        <v>3.6699699720960361</v>
      </c>
      <c r="BN962">
        <v>623.89489525632609</v>
      </c>
      <c r="BO962">
        <v>525.81114666651331</v>
      </c>
    </row>
    <row r="963" spans="1:67" x14ac:dyDescent="0.25">
      <c r="A963" s="1">
        <v>961</v>
      </c>
      <c r="B963" t="s">
        <v>206</v>
      </c>
      <c r="C963" t="s">
        <v>207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67</v>
      </c>
      <c r="J963">
        <v>1.3440000000000001</v>
      </c>
      <c r="K963">
        <v>500</v>
      </c>
      <c r="L963">
        <v>100</v>
      </c>
      <c r="N963" t="s">
        <v>68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66571.903582171159</v>
      </c>
      <c r="Z963">
        <v>332859517.91085583</v>
      </c>
      <c r="AA963">
        <v>447363192.07219023</v>
      </c>
      <c r="AB963">
        <v>447363.19207219023</v>
      </c>
      <c r="AC963">
        <v>66773.504273504266</v>
      </c>
      <c r="AD963">
        <v>3449.845773510885</v>
      </c>
      <c r="AE963">
        <v>1552430.5980798979</v>
      </c>
      <c r="AF963">
        <v>1552430.5980798979</v>
      </c>
      <c r="AG963">
        <v>93.224637261952424</v>
      </c>
      <c r="AH963">
        <v>136.6449412429927</v>
      </c>
      <c r="AI963">
        <v>136.6449412429927</v>
      </c>
      <c r="AJ963">
        <v>14539.303742346179</v>
      </c>
      <c r="AK963">
        <v>2170.1388888888891</v>
      </c>
      <c r="AL963" t="s">
        <v>107</v>
      </c>
      <c r="AM963">
        <v>10589.982946331929</v>
      </c>
      <c r="AN963">
        <v>724.8074708955628</v>
      </c>
      <c r="AO963">
        <v>23229.640011308751</v>
      </c>
      <c r="AP963">
        <v>28024.23304846256</v>
      </c>
      <c r="AQ963">
        <v>4794.5930371538088</v>
      </c>
      <c r="AR963">
        <v>9.3655096468266679E-3</v>
      </c>
      <c r="AS963">
        <v>155.95988538407619</v>
      </c>
      <c r="AT963">
        <v>113.5963974477592</v>
      </c>
      <c r="AU963">
        <v>7.7748489260293088</v>
      </c>
      <c r="AV963">
        <v>249.17919440153639</v>
      </c>
      <c r="AW963">
        <v>300.60973012656632</v>
      </c>
      <c r="AX963">
        <v>51.430535725029962</v>
      </c>
      <c r="AY963">
        <v>1.4657599670678609</v>
      </c>
      <c r="AZ963" t="str">
        <f>VLOOKUP(BA963,Sheet1!$A$1:$B$58,2,FALSE)</f>
        <v>Pentane</v>
      </c>
      <c r="BA963" t="s">
        <v>160</v>
      </c>
      <c r="BB963" t="s">
        <v>161</v>
      </c>
      <c r="BC963">
        <v>72.147580000000005</v>
      </c>
      <c r="BD963">
        <v>6.4</v>
      </c>
      <c r="BE963">
        <v>36.1</v>
      </c>
      <c r="BF963" t="s">
        <v>209</v>
      </c>
      <c r="BG963">
        <v>2.4156864371123201</v>
      </c>
      <c r="BH963">
        <v>0.22321070234113699</v>
      </c>
      <c r="BI963">
        <v>0.26816945320744301</v>
      </c>
      <c r="BJ963">
        <v>90</v>
      </c>
      <c r="BK963">
        <v>1245.5214688205581</v>
      </c>
      <c r="BL963">
        <v>213.0930238735024</v>
      </c>
      <c r="BM963">
        <v>3.6574220625762428</v>
      </c>
      <c r="BN963">
        <v>621.76175063796131</v>
      </c>
      <c r="BO963">
        <v>623.75971818259677</v>
      </c>
    </row>
    <row r="964" spans="1:67" x14ac:dyDescent="0.25">
      <c r="A964" s="1">
        <v>962</v>
      </c>
      <c r="B964" t="s">
        <v>206</v>
      </c>
      <c r="C964" t="s">
        <v>207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67</v>
      </c>
      <c r="J964">
        <v>1.3440000000000001</v>
      </c>
      <c r="K964">
        <v>500</v>
      </c>
      <c r="L964">
        <v>100</v>
      </c>
      <c r="N964" t="s">
        <v>68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50421.257736816333</v>
      </c>
      <c r="Z964">
        <v>252106288.6840817</v>
      </c>
      <c r="AA964">
        <v>338830851.99140579</v>
      </c>
      <c r="AB964">
        <v>338830.85199140583</v>
      </c>
      <c r="AC964">
        <v>0</v>
      </c>
      <c r="AD964">
        <v>2612.8975369279328</v>
      </c>
      <c r="AE964">
        <v>1175803.8916175701</v>
      </c>
      <c r="AF964">
        <v>1175803.8916175701</v>
      </c>
      <c r="AG964">
        <v>70.60791730259271</v>
      </c>
      <c r="AH964">
        <v>103.49425854017851</v>
      </c>
      <c r="AI964">
        <v>103.49425854017851</v>
      </c>
      <c r="AJ964">
        <v>11012.00268972069</v>
      </c>
      <c r="AK964">
        <v>854.70085470085473</v>
      </c>
      <c r="AL964" t="s">
        <v>69</v>
      </c>
      <c r="AM964">
        <v>8020.8050368638333</v>
      </c>
      <c r="AN964">
        <v>548.96589000922893</v>
      </c>
      <c r="AO964">
        <v>17594.023951830339</v>
      </c>
      <c r="AP964">
        <v>20436.474471294601</v>
      </c>
      <c r="AQ964">
        <v>2842.450519464262</v>
      </c>
      <c r="AR964">
        <v>9.3655096468266662E-3</v>
      </c>
      <c r="AS964">
        <v>155.95988538407619</v>
      </c>
      <c r="AT964">
        <v>113.5963974477592</v>
      </c>
      <c r="AU964">
        <v>7.7748489260293052</v>
      </c>
      <c r="AV964">
        <v>249.17919440153631</v>
      </c>
      <c r="AW964">
        <v>289.43601867922791</v>
      </c>
      <c r="AX964">
        <v>40.256824277691663</v>
      </c>
      <c r="AY964">
        <v>1.46575996706786</v>
      </c>
      <c r="AZ964" t="str">
        <f>VLOOKUP(BA964,Sheet1!$A$1:$B$58,2,FALSE)</f>
        <v>Pentanol (PW1)</v>
      </c>
      <c r="BA964" t="s">
        <v>162</v>
      </c>
      <c r="BB964" t="s">
        <v>83</v>
      </c>
      <c r="BC964">
        <v>88.14658</v>
      </c>
      <c r="BD964">
        <v>6</v>
      </c>
      <c r="BE964">
        <v>138</v>
      </c>
      <c r="BF964" t="s">
        <v>209</v>
      </c>
      <c r="BG964">
        <v>1.6432749032952401</v>
      </c>
      <c r="BH964">
        <v>0.24121739130434799</v>
      </c>
      <c r="BI964">
        <v>0.35406794244987599</v>
      </c>
      <c r="BJ964">
        <v>90</v>
      </c>
      <c r="BK964">
        <v>908.28775427976018</v>
      </c>
      <c r="BL964">
        <v>126.3311341984115</v>
      </c>
      <c r="BM964">
        <v>2.956469920712693</v>
      </c>
      <c r="BN964">
        <v>502.59988652115783</v>
      </c>
      <c r="BO964">
        <v>405.68786775860241</v>
      </c>
    </row>
    <row r="965" spans="1:67" x14ac:dyDescent="0.25">
      <c r="A965" s="1">
        <v>963</v>
      </c>
      <c r="B965" t="s">
        <v>206</v>
      </c>
      <c r="C965" t="s">
        <v>207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67</v>
      </c>
      <c r="J965">
        <v>1.3440000000000001</v>
      </c>
      <c r="K965">
        <v>500</v>
      </c>
      <c r="L965">
        <v>100</v>
      </c>
      <c r="N965" t="s">
        <v>68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54391.74197227112</v>
      </c>
      <c r="Z965">
        <v>271958709.8613556</v>
      </c>
      <c r="AA965">
        <v>365512506.05366188</v>
      </c>
      <c r="AB965">
        <v>365512.50605366193</v>
      </c>
      <c r="AC965">
        <v>0</v>
      </c>
      <c r="AD965">
        <v>2818.6533816825922</v>
      </c>
      <c r="AE965">
        <v>1268394.0217571659</v>
      </c>
      <c r="AF965">
        <v>1268394.0217571659</v>
      </c>
      <c r="AG965">
        <v>76.16802498597437</v>
      </c>
      <c r="AH965">
        <v>111.6440417950658</v>
      </c>
      <c r="AI965">
        <v>111.6440417950658</v>
      </c>
      <c r="AJ965">
        <v>11879.156446744009</v>
      </c>
      <c r="AK965">
        <v>854.70085470085473</v>
      </c>
      <c r="AL965" t="s">
        <v>69</v>
      </c>
      <c r="AM965">
        <v>8652.4132391175972</v>
      </c>
      <c r="AN965">
        <v>592.19488725997633</v>
      </c>
      <c r="AO965">
        <v>18979.487105161181</v>
      </c>
      <c r="AP965">
        <v>21978.465427822441</v>
      </c>
      <c r="AQ965">
        <v>2998.9783226612599</v>
      </c>
      <c r="AR965">
        <v>9.3655096468266662E-3</v>
      </c>
      <c r="AS965">
        <v>155.95988538407619</v>
      </c>
      <c r="AT965">
        <v>113.5963974477592</v>
      </c>
      <c r="AU965">
        <v>7.7748489260293088</v>
      </c>
      <c r="AV965">
        <v>249.17919440153631</v>
      </c>
      <c r="AW965">
        <v>288.5523870662206</v>
      </c>
      <c r="AX965">
        <v>39.373192664684296</v>
      </c>
      <c r="AY965">
        <v>1.46575996706786</v>
      </c>
      <c r="AZ965" t="str">
        <f>VLOOKUP(BA965,Sheet1!$A$1:$B$58,2,FALSE)</f>
        <v>Pentanol (PW2)</v>
      </c>
      <c r="BA965" t="s">
        <v>163</v>
      </c>
      <c r="BB965" t="s">
        <v>83</v>
      </c>
      <c r="BC965">
        <v>88.14658</v>
      </c>
      <c r="BD965">
        <v>6</v>
      </c>
      <c r="BE965">
        <v>138</v>
      </c>
      <c r="BF965" t="s">
        <v>209</v>
      </c>
      <c r="BG965">
        <v>1.9692595021703969</v>
      </c>
      <c r="BH965">
        <v>0.22360902255639101</v>
      </c>
      <c r="BI965">
        <v>0.328221717769412</v>
      </c>
      <c r="BJ965">
        <v>90</v>
      </c>
      <c r="BK965">
        <v>976.82068568099714</v>
      </c>
      <c r="BL965">
        <v>133.28792545161139</v>
      </c>
      <c r="BM965">
        <v>2.9926979109436371</v>
      </c>
      <c r="BN965">
        <v>508.75864486041831</v>
      </c>
      <c r="BO965">
        <v>468.06204082057889</v>
      </c>
    </row>
    <row r="966" spans="1:67" x14ac:dyDescent="0.25">
      <c r="A966" s="1">
        <v>964</v>
      </c>
      <c r="B966" t="s">
        <v>206</v>
      </c>
      <c r="C966" t="s">
        <v>207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67</v>
      </c>
      <c r="J966">
        <v>1.3440000000000001</v>
      </c>
      <c r="K966">
        <v>500</v>
      </c>
      <c r="L966">
        <v>100</v>
      </c>
      <c r="N966" t="s">
        <v>68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56946.038417186814</v>
      </c>
      <c r="Z966">
        <v>284730192.08593398</v>
      </c>
      <c r="AA966">
        <v>382677378.16349542</v>
      </c>
      <c r="AB966">
        <v>382677.37816349528</v>
      </c>
      <c r="AC966">
        <v>0</v>
      </c>
      <c r="AD966">
        <v>2951.0204663027498</v>
      </c>
      <c r="AE966">
        <v>1327959.2098362369</v>
      </c>
      <c r="AF966">
        <v>1327959.2098362369</v>
      </c>
      <c r="AG966">
        <v>79.744959799665523</v>
      </c>
      <c r="AH966">
        <v>116.8869696497856</v>
      </c>
      <c r="AI966">
        <v>116.8869696497856</v>
      </c>
      <c r="AJ966">
        <v>12437.0147903136</v>
      </c>
      <c r="AK966">
        <v>854.70085470085473</v>
      </c>
      <c r="AL966" t="s">
        <v>69</v>
      </c>
      <c r="AM966">
        <v>9058.7401478583852</v>
      </c>
      <c r="AN966">
        <v>620.00501505467992</v>
      </c>
      <c r="AO966">
        <v>19870.784840463559</v>
      </c>
      <c r="AP966">
        <v>22970.46080792752</v>
      </c>
      <c r="AQ966">
        <v>3099.6759674639652</v>
      </c>
      <c r="AR966">
        <v>9.3655096468266662E-3</v>
      </c>
      <c r="AS966">
        <v>155.95988538407619</v>
      </c>
      <c r="AT966">
        <v>113.5963974477592</v>
      </c>
      <c r="AU966">
        <v>7.7748489260293088</v>
      </c>
      <c r="AV966">
        <v>249.17919440153631</v>
      </c>
      <c r="AW966">
        <v>288.04906122761457</v>
      </c>
      <c r="AX966">
        <v>38.869866826078322</v>
      </c>
      <c r="AY966">
        <v>1.4657599670678609</v>
      </c>
      <c r="AZ966" t="str">
        <f>VLOOKUP(BA966,Sheet1!$A$1:$B$58,2,FALSE)</f>
        <v>Phenol</v>
      </c>
      <c r="BA966" t="s">
        <v>164</v>
      </c>
      <c r="BB966" t="s">
        <v>165</v>
      </c>
      <c r="BC966">
        <v>94.11023999999999</v>
      </c>
      <c r="BD966">
        <v>4.666666666666667</v>
      </c>
      <c r="BE966">
        <v>181.7</v>
      </c>
      <c r="BF966" t="s">
        <v>209</v>
      </c>
      <c r="BG966">
        <v>1.86952392205049</v>
      </c>
      <c r="BH966">
        <v>0.20004484304932699</v>
      </c>
      <c r="BI966">
        <v>0.31349943699018401</v>
      </c>
      <c r="BJ966">
        <v>90</v>
      </c>
      <c r="BK966">
        <v>1020.909369241223</v>
      </c>
      <c r="BL966">
        <v>137.76337633173191</v>
      </c>
      <c r="BM966">
        <v>3.3254525068288712</v>
      </c>
      <c r="BN966">
        <v>565.32692616090799</v>
      </c>
      <c r="BO966">
        <v>455.58244308031522</v>
      </c>
    </row>
    <row r="967" spans="1:67" x14ac:dyDescent="0.25">
      <c r="A967" s="1">
        <v>965</v>
      </c>
      <c r="B967" t="s">
        <v>206</v>
      </c>
      <c r="C967" t="s">
        <v>207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67</v>
      </c>
      <c r="J967">
        <v>1.3440000000000001</v>
      </c>
      <c r="K967">
        <v>500</v>
      </c>
      <c r="L967">
        <v>100</v>
      </c>
      <c r="N967" t="s">
        <v>68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107</v>
      </c>
      <c r="AM967">
        <v>11068.573007128571</v>
      </c>
      <c r="AN967">
        <v>757.56348696468353</v>
      </c>
      <c r="AO967">
        <v>24279.450467249761</v>
      </c>
      <c r="AP967">
        <v>29192.649707713012</v>
      </c>
      <c r="AQ967">
        <v>4913.1992404632474</v>
      </c>
      <c r="AR967">
        <v>9.3655096468266679E-3</v>
      </c>
      <c r="AS967">
        <v>155.95988538407619</v>
      </c>
      <c r="AT967">
        <v>113.5963974477592</v>
      </c>
      <c r="AU967">
        <v>7.7748489260293088</v>
      </c>
      <c r="AV967">
        <v>249.17919440153639</v>
      </c>
      <c r="AW967">
        <v>299.60319515576549</v>
      </c>
      <c r="AX967">
        <v>50.424000754229183</v>
      </c>
      <c r="AY967">
        <v>1.4657599670678609</v>
      </c>
      <c r="AZ967" t="str">
        <f>VLOOKUP(BA967,Sheet1!$A$1:$B$58,2,FALSE)</f>
        <v>Propane (PW1)</v>
      </c>
      <c r="BA967" t="s">
        <v>166</v>
      </c>
      <c r="BB967" t="s">
        <v>167</v>
      </c>
      <c r="BC967">
        <v>44.094819999999999</v>
      </c>
      <c r="BD967">
        <v>6.666666666666667</v>
      </c>
      <c r="BE967">
        <v>-42</v>
      </c>
      <c r="BF967" t="s">
        <v>209</v>
      </c>
      <c r="BG967">
        <v>2.718464657963314</v>
      </c>
      <c r="BH967">
        <v>0.34942408376963302</v>
      </c>
      <c r="BI967">
        <v>0.25657417034381702</v>
      </c>
      <c r="BJ967">
        <v>90</v>
      </c>
      <c r="BK967">
        <v>1297.4510981205781</v>
      </c>
      <c r="BL967">
        <v>218.3644106872554</v>
      </c>
      <c r="BM967">
        <v>3.629104091644467</v>
      </c>
      <c r="BN967">
        <v>616.94769557955931</v>
      </c>
      <c r="BO967">
        <v>680.503402541019</v>
      </c>
    </row>
    <row r="968" spans="1:67" x14ac:dyDescent="0.25">
      <c r="A968" s="1">
        <v>966</v>
      </c>
      <c r="B968" t="s">
        <v>206</v>
      </c>
      <c r="C968" t="s">
        <v>207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67</v>
      </c>
      <c r="J968">
        <v>1.3440000000000001</v>
      </c>
      <c r="K968">
        <v>500</v>
      </c>
      <c r="L968">
        <v>100</v>
      </c>
      <c r="N968" t="s">
        <v>68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85318.626717615785</v>
      </c>
      <c r="Z968">
        <v>426593133.58807892</v>
      </c>
      <c r="AA968">
        <v>573341171.54237807</v>
      </c>
      <c r="AB968">
        <v>573341.17154237803</v>
      </c>
      <c r="AC968">
        <v>66773.504273504266</v>
      </c>
      <c r="AD968">
        <v>4421.3262344258228</v>
      </c>
      <c r="AE968">
        <v>1989596.80549162</v>
      </c>
      <c r="AF968">
        <v>1989596.80549162</v>
      </c>
      <c r="AG968">
        <v>119.476800263344</v>
      </c>
      <c r="AH968">
        <v>175.1243108193724</v>
      </c>
      <c r="AI968">
        <v>175.1243108193724</v>
      </c>
      <c r="AJ968">
        <v>18633.588075127289</v>
      </c>
      <c r="AK968">
        <v>2170.1388888888891</v>
      </c>
      <c r="AL968" t="s">
        <v>107</v>
      </c>
      <c r="AM968">
        <v>13572.13408850136</v>
      </c>
      <c r="AN968">
        <v>928.91407221287807</v>
      </c>
      <c r="AO968">
        <v>29771.13283929331</v>
      </c>
      <c r="AP968">
        <v>35304.775124730419</v>
      </c>
      <c r="AQ968">
        <v>5533.6422854371122</v>
      </c>
      <c r="AR968">
        <v>9.3655096468266644E-3</v>
      </c>
      <c r="AS968">
        <v>155.9598853840761</v>
      </c>
      <c r="AT968">
        <v>113.5963974477592</v>
      </c>
      <c r="AU968">
        <v>7.7748489260293088</v>
      </c>
      <c r="AV968">
        <v>249.17919440153631</v>
      </c>
      <c r="AW968">
        <v>295.49481612257478</v>
      </c>
      <c r="AX968">
        <v>46.315621721038532</v>
      </c>
      <c r="AY968">
        <v>1.46575996706786</v>
      </c>
      <c r="AZ968" t="str">
        <f>VLOOKUP(BA968,Sheet1!$A$1:$B$58,2,FALSE)</f>
        <v>Propane (PW2)</v>
      </c>
      <c r="BA968" t="s">
        <v>168</v>
      </c>
      <c r="BB968" t="s">
        <v>167</v>
      </c>
      <c r="BC968">
        <v>44.094819999999999</v>
      </c>
      <c r="BD968">
        <v>6.666666666666667</v>
      </c>
      <c r="BE968">
        <v>-42</v>
      </c>
      <c r="BF968" t="s">
        <v>209</v>
      </c>
      <c r="BG968">
        <v>4.010598534563659</v>
      </c>
      <c r="BH968">
        <v>0.284968152866242</v>
      </c>
      <c r="BI968">
        <v>0.20924564388146</v>
      </c>
      <c r="BJ968">
        <v>90</v>
      </c>
      <c r="BK968">
        <v>1569.101116654685</v>
      </c>
      <c r="BL968">
        <v>245.93965713053851</v>
      </c>
      <c r="BM968">
        <v>3.7727041685195588</v>
      </c>
      <c r="BN968">
        <v>641.35970864832507</v>
      </c>
      <c r="BO968">
        <v>927.74140800636042</v>
      </c>
    </row>
    <row r="969" spans="1:67" x14ac:dyDescent="0.25">
      <c r="A969" s="1">
        <v>967</v>
      </c>
      <c r="B969" t="s">
        <v>206</v>
      </c>
      <c r="C969" t="s">
        <v>207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67</v>
      </c>
      <c r="J969">
        <v>1.3440000000000001</v>
      </c>
      <c r="K969">
        <v>500</v>
      </c>
      <c r="L969">
        <v>100</v>
      </c>
      <c r="N969" t="s">
        <v>68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28246.28789197882</v>
      </c>
      <c r="Z969">
        <v>141231439.45989409</v>
      </c>
      <c r="AA969">
        <v>189815054.6340977</v>
      </c>
      <c r="AB969">
        <v>189815.0546340977</v>
      </c>
      <c r="AC969">
        <v>0</v>
      </c>
      <c r="AD969">
        <v>1463.7607107213919</v>
      </c>
      <c r="AE969">
        <v>658692.31982462644</v>
      </c>
      <c r="AF969">
        <v>658692.31982462644</v>
      </c>
      <c r="AG969">
        <v>39.554974411631882</v>
      </c>
      <c r="AH969">
        <v>57.978097990963633</v>
      </c>
      <c r="AI969">
        <v>57.978097990963633</v>
      </c>
      <c r="AJ969">
        <v>6168.9892756081754</v>
      </c>
      <c r="AK969">
        <v>854.70085470085473</v>
      </c>
      <c r="AL969" t="s">
        <v>69</v>
      </c>
      <c r="AM969">
        <v>4493.302594299681</v>
      </c>
      <c r="AN969">
        <v>307.53395032339301</v>
      </c>
      <c r="AO969">
        <v>9856.2766584638157</v>
      </c>
      <c r="AP969">
        <v>11824.526674932111</v>
      </c>
      <c r="AQ969">
        <v>1968.2500164682899</v>
      </c>
      <c r="AR969">
        <v>9.3655096468266679E-3</v>
      </c>
      <c r="AS969">
        <v>155.95988538407619</v>
      </c>
      <c r="AT969">
        <v>113.5963974477592</v>
      </c>
      <c r="AU969">
        <v>7.7748489260293114</v>
      </c>
      <c r="AV969">
        <v>249.17919440153631</v>
      </c>
      <c r="AW969">
        <v>298.93905509530248</v>
      </c>
      <c r="AX969">
        <v>49.759860693766228</v>
      </c>
      <c r="AY969">
        <v>1.4657599670678609</v>
      </c>
      <c r="AZ969" t="str">
        <f>VLOOKUP(BA969,Sheet1!$A$1:$B$58,2,FALSE)</f>
        <v>Shikimate</v>
      </c>
      <c r="BA969" t="s">
        <v>169</v>
      </c>
      <c r="BB969" t="s">
        <v>170</v>
      </c>
      <c r="BC969">
        <v>173.14045999999999</v>
      </c>
      <c r="BD969">
        <v>3.8571428571428572</v>
      </c>
      <c r="BE969">
        <v>400.5</v>
      </c>
      <c r="BF969" t="s">
        <v>209</v>
      </c>
      <c r="BG969">
        <v>0.53976922006454908</v>
      </c>
      <c r="BH969">
        <v>0.21921375921375899</v>
      </c>
      <c r="BI969">
        <v>0.63203175762005503</v>
      </c>
      <c r="BJ969">
        <v>90</v>
      </c>
      <c r="BK969">
        <v>525.53451888587131</v>
      </c>
      <c r="BL969">
        <v>87.477778509701793</v>
      </c>
      <c r="BM969">
        <v>2.0370351350893898</v>
      </c>
      <c r="BN969">
        <v>346.29597296519643</v>
      </c>
      <c r="BO969">
        <v>179.23854592067491</v>
      </c>
    </row>
    <row r="970" spans="1:67" x14ac:dyDescent="0.25">
      <c r="A970" s="1">
        <v>968</v>
      </c>
      <c r="B970" t="s">
        <v>206</v>
      </c>
      <c r="C970" t="s">
        <v>207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67</v>
      </c>
      <c r="J970">
        <v>1.3440000000000001</v>
      </c>
      <c r="K970">
        <v>500</v>
      </c>
      <c r="L970">
        <v>100</v>
      </c>
      <c r="N970" t="s">
        <v>68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67725.367674372566</v>
      </c>
      <c r="Z970">
        <v>338626838.37186283</v>
      </c>
      <c r="AA970">
        <v>455114470.77178359</v>
      </c>
      <c r="AB970">
        <v>455114.47077178367</v>
      </c>
      <c r="AC970">
        <v>0</v>
      </c>
      <c r="AD970">
        <v>3509.6198374816699</v>
      </c>
      <c r="AE970">
        <v>1579328.9268667509</v>
      </c>
      <c r="AF970">
        <v>1579328.9268667509</v>
      </c>
      <c r="AG970">
        <v>94.839902348332842</v>
      </c>
      <c r="AH970">
        <v>139.01253214281149</v>
      </c>
      <c r="AI970">
        <v>139.01253214281149</v>
      </c>
      <c r="AJ970">
        <v>14791.22030008297</v>
      </c>
      <c r="AK970">
        <v>854.70085470085473</v>
      </c>
      <c r="AL970" t="s">
        <v>69</v>
      </c>
      <c r="AM970">
        <v>10773.471241067889</v>
      </c>
      <c r="AN970">
        <v>737.36591291766001</v>
      </c>
      <c r="AO970">
        <v>23632.130464277951</v>
      </c>
      <c r="AP970">
        <v>27156.758308769371</v>
      </c>
      <c r="AQ970">
        <v>3524.627844491421</v>
      </c>
      <c r="AR970">
        <v>9.3655096468266679E-3</v>
      </c>
      <c r="AS970">
        <v>155.95988538407619</v>
      </c>
      <c r="AT970">
        <v>113.5963974477592</v>
      </c>
      <c r="AU970">
        <v>7.7748489260293088</v>
      </c>
      <c r="AV970">
        <v>249.17919440153639</v>
      </c>
      <c r="AW970">
        <v>286.34317029372983</v>
      </c>
      <c r="AX970">
        <v>37.163975892193463</v>
      </c>
      <c r="AY970">
        <v>1.4657599670678609</v>
      </c>
      <c r="AZ970" t="str">
        <f>VLOOKUP(BA970,Sheet1!$A$1:$B$58,2,FALSE)</f>
        <v>Styrene</v>
      </c>
      <c r="BA970" t="s">
        <v>171</v>
      </c>
      <c r="BB970" t="s">
        <v>172</v>
      </c>
      <c r="BC970">
        <v>104.14832</v>
      </c>
      <c r="BD970">
        <v>5</v>
      </c>
      <c r="BE970">
        <v>145</v>
      </c>
      <c r="BF970" t="s">
        <v>209</v>
      </c>
      <c r="BG970">
        <v>2.1798230563218</v>
      </c>
      <c r="BH970">
        <v>0.15199318568994899</v>
      </c>
      <c r="BI970">
        <v>0.26360212717405301</v>
      </c>
      <c r="BJ970">
        <v>90</v>
      </c>
      <c r="BK970">
        <v>1206.967035945306</v>
      </c>
      <c r="BL970">
        <v>156.65012642184101</v>
      </c>
      <c r="BM970">
        <v>3.9985117055809329</v>
      </c>
      <c r="BN970">
        <v>679.7469899487586</v>
      </c>
      <c r="BO970">
        <v>527.22004599654713</v>
      </c>
    </row>
    <row r="971" spans="1:67" x14ac:dyDescent="0.25">
      <c r="A971" s="1">
        <v>969</v>
      </c>
      <c r="B971" t="s">
        <v>206</v>
      </c>
      <c r="C971" t="s">
        <v>207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67</v>
      </c>
      <c r="J971">
        <v>1.3440000000000001</v>
      </c>
      <c r="K971">
        <v>500</v>
      </c>
      <c r="L971">
        <v>100</v>
      </c>
      <c r="N971" t="s">
        <v>68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18067.831516936669</v>
      </c>
      <c r="Z971">
        <v>90339157.584683344</v>
      </c>
      <c r="AA971">
        <v>121415827.79381441</v>
      </c>
      <c r="AB971">
        <v>121415.8277938144</v>
      </c>
      <c r="AC971">
        <v>0</v>
      </c>
      <c r="AD971">
        <v>936.29938219017481</v>
      </c>
      <c r="AE971">
        <v>421334.72198557871</v>
      </c>
      <c r="AF971">
        <v>421334.72198557871</v>
      </c>
      <c r="AG971">
        <v>25.301470269622701</v>
      </c>
      <c r="AH971">
        <v>37.085882229170643</v>
      </c>
      <c r="AI971">
        <v>37.085882229170643</v>
      </c>
      <c r="AJ971">
        <v>3946.0144032989688</v>
      </c>
      <c r="AK971">
        <v>854.70085470085473</v>
      </c>
      <c r="AL971" t="s">
        <v>69</v>
      </c>
      <c r="AM971">
        <v>2874.1558727607239</v>
      </c>
      <c r="AN971">
        <v>196.7151089527386</v>
      </c>
      <c r="AO971">
        <v>6304.5999789590078</v>
      </c>
      <c r="AP971">
        <v>7871.586239713286</v>
      </c>
      <c r="AQ971">
        <v>1566.986260754278</v>
      </c>
      <c r="AR971">
        <v>9.3655096468266679E-3</v>
      </c>
      <c r="AS971">
        <v>155.95988538407619</v>
      </c>
      <c r="AT971">
        <v>113.5963974477592</v>
      </c>
      <c r="AU971">
        <v>7.7748489260293114</v>
      </c>
      <c r="AV971">
        <v>249.17919440153631</v>
      </c>
      <c r="AW971">
        <v>311.11181112522229</v>
      </c>
      <c r="AX971">
        <v>61.932616723685982</v>
      </c>
      <c r="AY971">
        <v>1.4657599670678609</v>
      </c>
      <c r="AZ971" t="str">
        <f>VLOOKUP(BA971,Sheet1!$A$1:$B$58,2,FALSE)</f>
        <v>Succinate</v>
      </c>
      <c r="BA971" t="s">
        <v>173</v>
      </c>
      <c r="BB971" t="s">
        <v>174</v>
      </c>
      <c r="BC971">
        <v>116.07016</v>
      </c>
      <c r="BD971">
        <v>3</v>
      </c>
      <c r="BE971">
        <v>235</v>
      </c>
      <c r="BF971" t="s">
        <v>209</v>
      </c>
      <c r="BG971">
        <v>-3.3264225665389377E-2</v>
      </c>
      <c r="BH971">
        <v>0.51121212121212101</v>
      </c>
      <c r="BI971">
        <v>0.98808487149520896</v>
      </c>
      <c r="BJ971">
        <v>90</v>
      </c>
      <c r="BK971">
        <v>349.84827732059051</v>
      </c>
      <c r="BL971">
        <v>69.643833811301278</v>
      </c>
      <c r="BM971">
        <v>1.6815256580729729</v>
      </c>
      <c r="BN971">
        <v>285.85936187240549</v>
      </c>
      <c r="BO971">
        <v>63.988915448184969</v>
      </c>
    </row>
    <row r="972" spans="1:67" x14ac:dyDescent="0.25">
      <c r="A972" s="1">
        <v>970</v>
      </c>
      <c r="B972" t="s">
        <v>210</v>
      </c>
      <c r="C972" t="s">
        <v>211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67</v>
      </c>
      <c r="J972">
        <v>1.2130000000000001</v>
      </c>
      <c r="K972">
        <v>500</v>
      </c>
      <c r="L972">
        <v>100</v>
      </c>
      <c r="N972" t="s">
        <v>68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38400.044818271672</v>
      </c>
      <c r="Z972">
        <v>192000224.09135839</v>
      </c>
      <c r="AA972">
        <v>232896271.82281771</v>
      </c>
      <c r="AB972">
        <v>232896.27182281771</v>
      </c>
      <c r="AC972">
        <v>0</v>
      </c>
      <c r="AD972">
        <v>1989.942080526919</v>
      </c>
      <c r="AE972">
        <v>1193965.2483161511</v>
      </c>
      <c r="AF972">
        <v>1193965.2483161511</v>
      </c>
      <c r="AG972">
        <v>38.255912159212713</v>
      </c>
      <c r="AH972">
        <v>39.409807933795364</v>
      </c>
      <c r="AI972">
        <v>39.409807933795364</v>
      </c>
      <c r="AJ972">
        <v>7569.1288342415764</v>
      </c>
      <c r="AK972">
        <v>854.70085470085473</v>
      </c>
      <c r="AL972" t="s">
        <v>69</v>
      </c>
      <c r="AM972">
        <v>3054.260114869141</v>
      </c>
      <c r="AN972">
        <v>418.08387426766791</v>
      </c>
      <c r="AO972">
        <v>6699.6673487452117</v>
      </c>
      <c r="AP972">
        <v>11896.17367807924</v>
      </c>
      <c r="AQ972">
        <v>5196.5063293340281</v>
      </c>
      <c r="AR972">
        <v>6.3394883937504167E-3</v>
      </c>
      <c r="AS972">
        <v>197.85513942892081</v>
      </c>
      <c r="AT972">
        <v>79.837597445278007</v>
      </c>
      <c r="AU972">
        <v>10.928608172449129</v>
      </c>
      <c r="AV972">
        <v>175.12763310577111</v>
      </c>
      <c r="AW972">
        <v>310.96301216319131</v>
      </c>
      <c r="AX972">
        <v>135.8353790574202</v>
      </c>
      <c r="AY972">
        <v>1.030162547681007</v>
      </c>
      <c r="AZ972" t="str">
        <f>VLOOKUP(BA972,Sheet1!$A$1:$B$58,2,FALSE)</f>
        <v>1,3-Butanediol (PW1)</v>
      </c>
      <c r="BA972" t="s">
        <v>70</v>
      </c>
      <c r="BB972" t="s">
        <v>71</v>
      </c>
      <c r="BC972">
        <v>90.119200000000006</v>
      </c>
      <c r="BD972">
        <v>5.5</v>
      </c>
      <c r="BE972">
        <v>207</v>
      </c>
      <c r="BF972" t="s">
        <v>212</v>
      </c>
      <c r="BG972">
        <v>0.14844360988395849</v>
      </c>
      <c r="BH972">
        <v>0.23234374999999899</v>
      </c>
      <c r="BI972">
        <v>0.65349376315889396</v>
      </c>
      <c r="BJ972">
        <v>90</v>
      </c>
      <c r="BK972">
        <v>528.7188301368551</v>
      </c>
      <c r="BL972">
        <v>230.95583685929009</v>
      </c>
      <c r="BM972">
        <v>1.6031034093958361</v>
      </c>
      <c r="BN972">
        <v>272.52757959729212</v>
      </c>
      <c r="BO972">
        <v>256.19125053956299</v>
      </c>
    </row>
    <row r="973" spans="1:67" x14ac:dyDescent="0.25">
      <c r="A973" s="1">
        <v>971</v>
      </c>
      <c r="B973" t="s">
        <v>210</v>
      </c>
      <c r="C973" t="s">
        <v>211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67</v>
      </c>
      <c r="J973">
        <v>1.2130000000000001</v>
      </c>
      <c r="K973">
        <v>500</v>
      </c>
      <c r="L973">
        <v>100</v>
      </c>
      <c r="N973" t="s">
        <v>68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37800.044117985941</v>
      </c>
      <c r="Z973">
        <v>189000220.5899297</v>
      </c>
      <c r="AA973">
        <v>229257267.57558471</v>
      </c>
      <c r="AB973">
        <v>229257.2675755847</v>
      </c>
      <c r="AC973">
        <v>0</v>
      </c>
      <c r="AD973">
        <v>1958.849235518674</v>
      </c>
      <c r="AE973">
        <v>1175309.541311204</v>
      </c>
      <c r="AF973">
        <v>1175309.541311204</v>
      </c>
      <c r="AG973">
        <v>37.658163531724767</v>
      </c>
      <c r="AH973">
        <v>38.794029684829567</v>
      </c>
      <c r="AI973">
        <v>38.794029684829567</v>
      </c>
      <c r="AJ973">
        <v>7450.8611962065042</v>
      </c>
      <c r="AK973">
        <v>854.70085470085473</v>
      </c>
      <c r="AL973" t="s">
        <v>69</v>
      </c>
      <c r="AM973">
        <v>3006.5373005742908</v>
      </c>
      <c r="AN973">
        <v>411.55131373223298</v>
      </c>
      <c r="AO973">
        <v>6594.9850464210267</v>
      </c>
      <c r="AP973">
        <v>11723.65066521388</v>
      </c>
      <c r="AQ973">
        <v>5128.6656187928565</v>
      </c>
      <c r="AR973">
        <v>6.3394883937504158E-3</v>
      </c>
      <c r="AS973">
        <v>197.85513942892081</v>
      </c>
      <c r="AT973">
        <v>79.837597445278007</v>
      </c>
      <c r="AU973">
        <v>10.928608172449129</v>
      </c>
      <c r="AV973">
        <v>175.12763310577111</v>
      </c>
      <c r="AW973">
        <v>311.31764179996202</v>
      </c>
      <c r="AX973">
        <v>136.19000869419079</v>
      </c>
      <c r="AY973">
        <v>1.030162547681007</v>
      </c>
      <c r="AZ973" t="str">
        <f>VLOOKUP(BA973,Sheet1!$A$1:$B$58,2,FALSE)</f>
        <v>1,3-Butanediol (PW2)</v>
      </c>
      <c r="BA973" t="s">
        <v>72</v>
      </c>
      <c r="BB973" t="s">
        <v>71</v>
      </c>
      <c r="BC973">
        <v>90.119200000000006</v>
      </c>
      <c r="BD973">
        <v>5.5</v>
      </c>
      <c r="BE973">
        <v>207</v>
      </c>
      <c r="BF973" t="s">
        <v>212</v>
      </c>
      <c r="BG973">
        <v>0.115602103272468</v>
      </c>
      <c r="BH973">
        <v>0.23603174603174601</v>
      </c>
      <c r="BI973">
        <v>0.66386668003443605</v>
      </c>
      <c r="BJ973">
        <v>90</v>
      </c>
      <c r="BK973">
        <v>521.05114067617262</v>
      </c>
      <c r="BL973">
        <v>227.94069416857141</v>
      </c>
      <c r="BM973">
        <v>1.6085769938310679</v>
      </c>
      <c r="BN973">
        <v>273.45808895128158</v>
      </c>
      <c r="BO973">
        <v>247.59305172489101</v>
      </c>
    </row>
    <row r="974" spans="1:67" x14ac:dyDescent="0.25">
      <c r="A974" s="1">
        <v>972</v>
      </c>
      <c r="B974" t="s">
        <v>210</v>
      </c>
      <c r="C974" t="s">
        <v>211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67</v>
      </c>
      <c r="J974">
        <v>1.2130000000000001</v>
      </c>
      <c r="K974">
        <v>500</v>
      </c>
      <c r="L974">
        <v>100</v>
      </c>
      <c r="N974" t="s">
        <v>68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34251.499343655923</v>
      </c>
      <c r="Z974">
        <v>171257496.7182796</v>
      </c>
      <c r="AA974">
        <v>207735343.5192731</v>
      </c>
      <c r="AB974">
        <v>207735.3435192731</v>
      </c>
      <c r="AC974">
        <v>0</v>
      </c>
      <c r="AD974">
        <v>1774.9588623565769</v>
      </c>
      <c r="AE974">
        <v>1064975.3174139459</v>
      </c>
      <c r="AF974">
        <v>1064975.3174139459</v>
      </c>
      <c r="AG974">
        <v>34.122938043779293</v>
      </c>
      <c r="AH974">
        <v>35.15217278954082</v>
      </c>
      <c r="AI974">
        <v>35.15217278954082</v>
      </c>
      <c r="AJ974">
        <v>6751.3986643763756</v>
      </c>
      <c r="AK974">
        <v>854.70085470085473</v>
      </c>
      <c r="AL974" t="s">
        <v>69</v>
      </c>
      <c r="AM974">
        <v>2724.2933911894138</v>
      </c>
      <c r="AN974">
        <v>372.91621957322161</v>
      </c>
      <c r="AO974">
        <v>5975.8693742219393</v>
      </c>
      <c r="AP974">
        <v>10703.30912983987</v>
      </c>
      <c r="AQ974">
        <v>4727.4397556179292</v>
      </c>
      <c r="AR974">
        <v>6.3394883937504167E-3</v>
      </c>
      <c r="AS974">
        <v>197.85513942892081</v>
      </c>
      <c r="AT974">
        <v>79.837597445278021</v>
      </c>
      <c r="AU974">
        <v>10.928608172449129</v>
      </c>
      <c r="AV974">
        <v>175.12763310577111</v>
      </c>
      <c r="AW974">
        <v>313.66903741136417</v>
      </c>
      <c r="AX974">
        <v>138.54140430559309</v>
      </c>
      <c r="AY974">
        <v>1.030162547681007</v>
      </c>
      <c r="AZ974" t="str">
        <f>VLOOKUP(BA974,Sheet1!$A$1:$B$58,2,FALSE)</f>
        <v>1,3-Diaminopropane</v>
      </c>
      <c r="BA974" t="s">
        <v>73</v>
      </c>
      <c r="BB974" t="s">
        <v>74</v>
      </c>
      <c r="BC974">
        <v>76.139580000000009</v>
      </c>
      <c r="BD974">
        <v>6</v>
      </c>
      <c r="BE974">
        <v>139.30000000000001</v>
      </c>
      <c r="BF974" t="s">
        <v>212</v>
      </c>
      <c r="BG974">
        <v>0.1407304302847075</v>
      </c>
      <c r="BH974">
        <v>0.30831168831168798</v>
      </c>
      <c r="BI974">
        <v>0.73264500166794899</v>
      </c>
      <c r="BJ974">
        <v>90</v>
      </c>
      <c r="BK974">
        <v>475.70262799288309</v>
      </c>
      <c r="BL974">
        <v>210.10843358301909</v>
      </c>
      <c r="BM974">
        <v>1.4215883603615509</v>
      </c>
      <c r="BN974">
        <v>241.67002126146369</v>
      </c>
      <c r="BO974">
        <v>234.03260673141941</v>
      </c>
    </row>
    <row r="975" spans="1:67" x14ac:dyDescent="0.25">
      <c r="A975" s="1">
        <v>973</v>
      </c>
      <c r="B975" t="s">
        <v>210</v>
      </c>
      <c r="C975" t="s">
        <v>211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67</v>
      </c>
      <c r="J975">
        <v>1.2130000000000001</v>
      </c>
      <c r="K975">
        <v>500</v>
      </c>
      <c r="L975">
        <v>100</v>
      </c>
      <c r="N975" t="s">
        <v>68</v>
      </c>
      <c r="O975">
        <v>0</v>
      </c>
      <c r="P975">
        <v>0.125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30233.38772404076</v>
      </c>
      <c r="Z975">
        <v>151166938.62020379</v>
      </c>
      <c r="AA975">
        <v>183365496.54630721</v>
      </c>
      <c r="AB975">
        <v>183365.4965463072</v>
      </c>
      <c r="AC975">
        <v>0</v>
      </c>
      <c r="AD975">
        <v>1566.7349023594841</v>
      </c>
      <c r="AE975">
        <v>940040.94141569058</v>
      </c>
      <c r="AF975">
        <v>940040.94141569058</v>
      </c>
      <c r="AG975">
        <v>30.11990820635663</v>
      </c>
      <c r="AH975">
        <v>31.028401373778401</v>
      </c>
      <c r="AI975">
        <v>31.028401373778401</v>
      </c>
      <c r="AJ975">
        <v>5959.3786377549841</v>
      </c>
      <c r="AK975">
        <v>854.70085470085473</v>
      </c>
      <c r="AL975" t="s">
        <v>69</v>
      </c>
      <c r="AM975">
        <v>2404.7011064678259</v>
      </c>
      <c r="AN975">
        <v>329.16867497740651</v>
      </c>
      <c r="AO975">
        <v>5274.8282335423282</v>
      </c>
      <c r="AP975">
        <v>9547.949273901073</v>
      </c>
      <c r="AQ975">
        <v>4273.1210403587447</v>
      </c>
      <c r="AR975">
        <v>6.339488393750415E-3</v>
      </c>
      <c r="AS975">
        <v>197.85513942892069</v>
      </c>
      <c r="AT975">
        <v>79.837597445277993</v>
      </c>
      <c r="AU975">
        <v>10.92860817244912</v>
      </c>
      <c r="AV975">
        <v>175.12763310577111</v>
      </c>
      <c r="AW975">
        <v>316.99795392756317</v>
      </c>
      <c r="AX975">
        <v>141.87032082179209</v>
      </c>
      <c r="AY975">
        <v>1.030162547681007</v>
      </c>
      <c r="AZ975" t="str">
        <f>VLOOKUP(BA975,Sheet1!$A$1:$B$58,2,FALSE)</f>
        <v>1,3-Propanediol</v>
      </c>
      <c r="BA975" t="s">
        <v>75</v>
      </c>
      <c r="BB975" t="s">
        <v>76</v>
      </c>
      <c r="BC975">
        <v>76.092820000000003</v>
      </c>
      <c r="BD975">
        <v>5.333333333333333</v>
      </c>
      <c r="BE975">
        <v>213</v>
      </c>
      <c r="BF975" t="s">
        <v>212</v>
      </c>
      <c r="BG975">
        <v>-8.026964217461853E-2</v>
      </c>
      <c r="BH975">
        <v>0.34950191570881201</v>
      </c>
      <c r="BI975">
        <v>0.83001580976677403</v>
      </c>
      <c r="BJ975">
        <v>90</v>
      </c>
      <c r="BK975">
        <v>424.35330106226979</v>
      </c>
      <c r="BL975">
        <v>189.9164906826108</v>
      </c>
      <c r="BM975">
        <v>1.4593097032314359</v>
      </c>
      <c r="BN975">
        <v>248.08264954934421</v>
      </c>
      <c r="BO975">
        <v>176.2706515129257</v>
      </c>
    </row>
    <row r="976" spans="1:67" x14ac:dyDescent="0.25">
      <c r="A976" s="1">
        <v>974</v>
      </c>
      <c r="B976" t="s">
        <v>210</v>
      </c>
      <c r="C976" t="s">
        <v>211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67</v>
      </c>
      <c r="J976">
        <v>1.2130000000000001</v>
      </c>
      <c r="K976">
        <v>500</v>
      </c>
      <c r="L976">
        <v>100</v>
      </c>
      <c r="N976" t="s">
        <v>68</v>
      </c>
      <c r="O976">
        <v>0</v>
      </c>
      <c r="P976">
        <v>0.125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35843.641959160377</v>
      </c>
      <c r="Z976">
        <v>179218209.79580191</v>
      </c>
      <c r="AA976">
        <v>217391688.4823077</v>
      </c>
      <c r="AB976">
        <v>217391.68848230771</v>
      </c>
      <c r="AC976">
        <v>0</v>
      </c>
      <c r="AD976">
        <v>1857.465838683984</v>
      </c>
      <c r="AE976">
        <v>1114479.50321039</v>
      </c>
      <c r="AF976">
        <v>1114479.50321039</v>
      </c>
      <c r="AG976">
        <v>35.709104631134323</v>
      </c>
      <c r="AH976">
        <v>36.786182202216963</v>
      </c>
      <c r="AI976">
        <v>36.786182202216963</v>
      </c>
      <c r="AJ976">
        <v>7065.2298756750006</v>
      </c>
      <c r="AK976">
        <v>854.70085470085473</v>
      </c>
      <c r="AL976" t="s">
        <v>69</v>
      </c>
      <c r="AM976">
        <v>2850.929120671814</v>
      </c>
      <c r="AN976">
        <v>390.25081270265542</v>
      </c>
      <c r="AO976">
        <v>6253.6509743768829</v>
      </c>
      <c r="AP976">
        <v>11161.110663750331</v>
      </c>
      <c r="AQ976">
        <v>4907.4596893734424</v>
      </c>
      <c r="AR976">
        <v>6.3394883937504167E-3</v>
      </c>
      <c r="AS976">
        <v>197.85513942892081</v>
      </c>
      <c r="AT976">
        <v>79.837597445277993</v>
      </c>
      <c r="AU976">
        <v>10.928608172449129</v>
      </c>
      <c r="AV976">
        <v>175.12763310577111</v>
      </c>
      <c r="AW976">
        <v>312.55644125053459</v>
      </c>
      <c r="AX976">
        <v>137.42880814476351</v>
      </c>
      <c r="AY976">
        <v>1.030162547681007</v>
      </c>
      <c r="AZ976" t="str">
        <f>VLOOKUP(BA976,Sheet1!$A$1:$B$58,2,FALSE)</f>
        <v>1,4-Butanediol</v>
      </c>
      <c r="BA976" t="s">
        <v>77</v>
      </c>
      <c r="BB976" t="s">
        <v>71</v>
      </c>
      <c r="BC976">
        <v>90.119200000000006</v>
      </c>
      <c r="BD976">
        <v>5.5</v>
      </c>
      <c r="BE976">
        <v>230</v>
      </c>
      <c r="BF976" t="s">
        <v>212</v>
      </c>
      <c r="BG976">
        <v>8.5169041997895135E-3</v>
      </c>
      <c r="BH976">
        <v>0.24891472868216999</v>
      </c>
      <c r="BI976">
        <v>0.70010156396368495</v>
      </c>
      <c r="BJ976">
        <v>90</v>
      </c>
      <c r="BK976">
        <v>496.0493628333478</v>
      </c>
      <c r="BL976">
        <v>218.10931952770861</v>
      </c>
      <c r="BM976">
        <v>1.626424527009853</v>
      </c>
      <c r="BN976">
        <v>276.49216959167501</v>
      </c>
      <c r="BO976">
        <v>219.55719324167279</v>
      </c>
    </row>
    <row r="977" spans="1:67" x14ac:dyDescent="0.25">
      <c r="A977" s="1">
        <v>975</v>
      </c>
      <c r="B977" t="s">
        <v>210</v>
      </c>
      <c r="C977" t="s">
        <v>211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67</v>
      </c>
      <c r="J977">
        <v>1.2130000000000001</v>
      </c>
      <c r="K977">
        <v>500</v>
      </c>
      <c r="L977">
        <v>100</v>
      </c>
      <c r="N977" t="s">
        <v>68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44312.188382983462</v>
      </c>
      <c r="Z977">
        <v>221560941.91491729</v>
      </c>
      <c r="AA977">
        <v>268753422.54279459</v>
      </c>
      <c r="AB977">
        <v>268753.42254279472</v>
      </c>
      <c r="AC977">
        <v>0</v>
      </c>
      <c r="AD977">
        <v>2296.3173288166922</v>
      </c>
      <c r="AE977">
        <v>1377790.3972900149</v>
      </c>
      <c r="AF977">
        <v>1377790.3972900149</v>
      </c>
      <c r="AG977">
        <v>44.145864786993222</v>
      </c>
      <c r="AH977">
        <v>45.477416538550173</v>
      </c>
      <c r="AI977">
        <v>45.477416538550173</v>
      </c>
      <c r="AJ977">
        <v>8734.4862326408274</v>
      </c>
      <c r="AK977">
        <v>854.70085470085473</v>
      </c>
      <c r="AL977" t="s">
        <v>69</v>
      </c>
      <c r="AM977">
        <v>3524.4997817376379</v>
      </c>
      <c r="AN977">
        <v>482.45285869096818</v>
      </c>
      <c r="AO977">
        <v>7731.1608115535291</v>
      </c>
      <c r="AP977">
        <v>13596.139727770291</v>
      </c>
      <c r="AQ977">
        <v>5864.9789162167599</v>
      </c>
      <c r="AR977">
        <v>6.3394883937504176E-3</v>
      </c>
      <c r="AS977">
        <v>197.85513942892081</v>
      </c>
      <c r="AT977">
        <v>79.837597445278021</v>
      </c>
      <c r="AU977">
        <v>10.928608172449129</v>
      </c>
      <c r="AV977">
        <v>175.12763310577111</v>
      </c>
      <c r="AW977">
        <v>307.98218119347263</v>
      </c>
      <c r="AX977">
        <v>132.85454808770149</v>
      </c>
      <c r="AY977">
        <v>1.030162547681007</v>
      </c>
      <c r="AZ977" t="str">
        <f>VLOOKUP(BA977,Sheet1!$A$1:$B$58,2,FALSE)</f>
        <v>1-Propanol (PW1)</v>
      </c>
      <c r="BA977" t="s">
        <v>78</v>
      </c>
      <c r="BB977" t="s">
        <v>79</v>
      </c>
      <c r="BC977">
        <v>60.093820000000001</v>
      </c>
      <c r="BD977">
        <v>6</v>
      </c>
      <c r="BE977">
        <v>97</v>
      </c>
      <c r="BF977" t="s">
        <v>212</v>
      </c>
      <c r="BG977">
        <v>0.22839769194916271</v>
      </c>
      <c r="BH977">
        <v>0.30194444444444402</v>
      </c>
      <c r="BI977">
        <v>0.56630445729462298</v>
      </c>
      <c r="BJ977">
        <v>90</v>
      </c>
      <c r="BK977">
        <v>604.27287678979053</v>
      </c>
      <c r="BL977">
        <v>260.66572960963367</v>
      </c>
      <c r="BM977">
        <v>1.79282082087529</v>
      </c>
      <c r="BN977">
        <v>304.77953954879928</v>
      </c>
      <c r="BO977">
        <v>299.49333724099131</v>
      </c>
    </row>
    <row r="978" spans="1:67" x14ac:dyDescent="0.25">
      <c r="A978" s="1">
        <v>976</v>
      </c>
      <c r="B978" t="s">
        <v>210</v>
      </c>
      <c r="C978" t="s">
        <v>211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67</v>
      </c>
      <c r="J978">
        <v>1.2130000000000001</v>
      </c>
      <c r="K978">
        <v>500</v>
      </c>
      <c r="L978">
        <v>100</v>
      </c>
      <c r="N978" t="s">
        <v>68</v>
      </c>
      <c r="O978">
        <v>0</v>
      </c>
      <c r="P978">
        <v>0.125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49596.633576273969</v>
      </c>
      <c r="Z978">
        <v>247983167.88136989</v>
      </c>
      <c r="AA978">
        <v>300803582.64010167</v>
      </c>
      <c r="AB978">
        <v>300803.58264010173</v>
      </c>
      <c r="AC978">
        <v>0</v>
      </c>
      <c r="AD978">
        <v>2570.1644014472781</v>
      </c>
      <c r="AE978">
        <v>1542098.6408683669</v>
      </c>
      <c r="AF978">
        <v>1542098.6408683669</v>
      </c>
      <c r="AG978">
        <v>49.4104750779818</v>
      </c>
      <c r="AH978">
        <v>50.900820888462619</v>
      </c>
      <c r="AI978">
        <v>50.900820888462619</v>
      </c>
      <c r="AJ978">
        <v>9776.1164358033038</v>
      </c>
      <c r="AK978">
        <v>854.70085470085473</v>
      </c>
      <c r="AL978" t="s">
        <v>69</v>
      </c>
      <c r="AM978">
        <v>3944.8136188558528</v>
      </c>
      <c r="AN978">
        <v>539.98772174182579</v>
      </c>
      <c r="AO978">
        <v>8653.1395510386446</v>
      </c>
      <c r="AP978">
        <v>15115.618631101839</v>
      </c>
      <c r="AQ978">
        <v>6462.4790800631927</v>
      </c>
      <c r="AR978">
        <v>6.3394883937504167E-3</v>
      </c>
      <c r="AS978">
        <v>197.85513942892081</v>
      </c>
      <c r="AT978">
        <v>79.837597445278007</v>
      </c>
      <c r="AU978">
        <v>10.928608172449129</v>
      </c>
      <c r="AV978">
        <v>175.12763310577111</v>
      </c>
      <c r="AW978">
        <v>305.91931381444323</v>
      </c>
      <c r="AX978">
        <v>130.791680708672</v>
      </c>
      <c r="AY978">
        <v>1.030162547681007</v>
      </c>
      <c r="AZ978" t="str">
        <f>VLOOKUP(BA978,Sheet1!$A$1:$B$58,2,FALSE)</f>
        <v>1-Propanol (PW2)</v>
      </c>
      <c r="BA978" t="s">
        <v>80</v>
      </c>
      <c r="BB978" t="s">
        <v>79</v>
      </c>
      <c r="BC978">
        <v>60.093820000000001</v>
      </c>
      <c r="BD978">
        <v>6</v>
      </c>
      <c r="BE978">
        <v>97</v>
      </c>
      <c r="BF978" t="s">
        <v>212</v>
      </c>
      <c r="BG978">
        <v>0.51764592394447961</v>
      </c>
      <c r="BH978">
        <v>0.269772727272727</v>
      </c>
      <c r="BI978">
        <v>0.50596558645801104</v>
      </c>
      <c r="BJ978">
        <v>90</v>
      </c>
      <c r="BK978">
        <v>671.80527249341503</v>
      </c>
      <c r="BL978">
        <v>287.22129244725301</v>
      </c>
      <c r="BM978">
        <v>1.744612782209414</v>
      </c>
      <c r="BN978">
        <v>296.58417297560038</v>
      </c>
      <c r="BO978">
        <v>375.22109951781459</v>
      </c>
    </row>
    <row r="979" spans="1:67" x14ac:dyDescent="0.25">
      <c r="A979" s="1">
        <v>977</v>
      </c>
      <c r="B979" t="s">
        <v>210</v>
      </c>
      <c r="C979" t="s">
        <v>211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67</v>
      </c>
      <c r="J979">
        <v>1.2130000000000001</v>
      </c>
      <c r="K979">
        <v>500</v>
      </c>
      <c r="L979">
        <v>100</v>
      </c>
      <c r="N979" t="s">
        <v>68</v>
      </c>
      <c r="O979">
        <v>0</v>
      </c>
      <c r="P979">
        <v>0.125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38731.814554320743</v>
      </c>
      <c r="Z979">
        <v>193659072.7716037</v>
      </c>
      <c r="AA979">
        <v>234908455.27195531</v>
      </c>
      <c r="AB979">
        <v>234908.45527195529</v>
      </c>
      <c r="AC979">
        <v>0</v>
      </c>
      <c r="AD979">
        <v>2007.134835429518</v>
      </c>
      <c r="AE979">
        <v>1204280.901257711</v>
      </c>
      <c r="AF979">
        <v>1204280.901257711</v>
      </c>
      <c r="AG979">
        <v>38.586436614052367</v>
      </c>
      <c r="AH979">
        <v>39.750301848263881</v>
      </c>
      <c r="AI979">
        <v>39.750301848263881</v>
      </c>
      <c r="AJ979">
        <v>7634.5247963385482</v>
      </c>
      <c r="AK979">
        <v>854.70085470085473</v>
      </c>
      <c r="AL979" t="s">
        <v>69</v>
      </c>
      <c r="AM979">
        <v>3080.6483932404508</v>
      </c>
      <c r="AN979">
        <v>421.69604652602311</v>
      </c>
      <c r="AO979">
        <v>6757.5513142048594</v>
      </c>
      <c r="AP979">
        <v>11991.570090805881</v>
      </c>
      <c r="AQ979">
        <v>5234.0187766010195</v>
      </c>
      <c r="AR979">
        <v>6.3394883937504176E-3</v>
      </c>
      <c r="AS979">
        <v>197.85513942892081</v>
      </c>
      <c r="AT979">
        <v>79.837597445278021</v>
      </c>
      <c r="AU979">
        <v>10.928608172449129</v>
      </c>
      <c r="AV979">
        <v>175.12763310577111</v>
      </c>
      <c r="AW979">
        <v>310.77163747322538</v>
      </c>
      <c r="AX979">
        <v>135.64400436745419</v>
      </c>
      <c r="AY979">
        <v>1.030162547681007</v>
      </c>
      <c r="AZ979" t="str">
        <f>VLOOKUP(BA979,Sheet1!$A$1:$B$58,2,FALSE)</f>
        <v>2,3-Butanediol</v>
      </c>
      <c r="BA979" t="s">
        <v>81</v>
      </c>
      <c r="BB979" t="s">
        <v>71</v>
      </c>
      <c r="BC979">
        <v>90.119200000000006</v>
      </c>
      <c r="BD979">
        <v>5.5</v>
      </c>
      <c r="BE979">
        <v>177</v>
      </c>
      <c r="BF979" t="s">
        <v>212</v>
      </c>
      <c r="BG979">
        <v>0.1666032853222828</v>
      </c>
      <c r="BH979">
        <v>0.230353535353535</v>
      </c>
      <c r="BI979">
        <v>0.64789605347738999</v>
      </c>
      <c r="BJ979">
        <v>90</v>
      </c>
      <c r="BK979">
        <v>532.95867070248335</v>
      </c>
      <c r="BL979">
        <v>232.62305673782299</v>
      </c>
      <c r="BM979">
        <v>1.6000767968227789</v>
      </c>
      <c r="BN979">
        <v>272.01305545987242</v>
      </c>
      <c r="BO979">
        <v>260.94561524261098</v>
      </c>
    </row>
    <row r="980" spans="1:67" x14ac:dyDescent="0.25">
      <c r="A980" s="1">
        <v>978</v>
      </c>
      <c r="B980" t="s">
        <v>210</v>
      </c>
      <c r="C980" t="s">
        <v>211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67</v>
      </c>
      <c r="J980">
        <v>1.2130000000000001</v>
      </c>
      <c r="K980">
        <v>500</v>
      </c>
      <c r="L980">
        <v>100</v>
      </c>
      <c r="N980" t="s">
        <v>68</v>
      </c>
      <c r="O980">
        <v>0</v>
      </c>
      <c r="P980">
        <v>0.125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53998.075120241258</v>
      </c>
      <c r="Z980">
        <v>269990375.6012063</v>
      </c>
      <c r="AA980">
        <v>327498325.60426319</v>
      </c>
      <c r="AB980">
        <v>327498.32560426323</v>
      </c>
      <c r="AC980">
        <v>0</v>
      </c>
      <c r="AD980">
        <v>2798.2530348009641</v>
      </c>
      <c r="AE980">
        <v>1678951.8208805791</v>
      </c>
      <c r="AF980">
        <v>1678951.8208805791</v>
      </c>
      <c r="AG980">
        <v>53.795396029943873</v>
      </c>
      <c r="AH980">
        <v>55.418002227715697</v>
      </c>
      <c r="AI980">
        <v>55.418002227715697</v>
      </c>
      <c r="AJ980">
        <v>10643.695582138551</v>
      </c>
      <c r="AK980">
        <v>854.70085470085473</v>
      </c>
      <c r="AL980" t="s">
        <v>69</v>
      </c>
      <c r="AM980">
        <v>4294.8951726479663</v>
      </c>
      <c r="AN980">
        <v>587.90880469298168</v>
      </c>
      <c r="AO980">
        <v>9421.0603787116688</v>
      </c>
      <c r="AP980">
        <v>16381.200414180361</v>
      </c>
      <c r="AQ980">
        <v>6960.1400354686884</v>
      </c>
      <c r="AR980">
        <v>6.3394883937504158E-3</v>
      </c>
      <c r="AS980">
        <v>197.85513942892081</v>
      </c>
      <c r="AT980">
        <v>79.837597445278007</v>
      </c>
      <c r="AU980">
        <v>10.92860817244912</v>
      </c>
      <c r="AV980">
        <v>175.12763310577111</v>
      </c>
      <c r="AW980">
        <v>304.50933765897298</v>
      </c>
      <c r="AX980">
        <v>129.3817045532019</v>
      </c>
      <c r="AY980">
        <v>1.030162547681007</v>
      </c>
      <c r="AZ980" t="str">
        <f>VLOOKUP(BA980,Sheet1!$A$1:$B$58,2,FALSE)</f>
        <v>2-Methyl-1-Butanol</v>
      </c>
      <c r="BA980" t="s">
        <v>82</v>
      </c>
      <c r="BB980" t="s">
        <v>83</v>
      </c>
      <c r="BC980">
        <v>88.14658</v>
      </c>
      <c r="BD980">
        <v>6</v>
      </c>
      <c r="BE980">
        <v>129</v>
      </c>
      <c r="BF980" t="s">
        <v>212</v>
      </c>
      <c r="BG980">
        <v>0.45921682833632982</v>
      </c>
      <c r="BH980">
        <v>0.16892592592592601</v>
      </c>
      <c r="BI980">
        <v>0.464723783910511</v>
      </c>
      <c r="BJ980">
        <v>90</v>
      </c>
      <c r="BK980">
        <v>728.05335174134927</v>
      </c>
      <c r="BL980">
        <v>309.33955713194172</v>
      </c>
      <c r="BM980">
        <v>2.0038054928954789</v>
      </c>
      <c r="BN980">
        <v>340.64693379223138</v>
      </c>
      <c r="BO980">
        <v>387.40641794911778</v>
      </c>
    </row>
    <row r="981" spans="1:67" x14ac:dyDescent="0.25">
      <c r="A981" s="1">
        <v>979</v>
      </c>
      <c r="B981" t="s">
        <v>210</v>
      </c>
      <c r="C981" t="s">
        <v>211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67</v>
      </c>
      <c r="J981">
        <v>1.2130000000000001</v>
      </c>
      <c r="K981">
        <v>500</v>
      </c>
      <c r="L981">
        <v>100</v>
      </c>
      <c r="N981" t="s">
        <v>68</v>
      </c>
      <c r="O981">
        <v>0</v>
      </c>
      <c r="P981">
        <v>0.125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24077.141619679089</v>
      </c>
      <c r="Z981">
        <v>120385708.0983955</v>
      </c>
      <c r="AA981">
        <v>146027863.9233537</v>
      </c>
      <c r="AB981">
        <v>146027.8639233537</v>
      </c>
      <c r="AC981">
        <v>0</v>
      </c>
      <c r="AD981">
        <v>1247.7099314479899</v>
      </c>
      <c r="AE981">
        <v>748625.95886879379</v>
      </c>
      <c r="AF981">
        <v>748625.95886879379</v>
      </c>
      <c r="AG981">
        <v>23.98676926567256</v>
      </c>
      <c r="AH981">
        <v>24.710271337361711</v>
      </c>
      <c r="AI981">
        <v>24.710271337361711</v>
      </c>
      <c r="AJ981">
        <v>4745.9055775089964</v>
      </c>
      <c r="AK981">
        <v>1835.336538461539</v>
      </c>
      <c r="AL981" t="s">
        <v>84</v>
      </c>
      <c r="AM981">
        <v>1915.046028645532</v>
      </c>
      <c r="AN981">
        <v>262.14200262748062</v>
      </c>
      <c r="AO981">
        <v>4200.7461273514909</v>
      </c>
      <c r="AP981">
        <v>8758.4301472435473</v>
      </c>
      <c r="AQ981">
        <v>4557.6840198920563</v>
      </c>
      <c r="AR981">
        <v>6.3394883937504176E-3</v>
      </c>
      <c r="AS981">
        <v>197.85513942892081</v>
      </c>
      <c r="AT981">
        <v>79.837597445278007</v>
      </c>
      <c r="AU981">
        <v>10.928608172449129</v>
      </c>
      <c r="AV981">
        <v>175.12763310577111</v>
      </c>
      <c r="AW981">
        <v>365.13588179537498</v>
      </c>
      <c r="AX981">
        <v>190.00824868960379</v>
      </c>
      <c r="AY981">
        <v>1.030162547681007</v>
      </c>
      <c r="AZ981" t="str">
        <f>VLOOKUP(BA981,Sheet1!$A$1:$B$58,2,FALSE)</f>
        <v>2-Pyrone-4,6-Dicarboxylate</v>
      </c>
      <c r="BA981" t="s">
        <v>85</v>
      </c>
      <c r="BB981" t="s">
        <v>86</v>
      </c>
      <c r="BC981">
        <v>182.08457999999999</v>
      </c>
      <c r="BD981">
        <v>2.5714285714285721</v>
      </c>
      <c r="BE981">
        <v>355.5</v>
      </c>
      <c r="BF981" t="s">
        <v>212</v>
      </c>
      <c r="BG981">
        <v>-0.37402489820219531</v>
      </c>
      <c r="BH981">
        <v>0.183401109057301</v>
      </c>
      <c r="BI981">
        <v>1.04224123403636</v>
      </c>
      <c r="BJ981">
        <v>90</v>
      </c>
      <c r="BK981">
        <v>389.26356209971323</v>
      </c>
      <c r="BL981">
        <v>202.56373421742481</v>
      </c>
      <c r="BM981">
        <v>1.472259179862716</v>
      </c>
      <c r="BN981">
        <v>250.28406057666169</v>
      </c>
      <c r="BO981">
        <v>138.9795015230516</v>
      </c>
    </row>
    <row r="982" spans="1:67" x14ac:dyDescent="0.25">
      <c r="A982" s="1">
        <v>980</v>
      </c>
      <c r="B982" t="s">
        <v>210</v>
      </c>
      <c r="C982" t="s">
        <v>211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67</v>
      </c>
      <c r="J982">
        <v>1.2130000000000001</v>
      </c>
      <c r="K982">
        <v>500</v>
      </c>
      <c r="L982">
        <v>100</v>
      </c>
      <c r="N982" t="s">
        <v>68</v>
      </c>
      <c r="O982">
        <v>0</v>
      </c>
      <c r="P982">
        <v>0.125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59272.211632381557</v>
      </c>
      <c r="Z982">
        <v>296361058.16190779</v>
      </c>
      <c r="AA982">
        <v>359485963.55039418</v>
      </c>
      <c r="AB982">
        <v>359485.96355039423</v>
      </c>
      <c r="AC982">
        <v>0</v>
      </c>
      <c r="AD982">
        <v>3071.565897679644</v>
      </c>
      <c r="AE982">
        <v>1842939.5386077871</v>
      </c>
      <c r="AF982">
        <v>1842939.5386077871</v>
      </c>
      <c r="AG982">
        <v>59.049736332904423</v>
      </c>
      <c r="AH982">
        <v>60.830826820596513</v>
      </c>
      <c r="AI982">
        <v>60.830826820596513</v>
      </c>
      <c r="AJ982">
        <v>11683.293815387809</v>
      </c>
      <c r="AK982">
        <v>854.70085470085473</v>
      </c>
      <c r="AL982" t="s">
        <v>69</v>
      </c>
      <c r="AM982">
        <v>4714.3890785962294</v>
      </c>
      <c r="AN982">
        <v>645.33143106874525</v>
      </c>
      <c r="AO982">
        <v>10341.24055950141</v>
      </c>
      <c r="AP982">
        <v>17897.715179753639</v>
      </c>
      <c r="AQ982">
        <v>7556.4746202522356</v>
      </c>
      <c r="AR982">
        <v>6.3394883937504167E-3</v>
      </c>
      <c r="AS982">
        <v>197.85513942892081</v>
      </c>
      <c r="AT982">
        <v>79.837597445278007</v>
      </c>
      <c r="AU982">
        <v>10.928608172449129</v>
      </c>
      <c r="AV982">
        <v>175.12763310577111</v>
      </c>
      <c r="AW982">
        <v>303.09559857899751</v>
      </c>
      <c r="AX982">
        <v>127.9679654732264</v>
      </c>
      <c r="AY982">
        <v>1.030162547681007</v>
      </c>
      <c r="AZ982" t="str">
        <f>VLOOKUP(BA982,Sheet1!$A$1:$B$58,2,FALSE)</f>
        <v>3-Methyl-1-Pentanol</v>
      </c>
      <c r="BA982" t="s">
        <v>87</v>
      </c>
      <c r="BB982" t="s">
        <v>88</v>
      </c>
      <c r="BC982">
        <v>102.17296</v>
      </c>
      <c r="BD982">
        <v>6</v>
      </c>
      <c r="BE982">
        <v>153</v>
      </c>
      <c r="BF982" t="s">
        <v>212</v>
      </c>
      <c r="BG982">
        <v>0.65986963570151869</v>
      </c>
      <c r="BH982">
        <v>0.13276785714285699</v>
      </c>
      <c r="BI982">
        <v>0.42337191582122602</v>
      </c>
      <c r="BJ982">
        <v>90</v>
      </c>
      <c r="BK982">
        <v>795.45400798905064</v>
      </c>
      <c r="BL982">
        <v>335.84331645565487</v>
      </c>
      <c r="BM982">
        <v>2.043722667436104</v>
      </c>
      <c r="BN982">
        <v>347.43285346413768</v>
      </c>
      <c r="BO982">
        <v>448.0211545249129</v>
      </c>
    </row>
    <row r="983" spans="1:67" x14ac:dyDescent="0.25">
      <c r="A983" s="1">
        <v>981</v>
      </c>
      <c r="B983" t="s">
        <v>210</v>
      </c>
      <c r="C983" t="s">
        <v>211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67</v>
      </c>
      <c r="J983">
        <v>1.2130000000000001</v>
      </c>
      <c r="K983">
        <v>500</v>
      </c>
      <c r="L983">
        <v>100</v>
      </c>
      <c r="N983" t="s">
        <v>68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56116.43450390239</v>
      </c>
      <c r="Z983">
        <v>280582172.51951188</v>
      </c>
      <c r="AA983">
        <v>340346175.266168</v>
      </c>
      <c r="AB983">
        <v>340346.17526616802</v>
      </c>
      <c r="AC983">
        <v>0</v>
      </c>
      <c r="AD983">
        <v>2908.0292733229712</v>
      </c>
      <c r="AE983">
        <v>1744817.563993783</v>
      </c>
      <c r="AF983">
        <v>1744817.563993783</v>
      </c>
      <c r="AG983">
        <v>55.905804256978641</v>
      </c>
      <c r="AH983">
        <v>57.59206574352477</v>
      </c>
      <c r="AI983">
        <v>57.59206574352477</v>
      </c>
      <c r="AJ983">
        <v>11061.25069615046</v>
      </c>
      <c r="AK983">
        <v>854.70085470085473</v>
      </c>
      <c r="AL983" t="s">
        <v>69</v>
      </c>
      <c r="AM983">
        <v>4463.3850951231698</v>
      </c>
      <c r="AN983">
        <v>610.97262929015778</v>
      </c>
      <c r="AO983">
        <v>9790.6511763992112</v>
      </c>
      <c r="AP983">
        <v>16990.309275264641</v>
      </c>
      <c r="AQ983">
        <v>7199.6580988654332</v>
      </c>
      <c r="AR983">
        <v>6.3394883937504167E-3</v>
      </c>
      <c r="AS983">
        <v>197.85513942892081</v>
      </c>
      <c r="AT983">
        <v>79.837597445277993</v>
      </c>
      <c r="AU983">
        <v>10.928608172449129</v>
      </c>
      <c r="AV983">
        <v>175.12763310577111</v>
      </c>
      <c r="AW983">
        <v>303.90957613571533</v>
      </c>
      <c r="AX983">
        <v>128.78194302994419</v>
      </c>
      <c r="AY983">
        <v>1.0301625476810059</v>
      </c>
      <c r="AZ983" t="str">
        <f>VLOOKUP(BA983,Sheet1!$A$1:$B$58,2,FALSE)</f>
        <v>4-Hydroxystyrene</v>
      </c>
      <c r="BA983" t="s">
        <v>89</v>
      </c>
      <c r="BB983" t="s">
        <v>90</v>
      </c>
      <c r="BC983">
        <v>120.14731999999999</v>
      </c>
      <c r="BD983">
        <v>4.75</v>
      </c>
      <c r="BE983">
        <v>229</v>
      </c>
      <c r="BF983" t="s">
        <v>212</v>
      </c>
      <c r="BG983">
        <v>0.1411743970533571</v>
      </c>
      <c r="BH983">
        <v>0.11925480769230801</v>
      </c>
      <c r="BI983">
        <v>0.44718075935522</v>
      </c>
      <c r="BJ983">
        <v>90</v>
      </c>
      <c r="BK983">
        <v>755.12485667842861</v>
      </c>
      <c r="BL983">
        <v>319.98480439401919</v>
      </c>
      <c r="BM983">
        <v>2.4184729693255211</v>
      </c>
      <c r="BN983">
        <v>411.1404047853386</v>
      </c>
      <c r="BO983">
        <v>343.98445189309001</v>
      </c>
    </row>
    <row r="984" spans="1:67" x14ac:dyDescent="0.25">
      <c r="A984" s="1">
        <v>982</v>
      </c>
      <c r="B984" t="s">
        <v>210</v>
      </c>
      <c r="C984" t="s">
        <v>211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67</v>
      </c>
      <c r="J984">
        <v>1.2130000000000001</v>
      </c>
      <c r="K984">
        <v>500</v>
      </c>
      <c r="L984">
        <v>100</v>
      </c>
      <c r="N984" t="s">
        <v>68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39277.045160242218</v>
      </c>
      <c r="Z984">
        <v>196385225.80121109</v>
      </c>
      <c r="AA984">
        <v>238215278.89686909</v>
      </c>
      <c r="AB984">
        <v>238215.2788968691</v>
      </c>
      <c r="AC984">
        <v>0</v>
      </c>
      <c r="AD984">
        <v>2035.38942032516</v>
      </c>
      <c r="AE984">
        <v>1221233.652195096</v>
      </c>
      <c r="AF984">
        <v>1221233.652195096</v>
      </c>
      <c r="AG984">
        <v>39.129620724002201</v>
      </c>
      <c r="AH984">
        <v>40.309869774829643</v>
      </c>
      <c r="AI984">
        <v>40.309869774829643</v>
      </c>
      <c r="AJ984">
        <v>7741.9965641482449</v>
      </c>
      <c r="AK984">
        <v>854.70085470085473</v>
      </c>
      <c r="AL984" t="s">
        <v>69</v>
      </c>
      <c r="AM984">
        <v>3124.0149075492968</v>
      </c>
      <c r="AN984">
        <v>427.63229282916518</v>
      </c>
      <c r="AO984">
        <v>6852.6778617210384</v>
      </c>
      <c r="AP984">
        <v>12148.344619227561</v>
      </c>
      <c r="AQ984">
        <v>5295.6667575065239</v>
      </c>
      <c r="AR984">
        <v>6.3394883937504176E-3</v>
      </c>
      <c r="AS984">
        <v>197.85513942892081</v>
      </c>
      <c r="AT984">
        <v>79.837597445278021</v>
      </c>
      <c r="AU984">
        <v>10.928608172449129</v>
      </c>
      <c r="AV984">
        <v>175.1276331057712</v>
      </c>
      <c r="AW984">
        <v>310.46415463402991</v>
      </c>
      <c r="AX984">
        <v>135.33652152825869</v>
      </c>
      <c r="AY984">
        <v>1.030162547681007</v>
      </c>
      <c r="AZ984" t="str">
        <f>VLOOKUP(BA984,Sheet1!$A$1:$B$58,2,FALSE)</f>
        <v>5-Aminopentanoate</v>
      </c>
      <c r="BA984" t="s">
        <v>91</v>
      </c>
      <c r="BB984" t="s">
        <v>92</v>
      </c>
      <c r="BC984">
        <v>117.14444</v>
      </c>
      <c r="BD984">
        <v>4.8</v>
      </c>
      <c r="BE984">
        <v>247.5</v>
      </c>
      <c r="BF984" t="s">
        <v>212</v>
      </c>
      <c r="BG984">
        <v>0.27140949355415228</v>
      </c>
      <c r="BH984">
        <v>0.174750957854406</v>
      </c>
      <c r="BI984">
        <v>0.63890218043092195</v>
      </c>
      <c r="BJ984">
        <v>90</v>
      </c>
      <c r="BK984">
        <v>539.92642752122492</v>
      </c>
      <c r="BL984">
        <v>235.36296700029001</v>
      </c>
      <c r="BM984">
        <v>1.5201402742160539</v>
      </c>
      <c r="BN984">
        <v>258.42384661672918</v>
      </c>
      <c r="BO984">
        <v>281.50258090449569</v>
      </c>
    </row>
    <row r="985" spans="1:67" x14ac:dyDescent="0.25">
      <c r="A985" s="1">
        <v>983</v>
      </c>
      <c r="B985" t="s">
        <v>210</v>
      </c>
      <c r="C985" t="s">
        <v>211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67</v>
      </c>
      <c r="J985">
        <v>1.2130000000000001</v>
      </c>
      <c r="K985">
        <v>500</v>
      </c>
      <c r="L985">
        <v>100</v>
      </c>
      <c r="N985" t="s">
        <v>68</v>
      </c>
      <c r="O985">
        <v>0</v>
      </c>
      <c r="P985">
        <v>0.125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47016.225846988251</v>
      </c>
      <c r="Z985">
        <v>235081129.23494121</v>
      </c>
      <c r="AA985">
        <v>285153409.76198381</v>
      </c>
      <c r="AB985">
        <v>285153.40976198373</v>
      </c>
      <c r="AC985">
        <v>0</v>
      </c>
      <c r="AD985">
        <v>2436.4441948765998</v>
      </c>
      <c r="AE985">
        <v>1461866.5169259601</v>
      </c>
      <c r="AF985">
        <v>1461866.5169259601</v>
      </c>
      <c r="AG985">
        <v>46.839752780815722</v>
      </c>
      <c r="AH985">
        <v>48.252559057433629</v>
      </c>
      <c r="AI985">
        <v>48.252559057433629</v>
      </c>
      <c r="AJ985">
        <v>9267.4858172644708</v>
      </c>
      <c r="AK985">
        <v>854.70085470085473</v>
      </c>
      <c r="AL985" t="s">
        <v>69</v>
      </c>
      <c r="AM985">
        <v>3739.5733269511061</v>
      </c>
      <c r="AN985">
        <v>511.89330503591918</v>
      </c>
      <c r="AO985">
        <v>8202.9350397637172</v>
      </c>
      <c r="AP985">
        <v>14373.653303952349</v>
      </c>
      <c r="AQ985">
        <v>6170.7182641886338</v>
      </c>
      <c r="AR985">
        <v>6.3394883937504158E-3</v>
      </c>
      <c r="AS985">
        <v>197.85513942892081</v>
      </c>
      <c r="AT985">
        <v>79.837597445278007</v>
      </c>
      <c r="AU985">
        <v>10.928608172449129</v>
      </c>
      <c r="AV985">
        <v>175.12763310577111</v>
      </c>
      <c r="AW985">
        <v>306.86868419680059</v>
      </c>
      <c r="AX985">
        <v>131.7410510910295</v>
      </c>
      <c r="AY985">
        <v>1.030162547681007</v>
      </c>
      <c r="AZ985" t="str">
        <f>VLOOKUP(BA985,Sheet1!$A$1:$B$58,2,FALSE)</f>
        <v>Acetone</v>
      </c>
      <c r="BA985" t="s">
        <v>93</v>
      </c>
      <c r="BB985" t="s">
        <v>94</v>
      </c>
      <c r="BC985">
        <v>58.078139999999998</v>
      </c>
      <c r="BD985">
        <v>5.333333333333333</v>
      </c>
      <c r="BE985">
        <v>56</v>
      </c>
      <c r="BF985" t="s">
        <v>212</v>
      </c>
      <c r="BG985">
        <v>0.30015321224900898</v>
      </c>
      <c r="BH985">
        <v>0.294455445544554</v>
      </c>
      <c r="BI985">
        <v>0.53373467014196796</v>
      </c>
      <c r="BJ985">
        <v>90</v>
      </c>
      <c r="BK985">
        <v>638.82903573121564</v>
      </c>
      <c r="BL985">
        <v>274.25414507505042</v>
      </c>
      <c r="BM985">
        <v>1.844404968081375</v>
      </c>
      <c r="BN985">
        <v>313.54884457383372</v>
      </c>
      <c r="BO985">
        <v>325.28019115738198</v>
      </c>
    </row>
    <row r="986" spans="1:67" x14ac:dyDescent="0.25">
      <c r="A986" s="1">
        <v>984</v>
      </c>
      <c r="B986" t="s">
        <v>210</v>
      </c>
      <c r="C986" t="s">
        <v>211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67</v>
      </c>
      <c r="J986">
        <v>1.2130000000000001</v>
      </c>
      <c r="K986">
        <v>500</v>
      </c>
      <c r="L986">
        <v>100</v>
      </c>
      <c r="N986" t="s">
        <v>68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31477.75160034333</v>
      </c>
      <c r="Z986">
        <v>157388758.00171661</v>
      </c>
      <c r="AA986">
        <v>190912563.45608231</v>
      </c>
      <c r="AB986">
        <v>190912.56345608231</v>
      </c>
      <c r="AC986">
        <v>0</v>
      </c>
      <c r="AD986">
        <v>1631.2195156629521</v>
      </c>
      <c r="AE986">
        <v>978731.70939777093</v>
      </c>
      <c r="AF986">
        <v>978731.70939777093</v>
      </c>
      <c r="AG986">
        <v>31.359601424716541</v>
      </c>
      <c r="AH986">
        <v>32.305486897946928</v>
      </c>
      <c r="AI986">
        <v>32.305486897946928</v>
      </c>
      <c r="AJ986">
        <v>6204.6583123226756</v>
      </c>
      <c r="AK986">
        <v>854.70085470085473</v>
      </c>
      <c r="AL986" t="s">
        <v>69</v>
      </c>
      <c r="AM986">
        <v>2503.6752345908872</v>
      </c>
      <c r="AN986">
        <v>342.71679641490448</v>
      </c>
      <c r="AO986">
        <v>5491.9327726509773</v>
      </c>
      <c r="AP986">
        <v>9905.751198029322</v>
      </c>
      <c r="AQ986">
        <v>4413.8184253783447</v>
      </c>
      <c r="AR986">
        <v>6.3394883937504176E-3</v>
      </c>
      <c r="AS986">
        <v>197.85513942892081</v>
      </c>
      <c r="AT986">
        <v>79.837597445278021</v>
      </c>
      <c r="AU986">
        <v>10.928608172449129</v>
      </c>
      <c r="AV986">
        <v>175.1276331057712</v>
      </c>
      <c r="AW986">
        <v>315.87618298687801</v>
      </c>
      <c r="AX986">
        <v>140.74854988110681</v>
      </c>
      <c r="AY986">
        <v>1.030162547681007</v>
      </c>
      <c r="AZ986" t="str">
        <f>VLOOKUP(BA986,Sheet1!$A$1:$B$58,2,FALSE)</f>
        <v>Acrylate (PW1)</v>
      </c>
      <c r="BA986" t="s">
        <v>95</v>
      </c>
      <c r="BB986" t="s">
        <v>96</v>
      </c>
      <c r="BC986">
        <v>71.053619999999995</v>
      </c>
      <c r="BD986">
        <v>3.666666666666667</v>
      </c>
      <c r="BE986">
        <v>80</v>
      </c>
      <c r="BF986" t="s">
        <v>212</v>
      </c>
      <c r="BG986">
        <v>-0.1352148495090868</v>
      </c>
      <c r="BH986">
        <v>0.359492753623189</v>
      </c>
      <c r="BI986">
        <v>0.79720400975172701</v>
      </c>
      <c r="BJ986">
        <v>90</v>
      </c>
      <c r="BK986">
        <v>440.25560880130308</v>
      </c>
      <c r="BL986">
        <v>196.16970779459311</v>
      </c>
      <c r="BM986">
        <v>1.5710142671956171</v>
      </c>
      <c r="BN986">
        <v>267.07242542325491</v>
      </c>
      <c r="BO986">
        <v>173.18318337804831</v>
      </c>
    </row>
    <row r="987" spans="1:67" x14ac:dyDescent="0.25">
      <c r="A987" s="1">
        <v>985</v>
      </c>
      <c r="B987" t="s">
        <v>210</v>
      </c>
      <c r="C987" t="s">
        <v>211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67</v>
      </c>
      <c r="J987">
        <v>1.2130000000000001</v>
      </c>
      <c r="K987">
        <v>500</v>
      </c>
      <c r="L987">
        <v>100</v>
      </c>
      <c r="N987" t="s">
        <v>68</v>
      </c>
      <c r="O987">
        <v>0</v>
      </c>
      <c r="P987">
        <v>0.125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27539.544391028969</v>
      </c>
      <c r="Z987">
        <v>137697721.95514491</v>
      </c>
      <c r="AA987">
        <v>167027336.73159069</v>
      </c>
      <c r="AB987">
        <v>167027.33673159071</v>
      </c>
      <c r="AC987">
        <v>0</v>
      </c>
      <c r="AD987">
        <v>1427.1363099079369</v>
      </c>
      <c r="AE987">
        <v>856281.78594476217</v>
      </c>
      <c r="AF987">
        <v>856281.78594476217</v>
      </c>
      <c r="AG987">
        <v>27.436176080363278</v>
      </c>
      <c r="AH987">
        <v>28.263721049571739</v>
      </c>
      <c r="AI987">
        <v>28.263721049571739</v>
      </c>
      <c r="AJ987">
        <v>5428.3884437766983</v>
      </c>
      <c r="AK987">
        <v>854.70085470085473</v>
      </c>
      <c r="AL987" t="s">
        <v>69</v>
      </c>
      <c r="AM987">
        <v>2190.4383813418099</v>
      </c>
      <c r="AN987">
        <v>299.83921813261139</v>
      </c>
      <c r="AO987">
        <v>4804.8325784271956</v>
      </c>
      <c r="AP987">
        <v>8773.3668979519753</v>
      </c>
      <c r="AQ987">
        <v>3968.5343195247801</v>
      </c>
      <c r="AR987">
        <v>6.3394883937504167E-3</v>
      </c>
      <c r="AS987">
        <v>197.85513942892081</v>
      </c>
      <c r="AT987">
        <v>79.837597445278021</v>
      </c>
      <c r="AU987">
        <v>10.928608172449129</v>
      </c>
      <c r="AV987">
        <v>175.1276331057712</v>
      </c>
      <c r="AW987">
        <v>319.77367663241091</v>
      </c>
      <c r="AX987">
        <v>144.64604352663969</v>
      </c>
      <c r="AY987">
        <v>1.030162547681007</v>
      </c>
      <c r="AZ987" t="str">
        <f>VLOOKUP(BA987,Sheet1!$A$1:$B$58,2,FALSE)</f>
        <v>Acrylate (PW2)</v>
      </c>
      <c r="BA987" t="s">
        <v>97</v>
      </c>
      <c r="BB987" t="s">
        <v>96</v>
      </c>
      <c r="BC987">
        <v>71.053619999999995</v>
      </c>
      <c r="BD987">
        <v>3.666666666666667</v>
      </c>
      <c r="BE987">
        <v>80</v>
      </c>
      <c r="BF987" t="s">
        <v>212</v>
      </c>
      <c r="BG987">
        <v>-0.35077569475576642</v>
      </c>
      <c r="BH987">
        <v>0.41090090090090098</v>
      </c>
      <c r="BI987">
        <v>0.91120569888356595</v>
      </c>
      <c r="BJ987">
        <v>90</v>
      </c>
      <c r="BK987">
        <v>389.92741768675438</v>
      </c>
      <c r="BL987">
        <v>176.3793030899902</v>
      </c>
      <c r="BM987">
        <v>1.606941074736733</v>
      </c>
      <c r="BN987">
        <v>273.17998270524453</v>
      </c>
      <c r="BO987">
        <v>116.7474349815099</v>
      </c>
    </row>
    <row r="988" spans="1:67" x14ac:dyDescent="0.25">
      <c r="A988" s="1">
        <v>986</v>
      </c>
      <c r="B988" t="s">
        <v>210</v>
      </c>
      <c r="C988" t="s">
        <v>211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67</v>
      </c>
      <c r="J988">
        <v>1.2130000000000001</v>
      </c>
      <c r="K988">
        <v>500</v>
      </c>
      <c r="L988">
        <v>100</v>
      </c>
      <c r="N988" t="s">
        <v>68</v>
      </c>
      <c r="O988">
        <v>0</v>
      </c>
      <c r="P988">
        <v>0.125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34298.696346050347</v>
      </c>
      <c r="Z988">
        <v>171493481.73025179</v>
      </c>
      <c r="AA988">
        <v>208021593.33879539</v>
      </c>
      <c r="AB988">
        <v>208021.59333879541</v>
      </c>
      <c r="AC988">
        <v>0</v>
      </c>
      <c r="AD988">
        <v>1777.404674635804</v>
      </c>
      <c r="AE988">
        <v>1066442.804781483</v>
      </c>
      <c r="AF988">
        <v>1066442.804781483</v>
      </c>
      <c r="AG988">
        <v>34.169957894571773</v>
      </c>
      <c r="AH988">
        <v>35.200610878824783</v>
      </c>
      <c r="AI988">
        <v>35.200610878824783</v>
      </c>
      <c r="AJ988">
        <v>6760.70178351085</v>
      </c>
      <c r="AK988">
        <v>854.70085470085473</v>
      </c>
      <c r="AL988" t="s">
        <v>69</v>
      </c>
      <c r="AM988">
        <v>2728.0473431089208</v>
      </c>
      <c r="AN988">
        <v>373.4300810988596</v>
      </c>
      <c r="AO988">
        <v>5984.1038494002132</v>
      </c>
      <c r="AP988">
        <v>10716.880062419479</v>
      </c>
      <c r="AQ988">
        <v>4732.7762130192714</v>
      </c>
      <c r="AR988">
        <v>6.3394883937504167E-3</v>
      </c>
      <c r="AS988">
        <v>197.85513942892081</v>
      </c>
      <c r="AT988">
        <v>79.837597445278021</v>
      </c>
      <c r="AU988">
        <v>10.928608172449129</v>
      </c>
      <c r="AV988">
        <v>175.12763310577111</v>
      </c>
      <c r="AW988">
        <v>313.63457032886669</v>
      </c>
      <c r="AX988">
        <v>138.50693722309549</v>
      </c>
      <c r="AY988">
        <v>1.030162547681007</v>
      </c>
      <c r="AZ988" t="str">
        <f>VLOOKUP(BA988,Sheet1!$A$1:$B$58,2,FALSE)</f>
        <v>Adipate</v>
      </c>
      <c r="BA988" t="s">
        <v>98</v>
      </c>
      <c r="BB988" t="s">
        <v>99</v>
      </c>
      <c r="BC988">
        <v>144.12291999999999</v>
      </c>
      <c r="BD988">
        <v>4</v>
      </c>
      <c r="BE988">
        <v>337.5</v>
      </c>
      <c r="BF988" t="s">
        <v>212</v>
      </c>
      <c r="BG988">
        <v>4.5179887886438952E-2</v>
      </c>
      <c r="BH988">
        <v>0.16265573770491801</v>
      </c>
      <c r="BI988">
        <v>0.73163683950489999</v>
      </c>
      <c r="BJ988">
        <v>90</v>
      </c>
      <c r="BK988">
        <v>476.30578055197708</v>
      </c>
      <c r="BL988">
        <v>210.34560946752319</v>
      </c>
      <c r="BM988">
        <v>1.5192917067279961</v>
      </c>
      <c r="BN988">
        <v>258.27959014375932</v>
      </c>
      <c r="BO988">
        <v>218.02619040821779</v>
      </c>
    </row>
    <row r="989" spans="1:67" x14ac:dyDescent="0.25">
      <c r="A989" s="1">
        <v>987</v>
      </c>
      <c r="B989" t="s">
        <v>210</v>
      </c>
      <c r="C989" t="s">
        <v>211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67</v>
      </c>
      <c r="J989">
        <v>1.2130000000000001</v>
      </c>
      <c r="K989">
        <v>500</v>
      </c>
      <c r="L989">
        <v>100</v>
      </c>
      <c r="N989" t="s">
        <v>68</v>
      </c>
      <c r="O989">
        <v>0</v>
      </c>
      <c r="P989">
        <v>0.125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45030.664998349763</v>
      </c>
      <c r="Z989">
        <v>225153324.99174881</v>
      </c>
      <c r="AA989">
        <v>273110983.21499127</v>
      </c>
      <c r="AB989">
        <v>273110.98321499128</v>
      </c>
      <c r="AC989">
        <v>0</v>
      </c>
      <c r="AD989">
        <v>2333.5497554338522</v>
      </c>
      <c r="AE989">
        <v>1400129.8532603111</v>
      </c>
      <c r="AF989">
        <v>1400129.8532603111</v>
      </c>
      <c r="AG989">
        <v>44.861644636104828</v>
      </c>
      <c r="AH989">
        <v>46.214786131489717</v>
      </c>
      <c r="AI989">
        <v>46.214786131489717</v>
      </c>
      <c r="AJ989">
        <v>8876.1069544872189</v>
      </c>
      <c r="AK989">
        <v>854.70085470085473</v>
      </c>
      <c r="AL989" t="s">
        <v>69</v>
      </c>
      <c r="AM989">
        <v>3581.645925190453</v>
      </c>
      <c r="AN989">
        <v>490.27533619964379</v>
      </c>
      <c r="AO989">
        <v>7856.5136423532531</v>
      </c>
      <c r="AP989">
        <v>13802.729070578171</v>
      </c>
      <c r="AQ989">
        <v>5946.2154282249176</v>
      </c>
      <c r="AR989">
        <v>6.3394883937504176E-3</v>
      </c>
      <c r="AS989">
        <v>197.85513942892081</v>
      </c>
      <c r="AT989">
        <v>79.837597445278007</v>
      </c>
      <c r="AU989">
        <v>10.928608172449129</v>
      </c>
      <c r="AV989">
        <v>175.12763310577111</v>
      </c>
      <c r="AW989">
        <v>307.67327374060818</v>
      </c>
      <c r="AX989">
        <v>132.54564063483701</v>
      </c>
      <c r="AY989">
        <v>1.030162547681007</v>
      </c>
      <c r="AZ989" t="str">
        <f>VLOOKUP(BA989,Sheet1!$A$1:$B$58,2,FALSE)</f>
        <v>Benzoate (PW1)</v>
      </c>
      <c r="BA989" t="s">
        <v>100</v>
      </c>
      <c r="BB989" t="s">
        <v>101</v>
      </c>
      <c r="BC989">
        <v>121.1121</v>
      </c>
      <c r="BD989">
        <v>4.1428571428571432</v>
      </c>
      <c r="BE989">
        <v>249.2</v>
      </c>
      <c r="BF989" t="s">
        <v>212</v>
      </c>
      <c r="BG989">
        <v>-7.8887884558477214E-2</v>
      </c>
      <c r="BH989">
        <v>0.147429420505201</v>
      </c>
      <c r="BI989">
        <v>0.55726891429833803</v>
      </c>
      <c r="BJ989">
        <v>90</v>
      </c>
      <c r="BK989">
        <v>613.45462535902971</v>
      </c>
      <c r="BL989">
        <v>264.27624125444072</v>
      </c>
      <c r="BM989">
        <v>2.1328783792913542</v>
      </c>
      <c r="BN989">
        <v>362.58932447953009</v>
      </c>
      <c r="BO989">
        <v>250.86530087949961</v>
      </c>
    </row>
    <row r="990" spans="1:67" x14ac:dyDescent="0.25">
      <c r="A990" s="1">
        <v>988</v>
      </c>
      <c r="B990" t="s">
        <v>210</v>
      </c>
      <c r="C990" t="s">
        <v>211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67</v>
      </c>
      <c r="J990">
        <v>1.2130000000000001</v>
      </c>
      <c r="K990">
        <v>500</v>
      </c>
      <c r="L990">
        <v>100</v>
      </c>
      <c r="N990" t="s">
        <v>68</v>
      </c>
      <c r="O990">
        <v>0</v>
      </c>
      <c r="P990">
        <v>0.125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45030.664998349763</v>
      </c>
      <c r="Z990">
        <v>225153324.99174881</v>
      </c>
      <c r="AA990">
        <v>273110983.21499127</v>
      </c>
      <c r="AB990">
        <v>273110.98321499128</v>
      </c>
      <c r="AC990">
        <v>0</v>
      </c>
      <c r="AD990">
        <v>2333.5497554338522</v>
      </c>
      <c r="AE990">
        <v>1400129.8532603111</v>
      </c>
      <c r="AF990">
        <v>1400129.8532603111</v>
      </c>
      <c r="AG990">
        <v>44.861644636104828</v>
      </c>
      <c r="AH990">
        <v>46.214786131489717</v>
      </c>
      <c r="AI990">
        <v>46.214786131489717</v>
      </c>
      <c r="AJ990">
        <v>8876.1069544872189</v>
      </c>
      <c r="AK990">
        <v>854.70085470085473</v>
      </c>
      <c r="AL990" t="s">
        <v>69</v>
      </c>
      <c r="AM990">
        <v>3581.645925190453</v>
      </c>
      <c r="AN990">
        <v>490.27533619964379</v>
      </c>
      <c r="AO990">
        <v>7856.5136423532531</v>
      </c>
      <c r="AP990">
        <v>13802.729070578171</v>
      </c>
      <c r="AQ990">
        <v>5946.2154282249176</v>
      </c>
      <c r="AR990">
        <v>6.3394883937504176E-3</v>
      </c>
      <c r="AS990">
        <v>197.85513942892081</v>
      </c>
      <c r="AT990">
        <v>79.837597445278007</v>
      </c>
      <c r="AU990">
        <v>10.928608172449129</v>
      </c>
      <c r="AV990">
        <v>175.12763310577111</v>
      </c>
      <c r="AW990">
        <v>307.67327374060818</v>
      </c>
      <c r="AX990">
        <v>132.54564063483701</v>
      </c>
      <c r="AY990">
        <v>1.030162547681007</v>
      </c>
      <c r="AZ990" t="str">
        <f>VLOOKUP(BA990,Sheet1!$A$1:$B$58,2,FALSE)</f>
        <v>Benzoate (PW2)</v>
      </c>
      <c r="BA990" t="s">
        <v>102</v>
      </c>
      <c r="BB990" t="s">
        <v>101</v>
      </c>
      <c r="BC990">
        <v>121.1121</v>
      </c>
      <c r="BD990">
        <v>4.1428571428571432</v>
      </c>
      <c r="BE990">
        <v>249.2</v>
      </c>
      <c r="BF990" t="s">
        <v>212</v>
      </c>
      <c r="BG990">
        <v>-7.8887884558477214E-2</v>
      </c>
      <c r="BH990">
        <v>0.147429420505201</v>
      </c>
      <c r="BI990">
        <v>0.55726891429833803</v>
      </c>
      <c r="BJ990">
        <v>90</v>
      </c>
      <c r="BK990">
        <v>613.45462535902971</v>
      </c>
      <c r="BL990">
        <v>264.27624125444072</v>
      </c>
      <c r="BM990">
        <v>2.1328783792913542</v>
      </c>
      <c r="BN990">
        <v>362.58932447953009</v>
      </c>
      <c r="BO990">
        <v>250.86530087949961</v>
      </c>
    </row>
    <row r="991" spans="1:67" x14ac:dyDescent="0.25">
      <c r="A991" s="1">
        <v>989</v>
      </c>
      <c r="B991" t="s">
        <v>210</v>
      </c>
      <c r="C991" t="s">
        <v>211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67</v>
      </c>
      <c r="J991">
        <v>1.2130000000000001</v>
      </c>
      <c r="K991">
        <v>500</v>
      </c>
      <c r="L991">
        <v>100</v>
      </c>
      <c r="N991" t="s">
        <v>68</v>
      </c>
      <c r="O991">
        <v>0</v>
      </c>
      <c r="P991">
        <v>0.125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61899.634889583598</v>
      </c>
      <c r="Z991">
        <v>309498174.447918</v>
      </c>
      <c r="AA991">
        <v>375421285.60532463</v>
      </c>
      <c r="AB991">
        <v>375421.28560532449</v>
      </c>
      <c r="AC991">
        <v>0</v>
      </c>
      <c r="AD991">
        <v>3207.7225122774912</v>
      </c>
      <c r="AE991">
        <v>1924633.507366495</v>
      </c>
      <c r="AF991">
        <v>1924633.507366495</v>
      </c>
      <c r="AG991">
        <v>61.667297687540298</v>
      </c>
      <c r="AH991">
        <v>63.527340494399567</v>
      </c>
      <c r="AI991">
        <v>63.527340494399567</v>
      </c>
      <c r="AJ991">
        <v>12201.191782173049</v>
      </c>
      <c r="AK991">
        <v>854.70085470085473</v>
      </c>
      <c r="AL991" t="s">
        <v>69</v>
      </c>
      <c r="AM991">
        <v>4923.3688883159666</v>
      </c>
      <c r="AN991">
        <v>673.93773348090599</v>
      </c>
      <c r="AO991">
        <v>10799.64788404793</v>
      </c>
      <c r="AP991">
        <v>18653.199258670778</v>
      </c>
      <c r="AQ991">
        <v>7853.5513746228517</v>
      </c>
      <c r="AR991">
        <v>6.339488393750415E-3</v>
      </c>
      <c r="AS991">
        <v>197.85513942892069</v>
      </c>
      <c r="AT991">
        <v>79.837597445278007</v>
      </c>
      <c r="AU991">
        <v>10.928608172449129</v>
      </c>
      <c r="AV991">
        <v>175.12763310577111</v>
      </c>
      <c r="AW991">
        <v>302.4812170817662</v>
      </c>
      <c r="AX991">
        <v>127.35358397599509</v>
      </c>
      <c r="AY991">
        <v>1.030162547681007</v>
      </c>
      <c r="AZ991" t="str">
        <f>VLOOKUP(BA991,Sheet1!$A$1:$B$58,2,FALSE)</f>
        <v>Benzyl Alcohol</v>
      </c>
      <c r="BA991" t="s">
        <v>103</v>
      </c>
      <c r="BB991" t="s">
        <v>104</v>
      </c>
      <c r="BC991">
        <v>108.13661999999999</v>
      </c>
      <c r="BD991">
        <v>4.8571428571428568</v>
      </c>
      <c r="BE991">
        <v>205</v>
      </c>
      <c r="BF991" t="s">
        <v>212</v>
      </c>
      <c r="BG991">
        <v>0.53922867999314139</v>
      </c>
      <c r="BH991">
        <v>0.120121065375303</v>
      </c>
      <c r="BI991">
        <v>0.40540125702721003</v>
      </c>
      <c r="BJ991">
        <v>90</v>
      </c>
      <c r="BK991">
        <v>829.03107816314559</v>
      </c>
      <c r="BL991">
        <v>349.04672776101557</v>
      </c>
      <c r="BM991">
        <v>2.284208675313506</v>
      </c>
      <c r="BN991">
        <v>388.31547480329613</v>
      </c>
      <c r="BO991">
        <v>440.71560335984952</v>
      </c>
    </row>
    <row r="992" spans="1:67" x14ac:dyDescent="0.25">
      <c r="A992" s="1">
        <v>990</v>
      </c>
      <c r="B992" t="s">
        <v>210</v>
      </c>
      <c r="C992" t="s">
        <v>211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67</v>
      </c>
      <c r="J992">
        <v>1.2130000000000001</v>
      </c>
      <c r="K992">
        <v>500</v>
      </c>
      <c r="L992">
        <v>100</v>
      </c>
      <c r="N992" t="s">
        <v>68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67493.625620410574</v>
      </c>
      <c r="Z992">
        <v>337468128.10205293</v>
      </c>
      <c r="AA992">
        <v>409348839.38779008</v>
      </c>
      <c r="AB992">
        <v>409348.83938779013</v>
      </c>
      <c r="AC992">
        <v>0</v>
      </c>
      <c r="AD992">
        <v>3497.6106518885508</v>
      </c>
      <c r="AE992">
        <v>2098566.391133131</v>
      </c>
      <c r="AF992">
        <v>2098566.391133131</v>
      </c>
      <c r="AG992">
        <v>67.240291652280121</v>
      </c>
      <c r="AH992">
        <v>69.268430155326811</v>
      </c>
      <c r="AI992">
        <v>69.268430155326811</v>
      </c>
      <c r="AJ992">
        <v>13303.83728010318</v>
      </c>
      <c r="AK992">
        <v>854.70085470085473</v>
      </c>
      <c r="AL992" t="s">
        <v>69</v>
      </c>
      <c r="AM992">
        <v>5368.303337037828</v>
      </c>
      <c r="AN992">
        <v>734.84280086897115</v>
      </c>
      <c r="AO992">
        <v>11775.633126405561</v>
      </c>
      <c r="AP992">
        <v>20261.684272710831</v>
      </c>
      <c r="AQ992">
        <v>8486.0511463052771</v>
      </c>
      <c r="AR992">
        <v>6.3394883937504158E-3</v>
      </c>
      <c r="AS992">
        <v>197.85513942892081</v>
      </c>
      <c r="AT992">
        <v>79.837597445278007</v>
      </c>
      <c r="AU992">
        <v>10.92860817244912</v>
      </c>
      <c r="AV992">
        <v>175.12763310577111</v>
      </c>
      <c r="AW992">
        <v>301.3324864426545</v>
      </c>
      <c r="AX992">
        <v>126.2048533368834</v>
      </c>
      <c r="AY992">
        <v>1.030162547681007</v>
      </c>
      <c r="AZ992" t="str">
        <f>VLOOKUP(BA992,Sheet1!$A$1:$B$58,2,FALSE)</f>
        <v>Beta Carotene</v>
      </c>
      <c r="BA992" t="s">
        <v>105</v>
      </c>
      <c r="BB992" t="s">
        <v>106</v>
      </c>
      <c r="BC992">
        <v>536.86703999999997</v>
      </c>
      <c r="BD992">
        <v>5.4</v>
      </c>
      <c r="BE992">
        <v>633</v>
      </c>
      <c r="BF992" t="s">
        <v>212</v>
      </c>
      <c r="BG992">
        <v>0.41529210539101591</v>
      </c>
      <c r="BH992">
        <v>2.2189655172413801E-2</v>
      </c>
      <c r="BI992">
        <v>0.37180088583319298</v>
      </c>
      <c r="BJ992">
        <v>90</v>
      </c>
      <c r="BK992">
        <v>900.51930100937045</v>
      </c>
      <c r="BL992">
        <v>377.15782872467901</v>
      </c>
      <c r="BM992">
        <v>2.6633047904012859</v>
      </c>
      <c r="BN992">
        <v>452.76181436821872</v>
      </c>
      <c r="BO992">
        <v>447.75748664115179</v>
      </c>
    </row>
    <row r="993" spans="1:67" x14ac:dyDescent="0.25">
      <c r="A993" s="1">
        <v>991</v>
      </c>
      <c r="B993" t="s">
        <v>210</v>
      </c>
      <c r="C993" t="s">
        <v>211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67</v>
      </c>
      <c r="J993">
        <v>1.2130000000000001</v>
      </c>
      <c r="K993">
        <v>500</v>
      </c>
      <c r="L993">
        <v>100</v>
      </c>
      <c r="N993" t="s">
        <v>68</v>
      </c>
      <c r="O993">
        <v>0</v>
      </c>
      <c r="P993">
        <v>0.125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71932.542892636498</v>
      </c>
      <c r="Z993">
        <v>359662714.46318251</v>
      </c>
      <c r="AA993">
        <v>436270872.64384037</v>
      </c>
      <c r="AB993">
        <v>436270.87264384038</v>
      </c>
      <c r="AC993">
        <v>66773.504273504266</v>
      </c>
      <c r="AD993">
        <v>3727.641327992791</v>
      </c>
      <c r="AE993">
        <v>2236584.7967956751</v>
      </c>
      <c r="AF993">
        <v>2236584.7967956751</v>
      </c>
      <c r="AG993">
        <v>71.662547669218014</v>
      </c>
      <c r="AH993">
        <v>73.824072680233229</v>
      </c>
      <c r="AI993">
        <v>73.824072680233229</v>
      </c>
      <c r="AJ993">
        <v>14178.80336092481</v>
      </c>
      <c r="AK993">
        <v>2170.1388888888891</v>
      </c>
      <c r="AL993" t="s">
        <v>107</v>
      </c>
      <c r="AM993">
        <v>5721.3656327180752</v>
      </c>
      <c r="AN993">
        <v>783.17190411634101</v>
      </c>
      <c r="AO993">
        <v>12550.09235563965</v>
      </c>
      <c r="AP993">
        <v>22853.47978664812</v>
      </c>
      <c r="AQ993">
        <v>10303.38743100847</v>
      </c>
      <c r="AR993">
        <v>6.3394883937504167E-3</v>
      </c>
      <c r="AS993">
        <v>197.85513942892081</v>
      </c>
      <c r="AT993">
        <v>79.837597445278021</v>
      </c>
      <c r="AU993">
        <v>10.928608172449129</v>
      </c>
      <c r="AV993">
        <v>175.12763310577111</v>
      </c>
      <c r="AW993">
        <v>318.90409328085627</v>
      </c>
      <c r="AX993">
        <v>143.77646017508519</v>
      </c>
      <c r="AY993">
        <v>1.030162547681007</v>
      </c>
      <c r="AZ993" t="str">
        <f>VLOOKUP(BA993,Sheet1!$A$1:$B$58,2,FALSE)</f>
        <v>Butane</v>
      </c>
      <c r="BA993" t="s">
        <v>108</v>
      </c>
      <c r="BB993" t="s">
        <v>109</v>
      </c>
      <c r="BC993">
        <v>58.121200000000002</v>
      </c>
      <c r="BD993">
        <v>6.5</v>
      </c>
      <c r="BE993">
        <v>-1</v>
      </c>
      <c r="BF993" t="s">
        <v>212</v>
      </c>
      <c r="BG993">
        <v>0.90844070029512836</v>
      </c>
      <c r="BH993">
        <v>0.19231805929919099</v>
      </c>
      <c r="BI993">
        <v>0.34885725965808101</v>
      </c>
      <c r="BJ993">
        <v>90</v>
      </c>
      <c r="BK993">
        <v>1015.710212739916</v>
      </c>
      <c r="BL993">
        <v>457.92833026704312</v>
      </c>
      <c r="BM993">
        <v>2.3726291966041271</v>
      </c>
      <c r="BN993">
        <v>403.34696342270161</v>
      </c>
      <c r="BO993">
        <v>612.3632493172147</v>
      </c>
    </row>
    <row r="994" spans="1:67" x14ac:dyDescent="0.25">
      <c r="A994" s="1">
        <v>992</v>
      </c>
      <c r="B994" t="s">
        <v>210</v>
      </c>
      <c r="C994" t="s">
        <v>211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67</v>
      </c>
      <c r="J994">
        <v>1.2130000000000001</v>
      </c>
      <c r="K994">
        <v>500</v>
      </c>
      <c r="L994">
        <v>100</v>
      </c>
      <c r="N994" t="s">
        <v>68</v>
      </c>
      <c r="O994">
        <v>0</v>
      </c>
      <c r="P994">
        <v>0.125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48512.55496827716</v>
      </c>
      <c r="Z994">
        <v>242562774.84138581</v>
      </c>
      <c r="AA994">
        <v>294228645.88260102</v>
      </c>
      <c r="AB994">
        <v>294228.64588260098</v>
      </c>
      <c r="AC994">
        <v>0</v>
      </c>
      <c r="AD994">
        <v>2513.9859867901828</v>
      </c>
      <c r="AE994">
        <v>1508391.5920741099</v>
      </c>
      <c r="AF994">
        <v>1508391.5920741099</v>
      </c>
      <c r="AG994">
        <v>48.33046550514208</v>
      </c>
      <c r="AH994">
        <v>49.78823547538618</v>
      </c>
      <c r="AI994">
        <v>49.78823547538618</v>
      </c>
      <c r="AJ994">
        <v>9562.4309911845339</v>
      </c>
      <c r="AK994">
        <v>854.70085470085473</v>
      </c>
      <c r="AL994" t="s">
        <v>69</v>
      </c>
      <c r="AM994">
        <v>3858.5882493424292</v>
      </c>
      <c r="AN994">
        <v>528.18472029776626</v>
      </c>
      <c r="AO994">
        <v>8464.0000308156505</v>
      </c>
      <c r="AP994">
        <v>14803.90481552558</v>
      </c>
      <c r="AQ994">
        <v>6339.9047847099337</v>
      </c>
      <c r="AR994">
        <v>6.3394883937504176E-3</v>
      </c>
      <c r="AS994">
        <v>197.85513942892081</v>
      </c>
      <c r="AT994">
        <v>79.837597445278035</v>
      </c>
      <c r="AU994">
        <v>10.928608172449129</v>
      </c>
      <c r="AV994">
        <v>175.1276331057712</v>
      </c>
      <c r="AW994">
        <v>306.3058603056603</v>
      </c>
      <c r="AX994">
        <v>131.17822719988911</v>
      </c>
      <c r="AY994">
        <v>1.030162547681007</v>
      </c>
      <c r="AZ994" t="str">
        <f>VLOOKUP(BA994,Sheet1!$A$1:$B$58,2,FALSE)</f>
        <v>Butanol (PW1)</v>
      </c>
      <c r="BA994" t="s">
        <v>110</v>
      </c>
      <c r="BB994" t="s">
        <v>111</v>
      </c>
      <c r="BC994">
        <v>74.120199999999997</v>
      </c>
      <c r="BD994">
        <v>6</v>
      </c>
      <c r="BE994">
        <v>117.7</v>
      </c>
      <c r="BF994" t="s">
        <v>212</v>
      </c>
      <c r="BG994">
        <v>0.28031150920277531</v>
      </c>
      <c r="BH994">
        <v>0.22360902255639101</v>
      </c>
      <c r="BI994">
        <v>0.51727207132611097</v>
      </c>
      <c r="BJ994">
        <v>90</v>
      </c>
      <c r="BK994">
        <v>657.95132513447038</v>
      </c>
      <c r="BL994">
        <v>281.77354598710809</v>
      </c>
      <c r="BM994">
        <v>1.932498956369944</v>
      </c>
      <c r="BN994">
        <v>328.52482258289052</v>
      </c>
      <c r="BO994">
        <v>329.42650255157992</v>
      </c>
    </row>
    <row r="995" spans="1:67" x14ac:dyDescent="0.25">
      <c r="A995" s="1">
        <v>993</v>
      </c>
      <c r="B995" t="s">
        <v>210</v>
      </c>
      <c r="C995" t="s">
        <v>211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67</v>
      </c>
      <c r="J995">
        <v>1.2130000000000001</v>
      </c>
      <c r="K995">
        <v>500</v>
      </c>
      <c r="L995">
        <v>100</v>
      </c>
      <c r="N995" t="s">
        <v>68</v>
      </c>
      <c r="O995">
        <v>0</v>
      </c>
      <c r="P995">
        <v>0.125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55442.919963745342</v>
      </c>
      <c r="Z995">
        <v>277214599.81872672</v>
      </c>
      <c r="AA995">
        <v>336261309.58011562</v>
      </c>
      <c r="AB995">
        <v>336261.30958011549</v>
      </c>
      <c r="AC995">
        <v>0</v>
      </c>
      <c r="AD995">
        <v>2873.1268420459241</v>
      </c>
      <c r="AE995">
        <v>1723876.105227554</v>
      </c>
      <c r="AF995">
        <v>1723876.105227554</v>
      </c>
      <c r="AG995">
        <v>55.23481772016239</v>
      </c>
      <c r="AH995">
        <v>56.900840543298507</v>
      </c>
      <c r="AI995">
        <v>56.900840543298507</v>
      </c>
      <c r="AJ995">
        <v>10928.49256135376</v>
      </c>
      <c r="AK995">
        <v>854.70085470085473</v>
      </c>
      <c r="AL995" t="s">
        <v>69</v>
      </c>
      <c r="AM995">
        <v>4409.8151421056345</v>
      </c>
      <c r="AN995">
        <v>603.63968034030449</v>
      </c>
      <c r="AO995">
        <v>9673.1428923607455</v>
      </c>
      <c r="AP995">
        <v>16796.648238500551</v>
      </c>
      <c r="AQ995">
        <v>7123.5053461398056</v>
      </c>
      <c r="AR995">
        <v>6.3394883937504176E-3</v>
      </c>
      <c r="AS995">
        <v>197.85513942892081</v>
      </c>
      <c r="AT995">
        <v>79.837597445278021</v>
      </c>
      <c r="AU995">
        <v>10.928608172449129</v>
      </c>
      <c r="AV995">
        <v>175.12763310577111</v>
      </c>
      <c r="AW995">
        <v>304.09529589828378</v>
      </c>
      <c r="AX995">
        <v>128.96766279251261</v>
      </c>
      <c r="AY995">
        <v>1.030162547681007</v>
      </c>
      <c r="AZ995" t="str">
        <f>VLOOKUP(BA995,Sheet1!$A$1:$B$58,2,FALSE)</f>
        <v>Butanol (PW2)</v>
      </c>
      <c r="BA995" t="s">
        <v>112</v>
      </c>
      <c r="BB995" t="s">
        <v>111</v>
      </c>
      <c r="BC995">
        <v>74.120199999999997</v>
      </c>
      <c r="BD995">
        <v>6</v>
      </c>
      <c r="BE995">
        <v>117.7</v>
      </c>
      <c r="BF995" t="s">
        <v>212</v>
      </c>
      <c r="BG995">
        <v>0.6596504461580972</v>
      </c>
      <c r="BH995">
        <v>0.195657894736842</v>
      </c>
      <c r="BI995">
        <v>0.45261306241034699</v>
      </c>
      <c r="BJ995">
        <v>90</v>
      </c>
      <c r="BK995">
        <v>746.51769948891331</v>
      </c>
      <c r="BL995">
        <v>316.60023760621362</v>
      </c>
      <c r="BM995">
        <v>1.869275800210725</v>
      </c>
      <c r="BN995">
        <v>317.77688603582328</v>
      </c>
      <c r="BO995">
        <v>428.74081345309003</v>
      </c>
    </row>
    <row r="996" spans="1:67" x14ac:dyDescent="0.25">
      <c r="A996" s="1">
        <v>994</v>
      </c>
      <c r="B996" t="s">
        <v>210</v>
      </c>
      <c r="C996" t="s">
        <v>211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67</v>
      </c>
      <c r="J996">
        <v>1.2130000000000001</v>
      </c>
      <c r="K996">
        <v>500</v>
      </c>
      <c r="L996">
        <v>100</v>
      </c>
      <c r="N996" t="s">
        <v>68</v>
      </c>
      <c r="O996">
        <v>0</v>
      </c>
      <c r="P996">
        <v>0.125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36008.121416949303</v>
      </c>
      <c r="Z996">
        <v>180040607.08474651</v>
      </c>
      <c r="AA996">
        <v>218389256.39379749</v>
      </c>
      <c r="AB996">
        <v>218389.25639379749</v>
      </c>
      <c r="AC996">
        <v>0</v>
      </c>
      <c r="AD996">
        <v>1865.9893858825719</v>
      </c>
      <c r="AE996">
        <v>1119593.6315295431</v>
      </c>
      <c r="AF996">
        <v>1119593.6315295431</v>
      </c>
      <c r="AG996">
        <v>35.872966723455988</v>
      </c>
      <c r="AH996">
        <v>36.954986792711402</v>
      </c>
      <c r="AI996">
        <v>36.954986792711402</v>
      </c>
      <c r="AJ996">
        <v>7097.6508327984193</v>
      </c>
      <c r="AK996">
        <v>854.70085470085473</v>
      </c>
      <c r="AL996" t="s">
        <v>69</v>
      </c>
      <c r="AM996">
        <v>2864.0114764351329</v>
      </c>
      <c r="AN996">
        <v>392.04159730395662</v>
      </c>
      <c r="AO996">
        <v>6282.3477547609373</v>
      </c>
      <c r="AP996">
        <v>11208.40476123836</v>
      </c>
      <c r="AQ996">
        <v>4926.0570064774274</v>
      </c>
      <c r="AR996">
        <v>6.3394883937504158E-3</v>
      </c>
      <c r="AS996">
        <v>197.85513942892081</v>
      </c>
      <c r="AT996">
        <v>79.837597445278007</v>
      </c>
      <c r="AU996">
        <v>10.92860817244912</v>
      </c>
      <c r="AV996">
        <v>175.12763310577111</v>
      </c>
      <c r="AW996">
        <v>312.44710948062198</v>
      </c>
      <c r="AX996">
        <v>137.31947637485089</v>
      </c>
      <c r="AY996">
        <v>1.030162547681007</v>
      </c>
      <c r="AZ996" t="str">
        <f>VLOOKUP(BA996,Sheet1!$A$1:$B$58,2,FALSE)</f>
        <v>Butyrate</v>
      </c>
      <c r="BA996" t="s">
        <v>113</v>
      </c>
      <c r="BB996" t="s">
        <v>114</v>
      </c>
      <c r="BC996">
        <v>87.095680000000002</v>
      </c>
      <c r="BD996">
        <v>4.75</v>
      </c>
      <c r="BE996">
        <v>163.5</v>
      </c>
      <c r="BF996" t="s">
        <v>212</v>
      </c>
      <c r="BG996">
        <v>-5.0292763635138307E-2</v>
      </c>
      <c r="BH996">
        <v>0.25637931034482803</v>
      </c>
      <c r="BI996">
        <v>0.69690360969374299</v>
      </c>
      <c r="BJ996">
        <v>90</v>
      </c>
      <c r="BK996">
        <v>498.15132272170501</v>
      </c>
      <c r="BL996">
        <v>218.93586695455221</v>
      </c>
      <c r="BM996">
        <v>1.692736621088978</v>
      </c>
      <c r="BN996">
        <v>287.76522558512619</v>
      </c>
      <c r="BO996">
        <v>210.38609713657871</v>
      </c>
    </row>
    <row r="997" spans="1:67" x14ac:dyDescent="0.25">
      <c r="A997" s="1">
        <v>995</v>
      </c>
      <c r="B997" t="s">
        <v>210</v>
      </c>
      <c r="C997" t="s">
        <v>211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67</v>
      </c>
      <c r="J997">
        <v>1.2130000000000001</v>
      </c>
      <c r="K997">
        <v>500</v>
      </c>
      <c r="L997">
        <v>100</v>
      </c>
      <c r="N997" t="s">
        <v>68</v>
      </c>
      <c r="O997">
        <v>0</v>
      </c>
      <c r="P997">
        <v>0.125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41361.223911271998</v>
      </c>
      <c r="Z997">
        <v>206806119.55636001</v>
      </c>
      <c r="AA997">
        <v>250855823.02186471</v>
      </c>
      <c r="AB997">
        <v>250855.82302186469</v>
      </c>
      <c r="AC997">
        <v>0</v>
      </c>
      <c r="AD997">
        <v>2143.3943723933612</v>
      </c>
      <c r="AE997">
        <v>1286036.623436016</v>
      </c>
      <c r="AF997">
        <v>1286036.623436016</v>
      </c>
      <c r="AG997">
        <v>41.205976613710803</v>
      </c>
      <c r="AH997">
        <v>42.44885384806431</v>
      </c>
      <c r="AI997">
        <v>42.44885384806431</v>
      </c>
      <c r="AJ997">
        <v>8152.8142482106032</v>
      </c>
      <c r="AK997">
        <v>854.70085470085473</v>
      </c>
      <c r="AL997" t="s">
        <v>69</v>
      </c>
      <c r="AM997">
        <v>3289.7861732249839</v>
      </c>
      <c r="AN997">
        <v>450.32397277434762</v>
      </c>
      <c r="AO997">
        <v>7216.3051541709328</v>
      </c>
      <c r="AP997">
        <v>12747.62524891079</v>
      </c>
      <c r="AQ997">
        <v>5531.3200947398573</v>
      </c>
      <c r="AR997">
        <v>6.3394883937504193E-3</v>
      </c>
      <c r="AS997">
        <v>197.85513942892089</v>
      </c>
      <c r="AT997">
        <v>79.837597445278021</v>
      </c>
      <c r="AU997">
        <v>10.928608172449129</v>
      </c>
      <c r="AV997">
        <v>175.1276331057712</v>
      </c>
      <c r="AW997">
        <v>309.36350249417859</v>
      </c>
      <c r="AX997">
        <v>134.23586938840751</v>
      </c>
      <c r="AY997">
        <v>1.030162547681007</v>
      </c>
      <c r="AZ997" t="str">
        <f>VLOOKUP(BA997,Sheet1!$A$1:$B$58,2,FALSE)</f>
        <v>Catechol</v>
      </c>
      <c r="BA997" t="s">
        <v>115</v>
      </c>
      <c r="BB997" t="s">
        <v>116</v>
      </c>
      <c r="BC997">
        <v>110.10924</v>
      </c>
      <c r="BD997">
        <v>4.333333333333333</v>
      </c>
      <c r="BE997">
        <v>245</v>
      </c>
      <c r="BF997" t="s">
        <v>212</v>
      </c>
      <c r="BG997">
        <v>-0.13422498792099741</v>
      </c>
      <c r="BH997">
        <v>0.17654804270462601</v>
      </c>
      <c r="BI997">
        <v>0.60670810534027098</v>
      </c>
      <c r="BJ997">
        <v>90</v>
      </c>
      <c r="BK997">
        <v>566.56112217381292</v>
      </c>
      <c r="BL997">
        <v>245.83644865510479</v>
      </c>
      <c r="BM997">
        <v>2.0208407145016341</v>
      </c>
      <c r="BN997">
        <v>343.54292146527769</v>
      </c>
      <c r="BO997">
        <v>223.0182007085352</v>
      </c>
    </row>
    <row r="998" spans="1:67" x14ac:dyDescent="0.25">
      <c r="A998" s="1">
        <v>996</v>
      </c>
      <c r="B998" t="s">
        <v>210</v>
      </c>
      <c r="C998" t="s">
        <v>211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67</v>
      </c>
      <c r="J998">
        <v>1.2130000000000001</v>
      </c>
      <c r="K998">
        <v>500</v>
      </c>
      <c r="L998">
        <v>100</v>
      </c>
      <c r="N998" t="s">
        <v>68</v>
      </c>
      <c r="O998">
        <v>0</v>
      </c>
      <c r="P998">
        <v>0.125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32856.189535941732</v>
      </c>
      <c r="Z998">
        <v>164280947.67970869</v>
      </c>
      <c r="AA998">
        <v>199272789.53548661</v>
      </c>
      <c r="AB998">
        <v>199272.78953548661</v>
      </c>
      <c r="AC998">
        <v>0</v>
      </c>
      <c r="AD998">
        <v>1702.6520274327479</v>
      </c>
      <c r="AE998">
        <v>1021591.216459649</v>
      </c>
      <c r="AF998">
        <v>1021591.216459649</v>
      </c>
      <c r="AG998">
        <v>32.732865462056601</v>
      </c>
      <c r="AH998">
        <v>33.72017207729187</v>
      </c>
      <c r="AI998">
        <v>33.72017207729187</v>
      </c>
      <c r="AJ998">
        <v>6476.3656599033147</v>
      </c>
      <c r="AK998">
        <v>854.70085470085473</v>
      </c>
      <c r="AL998" t="s">
        <v>69</v>
      </c>
      <c r="AM998">
        <v>2613.3133359901199</v>
      </c>
      <c r="AN998">
        <v>357.72466099630952</v>
      </c>
      <c r="AO998">
        <v>5732.4292531396177</v>
      </c>
      <c r="AP998">
        <v>10302.1045115906</v>
      </c>
      <c r="AQ998">
        <v>4569.6752584509823</v>
      </c>
      <c r="AR998">
        <v>6.3394883937504167E-3</v>
      </c>
      <c r="AS998">
        <v>197.85513942892081</v>
      </c>
      <c r="AT998">
        <v>79.837597445278021</v>
      </c>
      <c r="AU998">
        <v>10.928608172449129</v>
      </c>
      <c r="AV998">
        <v>175.1276331057712</v>
      </c>
      <c r="AW998">
        <v>314.73274234217678</v>
      </c>
      <c r="AX998">
        <v>139.60510923640561</v>
      </c>
      <c r="AY998">
        <v>1.030162547681007</v>
      </c>
      <c r="AZ998" t="str">
        <f>VLOOKUP(BA998,Sheet1!$A$1:$B$58,2,FALSE)</f>
        <v>cis,cis-Muconate</v>
      </c>
      <c r="BA998" t="s">
        <v>117</v>
      </c>
      <c r="BB998" t="s">
        <v>118</v>
      </c>
      <c r="BC998">
        <v>140.09155999999999</v>
      </c>
      <c r="BD998">
        <v>3.333333333333333</v>
      </c>
      <c r="BE998">
        <v>345.4</v>
      </c>
      <c r="BF998" t="s">
        <v>212</v>
      </c>
      <c r="BG998">
        <v>-8.6500948464940372E-2</v>
      </c>
      <c r="BH998">
        <v>0.17468309859154901</v>
      </c>
      <c r="BI998">
        <v>0.76375837089421905</v>
      </c>
      <c r="BJ998">
        <v>90</v>
      </c>
      <c r="BK998">
        <v>457.87131162624883</v>
      </c>
      <c r="BL998">
        <v>203.0966781533769</v>
      </c>
      <c r="BM998">
        <v>1.5851752630112459</v>
      </c>
      <c r="BN998">
        <v>269.47979471191178</v>
      </c>
      <c r="BO998">
        <v>188.39151691433699</v>
      </c>
    </row>
    <row r="999" spans="1:67" x14ac:dyDescent="0.25">
      <c r="A999" s="1">
        <v>997</v>
      </c>
      <c r="B999" t="s">
        <v>210</v>
      </c>
      <c r="C999" t="s">
        <v>211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67</v>
      </c>
      <c r="J999">
        <v>1.2130000000000001</v>
      </c>
      <c r="K999">
        <v>500</v>
      </c>
      <c r="L999">
        <v>100</v>
      </c>
      <c r="N999" t="s">
        <v>68</v>
      </c>
      <c r="O999">
        <v>0</v>
      </c>
      <c r="P999">
        <v>0.125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17613.24563711894</v>
      </c>
      <c r="Z999">
        <v>88066228.185594693</v>
      </c>
      <c r="AA999">
        <v>106824334.7891264</v>
      </c>
      <c r="AB999">
        <v>106824.3347891264</v>
      </c>
      <c r="AC999">
        <v>0</v>
      </c>
      <c r="AD999">
        <v>912.74212917800583</v>
      </c>
      <c r="AE999">
        <v>547645.27750680351</v>
      </c>
      <c r="AF999">
        <v>547645.27750680351</v>
      </c>
      <c r="AG999">
        <v>17.547135195312141</v>
      </c>
      <c r="AH999">
        <v>18.07640149730581</v>
      </c>
      <c r="AI999">
        <v>18.07640149730581</v>
      </c>
      <c r="AJ999">
        <v>3471.7908806466071</v>
      </c>
      <c r="AK999">
        <v>854.70085470085473</v>
      </c>
      <c r="AL999" t="s">
        <v>69</v>
      </c>
      <c r="AM999">
        <v>1400.921116041201</v>
      </c>
      <c r="AN999">
        <v>191.76576509855801</v>
      </c>
      <c r="AO999">
        <v>3072.9882545419882</v>
      </c>
      <c r="AP999">
        <v>5919.1786164872201</v>
      </c>
      <c r="AQ999">
        <v>2846.1903619452319</v>
      </c>
      <c r="AR999">
        <v>6.3394883937504167E-3</v>
      </c>
      <c r="AS999">
        <v>197.85513942892081</v>
      </c>
      <c r="AT999">
        <v>79.837597445278007</v>
      </c>
      <c r="AU999">
        <v>10.928608172449129</v>
      </c>
      <c r="AV999">
        <v>175.12763310577111</v>
      </c>
      <c r="AW999">
        <v>337.33019952274469</v>
      </c>
      <c r="AX999">
        <v>162.20256641697361</v>
      </c>
      <c r="AY999">
        <v>1.030162547681007</v>
      </c>
      <c r="AZ999" t="str">
        <f>VLOOKUP(BA999,Sheet1!$A$1:$B$58,2,FALSE)</f>
        <v>Citrate</v>
      </c>
      <c r="BA999" t="s">
        <v>119</v>
      </c>
      <c r="BB999" t="s">
        <v>120</v>
      </c>
      <c r="BC999">
        <v>189.09639999999999</v>
      </c>
      <c r="BD999">
        <v>2.5</v>
      </c>
      <c r="BF999" t="s">
        <v>212</v>
      </c>
      <c r="BG999">
        <v>-0.43235585712680041</v>
      </c>
      <c r="BH999">
        <v>0.241411192214112</v>
      </c>
      <c r="BI999">
        <v>1.4247339934258301</v>
      </c>
      <c r="BJ999">
        <v>90</v>
      </c>
      <c r="BK999">
        <v>263.07460517720978</v>
      </c>
      <c r="BL999">
        <v>126.49734941978809</v>
      </c>
      <c r="BM999">
        <v>1.235751479229281</v>
      </c>
      <c r="BN999">
        <v>210.07775146897771</v>
      </c>
      <c r="BO999">
        <v>52.996853708232038</v>
      </c>
    </row>
    <row r="1000" spans="1:67" x14ac:dyDescent="0.25">
      <c r="A1000" s="1">
        <v>998</v>
      </c>
      <c r="B1000" t="s">
        <v>210</v>
      </c>
      <c r="C1000" t="s">
        <v>211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67</v>
      </c>
      <c r="J1000">
        <v>1.2130000000000001</v>
      </c>
      <c r="K1000">
        <v>500</v>
      </c>
      <c r="L1000">
        <v>100</v>
      </c>
      <c r="N1000" t="s">
        <v>68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41474.873776111279</v>
      </c>
      <c r="Z1000">
        <v>207374368.8805564</v>
      </c>
      <c r="AA1000">
        <v>251545109.45211491</v>
      </c>
      <c r="AB1000">
        <v>251545.10945211491</v>
      </c>
      <c r="AC1000">
        <v>0</v>
      </c>
      <c r="AD1000">
        <v>2149.283861573912</v>
      </c>
      <c r="AE1000">
        <v>1289570.316944347</v>
      </c>
      <c r="AF1000">
        <v>1289570.316944347</v>
      </c>
      <c r="AG1000">
        <v>41.319199899432853</v>
      </c>
      <c r="AH1000">
        <v>42.565492236540543</v>
      </c>
      <c r="AI1000">
        <v>42.565492236540543</v>
      </c>
      <c r="AJ1000">
        <v>8175.2160571937357</v>
      </c>
      <c r="AK1000">
        <v>854.70085470085473</v>
      </c>
      <c r="AL1000" t="s">
        <v>69</v>
      </c>
      <c r="AM1000">
        <v>3298.8256483318919</v>
      </c>
      <c r="AN1000">
        <v>451.56134570000091</v>
      </c>
      <c r="AO1000">
        <v>7236.1336802118922</v>
      </c>
      <c r="AP1000">
        <v>12780.303905926479</v>
      </c>
      <c r="AQ1000">
        <v>5544.1702257145926</v>
      </c>
      <c r="AR1000">
        <v>6.3394883937504167E-3</v>
      </c>
      <c r="AS1000">
        <v>197.85513942892081</v>
      </c>
      <c r="AT1000">
        <v>79.837597445278021</v>
      </c>
      <c r="AU1000">
        <v>10.928608172449129</v>
      </c>
      <c r="AV1000">
        <v>175.12763310577111</v>
      </c>
      <c r="AW1000">
        <v>309.30666462643461</v>
      </c>
      <c r="AX1000">
        <v>134.1790315206635</v>
      </c>
      <c r="AY1000">
        <v>1.030162547681007</v>
      </c>
      <c r="AZ1000" t="str">
        <f>VLOOKUP(BA1000,Sheet1!$A$1:$B$58,2,FALSE)</f>
        <v>Coumaric Acid</v>
      </c>
      <c r="BA1000" t="s">
        <v>121</v>
      </c>
      <c r="BB1000" t="s">
        <v>122</v>
      </c>
      <c r="BC1000">
        <v>163.14818</v>
      </c>
      <c r="BD1000">
        <v>4.1111111111111107</v>
      </c>
      <c r="BE1000">
        <v>346</v>
      </c>
      <c r="BF1000" t="s">
        <v>212</v>
      </c>
      <c r="BG1000">
        <v>-0.15763335663869821</v>
      </c>
      <c r="BH1000">
        <v>0.118826347305389</v>
      </c>
      <c r="BI1000">
        <v>0.60504559770875799</v>
      </c>
      <c r="BJ1000">
        <v>90</v>
      </c>
      <c r="BK1000">
        <v>568.013506930066</v>
      </c>
      <c r="BL1000">
        <v>246.4075655873153</v>
      </c>
      <c r="BM1000">
        <v>2.0494330115960548</v>
      </c>
      <c r="BN1000">
        <v>348.40361197132938</v>
      </c>
      <c r="BO1000">
        <v>219.60989495873659</v>
      </c>
    </row>
    <row r="1001" spans="1:67" x14ac:dyDescent="0.25">
      <c r="A1001" s="1">
        <v>999</v>
      </c>
      <c r="B1001" t="s">
        <v>210</v>
      </c>
      <c r="C1001" t="s">
        <v>211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67</v>
      </c>
      <c r="J1001">
        <v>1.2130000000000001</v>
      </c>
      <c r="K1001">
        <v>500</v>
      </c>
      <c r="L1001">
        <v>100</v>
      </c>
      <c r="N1001" t="s">
        <v>68</v>
      </c>
      <c r="O1001">
        <v>0</v>
      </c>
      <c r="P1001">
        <v>0.125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36516.806536169359</v>
      </c>
      <c r="Z1001">
        <v>182584032.68084681</v>
      </c>
      <c r="AA1001">
        <v>221474431.64186719</v>
      </c>
      <c r="AB1001">
        <v>221474.43164186721</v>
      </c>
      <c r="AC1001">
        <v>0</v>
      </c>
      <c r="AD1001">
        <v>1892.350134398996</v>
      </c>
      <c r="AE1001">
        <v>1135410.080639397</v>
      </c>
      <c r="AF1001">
        <v>1135410.080639397</v>
      </c>
      <c r="AG1001">
        <v>36.379742518371778</v>
      </c>
      <c r="AH1001">
        <v>37.477048236704903</v>
      </c>
      <c r="AI1001">
        <v>37.477048236704903</v>
      </c>
      <c r="AJ1001">
        <v>7197.919028360684</v>
      </c>
      <c r="AK1001">
        <v>854.70085470085473</v>
      </c>
      <c r="AL1001" t="s">
        <v>69</v>
      </c>
      <c r="AM1001">
        <v>2904.4712383446299</v>
      </c>
      <c r="AN1001">
        <v>397.57995139787272</v>
      </c>
      <c r="AO1001">
        <v>6371.0982002398332</v>
      </c>
      <c r="AP1001">
        <v>11354.67107280404</v>
      </c>
      <c r="AQ1001">
        <v>4983.5728725642084</v>
      </c>
      <c r="AR1001">
        <v>6.3394883937504158E-3</v>
      </c>
      <c r="AS1001">
        <v>197.85513942892081</v>
      </c>
      <c r="AT1001">
        <v>79.837597445277993</v>
      </c>
      <c r="AU1001">
        <v>10.92860817244912</v>
      </c>
      <c r="AV1001">
        <v>175.12763310577111</v>
      </c>
      <c r="AW1001">
        <v>312.11521266457368</v>
      </c>
      <c r="AX1001">
        <v>136.98757955880259</v>
      </c>
      <c r="AY1001">
        <v>1.0301625476810059</v>
      </c>
      <c r="AZ1001" t="str">
        <f>VLOOKUP(BA1001,Sheet1!$A$1:$B$58,2,FALSE)</f>
        <v>Ethyl Acetate</v>
      </c>
      <c r="BA1001" t="s">
        <v>123</v>
      </c>
      <c r="BB1001" t="s">
        <v>124</v>
      </c>
      <c r="BC1001">
        <v>88.103520000000003</v>
      </c>
      <c r="BD1001">
        <v>5</v>
      </c>
      <c r="BE1001">
        <v>77.099999999999994</v>
      </c>
      <c r="BF1001" t="s">
        <v>212</v>
      </c>
      <c r="BG1001">
        <v>6.7185744737542532E-4</v>
      </c>
      <c r="BH1001">
        <v>0.249915966386554</v>
      </c>
      <c r="BI1001">
        <v>0.68719562782433097</v>
      </c>
      <c r="BJ1001">
        <v>90</v>
      </c>
      <c r="BK1001">
        <v>504.65204768017952</v>
      </c>
      <c r="BL1001">
        <v>221.4921276695203</v>
      </c>
      <c r="BM1001">
        <v>1.66497473085062</v>
      </c>
      <c r="BN1001">
        <v>283.04570424460542</v>
      </c>
      <c r="BO1001">
        <v>221.6063434355741</v>
      </c>
    </row>
    <row r="1002" spans="1:67" x14ac:dyDescent="0.25">
      <c r="A1002" s="1">
        <v>1000</v>
      </c>
      <c r="B1002" t="s">
        <v>210</v>
      </c>
      <c r="C1002" t="s">
        <v>211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67</v>
      </c>
      <c r="J1002">
        <v>1.2130000000000001</v>
      </c>
      <c r="K1002">
        <v>500</v>
      </c>
      <c r="L1002">
        <v>100</v>
      </c>
      <c r="N1002" t="s">
        <v>68</v>
      </c>
      <c r="O1002">
        <v>0</v>
      </c>
      <c r="P1002">
        <v>0.125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65865.384057382646</v>
      </c>
      <c r="Z1002">
        <v>329326920.28691322</v>
      </c>
      <c r="AA1002">
        <v>399473554.30802578</v>
      </c>
      <c r="AB1002">
        <v>399473.55430802569</v>
      </c>
      <c r="AC1002">
        <v>0</v>
      </c>
      <c r="AD1002">
        <v>3413.2329794440011</v>
      </c>
      <c r="AE1002">
        <v>2047939.7876664</v>
      </c>
      <c r="AF1002">
        <v>2047939.7876664</v>
      </c>
      <c r="AG1002">
        <v>65.618161613006393</v>
      </c>
      <c r="AH1002">
        <v>67.597372541398713</v>
      </c>
      <c r="AI1002">
        <v>67.597372541398713</v>
      </c>
      <c r="AJ1002">
        <v>12982.89051501084</v>
      </c>
      <c r="AK1002">
        <v>1835.336538461539</v>
      </c>
      <c r="AL1002" t="s">
        <v>84</v>
      </c>
      <c r="AM1002">
        <v>5238.7963719584004</v>
      </c>
      <c r="AN1002">
        <v>717.11517726498937</v>
      </c>
      <c r="AO1002">
        <v>11491.55333203778</v>
      </c>
      <c r="AP1002">
        <v>20774.13860269577</v>
      </c>
      <c r="AQ1002">
        <v>9282.5852706579844</v>
      </c>
      <c r="AR1002">
        <v>6.3394883937504167E-3</v>
      </c>
      <c r="AS1002">
        <v>197.85513942892081</v>
      </c>
      <c r="AT1002">
        <v>79.837597445278035</v>
      </c>
      <c r="AU1002">
        <v>10.928608172449129</v>
      </c>
      <c r="AV1002">
        <v>175.1276331057712</v>
      </c>
      <c r="AW1002">
        <v>316.5912925938793</v>
      </c>
      <c r="AX1002">
        <v>141.46365948810811</v>
      </c>
      <c r="AY1002">
        <v>1.030162547681007</v>
      </c>
      <c r="AZ1002" t="str">
        <f>VLOOKUP(BA1002,Sheet1!$A$1:$B$58,2,FALSE)</f>
        <v>Farnesene</v>
      </c>
      <c r="BA1002" t="s">
        <v>125</v>
      </c>
      <c r="BB1002" t="s">
        <v>126</v>
      </c>
      <c r="BC1002">
        <v>204.34866</v>
      </c>
      <c r="BD1002">
        <v>5.6</v>
      </c>
      <c r="BE1002" t="s">
        <v>127</v>
      </c>
      <c r="BF1002" t="s">
        <v>212</v>
      </c>
      <c r="BG1002">
        <v>0.3746851088345754</v>
      </c>
      <c r="BH1002">
        <v>5.9738048461034698E-2</v>
      </c>
      <c r="BI1002">
        <v>0.38099208184833799</v>
      </c>
      <c r="BJ1002">
        <v>90</v>
      </c>
      <c r="BK1002">
        <v>923.29504900870063</v>
      </c>
      <c r="BL1002">
        <v>412.55934536257712</v>
      </c>
      <c r="BM1002">
        <v>2.6296425596720332</v>
      </c>
      <c r="BN1002">
        <v>447.03923514424571</v>
      </c>
      <c r="BO1002">
        <v>476.25581386445498</v>
      </c>
    </row>
    <row r="1003" spans="1:67" x14ac:dyDescent="0.25">
      <c r="A1003" s="1">
        <v>1001</v>
      </c>
      <c r="B1003" t="s">
        <v>210</v>
      </c>
      <c r="C1003" t="s">
        <v>211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67</v>
      </c>
      <c r="J1003">
        <v>1.2130000000000001</v>
      </c>
      <c r="K1003">
        <v>500</v>
      </c>
      <c r="L1003">
        <v>100</v>
      </c>
      <c r="N1003" t="s">
        <v>68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37841.215044845492</v>
      </c>
      <c r="Z1003">
        <v>189206075.22422749</v>
      </c>
      <c r="AA1003">
        <v>229506969.24698791</v>
      </c>
      <c r="AB1003">
        <v>229506.96924698789</v>
      </c>
      <c r="AC1003">
        <v>0</v>
      </c>
      <c r="AD1003">
        <v>1960.9827684413519</v>
      </c>
      <c r="AE1003">
        <v>1176589.6610648111</v>
      </c>
      <c r="AF1003">
        <v>1176589.6610648111</v>
      </c>
      <c r="AG1003">
        <v>37.699179925557289</v>
      </c>
      <c r="AH1003">
        <v>38.83628323759676</v>
      </c>
      <c r="AI1003">
        <v>38.83628323759676</v>
      </c>
      <c r="AJ1003">
        <v>7458.9765005271074</v>
      </c>
      <c r="AK1003">
        <v>1835.336538461539</v>
      </c>
      <c r="AL1003" t="s">
        <v>84</v>
      </c>
      <c r="AM1003">
        <v>3009.8119509137491</v>
      </c>
      <c r="AN1003">
        <v>411.99956582907538</v>
      </c>
      <c r="AO1003">
        <v>6602.1681503914488</v>
      </c>
      <c r="AP1003">
        <v>12716.124555731471</v>
      </c>
      <c r="AQ1003">
        <v>6113.9564053400218</v>
      </c>
      <c r="AR1003">
        <v>6.3394883937504167E-3</v>
      </c>
      <c r="AS1003">
        <v>197.85513942892081</v>
      </c>
      <c r="AT1003">
        <v>79.837597445278021</v>
      </c>
      <c r="AU1003">
        <v>10.928608172449129</v>
      </c>
      <c r="AV1003">
        <v>175.12763310577111</v>
      </c>
      <c r="AW1003">
        <v>337.30507084879241</v>
      </c>
      <c r="AX1003">
        <v>162.17743774302119</v>
      </c>
      <c r="AY1003">
        <v>1.030162547681007</v>
      </c>
      <c r="AZ1003" t="str">
        <f>VLOOKUP(BA1003,Sheet1!$A$1:$B$58,2,FALSE)</f>
        <v>Gamma Butyrolactone</v>
      </c>
      <c r="BA1003" t="s">
        <v>128</v>
      </c>
      <c r="BB1003" t="s">
        <v>129</v>
      </c>
      <c r="BC1003">
        <v>86.08784</v>
      </c>
      <c r="BD1003">
        <v>4.5</v>
      </c>
      <c r="BE1003">
        <v>204</v>
      </c>
      <c r="BF1003" t="s">
        <v>212</v>
      </c>
      <c r="BG1003">
        <v>2.638033435177406E-2</v>
      </c>
      <c r="BH1003">
        <v>0.24681592039801001</v>
      </c>
      <c r="BI1003">
        <v>0.663144398614672</v>
      </c>
      <c r="BJ1003">
        <v>90</v>
      </c>
      <c r="BK1003">
        <v>565.16109136584305</v>
      </c>
      <c r="BL1003">
        <v>271.73139579288983</v>
      </c>
      <c r="BM1003">
        <v>1.699676698430304</v>
      </c>
      <c r="BN1003">
        <v>288.94503873315159</v>
      </c>
      <c r="BO1003">
        <v>276.2160526326914</v>
      </c>
    </row>
    <row r="1004" spans="1:67" x14ac:dyDescent="0.25">
      <c r="A1004" s="1">
        <v>1002</v>
      </c>
      <c r="B1004" t="s">
        <v>210</v>
      </c>
      <c r="C1004" t="s">
        <v>211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67</v>
      </c>
      <c r="J1004">
        <v>1.2130000000000001</v>
      </c>
      <c r="K1004">
        <v>500</v>
      </c>
      <c r="L1004">
        <v>100</v>
      </c>
      <c r="N1004" t="s">
        <v>68</v>
      </c>
      <c r="O1004">
        <v>0</v>
      </c>
      <c r="P1004">
        <v>0.125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22294.638272622331</v>
      </c>
      <c r="Z1004">
        <v>111473191.3631116</v>
      </c>
      <c r="AA1004">
        <v>135216981.12345439</v>
      </c>
      <c r="AB1004">
        <v>135216.9811234544</v>
      </c>
      <c r="AC1004">
        <v>0</v>
      </c>
      <c r="AD1004">
        <v>1155.3382054311351</v>
      </c>
      <c r="AE1004">
        <v>693202.92325868097</v>
      </c>
      <c r="AF1004">
        <v>693202.92325868097</v>
      </c>
      <c r="AG1004">
        <v>22.210956456306789</v>
      </c>
      <c r="AH1004">
        <v>22.880895489460912</v>
      </c>
      <c r="AI1004">
        <v>22.880895489460912</v>
      </c>
      <c r="AJ1004">
        <v>4394.5518865122694</v>
      </c>
      <c r="AK1004">
        <v>854.70085470085473</v>
      </c>
      <c r="AL1004" t="s">
        <v>69</v>
      </c>
      <c r="AM1004">
        <v>1773.2694004332211</v>
      </c>
      <c r="AN1004">
        <v>242.73484024630611</v>
      </c>
      <c r="AO1004">
        <v>3889.7522332083549</v>
      </c>
      <c r="AP1004">
        <v>7265.2569818926504</v>
      </c>
      <c r="AQ1004">
        <v>3375.504748684295</v>
      </c>
      <c r="AR1004">
        <v>6.3394883937504176E-3</v>
      </c>
      <c r="AS1004">
        <v>197.85513942892081</v>
      </c>
      <c r="AT1004">
        <v>79.837597445278021</v>
      </c>
      <c r="AU1004">
        <v>10.928608172449129</v>
      </c>
      <c r="AV1004">
        <v>175.12763310577111</v>
      </c>
      <c r="AW1004">
        <v>327.10239183912688</v>
      </c>
      <c r="AX1004">
        <v>151.9747587333558</v>
      </c>
      <c r="AY1004">
        <v>1.030162547681007</v>
      </c>
      <c r="AZ1004" t="str">
        <f>VLOOKUP(BA1004,Sheet1!$A$1:$B$58,2,FALSE)</f>
        <v>L-Glutamate</v>
      </c>
      <c r="BA1004" t="s">
        <v>130</v>
      </c>
      <c r="BB1004" t="s">
        <v>131</v>
      </c>
      <c r="BC1004">
        <v>146.11892</v>
      </c>
      <c r="BD1004">
        <v>3.4</v>
      </c>
      <c r="BE1004">
        <v>333.8</v>
      </c>
      <c r="BF1004" t="s">
        <v>212</v>
      </c>
      <c r="BG1004">
        <v>-0.2856507151652779</v>
      </c>
      <c r="BH1004">
        <v>0.24681592039801001</v>
      </c>
      <c r="BI1004">
        <v>1.1255706186800101</v>
      </c>
      <c r="BJ1004">
        <v>90</v>
      </c>
      <c r="BK1004">
        <v>322.90031030633997</v>
      </c>
      <c r="BL1004">
        <v>150.0224332748576</v>
      </c>
      <c r="BM1004">
        <v>1.302579403585763</v>
      </c>
      <c r="BN1004">
        <v>221.43849860957971</v>
      </c>
      <c r="BO1004">
        <v>101.46181169676041</v>
      </c>
    </row>
    <row r="1005" spans="1:67" x14ac:dyDescent="0.25">
      <c r="A1005" s="1">
        <v>1003</v>
      </c>
      <c r="B1005" t="s">
        <v>210</v>
      </c>
      <c r="C1005" t="s">
        <v>211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67</v>
      </c>
      <c r="J1005">
        <v>1.2130000000000001</v>
      </c>
      <c r="K1005">
        <v>500</v>
      </c>
      <c r="L1005">
        <v>100</v>
      </c>
      <c r="N1005" t="s">
        <v>68</v>
      </c>
      <c r="O1005">
        <v>0</v>
      </c>
      <c r="P1005">
        <v>0.125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32521.118707913109</v>
      </c>
      <c r="Z1005">
        <v>162605593.5395655</v>
      </c>
      <c r="AA1005">
        <v>197240584.96349299</v>
      </c>
      <c r="AB1005">
        <v>197240.58496349299</v>
      </c>
      <c r="AC1005">
        <v>0</v>
      </c>
      <c r="AD1005">
        <v>1685.288205494345</v>
      </c>
      <c r="AE1005">
        <v>1011172.923296607</v>
      </c>
      <c r="AF1005">
        <v>1011172.923296607</v>
      </c>
      <c r="AG1005">
        <v>32.399052305721987</v>
      </c>
      <c r="AH1005">
        <v>33.376290265712768</v>
      </c>
      <c r="AI1005">
        <v>33.376290265712768</v>
      </c>
      <c r="AJ1005">
        <v>6410.3190113135233</v>
      </c>
      <c r="AK1005">
        <v>854.70085470085473</v>
      </c>
      <c r="AL1005" t="s">
        <v>69</v>
      </c>
      <c r="AM1005">
        <v>2586.66249559274</v>
      </c>
      <c r="AN1005">
        <v>354.07654780792012</v>
      </c>
      <c r="AO1005">
        <v>5673.969345171171</v>
      </c>
      <c r="AP1005">
        <v>10205.758909415041</v>
      </c>
      <c r="AQ1005">
        <v>4531.7895642438662</v>
      </c>
      <c r="AR1005">
        <v>6.3394883937504176E-3</v>
      </c>
      <c r="AS1005">
        <v>197.85513942892081</v>
      </c>
      <c r="AT1005">
        <v>79.837597445278035</v>
      </c>
      <c r="AU1005">
        <v>10.928608172449129</v>
      </c>
      <c r="AV1005">
        <v>175.1276331057712</v>
      </c>
      <c r="AW1005">
        <v>315.00177267878303</v>
      </c>
      <c r="AX1005">
        <v>139.8741395730118</v>
      </c>
      <c r="AY1005">
        <v>1.030162547681007</v>
      </c>
      <c r="AZ1005" t="str">
        <f>VLOOKUP(BA1005,Sheet1!$A$1:$B$58,2,FALSE)</f>
        <v>Glutarate</v>
      </c>
      <c r="BA1005" t="s">
        <v>132</v>
      </c>
      <c r="BB1005" t="s">
        <v>133</v>
      </c>
      <c r="BC1005">
        <v>130.09654</v>
      </c>
      <c r="BD1005">
        <v>3.6</v>
      </c>
      <c r="BE1005">
        <v>200</v>
      </c>
      <c r="BF1005" t="s">
        <v>212</v>
      </c>
      <c r="BG1005">
        <v>8.863259303894841E-2</v>
      </c>
      <c r="BH1005">
        <v>0.190041666666667</v>
      </c>
      <c r="BI1005">
        <v>0.77162750823994797</v>
      </c>
      <c r="BJ1005">
        <v>90</v>
      </c>
      <c r="BK1005">
        <v>453.58928486289051</v>
      </c>
      <c r="BL1005">
        <v>201.4128695219496</v>
      </c>
      <c r="BM1005">
        <v>1.3947580854371739</v>
      </c>
      <c r="BN1005">
        <v>237.10887452431959</v>
      </c>
      <c r="BO1005">
        <v>216.48041033857089</v>
      </c>
    </row>
    <row r="1006" spans="1:67" x14ac:dyDescent="0.25">
      <c r="A1006" s="1">
        <v>1004</v>
      </c>
      <c r="B1006" t="s">
        <v>210</v>
      </c>
      <c r="C1006" t="s">
        <v>211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67</v>
      </c>
      <c r="J1006">
        <v>1.2130000000000001</v>
      </c>
      <c r="K1006">
        <v>500</v>
      </c>
      <c r="L1006">
        <v>100</v>
      </c>
      <c r="N1006" t="s">
        <v>68</v>
      </c>
      <c r="O1006">
        <v>0</v>
      </c>
      <c r="P1006">
        <v>0.125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15965.469231302761</v>
      </c>
      <c r="Z1006">
        <v>79827346.156513795</v>
      </c>
      <c r="AA1006">
        <v>96830570.887851238</v>
      </c>
      <c r="AB1006">
        <v>96830.570887851238</v>
      </c>
      <c r="AC1006">
        <v>0</v>
      </c>
      <c r="AD1006">
        <v>827.35213484985343</v>
      </c>
      <c r="AE1006">
        <v>496411.28090991202</v>
      </c>
      <c r="AF1006">
        <v>496411.28090991202</v>
      </c>
      <c r="AG1006">
        <v>15.90554363631135</v>
      </c>
      <c r="AH1006">
        <v>16.385295354633922</v>
      </c>
      <c r="AI1006">
        <v>16.385295354633922</v>
      </c>
      <c r="AJ1006">
        <v>3146.9935538551649</v>
      </c>
      <c r="AK1006">
        <v>854.70085470085473</v>
      </c>
      <c r="AL1006" t="s">
        <v>69</v>
      </c>
      <c r="AM1006">
        <v>1269.8603899841289</v>
      </c>
      <c r="AN1006">
        <v>173.82545417103839</v>
      </c>
      <c r="AO1006">
        <v>2785.500210287767</v>
      </c>
      <c r="AP1006">
        <v>5445.3802527111866</v>
      </c>
      <c r="AQ1006">
        <v>2659.8800424234209</v>
      </c>
      <c r="AR1006">
        <v>6.3394883937504176E-3</v>
      </c>
      <c r="AS1006">
        <v>197.85513942892081</v>
      </c>
      <c r="AT1006">
        <v>79.837597445278021</v>
      </c>
      <c r="AU1006">
        <v>10.928608172449129</v>
      </c>
      <c r="AV1006">
        <v>175.12763310577111</v>
      </c>
      <c r="AW1006">
        <v>342.3573803714404</v>
      </c>
      <c r="AX1006">
        <v>167.22974726566929</v>
      </c>
      <c r="AY1006">
        <v>1.030162547681007</v>
      </c>
      <c r="AZ1006" t="str">
        <f>VLOOKUP(BA1006,Sheet1!$A$1:$B$58,2,FALSE)</f>
        <v>Glycolate</v>
      </c>
      <c r="BA1006" t="s">
        <v>134</v>
      </c>
      <c r="BB1006" t="s">
        <v>135</v>
      </c>
      <c r="BC1006">
        <v>75.041920000000005</v>
      </c>
      <c r="BD1006">
        <v>2.5</v>
      </c>
      <c r="BE1006">
        <v>112</v>
      </c>
      <c r="BF1006" t="s">
        <v>212</v>
      </c>
      <c r="BG1006">
        <v>-0.29906198336161388</v>
      </c>
      <c r="BH1006">
        <v>0.67111111111111099</v>
      </c>
      <c r="BI1006">
        <v>1.57177903325018</v>
      </c>
      <c r="BJ1006">
        <v>90</v>
      </c>
      <c r="BK1006">
        <v>242.01690012049721</v>
      </c>
      <c r="BL1006">
        <v>118.21689077437421</v>
      </c>
      <c r="BM1006">
        <v>1.0272973324564549</v>
      </c>
      <c r="BN1006">
        <v>174.6405465175973</v>
      </c>
      <c r="BO1006">
        <v>67.376353602899854</v>
      </c>
    </row>
    <row r="1007" spans="1:67" x14ac:dyDescent="0.25">
      <c r="A1007" s="1">
        <v>1005</v>
      </c>
      <c r="B1007" t="s">
        <v>210</v>
      </c>
      <c r="C1007" t="s">
        <v>211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67</v>
      </c>
      <c r="J1007">
        <v>1.2130000000000001</v>
      </c>
      <c r="K1007">
        <v>500</v>
      </c>
      <c r="L1007">
        <v>100</v>
      </c>
      <c r="N1007" t="s">
        <v>68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68322.407794496234</v>
      </c>
      <c r="Z1007">
        <v>341612038.97248119</v>
      </c>
      <c r="AA1007">
        <v>414375403.27361971</v>
      </c>
      <c r="AB1007">
        <v>414375.40327361971</v>
      </c>
      <c r="AC1007">
        <v>0</v>
      </c>
      <c r="AD1007">
        <v>3540.5592612354581</v>
      </c>
      <c r="AE1007">
        <v>2124335.5567412749</v>
      </c>
      <c r="AF1007">
        <v>2124335.5567412749</v>
      </c>
      <c r="AG1007">
        <v>68.065963033680603</v>
      </c>
      <c r="AH1007">
        <v>70.119005889137625</v>
      </c>
      <c r="AI1007">
        <v>70.119005889137625</v>
      </c>
      <c r="AJ1007">
        <v>13467.20060639264</v>
      </c>
      <c r="AK1007">
        <v>854.70085470085473</v>
      </c>
      <c r="AL1007" t="s">
        <v>69</v>
      </c>
      <c r="AM1007">
        <v>5434.2229564081663</v>
      </c>
      <c r="AN1007">
        <v>743.86623987550172</v>
      </c>
      <c r="AO1007">
        <v>11920.231001153399</v>
      </c>
      <c r="AP1007">
        <v>20499.99065737717</v>
      </c>
      <c r="AQ1007">
        <v>8579.7596562237704</v>
      </c>
      <c r="AR1007">
        <v>6.3394883937504167E-3</v>
      </c>
      <c r="AS1007">
        <v>197.85513942892081</v>
      </c>
      <c r="AT1007">
        <v>79.837597445278021</v>
      </c>
      <c r="AU1007">
        <v>10.92860817244912</v>
      </c>
      <c r="AV1007">
        <v>175.12763310577111</v>
      </c>
      <c r="AW1007">
        <v>301.17829446170191</v>
      </c>
      <c r="AX1007">
        <v>126.0506613559307</v>
      </c>
      <c r="AY1007">
        <v>1.030162547681007</v>
      </c>
      <c r="AZ1007" t="str">
        <f>VLOOKUP(BA1007,Sheet1!$A$1:$B$58,2,FALSE)</f>
        <v>Heptane</v>
      </c>
      <c r="BA1007" t="s">
        <v>136</v>
      </c>
      <c r="BB1007" t="s">
        <v>137</v>
      </c>
      <c r="BC1007">
        <v>100.20034</v>
      </c>
      <c r="BD1007">
        <v>6.2857142857142856</v>
      </c>
      <c r="BE1007">
        <v>98</v>
      </c>
      <c r="BF1007" t="s">
        <v>212</v>
      </c>
      <c r="BG1007">
        <v>0.66513984845619456</v>
      </c>
      <c r="BH1007">
        <v>0.11744855967078199</v>
      </c>
      <c r="BI1007">
        <v>0.36729077039032598</v>
      </c>
      <c r="BJ1007">
        <v>90</v>
      </c>
      <c r="BK1007">
        <v>911.1106958834298</v>
      </c>
      <c r="BL1007">
        <v>381.32265138772328</v>
      </c>
      <c r="BM1007">
        <v>2.4512604132832561</v>
      </c>
      <c r="BN1007">
        <v>416.71427025815348</v>
      </c>
      <c r="BO1007">
        <v>494.39642562527632</v>
      </c>
    </row>
    <row r="1008" spans="1:67" x14ac:dyDescent="0.25">
      <c r="A1008" s="1">
        <v>1006</v>
      </c>
      <c r="B1008" t="s">
        <v>210</v>
      </c>
      <c r="C1008" t="s">
        <v>211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67</v>
      </c>
      <c r="J1008">
        <v>1.2130000000000001</v>
      </c>
      <c r="K1008">
        <v>500</v>
      </c>
      <c r="L1008">
        <v>100</v>
      </c>
      <c r="N1008" t="s">
        <v>68</v>
      </c>
      <c r="O1008">
        <v>0</v>
      </c>
      <c r="P1008">
        <v>0.125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67150.689025081942</v>
      </c>
      <c r="Z1008">
        <v>335753445.12540972</v>
      </c>
      <c r="AA1008">
        <v>407268928.93712199</v>
      </c>
      <c r="AB1008">
        <v>407268.92893712211</v>
      </c>
      <c r="AC1008">
        <v>0</v>
      </c>
      <c r="AD1008">
        <v>3479.8392152866759</v>
      </c>
      <c r="AE1008">
        <v>2087903.5291720061</v>
      </c>
      <c r="AF1008">
        <v>2087903.5291720061</v>
      </c>
      <c r="AG1008">
        <v>66.898642252411989</v>
      </c>
      <c r="AH1008">
        <v>68.916475739144985</v>
      </c>
      <c r="AI1008">
        <v>68.916475739144985</v>
      </c>
      <c r="AJ1008">
        <v>13236.24019045647</v>
      </c>
      <c r="AK1008">
        <v>854.70085470085473</v>
      </c>
      <c r="AL1008" t="s">
        <v>69</v>
      </c>
      <c r="AM1008">
        <v>5341.0268697837364</v>
      </c>
      <c r="AN1008">
        <v>731.10904844546008</v>
      </c>
      <c r="AO1008">
        <v>11715.80087565465</v>
      </c>
      <c r="AP1008">
        <v>20163.07696338652</v>
      </c>
      <c r="AQ1008">
        <v>8447.2760877318724</v>
      </c>
      <c r="AR1008">
        <v>6.3394883937504176E-3</v>
      </c>
      <c r="AS1008">
        <v>197.85513942892081</v>
      </c>
      <c r="AT1008">
        <v>79.837597445278021</v>
      </c>
      <c r="AU1008">
        <v>10.928608172449129</v>
      </c>
      <c r="AV1008">
        <v>175.1276331057712</v>
      </c>
      <c r="AW1008">
        <v>301.39740186819051</v>
      </c>
      <c r="AX1008">
        <v>126.2697687624193</v>
      </c>
      <c r="AY1008">
        <v>1.030162547681007</v>
      </c>
      <c r="AZ1008" t="str">
        <f>VLOOKUP(BA1008,Sheet1!$A$1:$B$58,2,FALSE)</f>
        <v>Hexane</v>
      </c>
      <c r="BA1008" t="s">
        <v>138</v>
      </c>
      <c r="BB1008" t="s">
        <v>139</v>
      </c>
      <c r="BC1008">
        <v>86.173959999999994</v>
      </c>
      <c r="BD1008">
        <v>6.333333333333333</v>
      </c>
      <c r="BE1008">
        <v>69</v>
      </c>
      <c r="BF1008" t="s">
        <v>212</v>
      </c>
      <c r="BG1008">
        <v>0.61127862674435385</v>
      </c>
      <c r="BH1008">
        <v>0.13894839337877299</v>
      </c>
      <c r="BI1008">
        <v>0.37369966203011601</v>
      </c>
      <c r="BJ1008">
        <v>90</v>
      </c>
      <c r="BK1008">
        <v>896.13675392828998</v>
      </c>
      <c r="BL1008">
        <v>375.43449278808328</v>
      </c>
      <c r="BM1008">
        <v>2.4516758505509788</v>
      </c>
      <c r="BN1008">
        <v>416.78489459366648</v>
      </c>
      <c r="BO1008">
        <v>479.3518593346235</v>
      </c>
    </row>
    <row r="1009" spans="1:67" x14ac:dyDescent="0.25">
      <c r="A1009" s="1">
        <v>1007</v>
      </c>
      <c r="B1009" t="s">
        <v>210</v>
      </c>
      <c r="C1009" t="s">
        <v>211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67</v>
      </c>
      <c r="J1009">
        <v>1.2130000000000001</v>
      </c>
      <c r="K1009">
        <v>500</v>
      </c>
      <c r="L1009">
        <v>100</v>
      </c>
      <c r="N1009" t="s">
        <v>68</v>
      </c>
      <c r="O1009">
        <v>0</v>
      </c>
      <c r="P1009">
        <v>0.125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43288.383432721013</v>
      </c>
      <c r="Z1009">
        <v>216441917.16360509</v>
      </c>
      <c r="AA1009">
        <v>262544045.51945299</v>
      </c>
      <c r="AB1009">
        <v>262544.04551945289</v>
      </c>
      <c r="AC1009">
        <v>0</v>
      </c>
      <c r="AD1009">
        <v>2243.2623763440952</v>
      </c>
      <c r="AE1009">
        <v>1345957.4258064569</v>
      </c>
      <c r="AF1009">
        <v>1345957.4258064569</v>
      </c>
      <c r="AG1009">
        <v>43.125902637710233</v>
      </c>
      <c r="AH1009">
        <v>44.426689732306627</v>
      </c>
      <c r="AI1009">
        <v>44.426689732306627</v>
      </c>
      <c r="AJ1009">
        <v>8532.6814793822214</v>
      </c>
      <c r="AK1009">
        <v>854.70085470085473</v>
      </c>
      <c r="AL1009" t="s">
        <v>69</v>
      </c>
      <c r="AM1009">
        <v>3443.0684542537638</v>
      </c>
      <c r="AN1009">
        <v>471.30609201072542</v>
      </c>
      <c r="AO1009">
        <v>7552.5372544921274</v>
      </c>
      <c r="AP1009">
        <v>13301.75688034757</v>
      </c>
      <c r="AQ1009">
        <v>5749.2196258554404</v>
      </c>
      <c r="AR1009">
        <v>6.3394883937504167E-3</v>
      </c>
      <c r="AS1009">
        <v>197.85513942892081</v>
      </c>
      <c r="AT1009">
        <v>79.837597445278021</v>
      </c>
      <c r="AU1009">
        <v>10.928608172449129</v>
      </c>
      <c r="AV1009">
        <v>175.12763310577111</v>
      </c>
      <c r="AW1009">
        <v>308.44008047999017</v>
      </c>
      <c r="AX1009">
        <v>133.312447374219</v>
      </c>
      <c r="AY1009">
        <v>1.030162547681007</v>
      </c>
      <c r="AZ1009" t="str">
        <f>VLOOKUP(BA1009,Sheet1!$A$1:$B$58,2,FALSE)</f>
        <v>Isobutanol</v>
      </c>
      <c r="BA1009" t="s">
        <v>140</v>
      </c>
      <c r="BB1009" t="s">
        <v>141</v>
      </c>
      <c r="BC1009">
        <v>86.130899999999997</v>
      </c>
      <c r="BD1009">
        <v>5.6</v>
      </c>
      <c r="BE1009">
        <v>108</v>
      </c>
      <c r="BF1009" t="s">
        <v>212</v>
      </c>
      <c r="BG1009">
        <v>0.32555766206356768</v>
      </c>
      <c r="BH1009">
        <v>0.21565011820331001</v>
      </c>
      <c r="BI1009">
        <v>0.57969801142526001</v>
      </c>
      <c r="BJ1009">
        <v>90</v>
      </c>
      <c r="BK1009">
        <v>591.18919468211402</v>
      </c>
      <c r="BL1009">
        <v>255.52087226024179</v>
      </c>
      <c r="BM1009">
        <v>1.648961881594504</v>
      </c>
      <c r="BN1009">
        <v>280.32351987106568</v>
      </c>
      <c r="BO1009">
        <v>310.86567481104828</v>
      </c>
    </row>
    <row r="1010" spans="1:67" x14ac:dyDescent="0.25">
      <c r="A1010" s="1">
        <v>1008</v>
      </c>
      <c r="B1010" t="s">
        <v>210</v>
      </c>
      <c r="C1010" t="s">
        <v>211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67</v>
      </c>
      <c r="J1010">
        <v>1.2130000000000001</v>
      </c>
      <c r="K1010">
        <v>500</v>
      </c>
      <c r="L1010">
        <v>100</v>
      </c>
      <c r="N1010" t="s">
        <v>68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38254.732656116234</v>
      </c>
      <c r="Z1010">
        <v>191273663.28058109</v>
      </c>
      <c r="AA1010">
        <v>232014953.55934489</v>
      </c>
      <c r="AB1010">
        <v>232014.9535593449</v>
      </c>
      <c r="AC1010">
        <v>0</v>
      </c>
      <c r="AD1010">
        <v>1982.4118084229681</v>
      </c>
      <c r="AE1010">
        <v>1189447.085053781</v>
      </c>
      <c r="AF1010">
        <v>1189447.085053781</v>
      </c>
      <c r="AG1010">
        <v>38.111145419033313</v>
      </c>
      <c r="AH1010">
        <v>39.260674659912667</v>
      </c>
      <c r="AI1010">
        <v>39.260674659912667</v>
      </c>
      <c r="AJ1010">
        <v>7540.4859906787106</v>
      </c>
      <c r="AK1010">
        <v>854.70085470085473</v>
      </c>
      <c r="AL1010" t="s">
        <v>69</v>
      </c>
      <c r="AM1010">
        <v>3042.702286143232</v>
      </c>
      <c r="AN1010">
        <v>416.50177528784451</v>
      </c>
      <c r="AO1010">
        <v>6674.3146921851549</v>
      </c>
      <c r="AP1010">
        <v>11854.39090681064</v>
      </c>
      <c r="AQ1010">
        <v>5180.0762146254892</v>
      </c>
      <c r="AR1010">
        <v>6.3394883937504176E-3</v>
      </c>
      <c r="AS1010">
        <v>197.85513942892081</v>
      </c>
      <c r="AT1010">
        <v>79.837597445278007</v>
      </c>
      <c r="AU1010">
        <v>10.928608172449129</v>
      </c>
      <c r="AV1010">
        <v>175.12763310577111</v>
      </c>
      <c r="AW1010">
        <v>311.04787789690448</v>
      </c>
      <c r="AX1010">
        <v>135.9202447911334</v>
      </c>
      <c r="AY1010">
        <v>1.030162547681007</v>
      </c>
      <c r="AZ1010" t="str">
        <f>VLOOKUP(BA1010,Sheet1!$A$1:$B$58,2,FALSE)</f>
        <v>Isobutyrate</v>
      </c>
      <c r="BA1010" t="s">
        <v>142</v>
      </c>
      <c r="BB1010" t="s">
        <v>114</v>
      </c>
      <c r="BC1010">
        <v>87.095680000000002</v>
      </c>
      <c r="BD1010">
        <v>4.75</v>
      </c>
      <c r="BE1010">
        <v>155</v>
      </c>
      <c r="BF1010" t="s">
        <v>212</v>
      </c>
      <c r="BG1010">
        <v>7.2677255948932623E-2</v>
      </c>
      <c r="BH1010">
        <v>0.24132275132275099</v>
      </c>
      <c r="BI1010">
        <v>0.655976085870004</v>
      </c>
      <c r="BJ1010">
        <v>90</v>
      </c>
      <c r="BK1010">
        <v>526.86181808047309</v>
      </c>
      <c r="BL1010">
        <v>230.22560953891059</v>
      </c>
      <c r="BM1010">
        <v>1.6722416178249639</v>
      </c>
      <c r="BN1010">
        <v>284.28107503024381</v>
      </c>
      <c r="BO1010">
        <v>242.5807430502293</v>
      </c>
    </row>
    <row r="1011" spans="1:67" x14ac:dyDescent="0.25">
      <c r="A1011" s="1">
        <v>1009</v>
      </c>
      <c r="B1011" t="s">
        <v>210</v>
      </c>
      <c r="C1011" t="s">
        <v>211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67</v>
      </c>
      <c r="J1011">
        <v>1.2130000000000001</v>
      </c>
      <c r="K1011">
        <v>500</v>
      </c>
      <c r="L1011">
        <v>100</v>
      </c>
      <c r="N1011" t="s">
        <v>68</v>
      </c>
      <c r="O1011">
        <v>0</v>
      </c>
      <c r="P1011">
        <v>0.125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65994.785597770446</v>
      </c>
      <c r="Z1011">
        <v>329973927.98885232</v>
      </c>
      <c r="AA1011">
        <v>400258374.65047783</v>
      </c>
      <c r="AB1011">
        <v>400258.37465047778</v>
      </c>
      <c r="AC1011">
        <v>66773.504273504266</v>
      </c>
      <c r="AD1011">
        <v>3419.9387416825948</v>
      </c>
      <c r="AE1011">
        <v>2051963.2450095571</v>
      </c>
      <c r="AF1011">
        <v>2051963.2450095571</v>
      </c>
      <c r="AG1011">
        <v>65.747077451145913</v>
      </c>
      <c r="AH1011">
        <v>67.73017680965296</v>
      </c>
      <c r="AI1011">
        <v>67.73017680965296</v>
      </c>
      <c r="AJ1011">
        <v>13008.39717614053</v>
      </c>
      <c r="AK1011">
        <v>2170.1388888888891</v>
      </c>
      <c r="AL1011" t="s">
        <v>107</v>
      </c>
      <c r="AM1011">
        <v>5249.088702748104</v>
      </c>
      <c r="AN1011">
        <v>718.52404794723896</v>
      </c>
      <c r="AO1011">
        <v>11514.130057640999</v>
      </c>
      <c r="AP1011">
        <v>21146.148815724759</v>
      </c>
      <c r="AQ1011">
        <v>9632.0187580837555</v>
      </c>
      <c r="AR1011">
        <v>6.3394883937504176E-3</v>
      </c>
      <c r="AS1011">
        <v>197.85513942892081</v>
      </c>
      <c r="AT1011">
        <v>79.837597445278021</v>
      </c>
      <c r="AU1011">
        <v>10.928608172449129</v>
      </c>
      <c r="AV1011">
        <v>175.1276331057712</v>
      </c>
      <c r="AW1011">
        <v>321.62872686527612</v>
      </c>
      <c r="AX1011">
        <v>146.5010937595049</v>
      </c>
      <c r="AY1011">
        <v>1.030162547681007</v>
      </c>
      <c r="AZ1011" t="str">
        <f>VLOOKUP(BA1011,Sheet1!$A$1:$B$58,2,FALSE)</f>
        <v>Isoprene</v>
      </c>
      <c r="BA1011" t="s">
        <v>143</v>
      </c>
      <c r="BB1011" t="s">
        <v>144</v>
      </c>
      <c r="BC1011">
        <v>68.116219999999998</v>
      </c>
      <c r="BD1011">
        <v>5.6</v>
      </c>
      <c r="BE1011">
        <v>34.07</v>
      </c>
      <c r="BF1011" t="s">
        <v>212</v>
      </c>
      <c r="BG1011">
        <v>0.38176800314146941</v>
      </c>
      <c r="BH1011">
        <v>0.17886274509803901</v>
      </c>
      <c r="BI1011">
        <v>0.38024503855059599</v>
      </c>
      <c r="BJ1011">
        <v>90</v>
      </c>
      <c r="BK1011">
        <v>939.82883625443378</v>
      </c>
      <c r="BL1011">
        <v>428.08972258150038</v>
      </c>
      <c r="BM1011">
        <v>2.6284620772875509</v>
      </c>
      <c r="BN1011">
        <v>446.83855313888358</v>
      </c>
      <c r="BO1011">
        <v>492.99028311555008</v>
      </c>
    </row>
    <row r="1012" spans="1:67" x14ac:dyDescent="0.25">
      <c r="A1012" s="1">
        <v>1010</v>
      </c>
      <c r="B1012" t="s">
        <v>210</v>
      </c>
      <c r="C1012" t="s">
        <v>211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67</v>
      </c>
      <c r="J1012">
        <v>1.2130000000000001</v>
      </c>
      <c r="K1012">
        <v>500</v>
      </c>
      <c r="L1012">
        <v>100</v>
      </c>
      <c r="N1012" t="s">
        <v>68</v>
      </c>
      <c r="O1012">
        <v>0</v>
      </c>
      <c r="P1012">
        <v>0.125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49488.234747004841</v>
      </c>
      <c r="Z1012">
        <v>247441173.73502421</v>
      </c>
      <c r="AA1012">
        <v>300146143.74058437</v>
      </c>
      <c r="AB1012">
        <v>300146.14374058438</v>
      </c>
      <c r="AC1012">
        <v>0</v>
      </c>
      <c r="AD1012">
        <v>2564.5470280076552</v>
      </c>
      <c r="AE1012">
        <v>1538728.2168045931</v>
      </c>
      <c r="AF1012">
        <v>1538728.2168045931</v>
      </c>
      <c r="AG1012">
        <v>49.302483118328993</v>
      </c>
      <c r="AH1012">
        <v>50.789571616177597</v>
      </c>
      <c r="AI1012">
        <v>50.789571616177597</v>
      </c>
      <c r="AJ1012">
        <v>9754.7496715689922</v>
      </c>
      <c r="AK1012">
        <v>854.70085470085473</v>
      </c>
      <c r="AL1012" t="s">
        <v>69</v>
      </c>
      <c r="AM1012">
        <v>3936.1918002537641</v>
      </c>
      <c r="AN1012">
        <v>538.80751992900514</v>
      </c>
      <c r="AO1012">
        <v>8634.2271747501927</v>
      </c>
      <c r="AP1012">
        <v>15084.44984645262</v>
      </c>
      <c r="AQ1012">
        <v>6450.2226717024241</v>
      </c>
      <c r="AR1012">
        <v>6.339488393750415E-3</v>
      </c>
      <c r="AS1012">
        <v>197.85513942892069</v>
      </c>
      <c r="AT1012">
        <v>79.837597445277993</v>
      </c>
      <c r="AU1012">
        <v>10.92860817244912</v>
      </c>
      <c r="AV1012">
        <v>175.12763310577111</v>
      </c>
      <c r="AW1012">
        <v>305.9572032152825</v>
      </c>
      <c r="AX1012">
        <v>130.82957010951139</v>
      </c>
      <c r="AY1012">
        <v>1.030162547681007</v>
      </c>
      <c r="AZ1012" t="str">
        <f>VLOOKUP(BA1012,Sheet1!$A$1:$B$58,2,FALSE)</f>
        <v>Isopropanol</v>
      </c>
      <c r="BA1012" t="s">
        <v>145</v>
      </c>
      <c r="BB1012" t="s">
        <v>79</v>
      </c>
      <c r="BC1012">
        <v>60.093820000000001</v>
      </c>
      <c r="BD1012">
        <v>6</v>
      </c>
      <c r="BE1012">
        <v>82.5</v>
      </c>
      <c r="BF1012" t="s">
        <v>212</v>
      </c>
      <c r="BG1012">
        <v>0.51171262942262796</v>
      </c>
      <c r="BH1012">
        <v>0.27036363636363703</v>
      </c>
      <c r="BI1012">
        <v>0.50707385143256301</v>
      </c>
      <c r="BJ1012">
        <v>90</v>
      </c>
      <c r="BK1012">
        <v>670.41999317567183</v>
      </c>
      <c r="BL1012">
        <v>286.67656318677439</v>
      </c>
      <c r="BM1012">
        <v>1.7456016646297099</v>
      </c>
      <c r="BN1012">
        <v>296.75228298705071</v>
      </c>
      <c r="BO1012">
        <v>373.66771018862107</v>
      </c>
    </row>
    <row r="1013" spans="1:67" x14ac:dyDescent="0.25">
      <c r="A1013" s="1">
        <v>1011</v>
      </c>
      <c r="B1013" t="s">
        <v>210</v>
      </c>
      <c r="C1013" t="s">
        <v>211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67</v>
      </c>
      <c r="J1013">
        <v>1.2130000000000001</v>
      </c>
      <c r="K1013">
        <v>500</v>
      </c>
      <c r="L1013">
        <v>100</v>
      </c>
      <c r="N1013" t="s">
        <v>68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25434.467462088029</v>
      </c>
      <c r="Z1013">
        <v>127172337.3104402</v>
      </c>
      <c r="AA1013">
        <v>154260045.15756389</v>
      </c>
      <c r="AB1013">
        <v>154260.0451575639</v>
      </c>
      <c r="AC1013">
        <v>0</v>
      </c>
      <c r="AD1013">
        <v>1318.0483860924751</v>
      </c>
      <c r="AE1013">
        <v>790829.03165548493</v>
      </c>
      <c r="AF1013">
        <v>790829.03165548493</v>
      </c>
      <c r="AG1013">
        <v>25.339000453015299</v>
      </c>
      <c r="AH1013">
        <v>26.10328926236841</v>
      </c>
      <c r="AI1013">
        <v>26.10328926236841</v>
      </c>
      <c r="AJ1013">
        <v>5013.4514676208282</v>
      </c>
      <c r="AK1013">
        <v>854.70085470085473</v>
      </c>
      <c r="AL1013" t="s">
        <v>69</v>
      </c>
      <c r="AM1013">
        <v>2023.0049178335521</v>
      </c>
      <c r="AN1013">
        <v>276.92000743251498</v>
      </c>
      <c r="AO1013">
        <v>4437.5591746026303</v>
      </c>
      <c r="AP1013">
        <v>8168.0772475877502</v>
      </c>
      <c r="AQ1013">
        <v>3730.5180729851199</v>
      </c>
      <c r="AR1013">
        <v>6.3394883937504176E-3</v>
      </c>
      <c r="AS1013">
        <v>197.85513942892081</v>
      </c>
      <c r="AT1013">
        <v>79.837597445278007</v>
      </c>
      <c r="AU1013">
        <v>10.92860817244912</v>
      </c>
      <c r="AV1013">
        <v>175.12763310577111</v>
      </c>
      <c r="AW1013">
        <v>322.35199106347397</v>
      </c>
      <c r="AX1013">
        <v>147.22435795770289</v>
      </c>
      <c r="AY1013">
        <v>1.030162547681007</v>
      </c>
      <c r="AZ1013" t="str">
        <f>VLOOKUP(BA1013,Sheet1!$A$1:$B$58,2,FALSE)</f>
        <v>Itaconate</v>
      </c>
      <c r="BA1013" t="s">
        <v>146</v>
      </c>
      <c r="BB1013" t="s">
        <v>147</v>
      </c>
      <c r="BC1013">
        <v>128.08086</v>
      </c>
      <c r="BD1013">
        <v>3.2</v>
      </c>
      <c r="BE1013">
        <v>381</v>
      </c>
      <c r="BF1013" t="s">
        <v>212</v>
      </c>
      <c r="BG1013">
        <v>-0.32587986992887169</v>
      </c>
      <c r="BH1013">
        <v>0.24681592039801001</v>
      </c>
      <c r="BI1013">
        <v>0.98662139599216303</v>
      </c>
      <c r="BJ1013">
        <v>90</v>
      </c>
      <c r="BK1013">
        <v>363.02565544834448</v>
      </c>
      <c r="BL1013">
        <v>165.80080324378309</v>
      </c>
      <c r="BM1013">
        <v>1.4860260593674679</v>
      </c>
      <c r="BN1013">
        <v>252.62443009246951</v>
      </c>
      <c r="BO1013">
        <v>110.4012253558749</v>
      </c>
    </row>
    <row r="1014" spans="1:67" x14ac:dyDescent="0.25">
      <c r="A1014" s="1">
        <v>1012</v>
      </c>
      <c r="B1014" t="s">
        <v>210</v>
      </c>
      <c r="C1014" t="s">
        <v>211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67</v>
      </c>
      <c r="J1014">
        <v>1.2130000000000001</v>
      </c>
      <c r="K1014">
        <v>500</v>
      </c>
      <c r="L1014">
        <v>100</v>
      </c>
      <c r="N1014" t="s">
        <v>68</v>
      </c>
      <c r="O1014">
        <v>0</v>
      </c>
      <c r="P1014">
        <v>0.125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65800.683287188818</v>
      </c>
      <c r="Z1014">
        <v>329003416.43594408</v>
      </c>
      <c r="AA1014">
        <v>399081144.13680023</v>
      </c>
      <c r="AB1014">
        <v>399081.1441368002</v>
      </c>
      <c r="AC1014">
        <v>0</v>
      </c>
      <c r="AD1014">
        <v>3409.880098324707</v>
      </c>
      <c r="AE1014">
        <v>2045928.0589948241</v>
      </c>
      <c r="AF1014">
        <v>2045928.0589948241</v>
      </c>
      <c r="AG1014">
        <v>65.553703693936711</v>
      </c>
      <c r="AH1014">
        <v>67.530970407271667</v>
      </c>
      <c r="AI1014">
        <v>67.530970407271667</v>
      </c>
      <c r="AJ1014">
        <v>12970.13718444601</v>
      </c>
      <c r="AK1014">
        <v>854.70085470085473</v>
      </c>
      <c r="AL1014" t="s">
        <v>69</v>
      </c>
      <c r="AM1014">
        <v>5233.6502065635541</v>
      </c>
      <c r="AN1014">
        <v>716.4107419238652</v>
      </c>
      <c r="AO1014">
        <v>11480.264969236179</v>
      </c>
      <c r="AP1014">
        <v>19774.898987634278</v>
      </c>
      <c r="AQ1014">
        <v>8294.6340183980956</v>
      </c>
      <c r="AR1014">
        <v>6.3394883937504167E-3</v>
      </c>
      <c r="AS1014">
        <v>197.85513942892081</v>
      </c>
      <c r="AT1014">
        <v>79.837597445278021</v>
      </c>
      <c r="AU1014">
        <v>10.928608172449129</v>
      </c>
      <c r="AV1014">
        <v>175.12763310577111</v>
      </c>
      <c r="AW1014">
        <v>301.65952300668152</v>
      </c>
      <c r="AX1014">
        <v>126.5318899009103</v>
      </c>
      <c r="AY1014">
        <v>1.030162547681007</v>
      </c>
      <c r="AZ1014" t="str">
        <f>VLOOKUP(BA1014,Sheet1!$A$1:$B$58,2,FALSE)</f>
        <v>Limonene</v>
      </c>
      <c r="BA1014" t="s">
        <v>148</v>
      </c>
      <c r="BB1014" t="s">
        <v>149</v>
      </c>
      <c r="BC1014">
        <v>136.23244</v>
      </c>
      <c r="BD1014">
        <v>5.6</v>
      </c>
      <c r="BE1014">
        <v>176</v>
      </c>
      <c r="BF1014" t="s">
        <v>212</v>
      </c>
      <c r="BG1014">
        <v>0.37114366168113011</v>
      </c>
      <c r="BH1014">
        <v>8.9695181907571406E-2</v>
      </c>
      <c r="BI1014">
        <v>0.38136670533098099</v>
      </c>
      <c r="BJ1014">
        <v>90</v>
      </c>
      <c r="BK1014">
        <v>878.88439945041239</v>
      </c>
      <c r="BL1014">
        <v>368.65040081769331</v>
      </c>
      <c r="BM1014">
        <v>2.630232800864277</v>
      </c>
      <c r="BN1014">
        <v>447.1395761469272</v>
      </c>
      <c r="BO1014">
        <v>431.74482330348519</v>
      </c>
    </row>
    <row r="1015" spans="1:67" x14ac:dyDescent="0.25">
      <c r="A1015" s="1">
        <v>1013</v>
      </c>
      <c r="B1015" t="s">
        <v>210</v>
      </c>
      <c r="C1015" t="s">
        <v>211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67</v>
      </c>
      <c r="J1015">
        <v>1.2130000000000001</v>
      </c>
      <c r="K1015">
        <v>500</v>
      </c>
      <c r="L1015">
        <v>100</v>
      </c>
      <c r="N1015" t="s">
        <v>68</v>
      </c>
      <c r="O1015">
        <v>0</v>
      </c>
      <c r="P1015">
        <v>0.125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31618.12857463281</v>
      </c>
      <c r="Z1015">
        <v>158090642.87316409</v>
      </c>
      <c r="AA1015">
        <v>191763949.80514801</v>
      </c>
      <c r="AB1015">
        <v>191763.949805148</v>
      </c>
      <c r="AC1015">
        <v>0</v>
      </c>
      <c r="AD1015">
        <v>1638.4940396797249</v>
      </c>
      <c r="AE1015">
        <v>983096.42380783497</v>
      </c>
      <c r="AF1015">
        <v>983096.42380783497</v>
      </c>
      <c r="AG1015">
        <v>31.49945150101227</v>
      </c>
      <c r="AH1015">
        <v>32.449555208837111</v>
      </c>
      <c r="AI1015">
        <v>32.449555208837111</v>
      </c>
      <c r="AJ1015">
        <v>6232.3283686673103</v>
      </c>
      <c r="AK1015">
        <v>854.70085470085473</v>
      </c>
      <c r="AL1015" t="s">
        <v>69</v>
      </c>
      <c r="AM1015">
        <v>2514.8405286848761</v>
      </c>
      <c r="AN1015">
        <v>344.24516310162761</v>
      </c>
      <c r="AO1015">
        <v>5516.4243855023087</v>
      </c>
      <c r="AP1015">
        <v>9946.1149151546706</v>
      </c>
      <c r="AQ1015">
        <v>4429.6905296523619</v>
      </c>
      <c r="AR1015">
        <v>6.3394883937504167E-3</v>
      </c>
      <c r="AS1015">
        <v>197.85513942892081</v>
      </c>
      <c r="AT1015">
        <v>79.837597445278007</v>
      </c>
      <c r="AU1015">
        <v>10.928608172449129</v>
      </c>
      <c r="AV1015">
        <v>175.12763310577111</v>
      </c>
      <c r="AW1015">
        <v>315.75517798571963</v>
      </c>
      <c r="AX1015">
        <v>140.6275448799484</v>
      </c>
      <c r="AY1015">
        <v>1.030162547681007</v>
      </c>
      <c r="AZ1015" t="str">
        <f>VLOOKUP(BA1015,Sheet1!$A$1:$B$58,2,FALSE)</f>
        <v>L-Lysine</v>
      </c>
      <c r="BA1015" t="s">
        <v>150</v>
      </c>
      <c r="BB1015" t="s">
        <v>151</v>
      </c>
      <c r="BC1015">
        <v>147.19319999999999</v>
      </c>
      <c r="BD1015">
        <v>4.833333333333333</v>
      </c>
      <c r="BF1015" t="s">
        <v>212</v>
      </c>
      <c r="BG1015">
        <v>-6.3325798649973924E-2</v>
      </c>
      <c r="BH1015">
        <v>0.17276515151515101</v>
      </c>
      <c r="BI1015">
        <v>0.793664613467844</v>
      </c>
      <c r="BJ1015">
        <v>90</v>
      </c>
      <c r="BK1015">
        <v>442.04955178465201</v>
      </c>
      <c r="BL1015">
        <v>196.87513465121609</v>
      </c>
      <c r="BM1015">
        <v>1.505528252376068</v>
      </c>
      <c r="BN1015">
        <v>255.93980290393151</v>
      </c>
      <c r="BO1015">
        <v>186.1097488807205</v>
      </c>
    </row>
    <row r="1016" spans="1:67" x14ac:dyDescent="0.25">
      <c r="A1016" s="1">
        <v>1014</v>
      </c>
      <c r="B1016" t="s">
        <v>210</v>
      </c>
      <c r="C1016" t="s">
        <v>211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67</v>
      </c>
      <c r="J1016">
        <v>1.2130000000000001</v>
      </c>
      <c r="K1016">
        <v>500</v>
      </c>
      <c r="L1016">
        <v>100</v>
      </c>
      <c r="N1016" t="s">
        <v>68</v>
      </c>
      <c r="O1016">
        <v>0</v>
      </c>
      <c r="P1016">
        <v>0.125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15646.5861503549</v>
      </c>
      <c r="Z1016">
        <v>78232930.751774505</v>
      </c>
      <c r="AA1016">
        <v>94896545.001902476</v>
      </c>
      <c r="AB1016">
        <v>94896.545001902472</v>
      </c>
      <c r="AC1016">
        <v>0</v>
      </c>
      <c r="AD1016">
        <v>810.82718378405991</v>
      </c>
      <c r="AE1016">
        <v>486496.31027043599</v>
      </c>
      <c r="AF1016">
        <v>486496.31027043599</v>
      </c>
      <c r="AG1016">
        <v>15.587857467153659</v>
      </c>
      <c r="AH1016">
        <v>16.058026961251421</v>
      </c>
      <c r="AI1016">
        <v>16.058026961251421</v>
      </c>
      <c r="AJ1016">
        <v>3084.137712561831</v>
      </c>
      <c r="AK1016">
        <v>854.70085470085473</v>
      </c>
      <c r="AL1016" t="s">
        <v>69</v>
      </c>
      <c r="AM1016">
        <v>1244.4970894969849</v>
      </c>
      <c r="AN1016">
        <v>170.35358650650761</v>
      </c>
      <c r="AO1016">
        <v>2729.864583412741</v>
      </c>
      <c r="AP1016">
        <v>5353.689243266178</v>
      </c>
      <c r="AQ1016">
        <v>2623.824659853437</v>
      </c>
      <c r="AR1016">
        <v>6.3394883937504167E-3</v>
      </c>
      <c r="AS1016">
        <v>197.85513942892081</v>
      </c>
      <c r="AT1016">
        <v>79.837597445278035</v>
      </c>
      <c r="AU1016">
        <v>10.928608172449129</v>
      </c>
      <c r="AV1016">
        <v>175.1276331057712</v>
      </c>
      <c r="AW1016">
        <v>343.45254019337409</v>
      </c>
      <c r="AX1016">
        <v>168.3249070876029</v>
      </c>
      <c r="AY1016">
        <v>1.030162547681007</v>
      </c>
      <c r="AZ1016" t="str">
        <f>VLOOKUP(BA1016,Sheet1!$A$1:$B$58,2,FALSE)</f>
        <v>L-Malate</v>
      </c>
      <c r="BA1016" t="s">
        <v>152</v>
      </c>
      <c r="BB1016" t="s">
        <v>153</v>
      </c>
      <c r="BC1016">
        <v>132.06916000000001</v>
      </c>
      <c r="BD1016">
        <v>2.5</v>
      </c>
      <c r="BF1016" t="s">
        <v>212</v>
      </c>
      <c r="BG1016">
        <v>-0.47650988031631009</v>
      </c>
      <c r="BH1016">
        <v>0.38909803921568598</v>
      </c>
      <c r="BI1016">
        <v>1.6038124580417401</v>
      </c>
      <c r="BJ1016">
        <v>90</v>
      </c>
      <c r="BK1016">
        <v>237.94174414516351</v>
      </c>
      <c r="BL1016">
        <v>116.6144293268194</v>
      </c>
      <c r="BM1016">
        <v>1.1901999674830399</v>
      </c>
      <c r="BN1016">
        <v>202.33399447211681</v>
      </c>
      <c r="BO1016">
        <v>35.607749673046698</v>
      </c>
    </row>
    <row r="1017" spans="1:67" x14ac:dyDescent="0.25">
      <c r="A1017" s="1">
        <v>1015</v>
      </c>
      <c r="B1017" t="s">
        <v>210</v>
      </c>
      <c r="C1017" t="s">
        <v>211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67</v>
      </c>
      <c r="J1017">
        <v>1.2130000000000001</v>
      </c>
      <c r="K1017">
        <v>500</v>
      </c>
      <c r="L1017">
        <v>100</v>
      </c>
      <c r="N1017" t="s">
        <v>68</v>
      </c>
      <c r="O1017">
        <v>0</v>
      </c>
      <c r="P1017">
        <v>0.125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15962.11188073516</v>
      </c>
      <c r="Z1017">
        <v>79810559.40367578</v>
      </c>
      <c r="AA1017">
        <v>96810208.55665873</v>
      </c>
      <c r="AB1017">
        <v>96810.208556658734</v>
      </c>
      <c r="AC1017">
        <v>0</v>
      </c>
      <c r="AD1017">
        <v>827.17815241818778</v>
      </c>
      <c r="AE1017">
        <v>496306.89145091269</v>
      </c>
      <c r="AF1017">
        <v>496306.89145091269</v>
      </c>
      <c r="AG1017">
        <v>15.90219888739218</v>
      </c>
      <c r="AH1017">
        <v>16.381849719565999</v>
      </c>
      <c r="AI1017">
        <v>16.381849719565999</v>
      </c>
      <c r="AJ1017">
        <v>3146.331778091409</v>
      </c>
      <c r="AK1017">
        <v>854.70085470085473</v>
      </c>
      <c r="AL1017" t="s">
        <v>69</v>
      </c>
      <c r="AM1017">
        <v>1269.5933532663651</v>
      </c>
      <c r="AN1017">
        <v>173.78890072066559</v>
      </c>
      <c r="AO1017">
        <v>2784.9144523262198</v>
      </c>
      <c r="AP1017">
        <v>5444.4148867792937</v>
      </c>
      <c r="AQ1017">
        <v>2659.5004344530739</v>
      </c>
      <c r="AR1017">
        <v>6.3394883937504167E-3</v>
      </c>
      <c r="AS1017">
        <v>197.85513942892081</v>
      </c>
      <c r="AT1017">
        <v>79.837597445278007</v>
      </c>
      <c r="AU1017">
        <v>10.928608172449129</v>
      </c>
      <c r="AV1017">
        <v>175.12763310577111</v>
      </c>
      <c r="AW1017">
        <v>342.36868280498089</v>
      </c>
      <c r="AX1017">
        <v>167.24104969920981</v>
      </c>
      <c r="AY1017">
        <v>1.030162547681007</v>
      </c>
      <c r="AZ1017" t="str">
        <f>VLOOKUP(BA1017,Sheet1!$A$1:$B$58,2,FALSE)</f>
        <v>Malonate</v>
      </c>
      <c r="BA1017" t="s">
        <v>154</v>
      </c>
      <c r="BB1017" t="s">
        <v>155</v>
      </c>
      <c r="BC1017">
        <v>102.04378</v>
      </c>
      <c r="BD1017">
        <v>2</v>
      </c>
      <c r="BE1017">
        <v>199</v>
      </c>
      <c r="BF1017" t="s">
        <v>212</v>
      </c>
      <c r="BG1017">
        <v>-0.42015776952391509</v>
      </c>
      <c r="BH1017">
        <v>0.49363184079601902</v>
      </c>
      <c r="BI1017">
        <v>1.57210962943124</v>
      </c>
      <c r="BJ1017">
        <v>90</v>
      </c>
      <c r="BK1017">
        <v>241.97399496796859</v>
      </c>
      <c r="BL1017">
        <v>118.20001930902551</v>
      </c>
      <c r="BM1017">
        <v>1.1482399792824041</v>
      </c>
      <c r="BN1017">
        <v>195.20079647800861</v>
      </c>
      <c r="BO1017">
        <v>46.773198489959981</v>
      </c>
    </row>
    <row r="1018" spans="1:67" x14ac:dyDescent="0.25">
      <c r="A1018" s="1">
        <v>1016</v>
      </c>
      <c r="B1018" t="s">
        <v>210</v>
      </c>
      <c r="C1018" t="s">
        <v>211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67</v>
      </c>
      <c r="J1018">
        <v>1.2130000000000001</v>
      </c>
      <c r="K1018">
        <v>500</v>
      </c>
      <c r="L1018">
        <v>100</v>
      </c>
      <c r="N1018" t="s">
        <v>68</v>
      </c>
      <c r="O1018">
        <v>0</v>
      </c>
      <c r="P1018">
        <v>0.125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67436.743324551004</v>
      </c>
      <c r="Z1018">
        <v>337183716.62275499</v>
      </c>
      <c r="AA1018">
        <v>409003848.26340181</v>
      </c>
      <c r="AB1018">
        <v>409003.84826340177</v>
      </c>
      <c r="AC1018">
        <v>0</v>
      </c>
      <c r="AD1018">
        <v>3494.6629346475002</v>
      </c>
      <c r="AE1018">
        <v>2096797.7607885001</v>
      </c>
      <c r="AF1018">
        <v>2096797.7607885001</v>
      </c>
      <c r="AG1018">
        <v>67.183622861289976</v>
      </c>
      <c r="AH1018">
        <v>69.210052089226423</v>
      </c>
      <c r="AI1018">
        <v>69.210052089226423</v>
      </c>
      <c r="AJ1018">
        <v>13292.625068560559</v>
      </c>
      <c r="AK1018">
        <v>854.70085470085473</v>
      </c>
      <c r="AL1018" t="s">
        <v>69</v>
      </c>
      <c r="AM1018">
        <v>5363.779036915048</v>
      </c>
      <c r="AN1018">
        <v>734.22348985663371</v>
      </c>
      <c r="AO1018">
        <v>11765.70885516849</v>
      </c>
      <c r="AP1018">
        <v>20245.328450033099</v>
      </c>
      <c r="AQ1018">
        <v>8479.6195948646073</v>
      </c>
      <c r="AR1018">
        <v>6.3394883937504167E-3</v>
      </c>
      <c r="AS1018">
        <v>197.85513942892081</v>
      </c>
      <c r="AT1018">
        <v>79.837597445278035</v>
      </c>
      <c r="AU1018">
        <v>10.928608172449129</v>
      </c>
      <c r="AV1018">
        <v>175.1276331057712</v>
      </c>
      <c r="AW1018">
        <v>301.34320817786829</v>
      </c>
      <c r="AX1018">
        <v>126.2155750720971</v>
      </c>
      <c r="AY1018">
        <v>1.030162547681007</v>
      </c>
      <c r="AZ1018" t="str">
        <f>VLOOKUP(BA1018,Sheet1!$A$1:$B$58,2,FALSE)</f>
        <v>Nonane</v>
      </c>
      <c r="BA1018" t="s">
        <v>156</v>
      </c>
      <c r="BB1018" t="s">
        <v>157</v>
      </c>
      <c r="BC1018">
        <v>128.25309999999999</v>
      </c>
      <c r="BD1018">
        <v>6.2222222222222223</v>
      </c>
      <c r="BE1018">
        <v>151</v>
      </c>
      <c r="BF1018" t="s">
        <v>212</v>
      </c>
      <c r="BG1018">
        <v>0.60285637554897797</v>
      </c>
      <c r="BH1018">
        <v>9.2964169381107506E-2</v>
      </c>
      <c r="BI1018">
        <v>0.37211449658819401</v>
      </c>
      <c r="BJ1018">
        <v>90</v>
      </c>
      <c r="BK1018">
        <v>899.79237555702639</v>
      </c>
      <c r="BL1018">
        <v>376.87198199398239</v>
      </c>
      <c r="BM1018">
        <v>2.4731459395277522</v>
      </c>
      <c r="BN1018">
        <v>420.43480971971792</v>
      </c>
      <c r="BO1018">
        <v>479.35756583730853</v>
      </c>
    </row>
    <row r="1019" spans="1:67" x14ac:dyDescent="0.25">
      <c r="A1019" s="1">
        <v>1017</v>
      </c>
      <c r="B1019" t="s">
        <v>210</v>
      </c>
      <c r="C1019" t="s">
        <v>211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67</v>
      </c>
      <c r="J1019">
        <v>1.2130000000000001</v>
      </c>
      <c r="K1019">
        <v>500</v>
      </c>
      <c r="L1019">
        <v>100</v>
      </c>
      <c r="N1019" t="s">
        <v>68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66444.030649489301</v>
      </c>
      <c r="Z1019">
        <v>332220153.24744648</v>
      </c>
      <c r="AA1019">
        <v>402983045.88915259</v>
      </c>
      <c r="AB1019">
        <v>402983.04588915262</v>
      </c>
      <c r="AC1019">
        <v>0</v>
      </c>
      <c r="AD1019">
        <v>3443.2192257839688</v>
      </c>
      <c r="AE1019">
        <v>2065931.5354703809</v>
      </c>
      <c r="AF1019">
        <v>2065931.5354703809</v>
      </c>
      <c r="AG1019">
        <v>66.194636283898618</v>
      </c>
      <c r="AH1019">
        <v>68.191235157038619</v>
      </c>
      <c r="AI1019">
        <v>68.191235157038619</v>
      </c>
      <c r="AJ1019">
        <v>13096.948991397459</v>
      </c>
      <c r="AK1019">
        <v>854.70085470085473</v>
      </c>
      <c r="AL1019" t="s">
        <v>69</v>
      </c>
      <c r="AM1019">
        <v>5284.8207246704933</v>
      </c>
      <c r="AN1019">
        <v>723.41524306451197</v>
      </c>
      <c r="AO1019">
        <v>11592.50997669656</v>
      </c>
      <c r="AP1019">
        <v>19959.88581383332</v>
      </c>
      <c r="AQ1019">
        <v>8367.3758371367549</v>
      </c>
      <c r="AR1019">
        <v>6.3394883937504167E-3</v>
      </c>
      <c r="AS1019">
        <v>197.85513942892081</v>
      </c>
      <c r="AT1019">
        <v>79.837597445278035</v>
      </c>
      <c r="AU1019">
        <v>10.928608172449129</v>
      </c>
      <c r="AV1019">
        <v>175.1276331057712</v>
      </c>
      <c r="AW1019">
        <v>301.5332802529262</v>
      </c>
      <c r="AX1019">
        <v>126.40564714715499</v>
      </c>
      <c r="AY1019">
        <v>1.030162547681007</v>
      </c>
      <c r="AZ1019" t="str">
        <f>VLOOKUP(BA1019,Sheet1!$A$1:$B$58,2,FALSE)</f>
        <v>Octane</v>
      </c>
      <c r="BA1019" t="s">
        <v>158</v>
      </c>
      <c r="BB1019" t="s">
        <v>159</v>
      </c>
      <c r="BC1019">
        <v>114.22672</v>
      </c>
      <c r="BD1019">
        <v>6.25</v>
      </c>
      <c r="BE1019">
        <v>126</v>
      </c>
      <c r="BF1019" t="s">
        <v>212</v>
      </c>
      <c r="BG1019">
        <v>0.55457479638726248</v>
      </c>
      <c r="BH1019">
        <v>0.105939123979213</v>
      </c>
      <c r="BI1019">
        <v>0.377674104783639</v>
      </c>
      <c r="BJ1019">
        <v>90</v>
      </c>
      <c r="BK1019">
        <v>887.10603617036986</v>
      </c>
      <c r="BL1019">
        <v>371.88337053941137</v>
      </c>
      <c r="BM1019">
        <v>2.4761467661477878</v>
      </c>
      <c r="BN1019">
        <v>420.94495024512389</v>
      </c>
      <c r="BO1019">
        <v>466.16108592524591</v>
      </c>
    </row>
    <row r="1020" spans="1:67" x14ac:dyDescent="0.25">
      <c r="A1020" s="1">
        <v>1018</v>
      </c>
      <c r="B1020" t="s">
        <v>210</v>
      </c>
      <c r="C1020" t="s">
        <v>211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67</v>
      </c>
      <c r="J1020">
        <v>1.2130000000000001</v>
      </c>
      <c r="K1020">
        <v>500</v>
      </c>
      <c r="L1020">
        <v>100</v>
      </c>
      <c r="N1020" t="s">
        <v>68</v>
      </c>
      <c r="O1020">
        <v>0</v>
      </c>
      <c r="P1020">
        <v>0.125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70287.293644573045</v>
      </c>
      <c r="Z1020">
        <v>351436468.22286522</v>
      </c>
      <c r="AA1020">
        <v>426292435.95433557</v>
      </c>
      <c r="AB1020">
        <v>426292.43595433561</v>
      </c>
      <c r="AC1020">
        <v>66773.504273504266</v>
      </c>
      <c r="AD1020">
        <v>3642.3822943856499</v>
      </c>
      <c r="AE1020">
        <v>2185429.3766313898</v>
      </c>
      <c r="AF1020">
        <v>2185429.3766313898</v>
      </c>
      <c r="AG1020">
        <v>70.023473782408985</v>
      </c>
      <c r="AH1020">
        <v>72.135560149160611</v>
      </c>
      <c r="AI1020">
        <v>72.135560149160611</v>
      </c>
      <c r="AJ1020">
        <v>13854.50416851591</v>
      </c>
      <c r="AK1020">
        <v>2170.1388888888891</v>
      </c>
      <c r="AL1020" t="s">
        <v>107</v>
      </c>
      <c r="AM1020">
        <v>5590.505911559947</v>
      </c>
      <c r="AN1020">
        <v>765.25910784171174</v>
      </c>
      <c r="AO1020">
        <v>12263.0452253573</v>
      </c>
      <c r="AP1020">
        <v>22380.408076806449</v>
      </c>
      <c r="AQ1020">
        <v>10117.36285144915</v>
      </c>
      <c r="AR1020">
        <v>6.3394883937504167E-3</v>
      </c>
      <c r="AS1020">
        <v>197.85513942892081</v>
      </c>
      <c r="AT1020">
        <v>79.837597445278007</v>
      </c>
      <c r="AU1020">
        <v>10.92860817244912</v>
      </c>
      <c r="AV1020">
        <v>175.12763310577111</v>
      </c>
      <c r="AW1020">
        <v>319.61293646115519</v>
      </c>
      <c r="AX1020">
        <v>144.4853033553841</v>
      </c>
      <c r="AY1020">
        <v>1.030162547681007</v>
      </c>
      <c r="AZ1020" t="str">
        <f>VLOOKUP(BA1020,Sheet1!$A$1:$B$58,2,FALSE)</f>
        <v>Pentane</v>
      </c>
      <c r="BA1020" t="s">
        <v>160</v>
      </c>
      <c r="BB1020" t="s">
        <v>161</v>
      </c>
      <c r="BC1020">
        <v>72.147580000000005</v>
      </c>
      <c r="BD1020">
        <v>6.4</v>
      </c>
      <c r="BE1020">
        <v>36.1</v>
      </c>
      <c r="BF1020" t="s">
        <v>212</v>
      </c>
      <c r="BG1020">
        <v>0.79723152401886821</v>
      </c>
      <c r="BH1020">
        <v>0.158555555555556</v>
      </c>
      <c r="BI1020">
        <v>0.35702313309512501</v>
      </c>
      <c r="BJ1020">
        <v>90</v>
      </c>
      <c r="BK1020">
        <v>994.6848034136201</v>
      </c>
      <c r="BL1020">
        <v>449.6605711755177</v>
      </c>
      <c r="BM1020">
        <v>2.4087933714993812</v>
      </c>
      <c r="BN1020">
        <v>409.49487315489472</v>
      </c>
      <c r="BO1020">
        <v>585.18993025872533</v>
      </c>
    </row>
    <row r="1021" spans="1:67" x14ac:dyDescent="0.25">
      <c r="A1021" s="1">
        <v>1019</v>
      </c>
      <c r="B1021" t="s">
        <v>210</v>
      </c>
      <c r="C1021" t="s">
        <v>211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67</v>
      </c>
      <c r="J1021">
        <v>1.2130000000000001</v>
      </c>
      <c r="K1021">
        <v>500</v>
      </c>
      <c r="L1021">
        <v>100</v>
      </c>
      <c r="N1021" t="s">
        <v>68</v>
      </c>
      <c r="O1021">
        <v>0</v>
      </c>
      <c r="P1021">
        <v>0.125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50968.26243241498</v>
      </c>
      <c r="Z1021">
        <v>254841312.16207489</v>
      </c>
      <c r="AA1021">
        <v>309122511.65259689</v>
      </c>
      <c r="AB1021">
        <v>309122.51165259688</v>
      </c>
      <c r="AC1021">
        <v>0</v>
      </c>
      <c r="AD1021">
        <v>2641.2440575418791</v>
      </c>
      <c r="AE1021">
        <v>1584746.4345251271</v>
      </c>
      <c r="AF1021">
        <v>1584746.4345251271</v>
      </c>
      <c r="AG1021">
        <v>50.776955593405681</v>
      </c>
      <c r="AH1021">
        <v>52.308517937588142</v>
      </c>
      <c r="AI1021">
        <v>52.308517937588142</v>
      </c>
      <c r="AJ1021">
        <v>10046.4816287094</v>
      </c>
      <c r="AK1021">
        <v>854.70085470085473</v>
      </c>
      <c r="AL1021" t="s">
        <v>69</v>
      </c>
      <c r="AM1021">
        <v>4053.910140163081</v>
      </c>
      <c r="AN1021">
        <v>554.92145187017957</v>
      </c>
      <c r="AO1021">
        <v>8892.4480493899828</v>
      </c>
      <c r="AP1021">
        <v>15510.014075443511</v>
      </c>
      <c r="AQ1021">
        <v>6617.5660260535305</v>
      </c>
      <c r="AR1021">
        <v>6.3394883937504158E-3</v>
      </c>
      <c r="AS1021">
        <v>197.85513942892081</v>
      </c>
      <c r="AT1021">
        <v>79.837597445278007</v>
      </c>
      <c r="AU1021">
        <v>10.928608172449129</v>
      </c>
      <c r="AV1021">
        <v>175.12763310577111</v>
      </c>
      <c r="AW1021">
        <v>305.45380072880488</v>
      </c>
      <c r="AX1021">
        <v>130.32616762303371</v>
      </c>
      <c r="AY1021">
        <v>1.030162547681007</v>
      </c>
      <c r="AZ1021" t="str">
        <f>VLOOKUP(BA1021,Sheet1!$A$1:$B$58,2,FALSE)</f>
        <v>Pentanol (PW1)</v>
      </c>
      <c r="BA1021" t="s">
        <v>162</v>
      </c>
      <c r="BB1021" t="s">
        <v>83</v>
      </c>
      <c r="BC1021">
        <v>88.14658</v>
      </c>
      <c r="BD1021">
        <v>6</v>
      </c>
      <c r="BE1021">
        <v>138</v>
      </c>
      <c r="BF1021" t="s">
        <v>212</v>
      </c>
      <c r="BG1021">
        <v>0.29337766619619432</v>
      </c>
      <c r="BH1021">
        <v>0.17896774193548401</v>
      </c>
      <c r="BI1021">
        <v>0.492349328703092</v>
      </c>
      <c r="BJ1021">
        <v>90</v>
      </c>
      <c r="BK1021">
        <v>689.33395890860061</v>
      </c>
      <c r="BL1021">
        <v>294.11404560237912</v>
      </c>
      <c r="BM1021">
        <v>2.0314453532521668</v>
      </c>
      <c r="BN1021">
        <v>345.34571005286841</v>
      </c>
      <c r="BO1021">
        <v>343.98824885573219</v>
      </c>
    </row>
    <row r="1022" spans="1:67" x14ac:dyDescent="0.25">
      <c r="A1022" s="1">
        <v>1020</v>
      </c>
      <c r="B1022" t="s">
        <v>210</v>
      </c>
      <c r="C1022" t="s">
        <v>211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67</v>
      </c>
      <c r="J1022">
        <v>1.2130000000000001</v>
      </c>
      <c r="K1022">
        <v>500</v>
      </c>
      <c r="L1022">
        <v>100</v>
      </c>
      <c r="N1022" t="s">
        <v>68</v>
      </c>
      <c r="O1022">
        <v>0</v>
      </c>
      <c r="P1022">
        <v>0.125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60729.375181744574</v>
      </c>
      <c r="Z1022">
        <v>303646875.90872282</v>
      </c>
      <c r="AA1022">
        <v>368323660.4772808</v>
      </c>
      <c r="AB1022">
        <v>368323.66047728079</v>
      </c>
      <c r="AC1022">
        <v>0</v>
      </c>
      <c r="AD1022">
        <v>3147.0780768661562</v>
      </c>
      <c r="AE1022">
        <v>1888246.8461196939</v>
      </c>
      <c r="AF1022">
        <v>1888246.8461196939</v>
      </c>
      <c r="AG1022">
        <v>60.501430491331867</v>
      </c>
      <c r="AH1022">
        <v>62.326307773295781</v>
      </c>
      <c r="AI1022">
        <v>62.326307773295781</v>
      </c>
      <c r="AJ1022">
        <v>11970.51896551163</v>
      </c>
      <c r="AK1022">
        <v>854.70085470085473</v>
      </c>
      <c r="AL1022" t="s">
        <v>69</v>
      </c>
      <c r="AM1022">
        <v>4830.2888524304226</v>
      </c>
      <c r="AN1022">
        <v>661.19642771243218</v>
      </c>
      <c r="AO1022">
        <v>10595.47232146028</v>
      </c>
      <c r="AP1022">
        <v>18316.705100355339</v>
      </c>
      <c r="AQ1022">
        <v>7721.2327788950524</v>
      </c>
      <c r="AR1022">
        <v>6.3394883937504158E-3</v>
      </c>
      <c r="AS1022">
        <v>197.85513942892081</v>
      </c>
      <c r="AT1022">
        <v>79.837597445277993</v>
      </c>
      <c r="AU1022">
        <v>10.92860817244912</v>
      </c>
      <c r="AV1022">
        <v>175.12763310577111</v>
      </c>
      <c r="AW1022">
        <v>302.74829787668563</v>
      </c>
      <c r="AX1022">
        <v>127.6206647709145</v>
      </c>
      <c r="AY1022">
        <v>1.030162547681007</v>
      </c>
      <c r="AZ1022" t="str">
        <f>VLOOKUP(BA1022,Sheet1!$A$1:$B$58,2,FALSE)</f>
        <v>Pentanol (PW2)</v>
      </c>
      <c r="BA1022" t="s">
        <v>163</v>
      </c>
      <c r="BB1022" t="s">
        <v>83</v>
      </c>
      <c r="BC1022">
        <v>88.14658</v>
      </c>
      <c r="BD1022">
        <v>6</v>
      </c>
      <c r="BE1022">
        <v>138</v>
      </c>
      <c r="BF1022" t="s">
        <v>212</v>
      </c>
      <c r="BG1022">
        <v>0.8276597907672697</v>
      </c>
      <c r="BH1022">
        <v>0.15020202020202</v>
      </c>
      <c r="BI1022">
        <v>0.413213370278605</v>
      </c>
      <c r="BJ1022">
        <v>90</v>
      </c>
      <c r="BK1022">
        <v>814.07578223801477</v>
      </c>
      <c r="BL1022">
        <v>343.16590128422439</v>
      </c>
      <c r="BM1022">
        <v>1.94239833249032</v>
      </c>
      <c r="BN1022">
        <v>330.20771652335452</v>
      </c>
      <c r="BO1022">
        <v>483.8680657146603</v>
      </c>
    </row>
    <row r="1023" spans="1:67" x14ac:dyDescent="0.25">
      <c r="A1023" s="1">
        <v>1021</v>
      </c>
      <c r="B1023" t="s">
        <v>210</v>
      </c>
      <c r="C1023" t="s">
        <v>211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67</v>
      </c>
      <c r="J1023">
        <v>1.2130000000000001</v>
      </c>
      <c r="K1023">
        <v>500</v>
      </c>
      <c r="L1023">
        <v>100</v>
      </c>
      <c r="N1023" t="s">
        <v>68</v>
      </c>
      <c r="O1023">
        <v>0</v>
      </c>
      <c r="P1023">
        <v>0.125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54334.204019735633</v>
      </c>
      <c r="Z1023">
        <v>271671020.09867811</v>
      </c>
      <c r="AA1023">
        <v>329536947.37969649</v>
      </c>
      <c r="AB1023">
        <v>329536.94737969647</v>
      </c>
      <c r="AC1023">
        <v>0</v>
      </c>
      <c r="AD1023">
        <v>2815.6716874288581</v>
      </c>
      <c r="AE1023">
        <v>1689403.0124573151</v>
      </c>
      <c r="AF1023">
        <v>1689403.0124573151</v>
      </c>
      <c r="AG1023">
        <v>54.130263286325572</v>
      </c>
      <c r="AH1023">
        <v>55.762969933684822</v>
      </c>
      <c r="AI1023">
        <v>55.762969933684822</v>
      </c>
      <c r="AJ1023">
        <v>10709.950789840141</v>
      </c>
      <c r="AK1023">
        <v>854.70085470085473</v>
      </c>
      <c r="AL1023" t="s">
        <v>69</v>
      </c>
      <c r="AM1023">
        <v>4321.6301698605739</v>
      </c>
      <c r="AN1023">
        <v>591.56843772776062</v>
      </c>
      <c r="AO1023">
        <v>9479.7048887264191</v>
      </c>
      <c r="AP1023">
        <v>16477.85025212933</v>
      </c>
      <c r="AQ1023">
        <v>6998.1453634029076</v>
      </c>
      <c r="AR1023">
        <v>6.3394883937504158E-3</v>
      </c>
      <c r="AS1023">
        <v>197.85513942892081</v>
      </c>
      <c r="AT1023">
        <v>79.837597445278021</v>
      </c>
      <c r="AU1023">
        <v>10.928608172449129</v>
      </c>
      <c r="AV1023">
        <v>175.12763310577111</v>
      </c>
      <c r="AW1023">
        <v>304.41104941553039</v>
      </c>
      <c r="AX1023">
        <v>129.28341630975919</v>
      </c>
      <c r="AY1023">
        <v>1.030162547681007</v>
      </c>
      <c r="AZ1023" t="str">
        <f>VLOOKUP(BA1023,Sheet1!$A$1:$B$58,2,FALSE)</f>
        <v>Phenol</v>
      </c>
      <c r="BA1023" t="s">
        <v>164</v>
      </c>
      <c r="BB1023" t="s">
        <v>165</v>
      </c>
      <c r="BC1023">
        <v>94.11023999999999</v>
      </c>
      <c r="BD1023">
        <v>4.666666666666667</v>
      </c>
      <c r="BE1023">
        <v>181.7</v>
      </c>
      <c r="BF1023" t="s">
        <v>212</v>
      </c>
      <c r="BG1023">
        <v>0.168166742079988</v>
      </c>
      <c r="BH1023">
        <v>0.15724247226624399</v>
      </c>
      <c r="BI1023">
        <v>0.46184885278981302</v>
      </c>
      <c r="BJ1023">
        <v>90</v>
      </c>
      <c r="BK1023">
        <v>732.34890009463663</v>
      </c>
      <c r="BL1023">
        <v>311.02868281790688</v>
      </c>
      <c r="BM1023">
        <v>2.3101874771948929</v>
      </c>
      <c r="BN1023">
        <v>392.73187112313178</v>
      </c>
      <c r="BO1023">
        <v>339.61702897150491</v>
      </c>
    </row>
    <row r="1024" spans="1:67" x14ac:dyDescent="0.25">
      <c r="A1024" s="1">
        <v>1022</v>
      </c>
      <c r="B1024" t="s">
        <v>210</v>
      </c>
      <c r="C1024" t="s">
        <v>211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67</v>
      </c>
      <c r="J1024">
        <v>1.2130000000000001</v>
      </c>
      <c r="K1024">
        <v>500</v>
      </c>
      <c r="L1024">
        <v>100</v>
      </c>
      <c r="N1024" t="s">
        <v>68</v>
      </c>
      <c r="O1024">
        <v>0</v>
      </c>
      <c r="P1024">
        <v>0.125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74113.359495617566</v>
      </c>
      <c r="Z1024">
        <v>370566797.47808778</v>
      </c>
      <c r="AA1024">
        <v>449497525.34092063</v>
      </c>
      <c r="AB1024">
        <v>449497.52534092049</v>
      </c>
      <c r="AC1024">
        <v>66773.504273504266</v>
      </c>
      <c r="AD1024">
        <v>3840.6541838038052</v>
      </c>
      <c r="AE1024">
        <v>2304392.5102822832</v>
      </c>
      <c r="AF1024">
        <v>2304392.5102822832</v>
      </c>
      <c r="AG1024">
        <v>73.835178685505241</v>
      </c>
      <c r="AH1024">
        <v>76.062235783142441</v>
      </c>
      <c r="AI1024">
        <v>76.062235783142441</v>
      </c>
      <c r="AJ1024">
        <v>14608.66957357992</v>
      </c>
      <c r="AK1024">
        <v>2170.1388888888891</v>
      </c>
      <c r="AL1024" t="s">
        <v>107</v>
      </c>
      <c r="AM1024">
        <v>5894.8232731935404</v>
      </c>
      <c r="AN1024">
        <v>806.91573719665416</v>
      </c>
      <c r="AO1024">
        <v>12930.580083134209</v>
      </c>
      <c r="AP1024">
        <v>23480.547472859002</v>
      </c>
      <c r="AQ1024">
        <v>10549.967389724779</v>
      </c>
      <c r="AR1024">
        <v>6.3394883937504167E-3</v>
      </c>
      <c r="AS1024">
        <v>197.85513942892081</v>
      </c>
      <c r="AT1024">
        <v>79.837597445278021</v>
      </c>
      <c r="AU1024">
        <v>10.928608172449129</v>
      </c>
      <c r="AV1024">
        <v>175.12763310577111</v>
      </c>
      <c r="AW1024">
        <v>318.01301074752479</v>
      </c>
      <c r="AX1024">
        <v>142.88537764175371</v>
      </c>
      <c r="AY1024">
        <v>1.030162547681007</v>
      </c>
      <c r="AZ1024" t="str">
        <f>VLOOKUP(BA1024,Sheet1!$A$1:$B$58,2,FALSE)</f>
        <v>Propane (PW1)</v>
      </c>
      <c r="BA1024" t="s">
        <v>166</v>
      </c>
      <c r="BB1024" t="s">
        <v>167</v>
      </c>
      <c r="BC1024">
        <v>44.094819999999999</v>
      </c>
      <c r="BD1024">
        <v>6.666666666666667</v>
      </c>
      <c r="BE1024">
        <v>-42</v>
      </c>
      <c r="BF1024" t="s">
        <v>212</v>
      </c>
      <c r="BG1024">
        <v>1.0624233209617719</v>
      </c>
      <c r="BH1024">
        <v>0.24603448275862</v>
      </c>
      <c r="BI1024">
        <v>0.33859198887410302</v>
      </c>
      <c r="BJ1024">
        <v>90</v>
      </c>
      <c r="BK1024">
        <v>1043.579887682622</v>
      </c>
      <c r="BL1024">
        <v>468.88743954332358</v>
      </c>
      <c r="BM1024">
        <v>2.318120491622337</v>
      </c>
      <c r="BN1024">
        <v>394.0804835757973</v>
      </c>
      <c r="BO1024">
        <v>649.49940410682473</v>
      </c>
    </row>
    <row r="1025" spans="1:67" x14ac:dyDescent="0.25">
      <c r="A1025" s="1">
        <v>1023</v>
      </c>
      <c r="B1025" t="s">
        <v>210</v>
      </c>
      <c r="C1025" t="s">
        <v>211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67</v>
      </c>
      <c r="J1025">
        <v>1.2130000000000001</v>
      </c>
      <c r="K1025">
        <v>500</v>
      </c>
      <c r="L1025">
        <v>100</v>
      </c>
      <c r="N1025" t="s">
        <v>68</v>
      </c>
      <c r="O1025">
        <v>0</v>
      </c>
      <c r="P1025">
        <v>0.125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87806.302097951455</v>
      </c>
      <c r="Z1025">
        <v>439031510.4897573</v>
      </c>
      <c r="AA1025">
        <v>532545222.22407562</v>
      </c>
      <c r="AB1025">
        <v>532545.22222407558</v>
      </c>
      <c r="AC1025">
        <v>66773.504273504266</v>
      </c>
      <c r="AD1025">
        <v>4550.2409256832998</v>
      </c>
      <c r="AE1025">
        <v>2730144.55540998</v>
      </c>
      <c r="AF1025">
        <v>2730144.55540998</v>
      </c>
      <c r="AG1025">
        <v>87.476725508564499</v>
      </c>
      <c r="AH1025">
        <v>90.115246412694901</v>
      </c>
      <c r="AI1025">
        <v>90.115246412694901</v>
      </c>
      <c r="AJ1025">
        <v>17307.719722282462</v>
      </c>
      <c r="AK1025">
        <v>2170.1388888888891</v>
      </c>
      <c r="AL1025" t="s">
        <v>107</v>
      </c>
      <c r="AM1025">
        <v>6983.9315969838544</v>
      </c>
      <c r="AN1025">
        <v>955.99885729198672</v>
      </c>
      <c r="AO1025">
        <v>15319.59189015813</v>
      </c>
      <c r="AP1025">
        <v>27417.789065447181</v>
      </c>
      <c r="AQ1025">
        <v>12098.197175289049</v>
      </c>
      <c r="AR1025">
        <v>6.3394883937504158E-3</v>
      </c>
      <c r="AS1025">
        <v>197.85513942892081</v>
      </c>
      <c r="AT1025">
        <v>79.837597445277993</v>
      </c>
      <c r="AU1025">
        <v>10.92860817244912</v>
      </c>
      <c r="AV1025">
        <v>175.12763310577111</v>
      </c>
      <c r="AW1025">
        <v>313.42953118155771</v>
      </c>
      <c r="AX1025">
        <v>138.3018980757866</v>
      </c>
      <c r="AY1025">
        <v>1.030162547681007</v>
      </c>
      <c r="AZ1025" t="str">
        <f>VLOOKUP(BA1025,Sheet1!$A$1:$B$58,2,FALSE)</f>
        <v>Propane (PW2)</v>
      </c>
      <c r="BA1025" t="s">
        <v>168</v>
      </c>
      <c r="BB1025" t="s">
        <v>167</v>
      </c>
      <c r="BC1025">
        <v>44.094819999999999</v>
      </c>
      <c r="BD1025">
        <v>6.666666666666667</v>
      </c>
      <c r="BE1025">
        <v>-42</v>
      </c>
      <c r="BF1025" t="s">
        <v>212</v>
      </c>
      <c r="BG1025">
        <v>1.811917221204586</v>
      </c>
      <c r="BH1025">
        <v>0.207666666666667</v>
      </c>
      <c r="BI1025">
        <v>0.28579030427416202</v>
      </c>
      <c r="BJ1025">
        <v>90</v>
      </c>
      <c r="BK1025">
        <v>1218.568402908764</v>
      </c>
      <c r="BL1025">
        <v>537.69765223506886</v>
      </c>
      <c r="BM1025">
        <v>2.193204841581855</v>
      </c>
      <c r="BN1025">
        <v>372.84482306891528</v>
      </c>
      <c r="BO1025">
        <v>845.7235798398483</v>
      </c>
    </row>
    <row r="1026" spans="1:67" x14ac:dyDescent="0.25">
      <c r="A1026" s="1">
        <v>1024</v>
      </c>
      <c r="B1026" t="s">
        <v>210</v>
      </c>
      <c r="C1026" t="s">
        <v>211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67</v>
      </c>
      <c r="J1026">
        <v>1.2130000000000001</v>
      </c>
      <c r="K1026">
        <v>500</v>
      </c>
      <c r="L1026">
        <v>100</v>
      </c>
      <c r="N1026" t="s">
        <v>68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27707.922904726089</v>
      </c>
      <c r="Z1026">
        <v>138539614.5236305</v>
      </c>
      <c r="AA1026">
        <v>168048552.41716379</v>
      </c>
      <c r="AB1026">
        <v>168048.5524171638</v>
      </c>
      <c r="AC1026">
        <v>0</v>
      </c>
      <c r="AD1026">
        <v>1435.8619114390849</v>
      </c>
      <c r="AE1026">
        <v>861517.14686345123</v>
      </c>
      <c r="AF1026">
        <v>861517.14686345123</v>
      </c>
      <c r="AG1026">
        <v>27.60392259368065</v>
      </c>
      <c r="AH1026">
        <v>28.436527225095361</v>
      </c>
      <c r="AI1026">
        <v>28.436527225095361</v>
      </c>
      <c r="AJ1026">
        <v>5461.5779535578222</v>
      </c>
      <c r="AK1026">
        <v>854.70085470085473</v>
      </c>
      <c r="AL1026" t="s">
        <v>69</v>
      </c>
      <c r="AM1026">
        <v>2203.830859944891</v>
      </c>
      <c r="AN1026">
        <v>301.67245404895152</v>
      </c>
      <c r="AO1026">
        <v>4834.2096282662123</v>
      </c>
      <c r="AP1026">
        <v>8821.7821222525181</v>
      </c>
      <c r="AQ1026">
        <v>3987.5724939863062</v>
      </c>
      <c r="AR1026">
        <v>6.3394883937504167E-3</v>
      </c>
      <c r="AS1026">
        <v>197.85513942892081</v>
      </c>
      <c r="AT1026">
        <v>79.837597445278007</v>
      </c>
      <c r="AU1026">
        <v>10.928608172449129</v>
      </c>
      <c r="AV1026">
        <v>175.12763310577111</v>
      </c>
      <c r="AW1026">
        <v>319.58436676213847</v>
      </c>
      <c r="AX1026">
        <v>144.45673365636731</v>
      </c>
      <c r="AY1026">
        <v>1.030162547681007</v>
      </c>
      <c r="AZ1026" t="str">
        <f>VLOOKUP(BA1026,Sheet1!$A$1:$B$58,2,FALSE)</f>
        <v>Shikimate</v>
      </c>
      <c r="BA1026" t="s">
        <v>169</v>
      </c>
      <c r="BB1026" t="s">
        <v>170</v>
      </c>
      <c r="BC1026">
        <v>173.14045999999999</v>
      </c>
      <c r="BD1026">
        <v>3.8571428571428572</v>
      </c>
      <c r="BE1026">
        <v>400.5</v>
      </c>
      <c r="BF1026" t="s">
        <v>212</v>
      </c>
      <c r="BG1026">
        <v>-0.26269202717669149</v>
      </c>
      <c r="BH1026">
        <v>0.16760135135135101</v>
      </c>
      <c r="BI1026">
        <v>0.905668385178099</v>
      </c>
      <c r="BJ1026">
        <v>90</v>
      </c>
      <c r="BK1026">
        <v>392.07920543344528</v>
      </c>
      <c r="BL1026">
        <v>177.22544417716921</v>
      </c>
      <c r="BM1026">
        <v>1.526537681625374</v>
      </c>
      <c r="BN1026">
        <v>259.51140587631357</v>
      </c>
      <c r="BO1026">
        <v>132.56779955713171</v>
      </c>
    </row>
    <row r="1027" spans="1:67" x14ac:dyDescent="0.25">
      <c r="A1027" s="1">
        <v>1025</v>
      </c>
      <c r="B1027" t="s">
        <v>210</v>
      </c>
      <c r="C1027" t="s">
        <v>211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67</v>
      </c>
      <c r="J1027">
        <v>1.2130000000000001</v>
      </c>
      <c r="K1027">
        <v>500</v>
      </c>
      <c r="L1027">
        <v>100</v>
      </c>
      <c r="N1027" t="s">
        <v>68</v>
      </c>
      <c r="O1027">
        <v>0</v>
      </c>
      <c r="P1027">
        <v>0.125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66370.882646206679</v>
      </c>
      <c r="Z1027">
        <v>331854413.23103338</v>
      </c>
      <c r="AA1027">
        <v>402539403.2492435</v>
      </c>
      <c r="AB1027">
        <v>402539.40324924351</v>
      </c>
      <c r="AC1027">
        <v>0</v>
      </c>
      <c r="AD1027">
        <v>3439.428597660291</v>
      </c>
      <c r="AE1027">
        <v>2063657.158596175</v>
      </c>
      <c r="AF1027">
        <v>2063657.158596175</v>
      </c>
      <c r="AG1027">
        <v>66.121762838009559</v>
      </c>
      <c r="AH1027">
        <v>68.116163662363249</v>
      </c>
      <c r="AI1027">
        <v>68.116163662363249</v>
      </c>
      <c r="AJ1027">
        <v>13082.53060560041</v>
      </c>
      <c r="AK1027">
        <v>854.70085470085473</v>
      </c>
      <c r="AL1027" t="s">
        <v>69</v>
      </c>
      <c r="AM1027">
        <v>5279.0026838331514</v>
      </c>
      <c r="AN1027">
        <v>722.61883772821432</v>
      </c>
      <c r="AO1027">
        <v>11579.74782260175</v>
      </c>
      <c r="AP1027">
        <v>19938.852981862641</v>
      </c>
      <c r="AQ1027">
        <v>8359.1051592608856</v>
      </c>
      <c r="AR1027">
        <v>6.3394883937504167E-3</v>
      </c>
      <c r="AS1027">
        <v>197.85513942892081</v>
      </c>
      <c r="AT1027">
        <v>79.837597445278021</v>
      </c>
      <c r="AU1027">
        <v>10.928608172449129</v>
      </c>
      <c r="AV1027">
        <v>175.1276331057712</v>
      </c>
      <c r="AW1027">
        <v>301.5475106238539</v>
      </c>
      <c r="AX1027">
        <v>126.4198775180827</v>
      </c>
      <c r="AY1027">
        <v>1.030162547681007</v>
      </c>
      <c r="AZ1027" t="str">
        <f>VLOOKUP(BA1027,Sheet1!$A$1:$B$58,2,FALSE)</f>
        <v>Styrene</v>
      </c>
      <c r="BA1027" t="s">
        <v>171</v>
      </c>
      <c r="BB1027" t="s">
        <v>172</v>
      </c>
      <c r="BC1027">
        <v>104.14832</v>
      </c>
      <c r="BD1027">
        <v>5</v>
      </c>
      <c r="BE1027">
        <v>145</v>
      </c>
      <c r="BF1027" t="s">
        <v>212</v>
      </c>
      <c r="BG1027">
        <v>0.25229865012010311</v>
      </c>
      <c r="BH1027">
        <v>0.116318874560375</v>
      </c>
      <c r="BI1027">
        <v>0.378090343133274</v>
      </c>
      <c r="BJ1027">
        <v>90</v>
      </c>
      <c r="BK1027">
        <v>886.17124363833932</v>
      </c>
      <c r="BL1027">
        <v>371.51578485603932</v>
      </c>
      <c r="BM1027">
        <v>2.7750864015404848</v>
      </c>
      <c r="BN1027">
        <v>471.7646882618825</v>
      </c>
      <c r="BO1027">
        <v>414.40655537645682</v>
      </c>
    </row>
    <row r="1028" spans="1:67" x14ac:dyDescent="0.25">
      <c r="A1028" s="1">
        <v>1026</v>
      </c>
      <c r="B1028" t="s">
        <v>210</v>
      </c>
      <c r="C1028" t="s">
        <v>211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67</v>
      </c>
      <c r="J1028">
        <v>1.2130000000000001</v>
      </c>
      <c r="K1028">
        <v>500</v>
      </c>
      <c r="L1028">
        <v>100</v>
      </c>
      <c r="N1028" t="s">
        <v>68</v>
      </c>
      <c r="O1028">
        <v>0</v>
      </c>
      <c r="P1028">
        <v>0.125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18641.098836742709</v>
      </c>
      <c r="Z1028">
        <v>93205494.18371357</v>
      </c>
      <c r="AA1028">
        <v>113058264.4448446</v>
      </c>
      <c r="AB1028">
        <v>113058.26444484459</v>
      </c>
      <c r="AC1028">
        <v>0</v>
      </c>
      <c r="AD1028">
        <v>966.00686738899753</v>
      </c>
      <c r="AE1028">
        <v>579604.12043339852</v>
      </c>
      <c r="AF1028">
        <v>579604.12043339852</v>
      </c>
      <c r="AG1028">
        <v>18.57113039905375</v>
      </c>
      <c r="AH1028">
        <v>19.1312830052054</v>
      </c>
      <c r="AI1028">
        <v>19.1312830052054</v>
      </c>
      <c r="AJ1028">
        <v>3674.3935944574491</v>
      </c>
      <c r="AK1028">
        <v>854.70085470085473</v>
      </c>
      <c r="AL1028" t="s">
        <v>69</v>
      </c>
      <c r="AM1028">
        <v>1482.6744329034179</v>
      </c>
      <c r="AN1028">
        <v>202.9566074507172</v>
      </c>
      <c r="AO1028">
        <v>3252.318110884918</v>
      </c>
      <c r="AP1028">
        <v>6214.7254895124388</v>
      </c>
      <c r="AQ1028">
        <v>2962.4073786275212</v>
      </c>
      <c r="AR1028">
        <v>6.3394883937504176E-3</v>
      </c>
      <c r="AS1028">
        <v>197.85513942892081</v>
      </c>
      <c r="AT1028">
        <v>79.837597445277993</v>
      </c>
      <c r="AU1028">
        <v>10.928608172449129</v>
      </c>
      <c r="AV1028">
        <v>175.12763310577111</v>
      </c>
      <c r="AW1028">
        <v>334.64443768210771</v>
      </c>
      <c r="AX1028">
        <v>159.5168045763366</v>
      </c>
      <c r="AY1028">
        <v>1.0301625476810059</v>
      </c>
      <c r="AZ1028" t="str">
        <f>VLOOKUP(BA1028,Sheet1!$A$1:$B$58,2,FALSE)</f>
        <v>Succinate</v>
      </c>
      <c r="BA1028" t="s">
        <v>173</v>
      </c>
      <c r="BB1028" t="s">
        <v>174</v>
      </c>
      <c r="BC1028">
        <v>116.07016</v>
      </c>
      <c r="BD1028">
        <v>3</v>
      </c>
      <c r="BE1028">
        <v>235</v>
      </c>
      <c r="BF1028" t="s">
        <v>212</v>
      </c>
      <c r="BG1028">
        <v>-0.49633379010558321</v>
      </c>
      <c r="BH1028">
        <v>0.37161048689138598</v>
      </c>
      <c r="BI1028">
        <v>1.3461754595872</v>
      </c>
      <c r="BJ1028">
        <v>90</v>
      </c>
      <c r="BK1028">
        <v>276.21002175610829</v>
      </c>
      <c r="BL1028">
        <v>131.66255016122321</v>
      </c>
      <c r="BM1028">
        <v>1.3466130347813789</v>
      </c>
      <c r="BN1028">
        <v>228.92421591283431</v>
      </c>
      <c r="BO1028">
        <v>47.285805843274012</v>
      </c>
    </row>
    <row r="1029" spans="1:67" x14ac:dyDescent="0.25">
      <c r="A1029" s="1">
        <v>1027</v>
      </c>
      <c r="B1029" t="s">
        <v>210</v>
      </c>
      <c r="C1029" t="s">
        <v>211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67</v>
      </c>
      <c r="J1029">
        <v>1.2130000000000001</v>
      </c>
      <c r="K1029">
        <v>500</v>
      </c>
      <c r="L1029">
        <v>100</v>
      </c>
      <c r="N1029" t="s">
        <v>68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38400.044818271563</v>
      </c>
      <c r="Z1029">
        <v>192000224.0913578</v>
      </c>
      <c r="AA1029">
        <v>232896271.822817</v>
      </c>
      <c r="AB1029">
        <v>232896.27182281701</v>
      </c>
      <c r="AC1029">
        <v>0</v>
      </c>
      <c r="AD1029">
        <v>1989.9420805269131</v>
      </c>
      <c r="AE1029">
        <v>1193965.2483161481</v>
      </c>
      <c r="AF1029">
        <v>1193965.2483161481</v>
      </c>
      <c r="AG1029">
        <v>38.255912159212592</v>
      </c>
      <c r="AH1029">
        <v>39.409807933795243</v>
      </c>
      <c r="AI1029">
        <v>39.409807933795243</v>
      </c>
      <c r="AJ1029">
        <v>7569.1288342415519</v>
      </c>
      <c r="AK1029">
        <v>854.70085470085473</v>
      </c>
      <c r="AL1029" t="s">
        <v>69</v>
      </c>
      <c r="AM1029">
        <v>3054.260114869131</v>
      </c>
      <c r="AN1029">
        <v>418.08387426766649</v>
      </c>
      <c r="AO1029">
        <v>6699.6673487451899</v>
      </c>
      <c r="AP1029">
        <v>11896.1736780792</v>
      </c>
      <c r="AQ1029">
        <v>5196.5063293340136</v>
      </c>
      <c r="AR1029">
        <v>6.3394883937504167E-3</v>
      </c>
      <c r="AS1029">
        <v>197.85513942892081</v>
      </c>
      <c r="AT1029">
        <v>79.837597445277993</v>
      </c>
      <c r="AU1029">
        <v>10.928608172449129</v>
      </c>
      <c r="AV1029">
        <v>175.12763310577111</v>
      </c>
      <c r="AW1029">
        <v>310.96301216319131</v>
      </c>
      <c r="AX1029">
        <v>135.8353790574202</v>
      </c>
      <c r="AY1029">
        <v>1.0301625476810059</v>
      </c>
      <c r="AZ1029" t="str">
        <f>VLOOKUP(BA1029,Sheet1!$A$1:$B$58,2,FALSE)</f>
        <v>1,3-Butanediol (PW1)</v>
      </c>
      <c r="BA1029" t="s">
        <v>70</v>
      </c>
      <c r="BB1029" t="s">
        <v>71</v>
      </c>
      <c r="BC1029">
        <v>90.119200000000006</v>
      </c>
      <c r="BD1029">
        <v>5.5</v>
      </c>
      <c r="BE1029">
        <v>207</v>
      </c>
      <c r="BF1029" t="s">
        <v>213</v>
      </c>
      <c r="BG1029">
        <v>0.14844360988396191</v>
      </c>
      <c r="BH1029">
        <v>0.23234374999999999</v>
      </c>
      <c r="BI1029">
        <v>0.65349376315889596</v>
      </c>
      <c r="BJ1029">
        <v>90</v>
      </c>
      <c r="BK1029">
        <v>528.7188301368534</v>
      </c>
      <c r="BL1029">
        <v>230.95583685928941</v>
      </c>
      <c r="BM1029">
        <v>1.6031034093958261</v>
      </c>
      <c r="BN1029">
        <v>272.52757959729053</v>
      </c>
      <c r="BO1029">
        <v>256.19125053956287</v>
      </c>
    </row>
    <row r="1030" spans="1:67" x14ac:dyDescent="0.25">
      <c r="A1030" s="1">
        <v>1028</v>
      </c>
      <c r="B1030" t="s">
        <v>210</v>
      </c>
      <c r="C1030" t="s">
        <v>211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67</v>
      </c>
      <c r="J1030">
        <v>1.2130000000000001</v>
      </c>
      <c r="K1030">
        <v>500</v>
      </c>
      <c r="L1030">
        <v>100</v>
      </c>
      <c r="N1030" t="s">
        <v>68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37800.044117986123</v>
      </c>
      <c r="Z1030">
        <v>189000220.58993059</v>
      </c>
      <c r="AA1030">
        <v>229257267.57558581</v>
      </c>
      <c r="AB1030">
        <v>229257.26757558581</v>
      </c>
      <c r="AC1030">
        <v>0</v>
      </c>
      <c r="AD1030">
        <v>1958.8492355186829</v>
      </c>
      <c r="AE1030">
        <v>1175309.54131121</v>
      </c>
      <c r="AF1030">
        <v>1175309.54131121</v>
      </c>
      <c r="AG1030">
        <v>37.658163531724952</v>
      </c>
      <c r="AH1030">
        <v>38.794029684829752</v>
      </c>
      <c r="AI1030">
        <v>38.794029684829752</v>
      </c>
      <c r="AJ1030">
        <v>7450.8611962065388</v>
      </c>
      <c r="AK1030">
        <v>854.70085470085473</v>
      </c>
      <c r="AL1030" t="s">
        <v>69</v>
      </c>
      <c r="AM1030">
        <v>3006.5373005743058</v>
      </c>
      <c r="AN1030">
        <v>411.55131373223492</v>
      </c>
      <c r="AO1030">
        <v>6594.9850464210576</v>
      </c>
      <c r="AP1030">
        <v>11723.650665213931</v>
      </c>
      <c r="AQ1030">
        <v>5128.6656187928766</v>
      </c>
      <c r="AR1030">
        <v>6.3394883937504167E-3</v>
      </c>
      <c r="AS1030">
        <v>197.85513942892081</v>
      </c>
      <c r="AT1030">
        <v>79.837597445278021</v>
      </c>
      <c r="AU1030">
        <v>10.928608172449129</v>
      </c>
      <c r="AV1030">
        <v>175.12763310577111</v>
      </c>
      <c r="AW1030">
        <v>311.3176417999619</v>
      </c>
      <c r="AX1030">
        <v>136.19000869419079</v>
      </c>
      <c r="AY1030">
        <v>1.030162547681007</v>
      </c>
      <c r="AZ1030" t="str">
        <f>VLOOKUP(BA1030,Sheet1!$A$1:$B$58,2,FALSE)</f>
        <v>1,3-Butanediol (PW2)</v>
      </c>
      <c r="BA1030" t="s">
        <v>72</v>
      </c>
      <c r="BB1030" t="s">
        <v>71</v>
      </c>
      <c r="BC1030">
        <v>90.119200000000006</v>
      </c>
      <c r="BD1030">
        <v>5.5</v>
      </c>
      <c r="BE1030">
        <v>207</v>
      </c>
      <c r="BF1030" t="s">
        <v>213</v>
      </c>
      <c r="BG1030">
        <v>0.1156021032724618</v>
      </c>
      <c r="BH1030">
        <v>0.23603174603174601</v>
      </c>
      <c r="BI1030">
        <v>0.66386668003443305</v>
      </c>
      <c r="BJ1030">
        <v>90</v>
      </c>
      <c r="BK1030">
        <v>521.0511406761749</v>
      </c>
      <c r="BL1030">
        <v>227.94069416857229</v>
      </c>
      <c r="BM1030">
        <v>1.608576993831083</v>
      </c>
      <c r="BN1030">
        <v>273.45808895128403</v>
      </c>
      <c r="BO1030">
        <v>247.5930517248909</v>
      </c>
    </row>
    <row r="1031" spans="1:67" x14ac:dyDescent="0.25">
      <c r="A1031" s="1">
        <v>1029</v>
      </c>
      <c r="B1031" t="s">
        <v>210</v>
      </c>
      <c r="C1031" t="s">
        <v>211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67</v>
      </c>
      <c r="J1031">
        <v>1.2130000000000001</v>
      </c>
      <c r="K1031">
        <v>500</v>
      </c>
      <c r="L1031">
        <v>100</v>
      </c>
      <c r="N1031" t="s">
        <v>68</v>
      </c>
      <c r="O1031">
        <v>0</v>
      </c>
      <c r="P1031">
        <v>0.125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34251.499343655873</v>
      </c>
      <c r="Z1031">
        <v>171257496.7182793</v>
      </c>
      <c r="AA1031">
        <v>207735343.5192728</v>
      </c>
      <c r="AB1031">
        <v>207735.34351927281</v>
      </c>
      <c r="AC1031">
        <v>0</v>
      </c>
      <c r="AD1031">
        <v>1774.9588623565739</v>
      </c>
      <c r="AE1031">
        <v>1064975.317413945</v>
      </c>
      <c r="AF1031">
        <v>1064975.317413945</v>
      </c>
      <c r="AG1031">
        <v>34.12293804377925</v>
      </c>
      <c r="AH1031">
        <v>35.152172789540771</v>
      </c>
      <c r="AI1031">
        <v>35.152172789540771</v>
      </c>
      <c r="AJ1031">
        <v>6751.3986643763674</v>
      </c>
      <c r="AK1031">
        <v>854.70085470085473</v>
      </c>
      <c r="AL1031" t="s">
        <v>69</v>
      </c>
      <c r="AM1031">
        <v>2724.2933911894102</v>
      </c>
      <c r="AN1031">
        <v>372.91621957322099</v>
      </c>
      <c r="AO1031">
        <v>5975.8693742219311</v>
      </c>
      <c r="AP1031">
        <v>10703.30912983985</v>
      </c>
      <c r="AQ1031">
        <v>4727.4397556179229</v>
      </c>
      <c r="AR1031">
        <v>6.3394883937504167E-3</v>
      </c>
      <c r="AS1031">
        <v>197.85513942892081</v>
      </c>
      <c r="AT1031">
        <v>79.837597445278007</v>
      </c>
      <c r="AU1031">
        <v>10.928608172449129</v>
      </c>
      <c r="AV1031">
        <v>175.12763310577111</v>
      </c>
      <c r="AW1031">
        <v>313.66903741136417</v>
      </c>
      <c r="AX1031">
        <v>138.54140430559309</v>
      </c>
      <c r="AY1031">
        <v>1.0301625476810059</v>
      </c>
      <c r="AZ1031" t="str">
        <f>VLOOKUP(BA1031,Sheet1!$A$1:$B$58,2,FALSE)</f>
        <v>1,3-Diaminopropane</v>
      </c>
      <c r="BA1031" t="s">
        <v>73</v>
      </c>
      <c r="BB1031" t="s">
        <v>74</v>
      </c>
      <c r="BC1031">
        <v>76.139580000000009</v>
      </c>
      <c r="BD1031">
        <v>6</v>
      </c>
      <c r="BE1031">
        <v>139.30000000000001</v>
      </c>
      <c r="BF1031" t="s">
        <v>213</v>
      </c>
      <c r="BG1031">
        <v>0.1407304302847108</v>
      </c>
      <c r="BH1031">
        <v>0.30831168831168898</v>
      </c>
      <c r="BI1031">
        <v>0.73264500166794999</v>
      </c>
      <c r="BJ1031">
        <v>90</v>
      </c>
      <c r="BK1031">
        <v>475.70262799288253</v>
      </c>
      <c r="BL1031">
        <v>210.10843358301889</v>
      </c>
      <c r="BM1031">
        <v>1.4215883603615449</v>
      </c>
      <c r="BN1031">
        <v>241.67002126146269</v>
      </c>
      <c r="BO1031">
        <v>234.03260673141969</v>
      </c>
    </row>
    <row r="1032" spans="1:67" x14ac:dyDescent="0.25">
      <c r="A1032" s="1">
        <v>1030</v>
      </c>
      <c r="B1032" t="s">
        <v>210</v>
      </c>
      <c r="C1032" t="s">
        <v>211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67</v>
      </c>
      <c r="J1032">
        <v>1.2130000000000001</v>
      </c>
      <c r="K1032">
        <v>500</v>
      </c>
      <c r="L1032">
        <v>100</v>
      </c>
      <c r="N1032" t="s">
        <v>68</v>
      </c>
      <c r="O1032">
        <v>0</v>
      </c>
      <c r="P1032">
        <v>0.125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30233.387724040731</v>
      </c>
      <c r="Z1032">
        <v>151166938.62020361</v>
      </c>
      <c r="AA1032">
        <v>183365496.546307</v>
      </c>
      <c r="AB1032">
        <v>183365.496546307</v>
      </c>
      <c r="AC1032">
        <v>0</v>
      </c>
      <c r="AD1032">
        <v>1566.734902359482</v>
      </c>
      <c r="AE1032">
        <v>940040.94141568942</v>
      </c>
      <c r="AF1032">
        <v>940040.94141568942</v>
      </c>
      <c r="AG1032">
        <v>30.119908206356591</v>
      </c>
      <c r="AH1032">
        <v>31.028401373778369</v>
      </c>
      <c r="AI1032">
        <v>31.028401373778369</v>
      </c>
      <c r="AJ1032">
        <v>5959.3786377549786</v>
      </c>
      <c r="AK1032">
        <v>854.70085470085473</v>
      </c>
      <c r="AL1032" t="s">
        <v>69</v>
      </c>
      <c r="AM1032">
        <v>2404.7011064678231</v>
      </c>
      <c r="AN1032">
        <v>329.16867497740611</v>
      </c>
      <c r="AO1032">
        <v>5274.8282335423219</v>
      </c>
      <c r="AP1032">
        <v>9547.949273901062</v>
      </c>
      <c r="AQ1032">
        <v>4273.1210403587402</v>
      </c>
      <c r="AR1032">
        <v>6.3394883937504167E-3</v>
      </c>
      <c r="AS1032">
        <v>197.85513942892081</v>
      </c>
      <c r="AT1032">
        <v>79.837597445278007</v>
      </c>
      <c r="AU1032">
        <v>10.928608172449129</v>
      </c>
      <c r="AV1032">
        <v>175.12763310577111</v>
      </c>
      <c r="AW1032">
        <v>316.99795392756329</v>
      </c>
      <c r="AX1032">
        <v>141.87032082179221</v>
      </c>
      <c r="AY1032">
        <v>1.030162547681007</v>
      </c>
      <c r="AZ1032" t="str">
        <f>VLOOKUP(BA1032,Sheet1!$A$1:$B$58,2,FALSE)</f>
        <v>1,3-Propanediol</v>
      </c>
      <c r="BA1032" t="s">
        <v>75</v>
      </c>
      <c r="BB1032" t="s">
        <v>76</v>
      </c>
      <c r="BC1032">
        <v>76.092820000000003</v>
      </c>
      <c r="BD1032">
        <v>5.333333333333333</v>
      </c>
      <c r="BE1032">
        <v>213</v>
      </c>
      <c r="BF1032" t="s">
        <v>213</v>
      </c>
      <c r="BG1032">
        <v>-8.0269642174618044E-2</v>
      </c>
      <c r="BH1032">
        <v>0.34950191570881201</v>
      </c>
      <c r="BI1032">
        <v>0.83001580976677503</v>
      </c>
      <c r="BJ1032">
        <v>90</v>
      </c>
      <c r="BK1032">
        <v>424.35330106226951</v>
      </c>
      <c r="BL1032">
        <v>189.91649068261071</v>
      </c>
      <c r="BM1032">
        <v>1.4593097032314339</v>
      </c>
      <c r="BN1032">
        <v>248.08264954934381</v>
      </c>
      <c r="BO1032">
        <v>176.27065151292561</v>
      </c>
    </row>
    <row r="1033" spans="1:67" x14ac:dyDescent="0.25">
      <c r="A1033" s="1">
        <v>1031</v>
      </c>
      <c r="B1033" t="s">
        <v>210</v>
      </c>
      <c r="C1033" t="s">
        <v>211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67</v>
      </c>
      <c r="J1033">
        <v>1.2130000000000001</v>
      </c>
      <c r="K1033">
        <v>500</v>
      </c>
      <c r="L1033">
        <v>100</v>
      </c>
      <c r="N1033" t="s">
        <v>68</v>
      </c>
      <c r="O1033">
        <v>0</v>
      </c>
      <c r="P1033">
        <v>0.125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35843.641959160377</v>
      </c>
      <c r="Z1033">
        <v>179218209.79580191</v>
      </c>
      <c r="AA1033">
        <v>217391688.4823077</v>
      </c>
      <c r="AB1033">
        <v>217391.68848230771</v>
      </c>
      <c r="AC1033">
        <v>0</v>
      </c>
      <c r="AD1033">
        <v>1857.465838683984</v>
      </c>
      <c r="AE1033">
        <v>1114479.50321039</v>
      </c>
      <c r="AF1033">
        <v>1114479.50321039</v>
      </c>
      <c r="AG1033">
        <v>35.709104631134323</v>
      </c>
      <c r="AH1033">
        <v>36.786182202216963</v>
      </c>
      <c r="AI1033">
        <v>36.786182202216963</v>
      </c>
      <c r="AJ1033">
        <v>7065.2298756750006</v>
      </c>
      <c r="AK1033">
        <v>854.70085470085473</v>
      </c>
      <c r="AL1033" t="s">
        <v>69</v>
      </c>
      <c r="AM1033">
        <v>2850.929120671814</v>
      </c>
      <c r="AN1033">
        <v>390.25081270265542</v>
      </c>
      <c r="AO1033">
        <v>6253.6509743768829</v>
      </c>
      <c r="AP1033">
        <v>11161.110663750331</v>
      </c>
      <c r="AQ1033">
        <v>4907.4596893734424</v>
      </c>
      <c r="AR1033">
        <v>6.3394883937504167E-3</v>
      </c>
      <c r="AS1033">
        <v>197.85513942892081</v>
      </c>
      <c r="AT1033">
        <v>79.837597445277993</v>
      </c>
      <c r="AU1033">
        <v>10.928608172449129</v>
      </c>
      <c r="AV1033">
        <v>175.12763310577111</v>
      </c>
      <c r="AW1033">
        <v>312.55644125053459</v>
      </c>
      <c r="AX1033">
        <v>137.42880814476351</v>
      </c>
      <c r="AY1033">
        <v>1.030162547681007</v>
      </c>
      <c r="AZ1033" t="str">
        <f>VLOOKUP(BA1033,Sheet1!$A$1:$B$58,2,FALSE)</f>
        <v>1,4-Butanediol</v>
      </c>
      <c r="BA1033" t="s">
        <v>77</v>
      </c>
      <c r="BB1033" t="s">
        <v>71</v>
      </c>
      <c r="BC1033">
        <v>90.119200000000006</v>
      </c>
      <c r="BD1033">
        <v>5.5</v>
      </c>
      <c r="BE1033">
        <v>230</v>
      </c>
      <c r="BF1033" t="s">
        <v>213</v>
      </c>
      <c r="BG1033">
        <v>8.5169041997896558E-3</v>
      </c>
      <c r="BH1033">
        <v>0.24891472868217099</v>
      </c>
      <c r="BI1033">
        <v>0.70010156396368495</v>
      </c>
      <c r="BJ1033">
        <v>90</v>
      </c>
      <c r="BK1033">
        <v>496.0493628333478</v>
      </c>
      <c r="BL1033">
        <v>218.10931952770861</v>
      </c>
      <c r="BM1033">
        <v>1.626424527009853</v>
      </c>
      <c r="BN1033">
        <v>276.49216959167501</v>
      </c>
      <c r="BO1033">
        <v>219.55719324167279</v>
      </c>
    </row>
    <row r="1034" spans="1:67" x14ac:dyDescent="0.25">
      <c r="A1034" s="1">
        <v>1032</v>
      </c>
      <c r="B1034" t="s">
        <v>210</v>
      </c>
      <c r="C1034" t="s">
        <v>211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67</v>
      </c>
      <c r="J1034">
        <v>1.2130000000000001</v>
      </c>
      <c r="K1034">
        <v>500</v>
      </c>
      <c r="L1034">
        <v>100</v>
      </c>
      <c r="N1034" t="s">
        <v>68</v>
      </c>
      <c r="O1034">
        <v>0</v>
      </c>
      <c r="P1034">
        <v>0.125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44312.188382983462</v>
      </c>
      <c r="Z1034">
        <v>221560941.91491729</v>
      </c>
      <c r="AA1034">
        <v>268753422.54279459</v>
      </c>
      <c r="AB1034">
        <v>268753.42254279472</v>
      </c>
      <c r="AC1034">
        <v>0</v>
      </c>
      <c r="AD1034">
        <v>2296.3173288166922</v>
      </c>
      <c r="AE1034">
        <v>1377790.3972900149</v>
      </c>
      <c r="AF1034">
        <v>1377790.3972900149</v>
      </c>
      <c r="AG1034">
        <v>44.145864786993222</v>
      </c>
      <c r="AH1034">
        <v>45.477416538550173</v>
      </c>
      <c r="AI1034">
        <v>45.477416538550173</v>
      </c>
      <c r="AJ1034">
        <v>8734.4862326408274</v>
      </c>
      <c r="AK1034">
        <v>854.70085470085473</v>
      </c>
      <c r="AL1034" t="s">
        <v>69</v>
      </c>
      <c r="AM1034">
        <v>3524.4997817376379</v>
      </c>
      <c r="AN1034">
        <v>482.45285869096818</v>
      </c>
      <c r="AO1034">
        <v>7731.1608115535291</v>
      </c>
      <c r="AP1034">
        <v>13596.139727770291</v>
      </c>
      <c r="AQ1034">
        <v>5864.9789162167599</v>
      </c>
      <c r="AR1034">
        <v>6.3394883937504176E-3</v>
      </c>
      <c r="AS1034">
        <v>197.85513942892081</v>
      </c>
      <c r="AT1034">
        <v>79.837597445278021</v>
      </c>
      <c r="AU1034">
        <v>10.928608172449129</v>
      </c>
      <c r="AV1034">
        <v>175.12763310577111</v>
      </c>
      <c r="AW1034">
        <v>307.98218119347263</v>
      </c>
      <c r="AX1034">
        <v>132.85454808770149</v>
      </c>
      <c r="AY1034">
        <v>1.030162547681007</v>
      </c>
      <c r="AZ1034" t="str">
        <f>VLOOKUP(BA1034,Sheet1!$A$1:$B$58,2,FALSE)</f>
        <v>1-Propanol (PW1)</v>
      </c>
      <c r="BA1034" t="s">
        <v>78</v>
      </c>
      <c r="BB1034" t="s">
        <v>79</v>
      </c>
      <c r="BC1034">
        <v>60.093820000000001</v>
      </c>
      <c r="BD1034">
        <v>6</v>
      </c>
      <c r="BE1034">
        <v>97</v>
      </c>
      <c r="BF1034" t="s">
        <v>213</v>
      </c>
      <c r="BG1034">
        <v>0.22839769194916359</v>
      </c>
      <c r="BH1034">
        <v>0.30194444444444402</v>
      </c>
      <c r="BI1034">
        <v>0.56630445729462298</v>
      </c>
      <c r="BJ1034">
        <v>90</v>
      </c>
      <c r="BK1034">
        <v>604.27287678979053</v>
      </c>
      <c r="BL1034">
        <v>260.66572960963367</v>
      </c>
      <c r="BM1034">
        <v>1.7928208208752889</v>
      </c>
      <c r="BN1034">
        <v>304.77953954879911</v>
      </c>
      <c r="BO1034">
        <v>299.49333724099142</v>
      </c>
    </row>
    <row r="1035" spans="1:67" x14ac:dyDescent="0.25">
      <c r="A1035" s="1">
        <v>1033</v>
      </c>
      <c r="B1035" t="s">
        <v>210</v>
      </c>
      <c r="C1035" t="s">
        <v>211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67</v>
      </c>
      <c r="J1035">
        <v>1.2130000000000001</v>
      </c>
      <c r="K1035">
        <v>500</v>
      </c>
      <c r="L1035">
        <v>100</v>
      </c>
      <c r="N1035" t="s">
        <v>68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49596.633576273671</v>
      </c>
      <c r="Z1035">
        <v>247983167.8813684</v>
      </c>
      <c r="AA1035">
        <v>300803582.64009982</v>
      </c>
      <c r="AB1035">
        <v>300803.5826400998</v>
      </c>
      <c r="AC1035">
        <v>0</v>
      </c>
      <c r="AD1035">
        <v>2570.1644014472631</v>
      </c>
      <c r="AE1035">
        <v>1542098.6408683581</v>
      </c>
      <c r="AF1035">
        <v>1542098.6408683581</v>
      </c>
      <c r="AG1035">
        <v>49.410475077981509</v>
      </c>
      <c r="AH1035">
        <v>50.900820888462313</v>
      </c>
      <c r="AI1035">
        <v>50.900820888462313</v>
      </c>
      <c r="AJ1035">
        <v>9776.1164358032438</v>
      </c>
      <c r="AK1035">
        <v>854.70085470085473</v>
      </c>
      <c r="AL1035" t="s">
        <v>69</v>
      </c>
      <c r="AM1035">
        <v>3944.8136188558292</v>
      </c>
      <c r="AN1035">
        <v>539.98772174182238</v>
      </c>
      <c r="AO1035">
        <v>8653.1395510385937</v>
      </c>
      <c r="AP1035">
        <v>15115.61863110175</v>
      </c>
      <c r="AQ1035">
        <v>6462.4790800631563</v>
      </c>
      <c r="AR1035">
        <v>6.339488393750415E-3</v>
      </c>
      <c r="AS1035">
        <v>197.85513942892069</v>
      </c>
      <c r="AT1035">
        <v>79.837597445278007</v>
      </c>
      <c r="AU1035">
        <v>10.92860817244912</v>
      </c>
      <c r="AV1035">
        <v>175.12763310577111</v>
      </c>
      <c r="AW1035">
        <v>305.91931381444323</v>
      </c>
      <c r="AX1035">
        <v>130.79168070867209</v>
      </c>
      <c r="AY1035">
        <v>1.030162547681007</v>
      </c>
      <c r="AZ1035" t="str">
        <f>VLOOKUP(BA1035,Sheet1!$A$1:$B$58,2,FALSE)</f>
        <v>1-Propanol (PW2)</v>
      </c>
      <c r="BA1035" t="s">
        <v>80</v>
      </c>
      <c r="BB1035" t="s">
        <v>79</v>
      </c>
      <c r="BC1035">
        <v>60.093820000000001</v>
      </c>
      <c r="BD1035">
        <v>6</v>
      </c>
      <c r="BE1035">
        <v>97</v>
      </c>
      <c r="BF1035" t="s">
        <v>213</v>
      </c>
      <c r="BG1035">
        <v>0.51764592394449138</v>
      </c>
      <c r="BH1035">
        <v>0.269772727272728</v>
      </c>
      <c r="BI1035">
        <v>0.50596558645801404</v>
      </c>
      <c r="BJ1035">
        <v>90</v>
      </c>
      <c r="BK1035">
        <v>671.80527249341117</v>
      </c>
      <c r="BL1035">
        <v>287.22129244725141</v>
      </c>
      <c r="BM1035">
        <v>1.7446127822093891</v>
      </c>
      <c r="BN1035">
        <v>296.58417297559612</v>
      </c>
      <c r="BO1035">
        <v>375.22109951781499</v>
      </c>
    </row>
    <row r="1036" spans="1:67" x14ac:dyDescent="0.25">
      <c r="A1036" s="1">
        <v>1034</v>
      </c>
      <c r="B1036" t="s">
        <v>210</v>
      </c>
      <c r="C1036" t="s">
        <v>211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67</v>
      </c>
      <c r="J1036">
        <v>1.2130000000000001</v>
      </c>
      <c r="K1036">
        <v>500</v>
      </c>
      <c r="L1036">
        <v>100</v>
      </c>
      <c r="N1036" t="s">
        <v>68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38731.814554320677</v>
      </c>
      <c r="Z1036">
        <v>193659072.77160341</v>
      </c>
      <c r="AA1036">
        <v>234908455.27195501</v>
      </c>
      <c r="AB1036">
        <v>234908.45527195491</v>
      </c>
      <c r="AC1036">
        <v>0</v>
      </c>
      <c r="AD1036">
        <v>2007.1348354295139</v>
      </c>
      <c r="AE1036">
        <v>1204280.9012577089</v>
      </c>
      <c r="AF1036">
        <v>1204280.9012577089</v>
      </c>
      <c r="AG1036">
        <v>38.586436614052317</v>
      </c>
      <c r="AH1036">
        <v>39.750301848263817</v>
      </c>
      <c r="AI1036">
        <v>39.750301848263817</v>
      </c>
      <c r="AJ1036">
        <v>7634.5247963385355</v>
      </c>
      <c r="AK1036">
        <v>854.70085470085473</v>
      </c>
      <c r="AL1036" t="s">
        <v>69</v>
      </c>
      <c r="AM1036">
        <v>3080.6483932404458</v>
      </c>
      <c r="AN1036">
        <v>421.69604652602243</v>
      </c>
      <c r="AO1036">
        <v>6757.5513142048476</v>
      </c>
      <c r="AP1036">
        <v>11991.570090805861</v>
      </c>
      <c r="AQ1036">
        <v>5234.0187766010104</v>
      </c>
      <c r="AR1036">
        <v>6.3394883937504167E-3</v>
      </c>
      <c r="AS1036">
        <v>197.85513942892081</v>
      </c>
      <c r="AT1036">
        <v>79.837597445278007</v>
      </c>
      <c r="AU1036">
        <v>10.928608172449129</v>
      </c>
      <c r="AV1036">
        <v>175.12763310577111</v>
      </c>
      <c r="AW1036">
        <v>310.77163747322538</v>
      </c>
      <c r="AX1036">
        <v>135.64400436745419</v>
      </c>
      <c r="AY1036">
        <v>1.030162547681007</v>
      </c>
      <c r="AZ1036" t="str">
        <f>VLOOKUP(BA1036,Sheet1!$A$1:$B$58,2,FALSE)</f>
        <v>2,3-Butanediol</v>
      </c>
      <c r="BA1036" t="s">
        <v>81</v>
      </c>
      <c r="BB1036" t="s">
        <v>71</v>
      </c>
      <c r="BC1036">
        <v>90.119200000000006</v>
      </c>
      <c r="BD1036">
        <v>5.5</v>
      </c>
      <c r="BE1036">
        <v>177</v>
      </c>
      <c r="BF1036" t="s">
        <v>213</v>
      </c>
      <c r="BG1036">
        <v>0.16660328532228449</v>
      </c>
      <c r="BH1036">
        <v>0.230353535353535</v>
      </c>
      <c r="BI1036">
        <v>0.64789605347739099</v>
      </c>
      <c r="BJ1036">
        <v>90</v>
      </c>
      <c r="BK1036">
        <v>532.95867070248255</v>
      </c>
      <c r="BL1036">
        <v>232.62305673782271</v>
      </c>
      <c r="BM1036">
        <v>1.600076796822774</v>
      </c>
      <c r="BN1036">
        <v>272.01305545987162</v>
      </c>
      <c r="BO1036">
        <v>260.94561524261093</v>
      </c>
    </row>
    <row r="1037" spans="1:67" x14ac:dyDescent="0.25">
      <c r="A1037" s="1">
        <v>1035</v>
      </c>
      <c r="B1037" t="s">
        <v>210</v>
      </c>
      <c r="C1037" t="s">
        <v>211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67</v>
      </c>
      <c r="J1037">
        <v>1.2130000000000001</v>
      </c>
      <c r="K1037">
        <v>500</v>
      </c>
      <c r="L1037">
        <v>100</v>
      </c>
      <c r="N1037" t="s">
        <v>68</v>
      </c>
      <c r="O1037">
        <v>0</v>
      </c>
      <c r="P1037">
        <v>0.125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53998.075120241163</v>
      </c>
      <c r="Z1037">
        <v>269990375.60120583</v>
      </c>
      <c r="AA1037">
        <v>327498325.60426259</v>
      </c>
      <c r="AB1037">
        <v>327498.32560426259</v>
      </c>
      <c r="AC1037">
        <v>0</v>
      </c>
      <c r="AD1037">
        <v>2798.2530348009591</v>
      </c>
      <c r="AE1037">
        <v>1678951.8208805751</v>
      </c>
      <c r="AF1037">
        <v>1678951.8208805751</v>
      </c>
      <c r="AG1037">
        <v>53.795396029943767</v>
      </c>
      <c r="AH1037">
        <v>55.418002227715583</v>
      </c>
      <c r="AI1037">
        <v>55.418002227715583</v>
      </c>
      <c r="AJ1037">
        <v>10643.695582138531</v>
      </c>
      <c r="AK1037">
        <v>854.70085470085473</v>
      </c>
      <c r="AL1037" t="s">
        <v>69</v>
      </c>
      <c r="AM1037">
        <v>4294.8951726479572</v>
      </c>
      <c r="AN1037">
        <v>587.90880469298077</v>
      </c>
      <c r="AO1037">
        <v>9421.0603787116488</v>
      </c>
      <c r="AP1037">
        <v>16381.20041418033</v>
      </c>
      <c r="AQ1037">
        <v>6960.1400354686793</v>
      </c>
      <c r="AR1037">
        <v>6.3394883937504167E-3</v>
      </c>
      <c r="AS1037">
        <v>197.85513942892081</v>
      </c>
      <c r="AT1037">
        <v>79.837597445278007</v>
      </c>
      <c r="AU1037">
        <v>10.928608172449129</v>
      </c>
      <c r="AV1037">
        <v>175.12763310577111</v>
      </c>
      <c r="AW1037">
        <v>304.50933765897321</v>
      </c>
      <c r="AX1037">
        <v>129.38170455320201</v>
      </c>
      <c r="AY1037">
        <v>1.030162547681007</v>
      </c>
      <c r="AZ1037" t="str">
        <f>VLOOKUP(BA1037,Sheet1!$A$1:$B$58,2,FALSE)</f>
        <v>2-Methyl-1-Butanol</v>
      </c>
      <c r="BA1037" t="s">
        <v>82</v>
      </c>
      <c r="BB1037" t="s">
        <v>83</v>
      </c>
      <c r="BC1037">
        <v>88.14658</v>
      </c>
      <c r="BD1037">
        <v>6</v>
      </c>
      <c r="BE1037">
        <v>129</v>
      </c>
      <c r="BF1037" t="s">
        <v>213</v>
      </c>
      <c r="BG1037">
        <v>0.4592168283363357</v>
      </c>
      <c r="BH1037">
        <v>0.16892592592592601</v>
      </c>
      <c r="BI1037">
        <v>0.464723783910512</v>
      </c>
      <c r="BJ1037">
        <v>90</v>
      </c>
      <c r="BK1037">
        <v>728.05335174134802</v>
      </c>
      <c r="BL1037">
        <v>309.33955713194132</v>
      </c>
      <c r="BM1037">
        <v>2.0038054928954678</v>
      </c>
      <c r="BN1037">
        <v>340.6469337922295</v>
      </c>
      <c r="BO1037">
        <v>387.40641794911852</v>
      </c>
    </row>
    <row r="1038" spans="1:67" x14ac:dyDescent="0.25">
      <c r="A1038" s="1">
        <v>1036</v>
      </c>
      <c r="B1038" t="s">
        <v>210</v>
      </c>
      <c r="C1038" t="s">
        <v>211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67</v>
      </c>
      <c r="J1038">
        <v>1.2130000000000001</v>
      </c>
      <c r="K1038">
        <v>500</v>
      </c>
      <c r="L1038">
        <v>100</v>
      </c>
      <c r="N1038" t="s">
        <v>68</v>
      </c>
      <c r="O1038">
        <v>0</v>
      </c>
      <c r="P1038">
        <v>0.125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24077.141619679089</v>
      </c>
      <c r="Z1038">
        <v>120385708.0983955</v>
      </c>
      <c r="AA1038">
        <v>146027863.9233537</v>
      </c>
      <c r="AB1038">
        <v>146027.8639233537</v>
      </c>
      <c r="AC1038">
        <v>0</v>
      </c>
      <c r="AD1038">
        <v>1247.7099314479899</v>
      </c>
      <c r="AE1038">
        <v>748625.95886879379</v>
      </c>
      <c r="AF1038">
        <v>748625.95886879379</v>
      </c>
      <c r="AG1038">
        <v>23.98676926567256</v>
      </c>
      <c r="AH1038">
        <v>24.710271337361711</v>
      </c>
      <c r="AI1038">
        <v>24.710271337361711</v>
      </c>
      <c r="AJ1038">
        <v>4745.9055775089964</v>
      </c>
      <c r="AK1038">
        <v>1835.336538461539</v>
      </c>
      <c r="AL1038" t="s">
        <v>84</v>
      </c>
      <c r="AM1038">
        <v>1915.046028645532</v>
      </c>
      <c r="AN1038">
        <v>262.14200262748062</v>
      </c>
      <c r="AO1038">
        <v>4200.7461273514909</v>
      </c>
      <c r="AP1038">
        <v>8758.4301472435473</v>
      </c>
      <c r="AQ1038">
        <v>4557.6840198920563</v>
      </c>
      <c r="AR1038">
        <v>6.3394883937504176E-3</v>
      </c>
      <c r="AS1038">
        <v>197.85513942892081</v>
      </c>
      <c r="AT1038">
        <v>79.837597445278007</v>
      </c>
      <c r="AU1038">
        <v>10.928608172449129</v>
      </c>
      <c r="AV1038">
        <v>175.12763310577111</v>
      </c>
      <c r="AW1038">
        <v>365.13588179537498</v>
      </c>
      <c r="AX1038">
        <v>190.00824868960379</v>
      </c>
      <c r="AY1038">
        <v>1.030162547681007</v>
      </c>
      <c r="AZ1038" t="str">
        <f>VLOOKUP(BA1038,Sheet1!$A$1:$B$58,2,FALSE)</f>
        <v>2-Pyrone-4,6-Dicarboxylate</v>
      </c>
      <c r="BA1038" t="s">
        <v>85</v>
      </c>
      <c r="BB1038" t="s">
        <v>86</v>
      </c>
      <c r="BC1038">
        <v>182.08457999999999</v>
      </c>
      <c r="BD1038">
        <v>2.5714285714285721</v>
      </c>
      <c r="BE1038">
        <v>355.5</v>
      </c>
      <c r="BF1038" t="s">
        <v>213</v>
      </c>
      <c r="BG1038">
        <v>-0.37402489820219742</v>
      </c>
      <c r="BH1038">
        <v>0.183401109057301</v>
      </c>
      <c r="BI1038">
        <v>1.04224123403636</v>
      </c>
      <c r="BJ1038">
        <v>90</v>
      </c>
      <c r="BK1038">
        <v>389.26356209971323</v>
      </c>
      <c r="BL1038">
        <v>202.56373421742481</v>
      </c>
      <c r="BM1038">
        <v>1.472259179862718</v>
      </c>
      <c r="BN1038">
        <v>250.284060576662</v>
      </c>
      <c r="BO1038">
        <v>138.9795015230512</v>
      </c>
    </row>
    <row r="1039" spans="1:67" x14ac:dyDescent="0.25">
      <c r="A1039" s="1">
        <v>1037</v>
      </c>
      <c r="B1039" t="s">
        <v>210</v>
      </c>
      <c r="C1039" t="s">
        <v>211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67</v>
      </c>
      <c r="J1039">
        <v>1.2130000000000001</v>
      </c>
      <c r="K1039">
        <v>500</v>
      </c>
      <c r="L1039">
        <v>100</v>
      </c>
      <c r="N1039" t="s">
        <v>68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59272.211632381433</v>
      </c>
      <c r="Z1039">
        <v>296361058.16190708</v>
      </c>
      <c r="AA1039">
        <v>359485963.5503934</v>
      </c>
      <c r="AB1039">
        <v>359485.96355039341</v>
      </c>
      <c r="AC1039">
        <v>0</v>
      </c>
      <c r="AD1039">
        <v>3071.5658976796371</v>
      </c>
      <c r="AE1039">
        <v>1842939.538607782</v>
      </c>
      <c r="AF1039">
        <v>1842939.538607782</v>
      </c>
      <c r="AG1039">
        <v>59.049736332904281</v>
      </c>
      <c r="AH1039">
        <v>60.830826820596371</v>
      </c>
      <c r="AI1039">
        <v>60.830826820596371</v>
      </c>
      <c r="AJ1039">
        <v>11683.293815387789</v>
      </c>
      <c r="AK1039">
        <v>854.70085470085473</v>
      </c>
      <c r="AL1039" t="s">
        <v>69</v>
      </c>
      <c r="AM1039">
        <v>4714.3890785962176</v>
      </c>
      <c r="AN1039">
        <v>645.33143106874377</v>
      </c>
      <c r="AO1039">
        <v>10341.240559501381</v>
      </c>
      <c r="AP1039">
        <v>17897.715179753599</v>
      </c>
      <c r="AQ1039">
        <v>7556.4746202522201</v>
      </c>
      <c r="AR1039">
        <v>6.3394883937504176E-3</v>
      </c>
      <c r="AS1039">
        <v>197.85513942892081</v>
      </c>
      <c r="AT1039">
        <v>79.837597445278007</v>
      </c>
      <c r="AU1039">
        <v>10.928608172449129</v>
      </c>
      <c r="AV1039">
        <v>175.12763310577111</v>
      </c>
      <c r="AW1039">
        <v>303.09559857899751</v>
      </c>
      <c r="AX1039">
        <v>127.9679654732264</v>
      </c>
      <c r="AY1039">
        <v>1.030162547681007</v>
      </c>
      <c r="AZ1039" t="str">
        <f>VLOOKUP(BA1039,Sheet1!$A$1:$B$58,2,FALSE)</f>
        <v>3-Methyl-1-Pentanol</v>
      </c>
      <c r="BA1039" t="s">
        <v>87</v>
      </c>
      <c r="BB1039" t="s">
        <v>88</v>
      </c>
      <c r="BC1039">
        <v>102.17296</v>
      </c>
      <c r="BD1039">
        <v>6</v>
      </c>
      <c r="BE1039">
        <v>153</v>
      </c>
      <c r="BF1039" t="s">
        <v>213</v>
      </c>
      <c r="BG1039">
        <v>0.65986963570151869</v>
      </c>
      <c r="BH1039">
        <v>0.13276785714285699</v>
      </c>
      <c r="BI1039">
        <v>0.42337191582122702</v>
      </c>
      <c r="BJ1039">
        <v>90</v>
      </c>
      <c r="BK1039">
        <v>795.45400798904882</v>
      </c>
      <c r="BL1039">
        <v>335.84331645565408</v>
      </c>
      <c r="BM1039">
        <v>2.0437226674360982</v>
      </c>
      <c r="BN1039">
        <v>347.4328534641366</v>
      </c>
      <c r="BO1039">
        <v>448.02115452491222</v>
      </c>
    </row>
    <row r="1040" spans="1:67" x14ac:dyDescent="0.25">
      <c r="A1040" s="1">
        <v>1038</v>
      </c>
      <c r="B1040" t="s">
        <v>210</v>
      </c>
      <c r="C1040" t="s">
        <v>211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67</v>
      </c>
      <c r="J1040">
        <v>1.2130000000000001</v>
      </c>
      <c r="K1040">
        <v>500</v>
      </c>
      <c r="L1040">
        <v>100</v>
      </c>
      <c r="N1040" t="s">
        <v>68</v>
      </c>
      <c r="O1040">
        <v>0</v>
      </c>
      <c r="P1040">
        <v>0.125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56116.43450390239</v>
      </c>
      <c r="Z1040">
        <v>280582172.51951188</v>
      </c>
      <c r="AA1040">
        <v>340346175.266168</v>
      </c>
      <c r="AB1040">
        <v>340346.17526616802</v>
      </c>
      <c r="AC1040">
        <v>0</v>
      </c>
      <c r="AD1040">
        <v>2908.0292733229712</v>
      </c>
      <c r="AE1040">
        <v>1744817.563993783</v>
      </c>
      <c r="AF1040">
        <v>1744817.563993783</v>
      </c>
      <c r="AG1040">
        <v>55.905804256978641</v>
      </c>
      <c r="AH1040">
        <v>57.59206574352477</v>
      </c>
      <c r="AI1040">
        <v>57.59206574352477</v>
      </c>
      <c r="AJ1040">
        <v>11061.25069615046</v>
      </c>
      <c r="AK1040">
        <v>854.70085470085473</v>
      </c>
      <c r="AL1040" t="s">
        <v>69</v>
      </c>
      <c r="AM1040">
        <v>4463.3850951231698</v>
      </c>
      <c r="AN1040">
        <v>610.97262929015778</v>
      </c>
      <c r="AO1040">
        <v>9790.6511763992112</v>
      </c>
      <c r="AP1040">
        <v>16990.309275264641</v>
      </c>
      <c r="AQ1040">
        <v>7199.6580988654332</v>
      </c>
      <c r="AR1040">
        <v>6.3394883937504167E-3</v>
      </c>
      <c r="AS1040">
        <v>197.85513942892081</v>
      </c>
      <c r="AT1040">
        <v>79.837597445277993</v>
      </c>
      <c r="AU1040">
        <v>10.928608172449129</v>
      </c>
      <c r="AV1040">
        <v>175.12763310577111</v>
      </c>
      <c r="AW1040">
        <v>303.90957613571533</v>
      </c>
      <c r="AX1040">
        <v>128.78194302994419</v>
      </c>
      <c r="AY1040">
        <v>1.0301625476810059</v>
      </c>
      <c r="AZ1040" t="str">
        <f>VLOOKUP(BA1040,Sheet1!$A$1:$B$58,2,FALSE)</f>
        <v>4-Hydroxystyrene</v>
      </c>
      <c r="BA1040" t="s">
        <v>89</v>
      </c>
      <c r="BB1040" t="s">
        <v>90</v>
      </c>
      <c r="BC1040">
        <v>120.14731999999999</v>
      </c>
      <c r="BD1040">
        <v>4.75</v>
      </c>
      <c r="BE1040">
        <v>229</v>
      </c>
      <c r="BF1040" t="s">
        <v>213</v>
      </c>
      <c r="BG1040">
        <v>0.14117439705335991</v>
      </c>
      <c r="BH1040">
        <v>0.11925480769230801</v>
      </c>
      <c r="BI1040">
        <v>0.44718075935522</v>
      </c>
      <c r="BJ1040">
        <v>90</v>
      </c>
      <c r="BK1040">
        <v>755.12485667842861</v>
      </c>
      <c r="BL1040">
        <v>319.98480439401919</v>
      </c>
      <c r="BM1040">
        <v>2.418472969325518</v>
      </c>
      <c r="BN1040">
        <v>411.14040478533809</v>
      </c>
      <c r="BO1040">
        <v>343.98445189309052</v>
      </c>
    </row>
    <row r="1041" spans="1:67" x14ac:dyDescent="0.25">
      <c r="A1041" s="1">
        <v>1039</v>
      </c>
      <c r="B1041" t="s">
        <v>210</v>
      </c>
      <c r="C1041" t="s">
        <v>211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67</v>
      </c>
      <c r="J1041">
        <v>1.2130000000000001</v>
      </c>
      <c r="K1041">
        <v>500</v>
      </c>
      <c r="L1041">
        <v>100</v>
      </c>
      <c r="N1041" t="s">
        <v>68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39277.045160242153</v>
      </c>
      <c r="Z1041">
        <v>196385225.80121079</v>
      </c>
      <c r="AA1041">
        <v>238215278.89686871</v>
      </c>
      <c r="AB1041">
        <v>238215.27889686869</v>
      </c>
      <c r="AC1041">
        <v>0</v>
      </c>
      <c r="AD1041">
        <v>2035.3894203251571</v>
      </c>
      <c r="AE1041">
        <v>1221233.6521950939</v>
      </c>
      <c r="AF1041">
        <v>1221233.6521950939</v>
      </c>
      <c r="AG1041">
        <v>39.129620724002137</v>
      </c>
      <c r="AH1041">
        <v>40.309869774829558</v>
      </c>
      <c r="AI1041">
        <v>40.309869774829558</v>
      </c>
      <c r="AJ1041">
        <v>7741.9965641482322</v>
      </c>
      <c r="AK1041">
        <v>854.70085470085473</v>
      </c>
      <c r="AL1041" t="s">
        <v>69</v>
      </c>
      <c r="AM1041">
        <v>3124.0149075492909</v>
      </c>
      <c r="AN1041">
        <v>427.6322928291645</v>
      </c>
      <c r="AO1041">
        <v>6852.6778617210257</v>
      </c>
      <c r="AP1041">
        <v>12148.344619227541</v>
      </c>
      <c r="AQ1041">
        <v>5295.6667575065176</v>
      </c>
      <c r="AR1041">
        <v>6.3394883937504167E-3</v>
      </c>
      <c r="AS1041">
        <v>197.85513942892081</v>
      </c>
      <c r="AT1041">
        <v>79.837597445278007</v>
      </c>
      <c r="AU1041">
        <v>10.928608172449129</v>
      </c>
      <c r="AV1041">
        <v>175.12763310577111</v>
      </c>
      <c r="AW1041">
        <v>310.46415463402991</v>
      </c>
      <c r="AX1041">
        <v>135.3365215282588</v>
      </c>
      <c r="AY1041">
        <v>1.030162547681007</v>
      </c>
      <c r="AZ1041" t="str">
        <f>VLOOKUP(BA1041,Sheet1!$A$1:$B$58,2,FALSE)</f>
        <v>5-Aminopentanoate</v>
      </c>
      <c r="BA1041" t="s">
        <v>91</v>
      </c>
      <c r="BB1041" t="s">
        <v>92</v>
      </c>
      <c r="BC1041">
        <v>117.14444</v>
      </c>
      <c r="BD1041">
        <v>4.8</v>
      </c>
      <c r="BE1041">
        <v>247.5</v>
      </c>
      <c r="BF1041" t="s">
        <v>213</v>
      </c>
      <c r="BG1041">
        <v>0.27140949355415439</v>
      </c>
      <c r="BH1041">
        <v>0.174750957854406</v>
      </c>
      <c r="BI1041">
        <v>0.63890218043092295</v>
      </c>
      <c r="BJ1041">
        <v>90</v>
      </c>
      <c r="BK1041">
        <v>539.92642752122413</v>
      </c>
      <c r="BL1041">
        <v>235.3629670002897</v>
      </c>
      <c r="BM1041">
        <v>1.5201402742160479</v>
      </c>
      <c r="BN1041">
        <v>258.42384661672821</v>
      </c>
      <c r="BO1041">
        <v>281.50258090449603</v>
      </c>
    </row>
    <row r="1042" spans="1:67" x14ac:dyDescent="0.25">
      <c r="A1042" s="1">
        <v>1040</v>
      </c>
      <c r="B1042" t="s">
        <v>210</v>
      </c>
      <c r="C1042" t="s">
        <v>211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67</v>
      </c>
      <c r="J1042">
        <v>1.2130000000000001</v>
      </c>
      <c r="K1042">
        <v>500</v>
      </c>
      <c r="L1042">
        <v>100</v>
      </c>
      <c r="N1042" t="s">
        <v>68</v>
      </c>
      <c r="O1042">
        <v>0</v>
      </c>
      <c r="P1042">
        <v>0.125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47016.225846988331</v>
      </c>
      <c r="Z1042">
        <v>235081129.23494169</v>
      </c>
      <c r="AA1042">
        <v>285153409.76198423</v>
      </c>
      <c r="AB1042">
        <v>285153.40976198431</v>
      </c>
      <c r="AC1042">
        <v>0</v>
      </c>
      <c r="AD1042">
        <v>2436.4441948766048</v>
      </c>
      <c r="AE1042">
        <v>1461866.5169259631</v>
      </c>
      <c r="AF1042">
        <v>1461866.5169259631</v>
      </c>
      <c r="AG1042">
        <v>46.839752780815793</v>
      </c>
      <c r="AH1042">
        <v>48.252559057433707</v>
      </c>
      <c r="AI1042">
        <v>48.252559057433707</v>
      </c>
      <c r="AJ1042">
        <v>9267.485817264489</v>
      </c>
      <c r="AK1042">
        <v>854.70085470085473</v>
      </c>
      <c r="AL1042" t="s">
        <v>69</v>
      </c>
      <c r="AM1042">
        <v>3739.5733269511129</v>
      </c>
      <c r="AN1042">
        <v>511.89330503592021</v>
      </c>
      <c r="AO1042">
        <v>8202.9350397637318</v>
      </c>
      <c r="AP1042">
        <v>14373.65330395238</v>
      </c>
      <c r="AQ1042">
        <v>6170.7182641886466</v>
      </c>
      <c r="AR1042">
        <v>6.3394883937504167E-3</v>
      </c>
      <c r="AS1042">
        <v>197.85513942892081</v>
      </c>
      <c r="AT1042">
        <v>79.837597445278007</v>
      </c>
      <c r="AU1042">
        <v>10.928608172449129</v>
      </c>
      <c r="AV1042">
        <v>175.12763310577111</v>
      </c>
      <c r="AW1042">
        <v>306.8686841968007</v>
      </c>
      <c r="AX1042">
        <v>131.74105109102959</v>
      </c>
      <c r="AY1042">
        <v>1.030162547681007</v>
      </c>
      <c r="AZ1042" t="str">
        <f>VLOOKUP(BA1042,Sheet1!$A$1:$B$58,2,FALSE)</f>
        <v>Acetone</v>
      </c>
      <c r="BA1042" t="s">
        <v>93</v>
      </c>
      <c r="BB1042" t="s">
        <v>94</v>
      </c>
      <c r="BC1042">
        <v>58.078139999999998</v>
      </c>
      <c r="BD1042">
        <v>5.333333333333333</v>
      </c>
      <c r="BE1042">
        <v>56</v>
      </c>
      <c r="BF1042" t="s">
        <v>213</v>
      </c>
      <c r="BG1042">
        <v>0.30015321224901159</v>
      </c>
      <c r="BH1042">
        <v>0.294455445544554</v>
      </c>
      <c r="BI1042">
        <v>0.53373467014196696</v>
      </c>
      <c r="BJ1042">
        <v>90</v>
      </c>
      <c r="BK1042">
        <v>638.82903573121689</v>
      </c>
      <c r="BL1042">
        <v>274.25414507505099</v>
      </c>
      <c r="BM1042">
        <v>1.844404968081375</v>
      </c>
      <c r="BN1042">
        <v>313.54884457383378</v>
      </c>
      <c r="BO1042">
        <v>325.28019115738311</v>
      </c>
    </row>
    <row r="1043" spans="1:67" x14ac:dyDescent="0.25">
      <c r="A1043" s="1">
        <v>1041</v>
      </c>
      <c r="B1043" t="s">
        <v>210</v>
      </c>
      <c r="C1043" t="s">
        <v>211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67</v>
      </c>
      <c r="J1043">
        <v>1.2130000000000001</v>
      </c>
      <c r="K1043">
        <v>500</v>
      </c>
      <c r="L1043">
        <v>100</v>
      </c>
      <c r="N1043" t="s">
        <v>68</v>
      </c>
      <c r="O1043">
        <v>0</v>
      </c>
      <c r="P1043">
        <v>0.125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31477.75160034341</v>
      </c>
      <c r="Z1043">
        <v>157388758.001717</v>
      </c>
      <c r="AA1043">
        <v>190912563.45608279</v>
      </c>
      <c r="AB1043">
        <v>190912.5634560828</v>
      </c>
      <c r="AC1043">
        <v>0</v>
      </c>
      <c r="AD1043">
        <v>1631.2195156629559</v>
      </c>
      <c r="AE1043">
        <v>978731.70939777337</v>
      </c>
      <c r="AF1043">
        <v>978731.70939777337</v>
      </c>
      <c r="AG1043">
        <v>31.359601424716619</v>
      </c>
      <c r="AH1043">
        <v>32.305486897946999</v>
      </c>
      <c r="AI1043">
        <v>32.305486897946999</v>
      </c>
      <c r="AJ1043">
        <v>6204.6583123226901</v>
      </c>
      <c r="AK1043">
        <v>854.70085470085473</v>
      </c>
      <c r="AL1043" t="s">
        <v>69</v>
      </c>
      <c r="AM1043">
        <v>2503.6752345908931</v>
      </c>
      <c r="AN1043">
        <v>342.71679641490528</v>
      </c>
      <c r="AO1043">
        <v>5491.93277265099</v>
      </c>
      <c r="AP1043">
        <v>9905.751198029342</v>
      </c>
      <c r="AQ1043">
        <v>4413.818425378352</v>
      </c>
      <c r="AR1043">
        <v>6.3394883937504167E-3</v>
      </c>
      <c r="AS1043">
        <v>197.85513942892081</v>
      </c>
      <c r="AT1043">
        <v>79.837597445278007</v>
      </c>
      <c r="AU1043">
        <v>10.928608172449129</v>
      </c>
      <c r="AV1043">
        <v>175.12763310577111</v>
      </c>
      <c r="AW1043">
        <v>315.87618298687778</v>
      </c>
      <c r="AX1043">
        <v>140.7485498811067</v>
      </c>
      <c r="AY1043">
        <v>1.030162547681007</v>
      </c>
      <c r="AZ1043" t="str">
        <f>VLOOKUP(BA1043,Sheet1!$A$1:$B$58,2,FALSE)</f>
        <v>Acrylate (PW1)</v>
      </c>
      <c r="BA1043" t="s">
        <v>95</v>
      </c>
      <c r="BB1043" t="s">
        <v>96</v>
      </c>
      <c r="BC1043">
        <v>71.053619999999995</v>
      </c>
      <c r="BD1043">
        <v>3.666666666666667</v>
      </c>
      <c r="BE1043">
        <v>80</v>
      </c>
      <c r="BF1043" t="s">
        <v>213</v>
      </c>
      <c r="BG1043">
        <v>-0.13521484950908891</v>
      </c>
      <c r="BH1043">
        <v>0.359492753623188</v>
      </c>
      <c r="BI1043">
        <v>0.79720400975172501</v>
      </c>
      <c r="BJ1043">
        <v>90</v>
      </c>
      <c r="BK1043">
        <v>440.25560880130411</v>
      </c>
      <c r="BL1043">
        <v>196.16970779459339</v>
      </c>
      <c r="BM1043">
        <v>1.571014267195622</v>
      </c>
      <c r="BN1043">
        <v>267.07242542325582</v>
      </c>
      <c r="BO1043">
        <v>173.18318337804831</v>
      </c>
    </row>
    <row r="1044" spans="1:67" x14ac:dyDescent="0.25">
      <c r="A1044" s="1">
        <v>1042</v>
      </c>
      <c r="B1044" t="s">
        <v>210</v>
      </c>
      <c r="C1044" t="s">
        <v>211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67</v>
      </c>
      <c r="J1044">
        <v>1.2130000000000001</v>
      </c>
      <c r="K1044">
        <v>500</v>
      </c>
      <c r="L1044">
        <v>100</v>
      </c>
      <c r="N1044" t="s">
        <v>68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27539.544391028969</v>
      </c>
      <c r="Z1044">
        <v>137697721.95514491</v>
      </c>
      <c r="AA1044">
        <v>167027336.73159069</v>
      </c>
      <c r="AB1044">
        <v>167027.33673159071</v>
      </c>
      <c r="AC1044">
        <v>0</v>
      </c>
      <c r="AD1044">
        <v>1427.1363099079369</v>
      </c>
      <c r="AE1044">
        <v>856281.78594476217</v>
      </c>
      <c r="AF1044">
        <v>856281.78594476217</v>
      </c>
      <c r="AG1044">
        <v>27.436176080363278</v>
      </c>
      <c r="AH1044">
        <v>28.263721049571739</v>
      </c>
      <c r="AI1044">
        <v>28.263721049571739</v>
      </c>
      <c r="AJ1044">
        <v>5428.3884437766983</v>
      </c>
      <c r="AK1044">
        <v>854.70085470085473</v>
      </c>
      <c r="AL1044" t="s">
        <v>69</v>
      </c>
      <c r="AM1044">
        <v>2190.4383813418099</v>
      </c>
      <c r="AN1044">
        <v>299.83921813261139</v>
      </c>
      <c r="AO1044">
        <v>4804.8325784271956</v>
      </c>
      <c r="AP1044">
        <v>8773.3668979519753</v>
      </c>
      <c r="AQ1044">
        <v>3968.5343195247801</v>
      </c>
      <c r="AR1044">
        <v>6.3394883937504167E-3</v>
      </c>
      <c r="AS1044">
        <v>197.85513942892081</v>
      </c>
      <c r="AT1044">
        <v>79.837597445278021</v>
      </c>
      <c r="AU1044">
        <v>10.928608172449129</v>
      </c>
      <c r="AV1044">
        <v>175.1276331057712</v>
      </c>
      <c r="AW1044">
        <v>319.77367663241091</v>
      </c>
      <c r="AX1044">
        <v>144.64604352663969</v>
      </c>
      <c r="AY1044">
        <v>1.030162547681007</v>
      </c>
      <c r="AZ1044" t="str">
        <f>VLOOKUP(BA1044,Sheet1!$A$1:$B$58,2,FALSE)</f>
        <v>Acrylate (PW2)</v>
      </c>
      <c r="BA1044" t="s">
        <v>97</v>
      </c>
      <c r="BB1044" t="s">
        <v>96</v>
      </c>
      <c r="BC1044">
        <v>71.053619999999995</v>
      </c>
      <c r="BD1044">
        <v>3.666666666666667</v>
      </c>
      <c r="BE1044">
        <v>80</v>
      </c>
      <c r="BF1044" t="s">
        <v>213</v>
      </c>
      <c r="BG1044">
        <v>-0.35077569475576642</v>
      </c>
      <c r="BH1044">
        <v>0.41090090090090098</v>
      </c>
      <c r="BI1044">
        <v>0.91120569888356595</v>
      </c>
      <c r="BJ1044">
        <v>90</v>
      </c>
      <c r="BK1044">
        <v>389.92741768675438</v>
      </c>
      <c r="BL1044">
        <v>176.3793030899902</v>
      </c>
      <c r="BM1044">
        <v>1.606941074736733</v>
      </c>
      <c r="BN1044">
        <v>273.17998270524453</v>
      </c>
      <c r="BO1044">
        <v>116.7474349815099</v>
      </c>
    </row>
    <row r="1045" spans="1:67" x14ac:dyDescent="0.25">
      <c r="A1045" s="1">
        <v>1043</v>
      </c>
      <c r="B1045" t="s">
        <v>210</v>
      </c>
      <c r="C1045" t="s">
        <v>211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67</v>
      </c>
      <c r="J1045">
        <v>1.2130000000000001</v>
      </c>
      <c r="K1045">
        <v>500</v>
      </c>
      <c r="L1045">
        <v>100</v>
      </c>
      <c r="N1045" t="s">
        <v>68</v>
      </c>
      <c r="O1045">
        <v>0</v>
      </c>
      <c r="P1045">
        <v>0.125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34298.696346050303</v>
      </c>
      <c r="Z1045">
        <v>171493481.73025149</v>
      </c>
      <c r="AA1045">
        <v>208021593.3387951</v>
      </c>
      <c r="AB1045">
        <v>208021.59333879509</v>
      </c>
      <c r="AC1045">
        <v>0</v>
      </c>
      <c r="AD1045">
        <v>1777.4046746358019</v>
      </c>
      <c r="AE1045">
        <v>1066442.8047814809</v>
      </c>
      <c r="AF1045">
        <v>1066442.8047814809</v>
      </c>
      <c r="AG1045">
        <v>34.169957894571731</v>
      </c>
      <c r="AH1045">
        <v>35.20061087882474</v>
      </c>
      <c r="AI1045">
        <v>35.20061087882474</v>
      </c>
      <c r="AJ1045">
        <v>6760.7017835108409</v>
      </c>
      <c r="AK1045">
        <v>854.70085470085473</v>
      </c>
      <c r="AL1045" t="s">
        <v>69</v>
      </c>
      <c r="AM1045">
        <v>2728.0473431089172</v>
      </c>
      <c r="AN1045">
        <v>373.43008109885909</v>
      </c>
      <c r="AO1045">
        <v>5984.1038494002059</v>
      </c>
      <c r="AP1045">
        <v>10716.88006241947</v>
      </c>
      <c r="AQ1045">
        <v>4732.7762130192659</v>
      </c>
      <c r="AR1045">
        <v>6.3394883937504167E-3</v>
      </c>
      <c r="AS1045">
        <v>197.85513942892081</v>
      </c>
      <c r="AT1045">
        <v>79.837597445278007</v>
      </c>
      <c r="AU1045">
        <v>10.928608172449129</v>
      </c>
      <c r="AV1045">
        <v>175.1276331057712</v>
      </c>
      <c r="AW1045">
        <v>313.63457032886669</v>
      </c>
      <c r="AX1045">
        <v>138.5069372230956</v>
      </c>
      <c r="AY1045">
        <v>1.030162547681007</v>
      </c>
      <c r="AZ1045" t="str">
        <f>VLOOKUP(BA1045,Sheet1!$A$1:$B$58,2,FALSE)</f>
        <v>Adipate</v>
      </c>
      <c r="BA1045" t="s">
        <v>98</v>
      </c>
      <c r="BB1045" t="s">
        <v>99</v>
      </c>
      <c r="BC1045">
        <v>144.12291999999999</v>
      </c>
      <c r="BD1045">
        <v>4</v>
      </c>
      <c r="BE1045">
        <v>337.5</v>
      </c>
      <c r="BF1045" t="s">
        <v>213</v>
      </c>
      <c r="BG1045">
        <v>4.5179887886439507E-2</v>
      </c>
      <c r="BH1045">
        <v>0.16265573770491801</v>
      </c>
      <c r="BI1045">
        <v>0.73163683950490099</v>
      </c>
      <c r="BJ1045">
        <v>90</v>
      </c>
      <c r="BK1045">
        <v>476.30578055197651</v>
      </c>
      <c r="BL1045">
        <v>210.34560946752291</v>
      </c>
      <c r="BM1045">
        <v>1.519291706727993</v>
      </c>
      <c r="BN1045">
        <v>258.27959014375892</v>
      </c>
      <c r="BO1045">
        <v>218.02619040821759</v>
      </c>
    </row>
    <row r="1046" spans="1:67" x14ac:dyDescent="0.25">
      <c r="A1046" s="1">
        <v>1044</v>
      </c>
      <c r="B1046" t="s">
        <v>210</v>
      </c>
      <c r="C1046" t="s">
        <v>211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67</v>
      </c>
      <c r="J1046">
        <v>1.2130000000000001</v>
      </c>
      <c r="K1046">
        <v>500</v>
      </c>
      <c r="L1046">
        <v>100</v>
      </c>
      <c r="N1046" t="s">
        <v>68</v>
      </c>
      <c r="O1046">
        <v>0</v>
      </c>
      <c r="P1046">
        <v>0.125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45030.664998349843</v>
      </c>
      <c r="Z1046">
        <v>225153324.9917492</v>
      </c>
      <c r="AA1046">
        <v>273110983.21499181</v>
      </c>
      <c r="AB1046">
        <v>273110.98321499181</v>
      </c>
      <c r="AC1046">
        <v>0</v>
      </c>
      <c r="AD1046">
        <v>2333.5497554338558</v>
      </c>
      <c r="AE1046">
        <v>1400129.8532603141</v>
      </c>
      <c r="AF1046">
        <v>1400129.8532603141</v>
      </c>
      <c r="AG1046">
        <v>44.861644636104913</v>
      </c>
      <c r="AH1046">
        <v>46.214786131489809</v>
      </c>
      <c r="AI1046">
        <v>46.214786131489809</v>
      </c>
      <c r="AJ1046">
        <v>8876.1069544872335</v>
      </c>
      <c r="AK1046">
        <v>854.70085470085473</v>
      </c>
      <c r="AL1046" t="s">
        <v>69</v>
      </c>
      <c r="AM1046">
        <v>3581.6459251904598</v>
      </c>
      <c r="AN1046">
        <v>490.2753361996447</v>
      </c>
      <c r="AO1046">
        <v>7856.5136423532676</v>
      </c>
      <c r="AP1046">
        <v>13802.729070578191</v>
      </c>
      <c r="AQ1046">
        <v>5946.2154282249248</v>
      </c>
      <c r="AR1046">
        <v>6.3394883937504167E-3</v>
      </c>
      <c r="AS1046">
        <v>197.85513942892081</v>
      </c>
      <c r="AT1046">
        <v>79.837597445278021</v>
      </c>
      <c r="AU1046">
        <v>10.928608172449129</v>
      </c>
      <c r="AV1046">
        <v>175.12763310577111</v>
      </c>
      <c r="AW1046">
        <v>307.67327374060812</v>
      </c>
      <c r="AX1046">
        <v>132.54564063483701</v>
      </c>
      <c r="AY1046">
        <v>1.030162547681007</v>
      </c>
      <c r="AZ1046" t="str">
        <f>VLOOKUP(BA1046,Sheet1!$A$1:$B$58,2,FALSE)</f>
        <v>Benzoate (PW1)</v>
      </c>
      <c r="BA1046" t="s">
        <v>100</v>
      </c>
      <c r="BB1046" t="s">
        <v>101</v>
      </c>
      <c r="BC1046">
        <v>121.1121</v>
      </c>
      <c r="BD1046">
        <v>4.1428571428571432</v>
      </c>
      <c r="BE1046">
        <v>249.2</v>
      </c>
      <c r="BF1046" t="s">
        <v>213</v>
      </c>
      <c r="BG1046">
        <v>-7.8887884558478977E-2</v>
      </c>
      <c r="BH1046">
        <v>0.1474294205052</v>
      </c>
      <c r="BI1046">
        <v>0.55726891429833703</v>
      </c>
      <c r="BJ1046">
        <v>90</v>
      </c>
      <c r="BK1046">
        <v>613.45462535903073</v>
      </c>
      <c r="BL1046">
        <v>264.27624125444112</v>
      </c>
      <c r="BM1046">
        <v>2.132878379291359</v>
      </c>
      <c r="BN1046">
        <v>362.58932447953111</v>
      </c>
      <c r="BO1046">
        <v>250.8653008794997</v>
      </c>
    </row>
    <row r="1047" spans="1:67" x14ac:dyDescent="0.25">
      <c r="A1047" s="1">
        <v>1045</v>
      </c>
      <c r="B1047" t="s">
        <v>210</v>
      </c>
      <c r="C1047" t="s">
        <v>211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67</v>
      </c>
      <c r="J1047">
        <v>1.2130000000000001</v>
      </c>
      <c r="K1047">
        <v>500</v>
      </c>
      <c r="L1047">
        <v>100</v>
      </c>
      <c r="N1047" t="s">
        <v>68</v>
      </c>
      <c r="O1047">
        <v>0</v>
      </c>
      <c r="P1047">
        <v>0.125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45030.664998349763</v>
      </c>
      <c r="Z1047">
        <v>225153324.99174881</v>
      </c>
      <c r="AA1047">
        <v>273110983.21499127</v>
      </c>
      <c r="AB1047">
        <v>273110.98321499128</v>
      </c>
      <c r="AC1047">
        <v>0</v>
      </c>
      <c r="AD1047">
        <v>2333.5497554338522</v>
      </c>
      <c r="AE1047">
        <v>1400129.8532603111</v>
      </c>
      <c r="AF1047">
        <v>1400129.8532603111</v>
      </c>
      <c r="AG1047">
        <v>44.861644636104828</v>
      </c>
      <c r="AH1047">
        <v>46.214786131489717</v>
      </c>
      <c r="AI1047">
        <v>46.214786131489717</v>
      </c>
      <c r="AJ1047">
        <v>8876.1069544872189</v>
      </c>
      <c r="AK1047">
        <v>854.70085470085473</v>
      </c>
      <c r="AL1047" t="s">
        <v>69</v>
      </c>
      <c r="AM1047">
        <v>3581.645925190453</v>
      </c>
      <c r="AN1047">
        <v>490.27533619964379</v>
      </c>
      <c r="AO1047">
        <v>7856.5136423532531</v>
      </c>
      <c r="AP1047">
        <v>13802.729070578171</v>
      </c>
      <c r="AQ1047">
        <v>5946.2154282249176</v>
      </c>
      <c r="AR1047">
        <v>6.3394883937504176E-3</v>
      </c>
      <c r="AS1047">
        <v>197.85513942892081</v>
      </c>
      <c r="AT1047">
        <v>79.837597445278007</v>
      </c>
      <c r="AU1047">
        <v>10.928608172449129</v>
      </c>
      <c r="AV1047">
        <v>175.12763310577111</v>
      </c>
      <c r="AW1047">
        <v>307.67327374060818</v>
      </c>
      <c r="AX1047">
        <v>132.54564063483701</v>
      </c>
      <c r="AY1047">
        <v>1.030162547681007</v>
      </c>
      <c r="AZ1047" t="str">
        <f>VLOOKUP(BA1047,Sheet1!$A$1:$B$58,2,FALSE)</f>
        <v>Benzoate (PW2)</v>
      </c>
      <c r="BA1047" t="s">
        <v>102</v>
      </c>
      <c r="BB1047" t="s">
        <v>101</v>
      </c>
      <c r="BC1047">
        <v>121.1121</v>
      </c>
      <c r="BD1047">
        <v>4.1428571428571432</v>
      </c>
      <c r="BE1047">
        <v>249.2</v>
      </c>
      <c r="BF1047" t="s">
        <v>213</v>
      </c>
      <c r="BG1047">
        <v>-7.8887884558476715E-2</v>
      </c>
      <c r="BH1047">
        <v>0.147429420505201</v>
      </c>
      <c r="BI1047">
        <v>0.55726891429833803</v>
      </c>
      <c r="BJ1047">
        <v>90</v>
      </c>
      <c r="BK1047">
        <v>613.45462535902971</v>
      </c>
      <c r="BL1047">
        <v>264.27624125444072</v>
      </c>
      <c r="BM1047">
        <v>2.1328783792913528</v>
      </c>
      <c r="BN1047">
        <v>362.58932447952998</v>
      </c>
      <c r="BO1047">
        <v>250.8653008794997</v>
      </c>
    </row>
    <row r="1048" spans="1:67" x14ac:dyDescent="0.25">
      <c r="A1048" s="1">
        <v>1046</v>
      </c>
      <c r="B1048" t="s">
        <v>210</v>
      </c>
      <c r="C1048" t="s">
        <v>211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67</v>
      </c>
      <c r="J1048">
        <v>1.2130000000000001</v>
      </c>
      <c r="K1048">
        <v>500</v>
      </c>
      <c r="L1048">
        <v>100</v>
      </c>
      <c r="N1048" t="s">
        <v>68</v>
      </c>
      <c r="O1048">
        <v>0</v>
      </c>
      <c r="P1048">
        <v>0.125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61899.634889583773</v>
      </c>
      <c r="Z1048">
        <v>309498174.44791877</v>
      </c>
      <c r="AA1048">
        <v>375421285.60532558</v>
      </c>
      <c r="AB1048">
        <v>375421.2856053256</v>
      </c>
      <c r="AC1048">
        <v>0</v>
      </c>
      <c r="AD1048">
        <v>3207.7225122774989</v>
      </c>
      <c r="AE1048">
        <v>1924633.5073664989</v>
      </c>
      <c r="AF1048">
        <v>1924633.5073664989</v>
      </c>
      <c r="AG1048">
        <v>61.667297687540447</v>
      </c>
      <c r="AH1048">
        <v>63.527340494399731</v>
      </c>
      <c r="AI1048">
        <v>63.527340494399731</v>
      </c>
      <c r="AJ1048">
        <v>12201.19178217308</v>
      </c>
      <c r="AK1048">
        <v>854.70085470085473</v>
      </c>
      <c r="AL1048" t="s">
        <v>69</v>
      </c>
      <c r="AM1048">
        <v>4923.3688883159793</v>
      </c>
      <c r="AN1048">
        <v>673.9377334809077</v>
      </c>
      <c r="AO1048">
        <v>10799.64788404795</v>
      </c>
      <c r="AP1048">
        <v>18653.199258670818</v>
      </c>
      <c r="AQ1048">
        <v>7853.551374622868</v>
      </c>
      <c r="AR1048">
        <v>6.3394883937504176E-3</v>
      </c>
      <c r="AS1048">
        <v>197.85513942892081</v>
      </c>
      <c r="AT1048">
        <v>79.837597445278021</v>
      </c>
      <c r="AU1048">
        <v>10.928608172449129</v>
      </c>
      <c r="AV1048">
        <v>175.12763310577111</v>
      </c>
      <c r="AW1048">
        <v>302.4812170817662</v>
      </c>
      <c r="AX1048">
        <v>127.35358397599509</v>
      </c>
      <c r="AY1048">
        <v>1.030162547681007</v>
      </c>
      <c r="AZ1048" t="str">
        <f>VLOOKUP(BA1048,Sheet1!$A$1:$B$58,2,FALSE)</f>
        <v>Benzyl Alcohol</v>
      </c>
      <c r="BA1048" t="s">
        <v>103</v>
      </c>
      <c r="BB1048" t="s">
        <v>104</v>
      </c>
      <c r="BC1048">
        <v>108.13661999999999</v>
      </c>
      <c r="BD1048">
        <v>4.8571428571428568</v>
      </c>
      <c r="BE1048">
        <v>205</v>
      </c>
      <c r="BF1048" t="s">
        <v>213</v>
      </c>
      <c r="BG1048">
        <v>0.53922867999313906</v>
      </c>
      <c r="BH1048">
        <v>0.120121065375302</v>
      </c>
      <c r="BI1048">
        <v>0.40540125702720903</v>
      </c>
      <c r="BJ1048">
        <v>90</v>
      </c>
      <c r="BK1048">
        <v>829.03107816314764</v>
      </c>
      <c r="BL1048">
        <v>349.04672776101643</v>
      </c>
      <c r="BM1048">
        <v>2.2842086753135149</v>
      </c>
      <c r="BN1048">
        <v>388.3154748032976</v>
      </c>
      <c r="BO1048">
        <v>440.71560335984998</v>
      </c>
    </row>
    <row r="1049" spans="1:67" x14ac:dyDescent="0.25">
      <c r="A1049" s="1">
        <v>1047</v>
      </c>
      <c r="B1049" t="s">
        <v>210</v>
      </c>
      <c r="C1049" t="s">
        <v>211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67</v>
      </c>
      <c r="J1049">
        <v>1.2130000000000001</v>
      </c>
      <c r="K1049">
        <v>500</v>
      </c>
      <c r="L1049">
        <v>100</v>
      </c>
      <c r="N1049" t="s">
        <v>68</v>
      </c>
      <c r="O1049">
        <v>0</v>
      </c>
      <c r="P1049">
        <v>0.125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67493.625620410574</v>
      </c>
      <c r="Z1049">
        <v>337468128.10205293</v>
      </c>
      <c r="AA1049">
        <v>409348839.38779008</v>
      </c>
      <c r="AB1049">
        <v>409348.83938779013</v>
      </c>
      <c r="AC1049">
        <v>0</v>
      </c>
      <c r="AD1049">
        <v>3497.6106518885508</v>
      </c>
      <c r="AE1049">
        <v>2098566.391133131</v>
      </c>
      <c r="AF1049">
        <v>2098566.391133131</v>
      </c>
      <c r="AG1049">
        <v>67.240291652280121</v>
      </c>
      <c r="AH1049">
        <v>69.268430155326811</v>
      </c>
      <c r="AI1049">
        <v>69.268430155326811</v>
      </c>
      <c r="AJ1049">
        <v>13303.83728010318</v>
      </c>
      <c r="AK1049">
        <v>854.70085470085473</v>
      </c>
      <c r="AL1049" t="s">
        <v>69</v>
      </c>
      <c r="AM1049">
        <v>5368.303337037828</v>
      </c>
      <c r="AN1049">
        <v>734.84280086897115</v>
      </c>
      <c r="AO1049">
        <v>11775.633126405561</v>
      </c>
      <c r="AP1049">
        <v>20261.684272710831</v>
      </c>
      <c r="AQ1049">
        <v>8486.0511463052771</v>
      </c>
      <c r="AR1049">
        <v>6.3394883937504158E-3</v>
      </c>
      <c r="AS1049">
        <v>197.85513942892081</v>
      </c>
      <c r="AT1049">
        <v>79.837597445278007</v>
      </c>
      <c r="AU1049">
        <v>10.92860817244912</v>
      </c>
      <c r="AV1049">
        <v>175.12763310577111</v>
      </c>
      <c r="AW1049">
        <v>301.3324864426545</v>
      </c>
      <c r="AX1049">
        <v>126.2048533368834</v>
      </c>
      <c r="AY1049">
        <v>1.030162547681007</v>
      </c>
      <c r="AZ1049" t="str">
        <f>VLOOKUP(BA1049,Sheet1!$A$1:$B$58,2,FALSE)</f>
        <v>Beta Carotene</v>
      </c>
      <c r="BA1049" t="s">
        <v>105</v>
      </c>
      <c r="BB1049" t="s">
        <v>106</v>
      </c>
      <c r="BC1049">
        <v>536.86703999999997</v>
      </c>
      <c r="BD1049">
        <v>5.4</v>
      </c>
      <c r="BE1049">
        <v>633</v>
      </c>
      <c r="BF1049" t="s">
        <v>213</v>
      </c>
      <c r="BG1049">
        <v>0.41529210539101957</v>
      </c>
      <c r="BH1049">
        <v>2.2189655172413801E-2</v>
      </c>
      <c r="BI1049">
        <v>0.37180088583319298</v>
      </c>
      <c r="BJ1049">
        <v>90</v>
      </c>
      <c r="BK1049">
        <v>900.51930100937045</v>
      </c>
      <c r="BL1049">
        <v>377.15782872467901</v>
      </c>
      <c r="BM1049">
        <v>2.6633047904012832</v>
      </c>
      <c r="BN1049">
        <v>452.7618143682181</v>
      </c>
      <c r="BO1049">
        <v>447.75748664115241</v>
      </c>
    </row>
    <row r="1050" spans="1:67" x14ac:dyDescent="0.25">
      <c r="A1050" s="1">
        <v>1048</v>
      </c>
      <c r="B1050" t="s">
        <v>210</v>
      </c>
      <c r="C1050" t="s">
        <v>211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67</v>
      </c>
      <c r="J1050">
        <v>1.2130000000000001</v>
      </c>
      <c r="K1050">
        <v>500</v>
      </c>
      <c r="L1050">
        <v>100</v>
      </c>
      <c r="N1050" t="s">
        <v>68</v>
      </c>
      <c r="O1050">
        <v>0</v>
      </c>
      <c r="P1050">
        <v>0.125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71932.542892636091</v>
      </c>
      <c r="Z1050">
        <v>359662714.46318042</v>
      </c>
      <c r="AA1050">
        <v>436270872.64383793</v>
      </c>
      <c r="AB1050">
        <v>436270.87264383788</v>
      </c>
      <c r="AC1050">
        <v>66773.504273504266</v>
      </c>
      <c r="AD1050">
        <v>3727.6413279927701</v>
      </c>
      <c r="AE1050">
        <v>2236584.796795662</v>
      </c>
      <c r="AF1050">
        <v>2236584.796795662</v>
      </c>
      <c r="AG1050">
        <v>71.662547669217616</v>
      </c>
      <c r="AH1050">
        <v>73.824072680232788</v>
      </c>
      <c r="AI1050">
        <v>73.824072680232788</v>
      </c>
      <c r="AJ1050">
        <v>14178.80336092473</v>
      </c>
      <c r="AK1050">
        <v>2170.1388888888891</v>
      </c>
      <c r="AL1050" t="s">
        <v>107</v>
      </c>
      <c r="AM1050">
        <v>5721.3656327180424</v>
      </c>
      <c r="AN1050">
        <v>783.17190411633658</v>
      </c>
      <c r="AO1050">
        <v>12550.09235563957</v>
      </c>
      <c r="AP1050">
        <v>22853.479786648</v>
      </c>
      <c r="AQ1050">
        <v>10303.38743100843</v>
      </c>
      <c r="AR1050">
        <v>6.3394883937504158E-3</v>
      </c>
      <c r="AS1050">
        <v>197.85513942892081</v>
      </c>
      <c r="AT1050">
        <v>79.837597445277993</v>
      </c>
      <c r="AU1050">
        <v>10.92860817244912</v>
      </c>
      <c r="AV1050">
        <v>175.12763310577111</v>
      </c>
      <c r="AW1050">
        <v>318.9040932808565</v>
      </c>
      <c r="AX1050">
        <v>143.77646017508539</v>
      </c>
      <c r="AY1050">
        <v>1.0301625476810059</v>
      </c>
      <c r="AZ1050" t="str">
        <f>VLOOKUP(BA1050,Sheet1!$A$1:$B$58,2,FALSE)</f>
        <v>Butane</v>
      </c>
      <c r="BA1050" t="s">
        <v>108</v>
      </c>
      <c r="BB1050" t="s">
        <v>109</v>
      </c>
      <c r="BC1050">
        <v>58.121200000000002</v>
      </c>
      <c r="BD1050">
        <v>6.5</v>
      </c>
      <c r="BE1050">
        <v>-1</v>
      </c>
      <c r="BF1050" t="s">
        <v>213</v>
      </c>
      <c r="BG1050">
        <v>0.90844070029512358</v>
      </c>
      <c r="BH1050">
        <v>0.19231805929919199</v>
      </c>
      <c r="BI1050">
        <v>0.34885725965808301</v>
      </c>
      <c r="BJ1050">
        <v>90</v>
      </c>
      <c r="BK1050">
        <v>1015.710212739911</v>
      </c>
      <c r="BL1050">
        <v>457.92833026704108</v>
      </c>
      <c r="BM1050">
        <v>2.3726291966041111</v>
      </c>
      <c r="BN1050">
        <v>403.34696342269882</v>
      </c>
      <c r="BO1050">
        <v>612.36324931721219</v>
      </c>
    </row>
    <row r="1051" spans="1:67" x14ac:dyDescent="0.25">
      <c r="A1051" s="1">
        <v>1049</v>
      </c>
      <c r="B1051" t="s">
        <v>210</v>
      </c>
      <c r="C1051" t="s">
        <v>211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67</v>
      </c>
      <c r="J1051">
        <v>1.2130000000000001</v>
      </c>
      <c r="K1051">
        <v>500</v>
      </c>
      <c r="L1051">
        <v>100</v>
      </c>
      <c r="N1051" t="s">
        <v>68</v>
      </c>
      <c r="O1051">
        <v>0</v>
      </c>
      <c r="P1051">
        <v>0.125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48512.55496827716</v>
      </c>
      <c r="Z1051">
        <v>242562774.84138581</v>
      </c>
      <c r="AA1051">
        <v>294228645.88260102</v>
      </c>
      <c r="AB1051">
        <v>294228.64588260098</v>
      </c>
      <c r="AC1051">
        <v>0</v>
      </c>
      <c r="AD1051">
        <v>2513.9859867901828</v>
      </c>
      <c r="AE1051">
        <v>1508391.5920741099</v>
      </c>
      <c r="AF1051">
        <v>1508391.5920741099</v>
      </c>
      <c r="AG1051">
        <v>48.33046550514208</v>
      </c>
      <c r="AH1051">
        <v>49.78823547538618</v>
      </c>
      <c r="AI1051">
        <v>49.78823547538618</v>
      </c>
      <c r="AJ1051">
        <v>9562.4309911845339</v>
      </c>
      <c r="AK1051">
        <v>854.70085470085473</v>
      </c>
      <c r="AL1051" t="s">
        <v>69</v>
      </c>
      <c r="AM1051">
        <v>3858.5882493424292</v>
      </c>
      <c r="AN1051">
        <v>528.18472029776626</v>
      </c>
      <c r="AO1051">
        <v>8464.0000308156505</v>
      </c>
      <c r="AP1051">
        <v>14803.90481552558</v>
      </c>
      <c r="AQ1051">
        <v>6339.9047847099337</v>
      </c>
      <c r="AR1051">
        <v>6.3394883937504176E-3</v>
      </c>
      <c r="AS1051">
        <v>197.85513942892081</v>
      </c>
      <c r="AT1051">
        <v>79.837597445278035</v>
      </c>
      <c r="AU1051">
        <v>10.928608172449129</v>
      </c>
      <c r="AV1051">
        <v>175.1276331057712</v>
      </c>
      <c r="AW1051">
        <v>306.3058603056603</v>
      </c>
      <c r="AX1051">
        <v>131.17822719988911</v>
      </c>
      <c r="AY1051">
        <v>1.030162547681007</v>
      </c>
      <c r="AZ1051" t="str">
        <f>VLOOKUP(BA1051,Sheet1!$A$1:$B$58,2,FALSE)</f>
        <v>Butanol (PW1)</v>
      </c>
      <c r="BA1051" t="s">
        <v>110</v>
      </c>
      <c r="BB1051" t="s">
        <v>111</v>
      </c>
      <c r="BC1051">
        <v>74.120199999999997</v>
      </c>
      <c r="BD1051">
        <v>6</v>
      </c>
      <c r="BE1051">
        <v>117.7</v>
      </c>
      <c r="BF1051" t="s">
        <v>213</v>
      </c>
      <c r="BG1051">
        <v>0.28031150920277531</v>
      </c>
      <c r="BH1051">
        <v>0.22360902255639101</v>
      </c>
      <c r="BI1051">
        <v>0.51727207132611097</v>
      </c>
      <c r="BJ1051">
        <v>90</v>
      </c>
      <c r="BK1051">
        <v>657.95132513447038</v>
      </c>
      <c r="BL1051">
        <v>281.77354598710809</v>
      </c>
      <c r="BM1051">
        <v>1.932498956369944</v>
      </c>
      <c r="BN1051">
        <v>328.52482258289052</v>
      </c>
      <c r="BO1051">
        <v>329.42650255157992</v>
      </c>
    </row>
    <row r="1052" spans="1:67" x14ac:dyDescent="0.25">
      <c r="A1052" s="1">
        <v>1050</v>
      </c>
      <c r="B1052" t="s">
        <v>210</v>
      </c>
      <c r="C1052" t="s">
        <v>211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67</v>
      </c>
      <c r="J1052">
        <v>1.2130000000000001</v>
      </c>
      <c r="K1052">
        <v>500</v>
      </c>
      <c r="L1052">
        <v>100</v>
      </c>
      <c r="N1052" t="s">
        <v>68</v>
      </c>
      <c r="O1052">
        <v>0</v>
      </c>
      <c r="P1052">
        <v>0.125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55442.919963745342</v>
      </c>
      <c r="Z1052">
        <v>277214599.81872672</v>
      </c>
      <c r="AA1052">
        <v>336261309.58011562</v>
      </c>
      <c r="AB1052">
        <v>336261.30958011549</v>
      </c>
      <c r="AC1052">
        <v>0</v>
      </c>
      <c r="AD1052">
        <v>2873.1268420459241</v>
      </c>
      <c r="AE1052">
        <v>1723876.105227554</v>
      </c>
      <c r="AF1052">
        <v>1723876.105227554</v>
      </c>
      <c r="AG1052">
        <v>55.23481772016239</v>
      </c>
      <c r="AH1052">
        <v>56.900840543298507</v>
      </c>
      <c r="AI1052">
        <v>56.900840543298507</v>
      </c>
      <c r="AJ1052">
        <v>10928.49256135376</v>
      </c>
      <c r="AK1052">
        <v>854.70085470085473</v>
      </c>
      <c r="AL1052" t="s">
        <v>69</v>
      </c>
      <c r="AM1052">
        <v>4409.8151421056345</v>
      </c>
      <c r="AN1052">
        <v>603.63968034030449</v>
      </c>
      <c r="AO1052">
        <v>9673.1428923607455</v>
      </c>
      <c r="AP1052">
        <v>16796.648238500551</v>
      </c>
      <c r="AQ1052">
        <v>7123.5053461398056</v>
      </c>
      <c r="AR1052">
        <v>6.3394883937504176E-3</v>
      </c>
      <c r="AS1052">
        <v>197.85513942892081</v>
      </c>
      <c r="AT1052">
        <v>79.837597445278021</v>
      </c>
      <c r="AU1052">
        <v>10.928608172449129</v>
      </c>
      <c r="AV1052">
        <v>175.12763310577111</v>
      </c>
      <c r="AW1052">
        <v>304.09529589828378</v>
      </c>
      <c r="AX1052">
        <v>128.96766279251261</v>
      </c>
      <c r="AY1052">
        <v>1.030162547681007</v>
      </c>
      <c r="AZ1052" t="str">
        <f>VLOOKUP(BA1052,Sheet1!$A$1:$B$58,2,FALSE)</f>
        <v>Butanol (PW2)</v>
      </c>
      <c r="BA1052" t="s">
        <v>112</v>
      </c>
      <c r="BB1052" t="s">
        <v>111</v>
      </c>
      <c r="BC1052">
        <v>74.120199999999997</v>
      </c>
      <c r="BD1052">
        <v>6</v>
      </c>
      <c r="BE1052">
        <v>117.7</v>
      </c>
      <c r="BF1052" t="s">
        <v>213</v>
      </c>
      <c r="BG1052">
        <v>0.65965044615810031</v>
      </c>
      <c r="BH1052">
        <v>0.195657894736842</v>
      </c>
      <c r="BI1052">
        <v>0.45261306241034699</v>
      </c>
      <c r="BJ1052">
        <v>90</v>
      </c>
      <c r="BK1052">
        <v>746.51769948891331</v>
      </c>
      <c r="BL1052">
        <v>316.60023760621362</v>
      </c>
      <c r="BM1052">
        <v>1.8692758002107219</v>
      </c>
      <c r="BN1052">
        <v>317.77688603582283</v>
      </c>
      <c r="BO1052">
        <v>428.74081345309048</v>
      </c>
    </row>
    <row r="1053" spans="1:67" x14ac:dyDescent="0.25">
      <c r="A1053" s="1">
        <v>1051</v>
      </c>
      <c r="B1053" t="s">
        <v>210</v>
      </c>
      <c r="C1053" t="s">
        <v>211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67</v>
      </c>
      <c r="J1053">
        <v>1.2130000000000001</v>
      </c>
      <c r="K1053">
        <v>500</v>
      </c>
      <c r="L1053">
        <v>100</v>
      </c>
      <c r="N1053" t="s">
        <v>68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36008.121416949041</v>
      </c>
      <c r="Z1053">
        <v>180040607.0847452</v>
      </c>
      <c r="AA1053">
        <v>218389256.39379591</v>
      </c>
      <c r="AB1053">
        <v>218389.25639379589</v>
      </c>
      <c r="AC1053">
        <v>0</v>
      </c>
      <c r="AD1053">
        <v>1865.989385882559</v>
      </c>
      <c r="AE1053">
        <v>1119593.6315295349</v>
      </c>
      <c r="AF1053">
        <v>1119593.6315295349</v>
      </c>
      <c r="AG1053">
        <v>35.872966723455733</v>
      </c>
      <c r="AH1053">
        <v>36.954986792711132</v>
      </c>
      <c r="AI1053">
        <v>36.954986792711132</v>
      </c>
      <c r="AJ1053">
        <v>7097.6508327983684</v>
      </c>
      <c r="AK1053">
        <v>854.70085470085473</v>
      </c>
      <c r="AL1053" t="s">
        <v>69</v>
      </c>
      <c r="AM1053">
        <v>2864.0114764351129</v>
      </c>
      <c r="AN1053">
        <v>392.04159730395378</v>
      </c>
      <c r="AO1053">
        <v>6282.3477547608927</v>
      </c>
      <c r="AP1053">
        <v>11208.404761238289</v>
      </c>
      <c r="AQ1053">
        <v>4926.0570064773983</v>
      </c>
      <c r="AR1053">
        <v>6.3394883937504167E-3</v>
      </c>
      <c r="AS1053">
        <v>197.85513942892081</v>
      </c>
      <c r="AT1053">
        <v>79.837597445278021</v>
      </c>
      <c r="AU1053">
        <v>10.928608172449129</v>
      </c>
      <c r="AV1053">
        <v>175.1276331057712</v>
      </c>
      <c r="AW1053">
        <v>312.44710948062232</v>
      </c>
      <c r="AX1053">
        <v>137.31947637485109</v>
      </c>
      <c r="AY1053">
        <v>1.030162547681007</v>
      </c>
      <c r="AZ1053" t="str">
        <f>VLOOKUP(BA1053,Sheet1!$A$1:$B$58,2,FALSE)</f>
        <v>Butyrate</v>
      </c>
      <c r="BA1053" t="s">
        <v>113</v>
      </c>
      <c r="BB1053" t="s">
        <v>114</v>
      </c>
      <c r="BC1053">
        <v>87.095680000000002</v>
      </c>
      <c r="BD1053">
        <v>4.75</v>
      </c>
      <c r="BE1053">
        <v>163.5</v>
      </c>
      <c r="BF1053" t="s">
        <v>213</v>
      </c>
      <c r="BG1053">
        <v>-5.0292763635139098E-2</v>
      </c>
      <c r="BH1053">
        <v>0.25637931034483002</v>
      </c>
      <c r="BI1053">
        <v>0.69690360969374798</v>
      </c>
      <c r="BJ1053">
        <v>90</v>
      </c>
      <c r="BK1053">
        <v>498.15132272170177</v>
      </c>
      <c r="BL1053">
        <v>218.93586695455099</v>
      </c>
      <c r="BM1053">
        <v>1.6927366210889669</v>
      </c>
      <c r="BN1053">
        <v>287.76522558512443</v>
      </c>
      <c r="BO1053">
        <v>210.38609713657729</v>
      </c>
    </row>
    <row r="1054" spans="1:67" x14ac:dyDescent="0.25">
      <c r="A1054" s="1">
        <v>1052</v>
      </c>
      <c r="B1054" t="s">
        <v>210</v>
      </c>
      <c r="C1054" t="s">
        <v>211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67</v>
      </c>
      <c r="J1054">
        <v>1.2130000000000001</v>
      </c>
      <c r="K1054">
        <v>500</v>
      </c>
      <c r="L1054">
        <v>100</v>
      </c>
      <c r="N1054" t="s">
        <v>68</v>
      </c>
      <c r="O1054">
        <v>0</v>
      </c>
      <c r="P1054">
        <v>0.125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41361.223911271933</v>
      </c>
      <c r="Z1054">
        <v>206806119.55635959</v>
      </c>
      <c r="AA1054">
        <v>250855823.02186421</v>
      </c>
      <c r="AB1054">
        <v>250855.8230218642</v>
      </c>
      <c r="AC1054">
        <v>0</v>
      </c>
      <c r="AD1054">
        <v>2143.3943723933571</v>
      </c>
      <c r="AE1054">
        <v>1286036.6234360139</v>
      </c>
      <c r="AF1054">
        <v>1286036.6234360139</v>
      </c>
      <c r="AG1054">
        <v>41.205976613710739</v>
      </c>
      <c r="AH1054">
        <v>42.448853848064253</v>
      </c>
      <c r="AI1054">
        <v>42.448853848064253</v>
      </c>
      <c r="AJ1054">
        <v>8152.8142482105877</v>
      </c>
      <c r="AK1054">
        <v>854.70085470085473</v>
      </c>
      <c r="AL1054" t="s">
        <v>69</v>
      </c>
      <c r="AM1054">
        <v>3289.7861732249789</v>
      </c>
      <c r="AN1054">
        <v>450.32397277434683</v>
      </c>
      <c r="AO1054">
        <v>7216.3051541709219</v>
      </c>
      <c r="AP1054">
        <v>12747.62524891077</v>
      </c>
      <c r="AQ1054">
        <v>5531.3200947398482</v>
      </c>
      <c r="AR1054">
        <v>6.3394883937504176E-3</v>
      </c>
      <c r="AS1054">
        <v>197.85513942892081</v>
      </c>
      <c r="AT1054">
        <v>79.837597445278035</v>
      </c>
      <c r="AU1054">
        <v>10.928608172449129</v>
      </c>
      <c r="AV1054">
        <v>175.1276331057712</v>
      </c>
      <c r="AW1054">
        <v>309.36350249417859</v>
      </c>
      <c r="AX1054">
        <v>134.23586938840751</v>
      </c>
      <c r="AY1054">
        <v>1.030162547681007</v>
      </c>
      <c r="AZ1054" t="str">
        <f>VLOOKUP(BA1054,Sheet1!$A$1:$B$58,2,FALSE)</f>
        <v>Catechol</v>
      </c>
      <c r="BA1054" t="s">
        <v>115</v>
      </c>
      <c r="BB1054" t="s">
        <v>116</v>
      </c>
      <c r="BC1054">
        <v>110.10924</v>
      </c>
      <c r="BD1054">
        <v>4.333333333333333</v>
      </c>
      <c r="BE1054">
        <v>245</v>
      </c>
      <c r="BF1054" t="s">
        <v>213</v>
      </c>
      <c r="BG1054">
        <v>-0.1342249879210016</v>
      </c>
      <c r="BH1054">
        <v>0.17654804270462601</v>
      </c>
      <c r="BI1054">
        <v>0.60670810534027197</v>
      </c>
      <c r="BJ1054">
        <v>90</v>
      </c>
      <c r="BK1054">
        <v>566.56112217381201</v>
      </c>
      <c r="BL1054">
        <v>245.83644865510431</v>
      </c>
      <c r="BM1054">
        <v>2.0208407145016341</v>
      </c>
      <c r="BN1054">
        <v>343.54292146527791</v>
      </c>
      <c r="BO1054">
        <v>223.01820070853421</v>
      </c>
    </row>
    <row r="1055" spans="1:67" x14ac:dyDescent="0.25">
      <c r="A1055" s="1">
        <v>1053</v>
      </c>
      <c r="B1055" t="s">
        <v>210</v>
      </c>
      <c r="C1055" t="s">
        <v>211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67</v>
      </c>
      <c r="J1055">
        <v>1.2130000000000001</v>
      </c>
      <c r="K1055">
        <v>500</v>
      </c>
      <c r="L1055">
        <v>100</v>
      </c>
      <c r="N1055" t="s">
        <v>68</v>
      </c>
      <c r="O1055">
        <v>0</v>
      </c>
      <c r="P1055">
        <v>0.125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32856.189535941769</v>
      </c>
      <c r="Z1055">
        <v>164280947.67970881</v>
      </c>
      <c r="AA1055">
        <v>199272789.53548679</v>
      </c>
      <c r="AB1055">
        <v>199272.78953548681</v>
      </c>
      <c r="AC1055">
        <v>0</v>
      </c>
      <c r="AD1055">
        <v>1702.6520274327499</v>
      </c>
      <c r="AE1055">
        <v>1021591.21645965</v>
      </c>
      <c r="AF1055">
        <v>1021591.21645965</v>
      </c>
      <c r="AG1055">
        <v>32.732865462056637</v>
      </c>
      <c r="AH1055">
        <v>33.720172077291899</v>
      </c>
      <c r="AI1055">
        <v>33.720172077291899</v>
      </c>
      <c r="AJ1055">
        <v>6476.365659903322</v>
      </c>
      <c r="AK1055">
        <v>854.70085470085473</v>
      </c>
      <c r="AL1055" t="s">
        <v>69</v>
      </c>
      <c r="AM1055">
        <v>2613.3133359901221</v>
      </c>
      <c r="AN1055">
        <v>357.72466099630998</v>
      </c>
      <c r="AO1055">
        <v>5732.4292531396231</v>
      </c>
      <c r="AP1055">
        <v>10302.104511590611</v>
      </c>
      <c r="AQ1055">
        <v>4569.6752584509859</v>
      </c>
      <c r="AR1055">
        <v>6.3394883937504158E-3</v>
      </c>
      <c r="AS1055">
        <v>197.85513942892081</v>
      </c>
      <c r="AT1055">
        <v>79.837597445277993</v>
      </c>
      <c r="AU1055">
        <v>10.928608172449129</v>
      </c>
      <c r="AV1055">
        <v>175.12763310577111</v>
      </c>
      <c r="AW1055">
        <v>314.73274234217672</v>
      </c>
      <c r="AX1055">
        <v>139.60510923640561</v>
      </c>
      <c r="AY1055">
        <v>1.030162547681007</v>
      </c>
      <c r="AZ1055" t="str">
        <f>VLOOKUP(BA1055,Sheet1!$A$1:$B$58,2,FALSE)</f>
        <v>cis,cis-Muconate</v>
      </c>
      <c r="BA1055" t="s">
        <v>117</v>
      </c>
      <c r="BB1055" t="s">
        <v>118</v>
      </c>
      <c r="BC1055">
        <v>140.09155999999999</v>
      </c>
      <c r="BD1055">
        <v>3.333333333333333</v>
      </c>
      <c r="BE1055">
        <v>345.4</v>
      </c>
      <c r="BF1055" t="s">
        <v>213</v>
      </c>
      <c r="BG1055">
        <v>-8.6500948464941801E-2</v>
      </c>
      <c r="BH1055">
        <v>0.17468309859154901</v>
      </c>
      <c r="BI1055">
        <v>0.76375837089421805</v>
      </c>
      <c r="BJ1055">
        <v>90</v>
      </c>
      <c r="BK1055">
        <v>457.87131162624922</v>
      </c>
      <c r="BL1055">
        <v>203.0966781533771</v>
      </c>
      <c r="BM1055">
        <v>1.585175263011249</v>
      </c>
      <c r="BN1055">
        <v>269.47979471191218</v>
      </c>
      <c r="BO1055">
        <v>188.39151691433699</v>
      </c>
    </row>
    <row r="1056" spans="1:67" x14ac:dyDescent="0.25">
      <c r="A1056" s="1">
        <v>1054</v>
      </c>
      <c r="B1056" t="s">
        <v>210</v>
      </c>
      <c r="C1056" t="s">
        <v>211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67</v>
      </c>
      <c r="J1056">
        <v>1.2130000000000001</v>
      </c>
      <c r="K1056">
        <v>500</v>
      </c>
      <c r="L1056">
        <v>100</v>
      </c>
      <c r="N1056" t="s">
        <v>68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17613.24563711894</v>
      </c>
      <c r="Z1056">
        <v>88066228.185594693</v>
      </c>
      <c r="AA1056">
        <v>106824334.7891264</v>
      </c>
      <c r="AB1056">
        <v>106824.3347891264</v>
      </c>
      <c r="AC1056">
        <v>0</v>
      </c>
      <c r="AD1056">
        <v>912.74212917800583</v>
      </c>
      <c r="AE1056">
        <v>547645.27750680351</v>
      </c>
      <c r="AF1056">
        <v>547645.27750680351</v>
      </c>
      <c r="AG1056">
        <v>17.547135195312141</v>
      </c>
      <c r="AH1056">
        <v>18.07640149730581</v>
      </c>
      <c r="AI1056">
        <v>18.07640149730581</v>
      </c>
      <c r="AJ1056">
        <v>3471.7908806466071</v>
      </c>
      <c r="AK1056">
        <v>854.70085470085473</v>
      </c>
      <c r="AL1056" t="s">
        <v>69</v>
      </c>
      <c r="AM1056">
        <v>1400.921116041201</v>
      </c>
      <c r="AN1056">
        <v>191.76576509855801</v>
      </c>
      <c r="AO1056">
        <v>3072.9882545419882</v>
      </c>
      <c r="AP1056">
        <v>5919.1786164872201</v>
      </c>
      <c r="AQ1056">
        <v>2846.1903619452319</v>
      </c>
      <c r="AR1056">
        <v>6.3394883937504167E-3</v>
      </c>
      <c r="AS1056">
        <v>197.85513942892081</v>
      </c>
      <c r="AT1056">
        <v>79.837597445278007</v>
      </c>
      <c r="AU1056">
        <v>10.928608172449129</v>
      </c>
      <c r="AV1056">
        <v>175.12763310577111</v>
      </c>
      <c r="AW1056">
        <v>337.33019952274469</v>
      </c>
      <c r="AX1056">
        <v>162.20256641697361</v>
      </c>
      <c r="AY1056">
        <v>1.030162547681007</v>
      </c>
      <c r="AZ1056" t="str">
        <f>VLOOKUP(BA1056,Sheet1!$A$1:$B$58,2,FALSE)</f>
        <v>Citrate</v>
      </c>
      <c r="BA1056" t="s">
        <v>119</v>
      </c>
      <c r="BB1056" t="s">
        <v>120</v>
      </c>
      <c r="BC1056">
        <v>189.09639999999999</v>
      </c>
      <c r="BD1056">
        <v>2.5</v>
      </c>
      <c r="BF1056" t="s">
        <v>213</v>
      </c>
      <c r="BG1056">
        <v>-0.4323558571268013</v>
      </c>
      <c r="BH1056">
        <v>0.241411192214112</v>
      </c>
      <c r="BI1056">
        <v>1.4247339934258301</v>
      </c>
      <c r="BJ1056">
        <v>90</v>
      </c>
      <c r="BK1056">
        <v>263.07460517720978</v>
      </c>
      <c r="BL1056">
        <v>126.49734941978809</v>
      </c>
      <c r="BM1056">
        <v>1.2357514792292821</v>
      </c>
      <c r="BN1056">
        <v>210.07775146897791</v>
      </c>
      <c r="BO1056">
        <v>52.996853708231868</v>
      </c>
    </row>
    <row r="1057" spans="1:67" x14ac:dyDescent="0.25">
      <c r="A1057" s="1">
        <v>1055</v>
      </c>
      <c r="B1057" t="s">
        <v>210</v>
      </c>
      <c r="C1057" t="s">
        <v>211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67</v>
      </c>
      <c r="J1057">
        <v>1.2130000000000001</v>
      </c>
      <c r="K1057">
        <v>500</v>
      </c>
      <c r="L1057">
        <v>100</v>
      </c>
      <c r="N1057" t="s">
        <v>68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41474.873776111352</v>
      </c>
      <c r="Z1057">
        <v>207374368.88055679</v>
      </c>
      <c r="AA1057">
        <v>251545109.45211539</v>
      </c>
      <c r="AB1057">
        <v>251545.10945211531</v>
      </c>
      <c r="AC1057">
        <v>0</v>
      </c>
      <c r="AD1057">
        <v>2149.2838615739161</v>
      </c>
      <c r="AE1057">
        <v>1289570.3169443491</v>
      </c>
      <c r="AF1057">
        <v>1289570.3169443491</v>
      </c>
      <c r="AG1057">
        <v>41.31919989943291</v>
      </c>
      <c r="AH1057">
        <v>42.565492236540607</v>
      </c>
      <c r="AI1057">
        <v>42.565492236540607</v>
      </c>
      <c r="AJ1057">
        <v>8175.2160571937493</v>
      </c>
      <c r="AK1057">
        <v>854.70085470085473</v>
      </c>
      <c r="AL1057" t="s">
        <v>69</v>
      </c>
      <c r="AM1057">
        <v>3298.8256483318969</v>
      </c>
      <c r="AN1057">
        <v>451.56134570000171</v>
      </c>
      <c r="AO1057">
        <v>7236.133680211904</v>
      </c>
      <c r="AP1057">
        <v>12780.303905926499</v>
      </c>
      <c r="AQ1057">
        <v>5544.1702257146007</v>
      </c>
      <c r="AR1057">
        <v>6.3394883937504167E-3</v>
      </c>
      <c r="AS1057">
        <v>197.85513942892081</v>
      </c>
      <c r="AT1057">
        <v>79.837597445278021</v>
      </c>
      <c r="AU1057">
        <v>10.928608172449129</v>
      </c>
      <c r="AV1057">
        <v>175.12763310577111</v>
      </c>
      <c r="AW1057">
        <v>309.30666462643461</v>
      </c>
      <c r="AX1057">
        <v>134.17903152066339</v>
      </c>
      <c r="AY1057">
        <v>1.030162547681007</v>
      </c>
      <c r="AZ1057" t="str">
        <f>VLOOKUP(BA1057,Sheet1!$A$1:$B$58,2,FALSE)</f>
        <v>Coumaric Acid</v>
      </c>
      <c r="BA1057" t="s">
        <v>121</v>
      </c>
      <c r="BB1057" t="s">
        <v>122</v>
      </c>
      <c r="BC1057">
        <v>163.14818</v>
      </c>
      <c r="BD1057">
        <v>4.1111111111111107</v>
      </c>
      <c r="BE1057">
        <v>346</v>
      </c>
      <c r="BF1057" t="s">
        <v>213</v>
      </c>
      <c r="BG1057">
        <v>-0.15763335663869901</v>
      </c>
      <c r="BH1057">
        <v>0.118826347305389</v>
      </c>
      <c r="BI1057">
        <v>0.60504559770875699</v>
      </c>
      <c r="BJ1057">
        <v>90</v>
      </c>
      <c r="BK1057">
        <v>568.01350693006691</v>
      </c>
      <c r="BL1057">
        <v>246.40756558731559</v>
      </c>
      <c r="BM1057">
        <v>2.0494330115960602</v>
      </c>
      <c r="BN1057">
        <v>348.40361197133018</v>
      </c>
      <c r="BO1057">
        <v>219.6098949587367</v>
      </c>
    </row>
    <row r="1058" spans="1:67" x14ac:dyDescent="0.25">
      <c r="A1058" s="1">
        <v>1056</v>
      </c>
      <c r="B1058" t="s">
        <v>210</v>
      </c>
      <c r="C1058" t="s">
        <v>211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67</v>
      </c>
      <c r="J1058">
        <v>1.2130000000000001</v>
      </c>
      <c r="K1058">
        <v>500</v>
      </c>
      <c r="L1058">
        <v>100</v>
      </c>
      <c r="N1058" t="s">
        <v>68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36516.806536169162</v>
      </c>
      <c r="Z1058">
        <v>182584032.6808458</v>
      </c>
      <c r="AA1058">
        <v>221474431.641866</v>
      </c>
      <c r="AB1058">
        <v>221474.43164186599</v>
      </c>
      <c r="AC1058">
        <v>0</v>
      </c>
      <c r="AD1058">
        <v>1892.3501343989849</v>
      </c>
      <c r="AE1058">
        <v>1135410.080639391</v>
      </c>
      <c r="AF1058">
        <v>1135410.080639391</v>
      </c>
      <c r="AG1058">
        <v>36.379742518371557</v>
      </c>
      <c r="AH1058">
        <v>37.477048236704697</v>
      </c>
      <c r="AI1058">
        <v>37.477048236704697</v>
      </c>
      <c r="AJ1058">
        <v>7197.919028360644</v>
      </c>
      <c r="AK1058">
        <v>854.70085470085473</v>
      </c>
      <c r="AL1058" t="s">
        <v>69</v>
      </c>
      <c r="AM1058">
        <v>2904.471238344614</v>
      </c>
      <c r="AN1058">
        <v>397.5799513978705</v>
      </c>
      <c r="AO1058">
        <v>6371.0982002397986</v>
      </c>
      <c r="AP1058">
        <v>11354.67107280398</v>
      </c>
      <c r="AQ1058">
        <v>4983.5728725641848</v>
      </c>
      <c r="AR1058">
        <v>6.3394883937504167E-3</v>
      </c>
      <c r="AS1058">
        <v>197.85513942892081</v>
      </c>
      <c r="AT1058">
        <v>79.837597445278021</v>
      </c>
      <c r="AU1058">
        <v>10.928608172449129</v>
      </c>
      <c r="AV1058">
        <v>175.12763310577111</v>
      </c>
      <c r="AW1058">
        <v>312.1152126645739</v>
      </c>
      <c r="AX1058">
        <v>136.98757955880279</v>
      </c>
      <c r="AY1058">
        <v>1.030162547681007</v>
      </c>
      <c r="AZ1058" t="str">
        <f>VLOOKUP(BA1058,Sheet1!$A$1:$B$58,2,FALSE)</f>
        <v>Ethyl Acetate</v>
      </c>
      <c r="BA1058" t="s">
        <v>123</v>
      </c>
      <c r="BB1058" t="s">
        <v>124</v>
      </c>
      <c r="BC1058">
        <v>88.103520000000003</v>
      </c>
      <c r="BD1058">
        <v>5</v>
      </c>
      <c r="BE1058">
        <v>77.099999999999994</v>
      </c>
      <c r="BF1058" t="s">
        <v>213</v>
      </c>
      <c r="BG1058">
        <v>6.7185744738061952E-4</v>
      </c>
      <c r="BH1058">
        <v>0.249915966386555</v>
      </c>
      <c r="BI1058">
        <v>0.68719562782433496</v>
      </c>
      <c r="BJ1058">
        <v>90</v>
      </c>
      <c r="BK1058">
        <v>504.65204768017702</v>
      </c>
      <c r="BL1058">
        <v>221.49212766951931</v>
      </c>
      <c r="BM1058">
        <v>1.664974730850606</v>
      </c>
      <c r="BN1058">
        <v>283.04570424460297</v>
      </c>
      <c r="BO1058">
        <v>221.60634343557399</v>
      </c>
    </row>
    <row r="1059" spans="1:67" x14ac:dyDescent="0.25">
      <c r="A1059" s="1">
        <v>1057</v>
      </c>
      <c r="B1059" t="s">
        <v>210</v>
      </c>
      <c r="C1059" t="s">
        <v>211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67</v>
      </c>
      <c r="J1059">
        <v>1.2130000000000001</v>
      </c>
      <c r="K1059">
        <v>500</v>
      </c>
      <c r="L1059">
        <v>100</v>
      </c>
      <c r="N1059" t="s">
        <v>68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65865.384057382646</v>
      </c>
      <c r="Z1059">
        <v>329326920.28691322</v>
      </c>
      <c r="AA1059">
        <v>399473554.30802578</v>
      </c>
      <c r="AB1059">
        <v>399473.55430802569</v>
      </c>
      <c r="AC1059">
        <v>0</v>
      </c>
      <c r="AD1059">
        <v>3413.2329794440011</v>
      </c>
      <c r="AE1059">
        <v>2047939.7876664</v>
      </c>
      <c r="AF1059">
        <v>2047939.7876664</v>
      </c>
      <c r="AG1059">
        <v>65.618161613006393</v>
      </c>
      <c r="AH1059">
        <v>67.597372541398713</v>
      </c>
      <c r="AI1059">
        <v>67.597372541398713</v>
      </c>
      <c r="AJ1059">
        <v>12982.89051501084</v>
      </c>
      <c r="AK1059">
        <v>1835.336538461539</v>
      </c>
      <c r="AL1059" t="s">
        <v>84</v>
      </c>
      <c r="AM1059">
        <v>5238.7963719584004</v>
      </c>
      <c r="AN1059">
        <v>717.11517726498937</v>
      </c>
      <c r="AO1059">
        <v>11491.55333203778</v>
      </c>
      <c r="AP1059">
        <v>20774.13860269577</v>
      </c>
      <c r="AQ1059">
        <v>9282.5852706579844</v>
      </c>
      <c r="AR1059">
        <v>6.3394883937504167E-3</v>
      </c>
      <c r="AS1059">
        <v>197.85513942892081</v>
      </c>
      <c r="AT1059">
        <v>79.837597445278035</v>
      </c>
      <c r="AU1059">
        <v>10.928608172449129</v>
      </c>
      <c r="AV1059">
        <v>175.1276331057712</v>
      </c>
      <c r="AW1059">
        <v>316.5912925938793</v>
      </c>
      <c r="AX1059">
        <v>141.46365948810811</v>
      </c>
      <c r="AY1059">
        <v>1.030162547681007</v>
      </c>
      <c r="AZ1059" t="str">
        <f>VLOOKUP(BA1059,Sheet1!$A$1:$B$58,2,FALSE)</f>
        <v>Farnesene</v>
      </c>
      <c r="BA1059" t="s">
        <v>125</v>
      </c>
      <c r="BB1059" t="s">
        <v>126</v>
      </c>
      <c r="BC1059">
        <v>204.34866</v>
      </c>
      <c r="BD1059">
        <v>5.6</v>
      </c>
      <c r="BE1059" t="s">
        <v>127</v>
      </c>
      <c r="BF1059" t="s">
        <v>213</v>
      </c>
      <c r="BG1059">
        <v>0.3746851088345754</v>
      </c>
      <c r="BH1059">
        <v>5.9738048461034698E-2</v>
      </c>
      <c r="BI1059">
        <v>0.38099208184833799</v>
      </c>
      <c r="BJ1059">
        <v>90</v>
      </c>
      <c r="BK1059">
        <v>923.29504900870063</v>
      </c>
      <c r="BL1059">
        <v>412.55934536257712</v>
      </c>
      <c r="BM1059">
        <v>2.6296425596720332</v>
      </c>
      <c r="BN1059">
        <v>447.03923514424571</v>
      </c>
      <c r="BO1059">
        <v>476.25581386445498</v>
      </c>
    </row>
    <row r="1060" spans="1:67" x14ac:dyDescent="0.25">
      <c r="A1060" s="1">
        <v>1058</v>
      </c>
      <c r="B1060" t="s">
        <v>210</v>
      </c>
      <c r="C1060" t="s">
        <v>211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67</v>
      </c>
      <c r="J1060">
        <v>1.2130000000000001</v>
      </c>
      <c r="K1060">
        <v>500</v>
      </c>
      <c r="L1060">
        <v>100</v>
      </c>
      <c r="N1060" t="s">
        <v>68</v>
      </c>
      <c r="O1060">
        <v>0</v>
      </c>
      <c r="P1060">
        <v>0.125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37841.215044845492</v>
      </c>
      <c r="Z1060">
        <v>189206075.22422749</v>
      </c>
      <c r="AA1060">
        <v>229506969.24698791</v>
      </c>
      <c r="AB1060">
        <v>229506.96924698789</v>
      </c>
      <c r="AC1060">
        <v>0</v>
      </c>
      <c r="AD1060">
        <v>1960.9827684413519</v>
      </c>
      <c r="AE1060">
        <v>1176589.6610648111</v>
      </c>
      <c r="AF1060">
        <v>1176589.6610648111</v>
      </c>
      <c r="AG1060">
        <v>37.699179925557289</v>
      </c>
      <c r="AH1060">
        <v>38.83628323759676</v>
      </c>
      <c r="AI1060">
        <v>38.83628323759676</v>
      </c>
      <c r="AJ1060">
        <v>7458.9765005271074</v>
      </c>
      <c r="AK1060">
        <v>1835.336538461539</v>
      </c>
      <c r="AL1060" t="s">
        <v>84</v>
      </c>
      <c r="AM1060">
        <v>3009.8119509137491</v>
      </c>
      <c r="AN1060">
        <v>411.99956582907538</v>
      </c>
      <c r="AO1060">
        <v>6602.1681503914488</v>
      </c>
      <c r="AP1060">
        <v>12716.124555731471</v>
      </c>
      <c r="AQ1060">
        <v>6113.9564053400218</v>
      </c>
      <c r="AR1060">
        <v>6.3394883937504167E-3</v>
      </c>
      <c r="AS1060">
        <v>197.85513942892081</v>
      </c>
      <c r="AT1060">
        <v>79.837597445278021</v>
      </c>
      <c r="AU1060">
        <v>10.928608172449129</v>
      </c>
      <c r="AV1060">
        <v>175.12763310577111</v>
      </c>
      <c r="AW1060">
        <v>337.30507084879241</v>
      </c>
      <c r="AX1060">
        <v>162.17743774302119</v>
      </c>
      <c r="AY1060">
        <v>1.030162547681007</v>
      </c>
      <c r="AZ1060" t="str">
        <f>VLOOKUP(BA1060,Sheet1!$A$1:$B$58,2,FALSE)</f>
        <v>Gamma Butyrolactone</v>
      </c>
      <c r="BA1060" t="s">
        <v>128</v>
      </c>
      <c r="BB1060" t="s">
        <v>129</v>
      </c>
      <c r="BC1060">
        <v>86.08784</v>
      </c>
      <c r="BD1060">
        <v>4.5</v>
      </c>
      <c r="BE1060">
        <v>204</v>
      </c>
      <c r="BF1060" t="s">
        <v>213</v>
      </c>
      <c r="BG1060">
        <v>2.638033435177365E-2</v>
      </c>
      <c r="BH1060">
        <v>0.24681592039801001</v>
      </c>
      <c r="BI1060">
        <v>0.663144398614672</v>
      </c>
      <c r="BJ1060">
        <v>90</v>
      </c>
      <c r="BK1060">
        <v>565.16109136584305</v>
      </c>
      <c r="BL1060">
        <v>271.73139579288983</v>
      </c>
      <c r="BM1060">
        <v>1.699676698430304</v>
      </c>
      <c r="BN1060">
        <v>288.9450387331517</v>
      </c>
      <c r="BO1060">
        <v>276.21605263269129</v>
      </c>
    </row>
    <row r="1061" spans="1:67" x14ac:dyDescent="0.25">
      <c r="A1061" s="1">
        <v>1059</v>
      </c>
      <c r="B1061" t="s">
        <v>210</v>
      </c>
      <c r="C1061" t="s">
        <v>211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67</v>
      </c>
      <c r="J1061">
        <v>1.2130000000000001</v>
      </c>
      <c r="K1061">
        <v>500</v>
      </c>
      <c r="L1061">
        <v>100</v>
      </c>
      <c r="N1061" t="s">
        <v>68</v>
      </c>
      <c r="O1061">
        <v>0</v>
      </c>
      <c r="P1061">
        <v>0.125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22294.638272622531</v>
      </c>
      <c r="Z1061">
        <v>111473191.3631126</v>
      </c>
      <c r="AA1061">
        <v>135216981.12345561</v>
      </c>
      <c r="AB1061">
        <v>135216.9811234556</v>
      </c>
      <c r="AC1061">
        <v>0</v>
      </c>
      <c r="AD1061">
        <v>1155.3382054311451</v>
      </c>
      <c r="AE1061">
        <v>693202.92325868714</v>
      </c>
      <c r="AF1061">
        <v>693202.92325868714</v>
      </c>
      <c r="AG1061">
        <v>22.210956456306992</v>
      </c>
      <c r="AH1061">
        <v>22.880895489461111</v>
      </c>
      <c r="AI1061">
        <v>22.880895489461111</v>
      </c>
      <c r="AJ1061">
        <v>4394.5518865123076</v>
      </c>
      <c r="AK1061">
        <v>854.70085470085473</v>
      </c>
      <c r="AL1061" t="s">
        <v>69</v>
      </c>
      <c r="AM1061">
        <v>1773.2694004332359</v>
      </c>
      <c r="AN1061">
        <v>242.73484024630829</v>
      </c>
      <c r="AO1061">
        <v>3889.752233208389</v>
      </c>
      <c r="AP1061">
        <v>7265.2569818927068</v>
      </c>
      <c r="AQ1061">
        <v>3375.5047486843168</v>
      </c>
      <c r="AR1061">
        <v>6.3394883937504167E-3</v>
      </c>
      <c r="AS1061">
        <v>197.85513942892081</v>
      </c>
      <c r="AT1061">
        <v>79.837597445278007</v>
      </c>
      <c r="AU1061">
        <v>10.928608172449129</v>
      </c>
      <c r="AV1061">
        <v>175.12763310577111</v>
      </c>
      <c r="AW1061">
        <v>327.10239183912648</v>
      </c>
      <c r="AX1061">
        <v>151.9747587333554</v>
      </c>
      <c r="AY1061">
        <v>1.030162547681007</v>
      </c>
      <c r="AZ1061" t="str">
        <f>VLOOKUP(BA1061,Sheet1!$A$1:$B$58,2,FALSE)</f>
        <v>L-Glutamate</v>
      </c>
      <c r="BA1061" t="s">
        <v>130</v>
      </c>
      <c r="BB1061" t="s">
        <v>131</v>
      </c>
      <c r="BC1061">
        <v>146.11892</v>
      </c>
      <c r="BD1061">
        <v>3.4</v>
      </c>
      <c r="BE1061">
        <v>333.8</v>
      </c>
      <c r="BF1061" t="s">
        <v>213</v>
      </c>
      <c r="BG1061">
        <v>-0.2856507151652779</v>
      </c>
      <c r="BH1061">
        <v>0.24681592039801001</v>
      </c>
      <c r="BI1061">
        <v>1.1255706186800001</v>
      </c>
      <c r="BJ1061">
        <v>90</v>
      </c>
      <c r="BK1061">
        <v>322.90031030634248</v>
      </c>
      <c r="BL1061">
        <v>150.02243327485851</v>
      </c>
      <c r="BM1061">
        <v>1.3025794035857721</v>
      </c>
      <c r="BN1061">
        <v>221.43849860958119</v>
      </c>
      <c r="BO1061">
        <v>101.4618116967613</v>
      </c>
    </row>
    <row r="1062" spans="1:67" x14ac:dyDescent="0.25">
      <c r="A1062" s="1">
        <v>1060</v>
      </c>
      <c r="B1062" t="s">
        <v>210</v>
      </c>
      <c r="C1062" t="s">
        <v>211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67</v>
      </c>
      <c r="J1062">
        <v>1.2130000000000001</v>
      </c>
      <c r="K1062">
        <v>500</v>
      </c>
      <c r="L1062">
        <v>100</v>
      </c>
      <c r="N1062" t="s">
        <v>68</v>
      </c>
      <c r="O1062">
        <v>0</v>
      </c>
      <c r="P1062">
        <v>0.125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32521.118707913141</v>
      </c>
      <c r="Z1062">
        <v>162605593.53956571</v>
      </c>
      <c r="AA1062">
        <v>197240584.9634932</v>
      </c>
      <c r="AB1062">
        <v>197240.58496349319</v>
      </c>
      <c r="AC1062">
        <v>0</v>
      </c>
      <c r="AD1062">
        <v>1685.288205494347</v>
      </c>
      <c r="AE1062">
        <v>1011172.923296608</v>
      </c>
      <c r="AF1062">
        <v>1011172.923296608</v>
      </c>
      <c r="AG1062">
        <v>32.39905230572203</v>
      </c>
      <c r="AH1062">
        <v>33.376290265712797</v>
      </c>
      <c r="AI1062">
        <v>33.376290265712797</v>
      </c>
      <c r="AJ1062">
        <v>6410.3190113135297</v>
      </c>
      <c r="AK1062">
        <v>854.70085470085473</v>
      </c>
      <c r="AL1062" t="s">
        <v>69</v>
      </c>
      <c r="AM1062">
        <v>2586.6624955927418</v>
      </c>
      <c r="AN1062">
        <v>354.07654780792052</v>
      </c>
      <c r="AO1062">
        <v>5673.9693451711764</v>
      </c>
      <c r="AP1062">
        <v>10205.75890941505</v>
      </c>
      <c r="AQ1062">
        <v>4531.7895642438734</v>
      </c>
      <c r="AR1062">
        <v>6.3394883937504167E-3</v>
      </c>
      <c r="AS1062">
        <v>197.85513942892081</v>
      </c>
      <c r="AT1062">
        <v>79.837597445277993</v>
      </c>
      <c r="AU1062">
        <v>10.928608172449129</v>
      </c>
      <c r="AV1062">
        <v>175.12763310577111</v>
      </c>
      <c r="AW1062">
        <v>315.00177267878291</v>
      </c>
      <c r="AX1062">
        <v>139.87413957301169</v>
      </c>
      <c r="AY1062">
        <v>1.030162547681007</v>
      </c>
      <c r="AZ1062" t="str">
        <f>VLOOKUP(BA1062,Sheet1!$A$1:$B$58,2,FALSE)</f>
        <v>Glutarate</v>
      </c>
      <c r="BA1062" t="s">
        <v>132</v>
      </c>
      <c r="BB1062" t="s">
        <v>133</v>
      </c>
      <c r="BC1062">
        <v>130.09654</v>
      </c>
      <c r="BD1062">
        <v>3.6</v>
      </c>
      <c r="BE1062">
        <v>200</v>
      </c>
      <c r="BF1062" t="s">
        <v>213</v>
      </c>
      <c r="BG1062">
        <v>8.8632593038947535E-2</v>
      </c>
      <c r="BH1062">
        <v>0.190041666666667</v>
      </c>
      <c r="BI1062">
        <v>0.77162750823994697</v>
      </c>
      <c r="BJ1062">
        <v>90</v>
      </c>
      <c r="BK1062">
        <v>453.58928486289102</v>
      </c>
      <c r="BL1062">
        <v>201.4128695219498</v>
      </c>
      <c r="BM1062">
        <v>1.3947580854371771</v>
      </c>
      <c r="BN1062">
        <v>237.1088745243201</v>
      </c>
      <c r="BO1062">
        <v>216.48041033857089</v>
      </c>
    </row>
    <row r="1063" spans="1:67" x14ac:dyDescent="0.25">
      <c r="A1063" s="1">
        <v>1061</v>
      </c>
      <c r="B1063" t="s">
        <v>210</v>
      </c>
      <c r="C1063" t="s">
        <v>211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67</v>
      </c>
      <c r="J1063">
        <v>1.2130000000000001</v>
      </c>
      <c r="K1063">
        <v>500</v>
      </c>
      <c r="L1063">
        <v>100</v>
      </c>
      <c r="N1063" t="s">
        <v>68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17653.516676740412</v>
      </c>
      <c r="Z1063">
        <v>88267583.38370204</v>
      </c>
      <c r="AA1063">
        <v>107068578.64443059</v>
      </c>
      <c r="AB1063">
        <v>107068.5786444306</v>
      </c>
      <c r="AC1063">
        <v>0</v>
      </c>
      <c r="AD1063">
        <v>914.82902873108128</v>
      </c>
      <c r="AE1063">
        <v>548897.41723864875</v>
      </c>
      <c r="AF1063">
        <v>548897.41723864875</v>
      </c>
      <c r="AG1063">
        <v>17.58725507958858</v>
      </c>
      <c r="AH1063">
        <v>18.1177314995047</v>
      </c>
      <c r="AI1063">
        <v>18.1177314995047</v>
      </c>
      <c r="AJ1063">
        <v>3479.7288059439938</v>
      </c>
      <c r="AK1063">
        <v>854.70085470085473</v>
      </c>
      <c r="AL1063" t="s">
        <v>69</v>
      </c>
      <c r="AM1063">
        <v>1404.1241912116141</v>
      </c>
      <c r="AN1063">
        <v>192.2042195937392</v>
      </c>
      <c r="AO1063">
        <v>3080.0143549157979</v>
      </c>
      <c r="AP1063">
        <v>5930.7580714502019</v>
      </c>
      <c r="AQ1063">
        <v>2850.743716534404</v>
      </c>
      <c r="AR1063">
        <v>6.3394883937504176E-3</v>
      </c>
      <c r="AS1063">
        <v>197.85513942892081</v>
      </c>
      <c r="AT1063">
        <v>79.837597445278007</v>
      </c>
      <c r="AU1063">
        <v>10.928608172449129</v>
      </c>
      <c r="AV1063">
        <v>175.12763310577111</v>
      </c>
      <c r="AW1063">
        <v>337.21908533261239</v>
      </c>
      <c r="AX1063">
        <v>162.09145222684131</v>
      </c>
      <c r="AY1063">
        <v>1.030162547681007</v>
      </c>
      <c r="AZ1063" t="str">
        <f>VLOOKUP(BA1063,Sheet1!$A$1:$B$58,2,FALSE)</f>
        <v>Glycolate</v>
      </c>
      <c r="BA1063" t="s">
        <v>134</v>
      </c>
      <c r="BB1063" t="s">
        <v>135</v>
      </c>
      <c r="BC1063">
        <v>75.041920000000005</v>
      </c>
      <c r="BD1063">
        <v>2.5</v>
      </c>
      <c r="BE1063">
        <v>112</v>
      </c>
      <c r="BF1063" t="s">
        <v>213</v>
      </c>
      <c r="BG1063">
        <v>-0.20666538896850009</v>
      </c>
      <c r="BH1063">
        <v>0.60693877551020503</v>
      </c>
      <c r="BI1063">
        <v>1.42148390336446</v>
      </c>
      <c r="BJ1063">
        <v>90</v>
      </c>
      <c r="BK1063">
        <v>263.58924762000902</v>
      </c>
      <c r="BL1063">
        <v>126.6997207348624</v>
      </c>
      <c r="BM1063">
        <v>1.0118979000575981</v>
      </c>
      <c r="BN1063">
        <v>172.02264300979161</v>
      </c>
      <c r="BO1063">
        <v>91.566604610217382</v>
      </c>
    </row>
    <row r="1064" spans="1:67" x14ac:dyDescent="0.25">
      <c r="A1064" s="1">
        <v>1062</v>
      </c>
      <c r="B1064" t="s">
        <v>210</v>
      </c>
      <c r="C1064" t="s">
        <v>211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67</v>
      </c>
      <c r="J1064">
        <v>1.2130000000000001</v>
      </c>
      <c r="K1064">
        <v>500</v>
      </c>
      <c r="L1064">
        <v>100</v>
      </c>
      <c r="N1064" t="s">
        <v>68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68322.407794496437</v>
      </c>
      <c r="Z1064">
        <v>341612038.9724822</v>
      </c>
      <c r="AA1064">
        <v>414375403.27362102</v>
      </c>
      <c r="AB1064">
        <v>414375.40327362099</v>
      </c>
      <c r="AC1064">
        <v>0</v>
      </c>
      <c r="AD1064">
        <v>3540.559261235469</v>
      </c>
      <c r="AE1064">
        <v>2124335.5567412809</v>
      </c>
      <c r="AF1064">
        <v>2124335.5567412809</v>
      </c>
      <c r="AG1064">
        <v>68.065963033680802</v>
      </c>
      <c r="AH1064">
        <v>70.119005889137838</v>
      </c>
      <c r="AI1064">
        <v>70.119005889137838</v>
      </c>
      <c r="AJ1064">
        <v>13467.20060639268</v>
      </c>
      <c r="AK1064">
        <v>854.70085470085473</v>
      </c>
      <c r="AL1064" t="s">
        <v>69</v>
      </c>
      <c r="AM1064">
        <v>5434.2229564081827</v>
      </c>
      <c r="AN1064">
        <v>743.86623987550399</v>
      </c>
      <c r="AO1064">
        <v>11920.23100115343</v>
      </c>
      <c r="AP1064">
        <v>20499.99065737722</v>
      </c>
      <c r="AQ1064">
        <v>8579.7596562237923</v>
      </c>
      <c r="AR1064">
        <v>6.3394883937504176E-3</v>
      </c>
      <c r="AS1064">
        <v>197.85513942892081</v>
      </c>
      <c r="AT1064">
        <v>79.837597445278035</v>
      </c>
      <c r="AU1064">
        <v>10.928608172449129</v>
      </c>
      <c r="AV1064">
        <v>175.1276331057712</v>
      </c>
      <c r="AW1064">
        <v>301.17829446170191</v>
      </c>
      <c r="AX1064">
        <v>126.0506613559307</v>
      </c>
      <c r="AY1064">
        <v>1.030162547681007</v>
      </c>
      <c r="AZ1064" t="str">
        <f>VLOOKUP(BA1064,Sheet1!$A$1:$B$58,2,FALSE)</f>
        <v>Heptane</v>
      </c>
      <c r="BA1064" t="s">
        <v>136</v>
      </c>
      <c r="BB1064" t="s">
        <v>137</v>
      </c>
      <c r="BC1064">
        <v>100.20034</v>
      </c>
      <c r="BD1064">
        <v>6.2857142857142856</v>
      </c>
      <c r="BE1064">
        <v>98</v>
      </c>
      <c r="BF1064" t="s">
        <v>213</v>
      </c>
      <c r="BG1064">
        <v>0.66513984845619456</v>
      </c>
      <c r="BH1064">
        <v>0.11744855967078199</v>
      </c>
      <c r="BI1064">
        <v>0.36729077039032498</v>
      </c>
      <c r="BJ1064">
        <v>90</v>
      </c>
      <c r="BK1064">
        <v>911.1106958834323</v>
      </c>
      <c r="BL1064">
        <v>381.32265138772419</v>
      </c>
      <c r="BM1064">
        <v>2.4512604132832649</v>
      </c>
      <c r="BN1064">
        <v>416.71427025815501</v>
      </c>
      <c r="BO1064">
        <v>494.39642562527729</v>
      </c>
    </row>
    <row r="1065" spans="1:67" x14ac:dyDescent="0.25">
      <c r="A1065" s="1">
        <v>1063</v>
      </c>
      <c r="B1065" t="s">
        <v>210</v>
      </c>
      <c r="C1065" t="s">
        <v>211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67</v>
      </c>
      <c r="J1065">
        <v>1.2130000000000001</v>
      </c>
      <c r="K1065">
        <v>500</v>
      </c>
      <c r="L1065">
        <v>100</v>
      </c>
      <c r="N1065" t="s">
        <v>68</v>
      </c>
      <c r="O1065">
        <v>0</v>
      </c>
      <c r="P1065">
        <v>0.125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67150.689025082305</v>
      </c>
      <c r="Z1065">
        <v>335753445.12541151</v>
      </c>
      <c r="AA1065">
        <v>407268928.93712419</v>
      </c>
      <c r="AB1065">
        <v>407268.9289371242</v>
      </c>
      <c r="AC1065">
        <v>0</v>
      </c>
      <c r="AD1065">
        <v>3479.839215286695</v>
      </c>
      <c r="AE1065">
        <v>2087903.529172017</v>
      </c>
      <c r="AF1065">
        <v>2087903.529172017</v>
      </c>
      <c r="AG1065">
        <v>66.898642252412344</v>
      </c>
      <c r="AH1065">
        <v>68.916475739145341</v>
      </c>
      <c r="AI1065">
        <v>68.916475739145341</v>
      </c>
      <c r="AJ1065">
        <v>13236.240190456539</v>
      </c>
      <c r="AK1065">
        <v>854.70085470085473</v>
      </c>
      <c r="AL1065" t="s">
        <v>69</v>
      </c>
      <c r="AM1065">
        <v>5341.0268697837637</v>
      </c>
      <c r="AN1065">
        <v>731.10904844546417</v>
      </c>
      <c r="AO1065">
        <v>11715.80087565471</v>
      </c>
      <c r="AP1065">
        <v>20163.076963386618</v>
      </c>
      <c r="AQ1065">
        <v>8447.2760877319142</v>
      </c>
      <c r="AR1065">
        <v>6.3394883937504176E-3</v>
      </c>
      <c r="AS1065">
        <v>197.85513942892081</v>
      </c>
      <c r="AT1065">
        <v>79.837597445278007</v>
      </c>
      <c r="AU1065">
        <v>10.928608172449129</v>
      </c>
      <c r="AV1065">
        <v>175.12763310577111</v>
      </c>
      <c r="AW1065">
        <v>301.39740186819029</v>
      </c>
      <c r="AX1065">
        <v>126.2697687624192</v>
      </c>
      <c r="AY1065">
        <v>1.030162547681007</v>
      </c>
      <c r="AZ1065" t="str">
        <f>VLOOKUP(BA1065,Sheet1!$A$1:$B$58,2,FALSE)</f>
        <v>Hexane</v>
      </c>
      <c r="BA1065" t="s">
        <v>138</v>
      </c>
      <c r="BB1065" t="s">
        <v>139</v>
      </c>
      <c r="BC1065">
        <v>86.173959999999994</v>
      </c>
      <c r="BD1065">
        <v>6.333333333333333</v>
      </c>
      <c r="BE1065">
        <v>69</v>
      </c>
      <c r="BF1065" t="s">
        <v>213</v>
      </c>
      <c r="BG1065">
        <v>0.61127862674435385</v>
      </c>
      <c r="BH1065">
        <v>0.13894839337877299</v>
      </c>
      <c r="BI1065">
        <v>0.37369966203011401</v>
      </c>
      <c r="BJ1065">
        <v>90</v>
      </c>
      <c r="BK1065">
        <v>896.13675392829441</v>
      </c>
      <c r="BL1065">
        <v>375.43449278808521</v>
      </c>
      <c r="BM1065">
        <v>2.4516758505509948</v>
      </c>
      <c r="BN1065">
        <v>416.78489459366921</v>
      </c>
      <c r="BO1065">
        <v>479.3518593346252</v>
      </c>
    </row>
    <row r="1066" spans="1:67" x14ac:dyDescent="0.25">
      <c r="A1066" s="1">
        <v>1064</v>
      </c>
      <c r="B1066" t="s">
        <v>210</v>
      </c>
      <c r="C1066" t="s">
        <v>211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67</v>
      </c>
      <c r="J1066">
        <v>1.2130000000000001</v>
      </c>
      <c r="K1066">
        <v>500</v>
      </c>
      <c r="L1066">
        <v>100</v>
      </c>
      <c r="N1066" t="s">
        <v>68</v>
      </c>
      <c r="O1066">
        <v>0</v>
      </c>
      <c r="P1066">
        <v>0.125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43288.383432721093</v>
      </c>
      <c r="Z1066">
        <v>216441917.16360551</v>
      </c>
      <c r="AA1066">
        <v>262544045.51945341</v>
      </c>
      <c r="AB1066">
        <v>262544.04551945342</v>
      </c>
      <c r="AC1066">
        <v>0</v>
      </c>
      <c r="AD1066">
        <v>2243.2623763440988</v>
      </c>
      <c r="AE1066">
        <v>1345957.425806459</v>
      </c>
      <c r="AF1066">
        <v>1345957.425806459</v>
      </c>
      <c r="AG1066">
        <v>43.125902637710311</v>
      </c>
      <c r="AH1066">
        <v>44.426689732306713</v>
      </c>
      <c r="AI1066">
        <v>44.426689732306713</v>
      </c>
      <c r="AJ1066">
        <v>8532.6814793822359</v>
      </c>
      <c r="AK1066">
        <v>854.70085470085473</v>
      </c>
      <c r="AL1066" t="s">
        <v>69</v>
      </c>
      <c r="AM1066">
        <v>3443.0684542537701</v>
      </c>
      <c r="AN1066">
        <v>471.30609201072622</v>
      </c>
      <c r="AO1066">
        <v>7552.5372544921402</v>
      </c>
      <c r="AP1066">
        <v>13301.75688034759</v>
      </c>
      <c r="AQ1066">
        <v>5749.2196258554459</v>
      </c>
      <c r="AR1066">
        <v>6.3394883937504167E-3</v>
      </c>
      <c r="AS1066">
        <v>197.85513942892081</v>
      </c>
      <c r="AT1066">
        <v>79.837597445278021</v>
      </c>
      <c r="AU1066">
        <v>10.928608172449129</v>
      </c>
      <c r="AV1066">
        <v>175.1276331057712</v>
      </c>
      <c r="AW1066">
        <v>308.44008047999012</v>
      </c>
      <c r="AX1066">
        <v>133.31244737421889</v>
      </c>
      <c r="AY1066">
        <v>1.030162547681007</v>
      </c>
      <c r="AZ1066" t="str">
        <f>VLOOKUP(BA1066,Sheet1!$A$1:$B$58,2,FALSE)</f>
        <v>Isobutanol</v>
      </c>
      <c r="BA1066" t="s">
        <v>140</v>
      </c>
      <c r="BB1066" t="s">
        <v>141</v>
      </c>
      <c r="BC1066">
        <v>86.130899999999997</v>
      </c>
      <c r="BD1066">
        <v>5.6</v>
      </c>
      <c r="BE1066">
        <v>108</v>
      </c>
      <c r="BF1066" t="s">
        <v>213</v>
      </c>
      <c r="BG1066">
        <v>0.32555766206356451</v>
      </c>
      <c r="BH1066">
        <v>0.21565011820330901</v>
      </c>
      <c r="BI1066">
        <v>0.57969801142525901</v>
      </c>
      <c r="BJ1066">
        <v>90</v>
      </c>
      <c r="BK1066">
        <v>591.18919468211493</v>
      </c>
      <c r="BL1066">
        <v>255.52087226024199</v>
      </c>
      <c r="BM1066">
        <v>1.6489618815945111</v>
      </c>
      <c r="BN1066">
        <v>280.32351987106688</v>
      </c>
      <c r="BO1066">
        <v>310.865674811048</v>
      </c>
    </row>
    <row r="1067" spans="1:67" x14ac:dyDescent="0.25">
      <c r="A1067" s="1">
        <v>1065</v>
      </c>
      <c r="B1067" t="s">
        <v>210</v>
      </c>
      <c r="C1067" t="s">
        <v>211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67</v>
      </c>
      <c r="J1067">
        <v>1.2130000000000001</v>
      </c>
      <c r="K1067">
        <v>500</v>
      </c>
      <c r="L1067">
        <v>100</v>
      </c>
      <c r="N1067" t="s">
        <v>68</v>
      </c>
      <c r="O1067">
        <v>0</v>
      </c>
      <c r="P1067">
        <v>0.125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38254.732656116234</v>
      </c>
      <c r="Z1067">
        <v>191273663.28058109</v>
      </c>
      <c r="AA1067">
        <v>232014953.55934489</v>
      </c>
      <c r="AB1067">
        <v>232014.9535593449</v>
      </c>
      <c r="AC1067">
        <v>0</v>
      </c>
      <c r="AD1067">
        <v>1982.4118084229681</v>
      </c>
      <c r="AE1067">
        <v>1189447.085053781</v>
      </c>
      <c r="AF1067">
        <v>1189447.085053781</v>
      </c>
      <c r="AG1067">
        <v>38.111145419033313</v>
      </c>
      <c r="AH1067">
        <v>39.260674659912667</v>
      </c>
      <c r="AI1067">
        <v>39.260674659912667</v>
      </c>
      <c r="AJ1067">
        <v>7540.4859906787106</v>
      </c>
      <c r="AK1067">
        <v>854.70085470085473</v>
      </c>
      <c r="AL1067" t="s">
        <v>69</v>
      </c>
      <c r="AM1067">
        <v>3042.702286143232</v>
      </c>
      <c r="AN1067">
        <v>416.50177528784451</v>
      </c>
      <c r="AO1067">
        <v>6674.3146921851549</v>
      </c>
      <c r="AP1067">
        <v>11854.39090681064</v>
      </c>
      <c r="AQ1067">
        <v>5180.0762146254892</v>
      </c>
      <c r="AR1067">
        <v>6.3394883937504176E-3</v>
      </c>
      <c r="AS1067">
        <v>197.85513942892081</v>
      </c>
      <c r="AT1067">
        <v>79.837597445278007</v>
      </c>
      <c r="AU1067">
        <v>10.928608172449129</v>
      </c>
      <c r="AV1067">
        <v>175.12763310577111</v>
      </c>
      <c r="AW1067">
        <v>311.04787789690448</v>
      </c>
      <c r="AX1067">
        <v>135.9202447911334</v>
      </c>
      <c r="AY1067">
        <v>1.030162547681007</v>
      </c>
      <c r="AZ1067" t="str">
        <f>VLOOKUP(BA1067,Sheet1!$A$1:$B$58,2,FALSE)</f>
        <v>Isobutyrate</v>
      </c>
      <c r="BA1067" t="s">
        <v>142</v>
      </c>
      <c r="BB1067" t="s">
        <v>114</v>
      </c>
      <c r="BC1067">
        <v>87.095680000000002</v>
      </c>
      <c r="BD1067">
        <v>4.75</v>
      </c>
      <c r="BE1067">
        <v>155</v>
      </c>
      <c r="BF1067" t="s">
        <v>213</v>
      </c>
      <c r="BG1067">
        <v>7.2677255948932831E-2</v>
      </c>
      <c r="BH1067">
        <v>0.24132275132275099</v>
      </c>
      <c r="BI1067">
        <v>0.655976085870004</v>
      </c>
      <c r="BJ1067">
        <v>90</v>
      </c>
      <c r="BK1067">
        <v>526.86181808047309</v>
      </c>
      <c r="BL1067">
        <v>230.22560953891059</v>
      </c>
      <c r="BM1067">
        <v>1.6722416178249631</v>
      </c>
      <c r="BN1067">
        <v>284.28107503024381</v>
      </c>
      <c r="BO1067">
        <v>242.5807430502293</v>
      </c>
    </row>
    <row r="1068" spans="1:67" x14ac:dyDescent="0.25">
      <c r="A1068" s="1">
        <v>1066</v>
      </c>
      <c r="B1068" t="s">
        <v>210</v>
      </c>
      <c r="C1068" t="s">
        <v>211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67</v>
      </c>
      <c r="J1068">
        <v>1.2130000000000001</v>
      </c>
      <c r="K1068">
        <v>500</v>
      </c>
      <c r="L1068">
        <v>100</v>
      </c>
      <c r="N1068" t="s">
        <v>68</v>
      </c>
      <c r="O1068">
        <v>0</v>
      </c>
      <c r="P1068">
        <v>0.125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65994.785597770446</v>
      </c>
      <c r="Z1068">
        <v>329973927.98885232</v>
      </c>
      <c r="AA1068">
        <v>400258374.65047783</v>
      </c>
      <c r="AB1068">
        <v>400258.37465047778</v>
      </c>
      <c r="AC1068">
        <v>66773.504273504266</v>
      </c>
      <c r="AD1068">
        <v>3419.9387416825948</v>
      </c>
      <c r="AE1068">
        <v>2051963.2450095571</v>
      </c>
      <c r="AF1068">
        <v>2051963.2450095571</v>
      </c>
      <c r="AG1068">
        <v>65.747077451145913</v>
      </c>
      <c r="AH1068">
        <v>67.73017680965296</v>
      </c>
      <c r="AI1068">
        <v>67.73017680965296</v>
      </c>
      <c r="AJ1068">
        <v>13008.39717614053</v>
      </c>
      <c r="AK1068">
        <v>2170.1388888888891</v>
      </c>
      <c r="AL1068" t="s">
        <v>107</v>
      </c>
      <c r="AM1068">
        <v>5249.088702748104</v>
      </c>
      <c r="AN1068">
        <v>718.52404794723896</v>
      </c>
      <c r="AO1068">
        <v>11514.130057640999</v>
      </c>
      <c r="AP1068">
        <v>21146.148815724759</v>
      </c>
      <c r="AQ1068">
        <v>9632.0187580837555</v>
      </c>
      <c r="AR1068">
        <v>6.3394883937504176E-3</v>
      </c>
      <c r="AS1068">
        <v>197.85513942892081</v>
      </c>
      <c r="AT1068">
        <v>79.837597445278021</v>
      </c>
      <c r="AU1068">
        <v>10.928608172449129</v>
      </c>
      <c r="AV1068">
        <v>175.1276331057712</v>
      </c>
      <c r="AW1068">
        <v>321.62872686527612</v>
      </c>
      <c r="AX1068">
        <v>146.5010937595049</v>
      </c>
      <c r="AY1068">
        <v>1.030162547681007</v>
      </c>
      <c r="AZ1068" t="str">
        <f>VLOOKUP(BA1068,Sheet1!$A$1:$B$58,2,FALSE)</f>
        <v>Isoprene</v>
      </c>
      <c r="BA1068" t="s">
        <v>143</v>
      </c>
      <c r="BB1068" t="s">
        <v>144</v>
      </c>
      <c r="BC1068">
        <v>68.116219999999998</v>
      </c>
      <c r="BD1068">
        <v>5.6</v>
      </c>
      <c r="BE1068">
        <v>34.07</v>
      </c>
      <c r="BF1068" t="s">
        <v>213</v>
      </c>
      <c r="BG1068">
        <v>0.38176800314146569</v>
      </c>
      <c r="BH1068">
        <v>0.17886274509803901</v>
      </c>
      <c r="BI1068">
        <v>0.38024503855059599</v>
      </c>
      <c r="BJ1068">
        <v>90</v>
      </c>
      <c r="BK1068">
        <v>939.82883625443378</v>
      </c>
      <c r="BL1068">
        <v>428.08972258150038</v>
      </c>
      <c r="BM1068">
        <v>2.628462077287554</v>
      </c>
      <c r="BN1068">
        <v>446.83855313888432</v>
      </c>
      <c r="BO1068">
        <v>492.99028311554952</v>
      </c>
    </row>
    <row r="1069" spans="1:67" x14ac:dyDescent="0.25">
      <c r="A1069" s="1">
        <v>1067</v>
      </c>
      <c r="B1069" t="s">
        <v>210</v>
      </c>
      <c r="C1069" t="s">
        <v>211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67</v>
      </c>
      <c r="J1069">
        <v>1.2130000000000001</v>
      </c>
      <c r="K1069">
        <v>500</v>
      </c>
      <c r="L1069">
        <v>100</v>
      </c>
      <c r="N1069" t="s">
        <v>68</v>
      </c>
      <c r="O1069">
        <v>0</v>
      </c>
      <c r="P1069">
        <v>0.125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49488.234747004841</v>
      </c>
      <c r="Z1069">
        <v>247441173.73502421</v>
      </c>
      <c r="AA1069">
        <v>300146143.74058437</v>
      </c>
      <c r="AB1069">
        <v>300146.14374058438</v>
      </c>
      <c r="AC1069">
        <v>0</v>
      </c>
      <c r="AD1069">
        <v>2564.5470280076552</v>
      </c>
      <c r="AE1069">
        <v>1538728.2168045931</v>
      </c>
      <c r="AF1069">
        <v>1538728.2168045931</v>
      </c>
      <c r="AG1069">
        <v>49.302483118328993</v>
      </c>
      <c r="AH1069">
        <v>50.789571616177597</v>
      </c>
      <c r="AI1069">
        <v>50.789571616177597</v>
      </c>
      <c r="AJ1069">
        <v>9754.7496715689922</v>
      </c>
      <c r="AK1069">
        <v>854.70085470085473</v>
      </c>
      <c r="AL1069" t="s">
        <v>69</v>
      </c>
      <c r="AM1069">
        <v>3936.1918002537641</v>
      </c>
      <c r="AN1069">
        <v>538.80751992900514</v>
      </c>
      <c r="AO1069">
        <v>8634.2271747501927</v>
      </c>
      <c r="AP1069">
        <v>15084.44984645262</v>
      </c>
      <c r="AQ1069">
        <v>6450.2226717024241</v>
      </c>
      <c r="AR1069">
        <v>6.339488393750415E-3</v>
      </c>
      <c r="AS1069">
        <v>197.85513942892069</v>
      </c>
      <c r="AT1069">
        <v>79.837597445277993</v>
      </c>
      <c r="AU1069">
        <v>10.92860817244912</v>
      </c>
      <c r="AV1069">
        <v>175.12763310577111</v>
      </c>
      <c r="AW1069">
        <v>305.9572032152825</v>
      </c>
      <c r="AX1069">
        <v>130.82957010951139</v>
      </c>
      <c r="AY1069">
        <v>1.030162547681007</v>
      </c>
      <c r="AZ1069" t="str">
        <f>VLOOKUP(BA1069,Sheet1!$A$1:$B$58,2,FALSE)</f>
        <v>Isopropanol</v>
      </c>
      <c r="BA1069" t="s">
        <v>145</v>
      </c>
      <c r="BB1069" t="s">
        <v>79</v>
      </c>
      <c r="BC1069">
        <v>60.093820000000001</v>
      </c>
      <c r="BD1069">
        <v>6</v>
      </c>
      <c r="BE1069">
        <v>82.5</v>
      </c>
      <c r="BF1069" t="s">
        <v>213</v>
      </c>
      <c r="BG1069">
        <v>0.51171262942262796</v>
      </c>
      <c r="BH1069">
        <v>0.27036363636363703</v>
      </c>
      <c r="BI1069">
        <v>0.50707385143256301</v>
      </c>
      <c r="BJ1069">
        <v>90</v>
      </c>
      <c r="BK1069">
        <v>670.41999317567183</v>
      </c>
      <c r="BL1069">
        <v>286.67656318677439</v>
      </c>
      <c r="BM1069">
        <v>1.7456016646297099</v>
      </c>
      <c r="BN1069">
        <v>296.75228298705071</v>
      </c>
      <c r="BO1069">
        <v>373.66771018862107</v>
      </c>
    </row>
    <row r="1070" spans="1:67" x14ac:dyDescent="0.25">
      <c r="A1070" s="1">
        <v>1068</v>
      </c>
      <c r="B1070" t="s">
        <v>210</v>
      </c>
      <c r="C1070" t="s">
        <v>211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67</v>
      </c>
      <c r="J1070">
        <v>1.2130000000000001</v>
      </c>
      <c r="K1070">
        <v>500</v>
      </c>
      <c r="L1070">
        <v>100</v>
      </c>
      <c r="N1070" t="s">
        <v>68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25434.467462088011</v>
      </c>
      <c r="Z1070">
        <v>127172337.31044</v>
      </c>
      <c r="AA1070">
        <v>154260045.15756381</v>
      </c>
      <c r="AB1070">
        <v>154260.04515756381</v>
      </c>
      <c r="AC1070">
        <v>0</v>
      </c>
      <c r="AD1070">
        <v>1318.0483860924739</v>
      </c>
      <c r="AE1070">
        <v>790829.03165548411</v>
      </c>
      <c r="AF1070">
        <v>790829.03165548411</v>
      </c>
      <c r="AG1070">
        <v>25.33900045301527</v>
      </c>
      <c r="AH1070">
        <v>26.103289262368389</v>
      </c>
      <c r="AI1070">
        <v>26.103289262368389</v>
      </c>
      <c r="AJ1070">
        <v>5013.4514676208228</v>
      </c>
      <c r="AK1070">
        <v>854.70085470085473</v>
      </c>
      <c r="AL1070" t="s">
        <v>69</v>
      </c>
      <c r="AM1070">
        <v>2023.0049178335501</v>
      </c>
      <c r="AN1070">
        <v>276.92000743251481</v>
      </c>
      <c r="AO1070">
        <v>4437.5591746026266</v>
      </c>
      <c r="AP1070">
        <v>8168.077247587742</v>
      </c>
      <c r="AQ1070">
        <v>3730.5180729851149</v>
      </c>
      <c r="AR1070">
        <v>6.3394883937504167E-3</v>
      </c>
      <c r="AS1070">
        <v>197.85513942892081</v>
      </c>
      <c r="AT1070">
        <v>79.837597445278007</v>
      </c>
      <c r="AU1070">
        <v>10.928608172449129</v>
      </c>
      <c r="AV1070">
        <v>175.12763310577111</v>
      </c>
      <c r="AW1070">
        <v>322.35199106347397</v>
      </c>
      <c r="AX1070">
        <v>147.22435795770289</v>
      </c>
      <c r="AY1070">
        <v>1.030162547681007</v>
      </c>
      <c r="AZ1070" t="str">
        <f>VLOOKUP(BA1070,Sheet1!$A$1:$B$58,2,FALSE)</f>
        <v>Itaconate</v>
      </c>
      <c r="BA1070" t="s">
        <v>146</v>
      </c>
      <c r="BB1070" t="s">
        <v>147</v>
      </c>
      <c r="BC1070">
        <v>128.08086</v>
      </c>
      <c r="BD1070">
        <v>3.2</v>
      </c>
      <c r="BE1070">
        <v>381</v>
      </c>
      <c r="BF1070" t="s">
        <v>213</v>
      </c>
      <c r="BG1070">
        <v>-0.32587986992887169</v>
      </c>
      <c r="BH1070">
        <v>0.24681592039801001</v>
      </c>
      <c r="BI1070">
        <v>0.98662139599216403</v>
      </c>
      <c r="BJ1070">
        <v>90</v>
      </c>
      <c r="BK1070">
        <v>363.02565544834408</v>
      </c>
      <c r="BL1070">
        <v>165.80080324378289</v>
      </c>
      <c r="BM1070">
        <v>1.486026059367467</v>
      </c>
      <c r="BN1070">
        <v>252.6244300924694</v>
      </c>
      <c r="BO1070">
        <v>110.4012253558747</v>
      </c>
    </row>
    <row r="1071" spans="1:67" x14ac:dyDescent="0.25">
      <c r="A1071" s="1">
        <v>1069</v>
      </c>
      <c r="B1071" t="s">
        <v>210</v>
      </c>
      <c r="C1071" t="s">
        <v>211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67</v>
      </c>
      <c r="J1071">
        <v>1.2130000000000001</v>
      </c>
      <c r="K1071">
        <v>500</v>
      </c>
      <c r="L1071">
        <v>100</v>
      </c>
      <c r="N1071" t="s">
        <v>68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65800.683287188818</v>
      </c>
      <c r="Z1071">
        <v>329003416.43594408</v>
      </c>
      <c r="AA1071">
        <v>399081144.13680023</v>
      </c>
      <c r="AB1071">
        <v>399081.1441368002</v>
      </c>
      <c r="AC1071">
        <v>0</v>
      </c>
      <c r="AD1071">
        <v>3409.880098324707</v>
      </c>
      <c r="AE1071">
        <v>2045928.0589948241</v>
      </c>
      <c r="AF1071">
        <v>2045928.0589948241</v>
      </c>
      <c r="AG1071">
        <v>65.553703693936711</v>
      </c>
      <c r="AH1071">
        <v>67.530970407271667</v>
      </c>
      <c r="AI1071">
        <v>67.530970407271667</v>
      </c>
      <c r="AJ1071">
        <v>12970.13718444601</v>
      </c>
      <c r="AK1071">
        <v>854.70085470085473</v>
      </c>
      <c r="AL1071" t="s">
        <v>69</v>
      </c>
      <c r="AM1071">
        <v>5233.6502065635541</v>
      </c>
      <c r="AN1071">
        <v>716.4107419238652</v>
      </c>
      <c r="AO1071">
        <v>11480.264969236179</v>
      </c>
      <c r="AP1071">
        <v>19774.898987634278</v>
      </c>
      <c r="AQ1071">
        <v>8294.6340183980956</v>
      </c>
      <c r="AR1071">
        <v>6.3394883937504167E-3</v>
      </c>
      <c r="AS1071">
        <v>197.85513942892081</v>
      </c>
      <c r="AT1071">
        <v>79.837597445278021</v>
      </c>
      <c r="AU1071">
        <v>10.928608172449129</v>
      </c>
      <c r="AV1071">
        <v>175.12763310577111</v>
      </c>
      <c r="AW1071">
        <v>301.65952300668152</v>
      </c>
      <c r="AX1071">
        <v>126.5318899009103</v>
      </c>
      <c r="AY1071">
        <v>1.030162547681007</v>
      </c>
      <c r="AZ1071" t="str">
        <f>VLOOKUP(BA1071,Sheet1!$A$1:$B$58,2,FALSE)</f>
        <v>Limonene</v>
      </c>
      <c r="BA1071" t="s">
        <v>148</v>
      </c>
      <c r="BB1071" t="s">
        <v>149</v>
      </c>
      <c r="BC1071">
        <v>136.23244</v>
      </c>
      <c r="BD1071">
        <v>5.6</v>
      </c>
      <c r="BE1071">
        <v>176</v>
      </c>
      <c r="BF1071" t="s">
        <v>213</v>
      </c>
      <c r="BG1071">
        <v>0.3711436616811305</v>
      </c>
      <c r="BH1071">
        <v>8.9695181907571406E-2</v>
      </c>
      <c r="BI1071">
        <v>0.38136670533098099</v>
      </c>
      <c r="BJ1071">
        <v>90</v>
      </c>
      <c r="BK1071">
        <v>878.88439945041239</v>
      </c>
      <c r="BL1071">
        <v>368.65040081769331</v>
      </c>
      <c r="BM1071">
        <v>2.630232800864277</v>
      </c>
      <c r="BN1071">
        <v>447.13957614692708</v>
      </c>
      <c r="BO1071">
        <v>431.7448233034853</v>
      </c>
    </row>
    <row r="1072" spans="1:67" x14ac:dyDescent="0.25">
      <c r="A1072" s="1">
        <v>1070</v>
      </c>
      <c r="B1072" t="s">
        <v>210</v>
      </c>
      <c r="C1072" t="s">
        <v>211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67</v>
      </c>
      <c r="J1072">
        <v>1.2130000000000001</v>
      </c>
      <c r="K1072">
        <v>500</v>
      </c>
      <c r="L1072">
        <v>100</v>
      </c>
      <c r="N1072" t="s">
        <v>68</v>
      </c>
      <c r="O1072">
        <v>0</v>
      </c>
      <c r="P1072">
        <v>0.125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31618.12857463281</v>
      </c>
      <c r="Z1072">
        <v>158090642.87316409</v>
      </c>
      <c r="AA1072">
        <v>191763949.80514801</v>
      </c>
      <c r="AB1072">
        <v>191763.949805148</v>
      </c>
      <c r="AC1072">
        <v>0</v>
      </c>
      <c r="AD1072">
        <v>1638.4940396797249</v>
      </c>
      <c r="AE1072">
        <v>983096.42380783497</v>
      </c>
      <c r="AF1072">
        <v>983096.42380783497</v>
      </c>
      <c r="AG1072">
        <v>31.49945150101227</v>
      </c>
      <c r="AH1072">
        <v>32.449555208837111</v>
      </c>
      <c r="AI1072">
        <v>32.449555208837111</v>
      </c>
      <c r="AJ1072">
        <v>6232.3283686673103</v>
      </c>
      <c r="AK1072">
        <v>854.70085470085473</v>
      </c>
      <c r="AL1072" t="s">
        <v>69</v>
      </c>
      <c r="AM1072">
        <v>2514.8405286848761</v>
      </c>
      <c r="AN1072">
        <v>344.24516310162761</v>
      </c>
      <c r="AO1072">
        <v>5516.4243855023087</v>
      </c>
      <c r="AP1072">
        <v>9946.1149151546706</v>
      </c>
      <c r="AQ1072">
        <v>4429.6905296523619</v>
      </c>
      <c r="AR1072">
        <v>6.3394883937504167E-3</v>
      </c>
      <c r="AS1072">
        <v>197.85513942892081</v>
      </c>
      <c r="AT1072">
        <v>79.837597445278007</v>
      </c>
      <c r="AU1072">
        <v>10.928608172449129</v>
      </c>
      <c r="AV1072">
        <v>175.12763310577111</v>
      </c>
      <c r="AW1072">
        <v>315.75517798571963</v>
      </c>
      <c r="AX1072">
        <v>140.6275448799484</v>
      </c>
      <c r="AY1072">
        <v>1.030162547681007</v>
      </c>
      <c r="AZ1072" t="str">
        <f>VLOOKUP(BA1072,Sheet1!$A$1:$B$58,2,FALSE)</f>
        <v>L-Lysine</v>
      </c>
      <c r="BA1072" t="s">
        <v>150</v>
      </c>
      <c r="BB1072" t="s">
        <v>151</v>
      </c>
      <c r="BC1072">
        <v>147.19319999999999</v>
      </c>
      <c r="BD1072">
        <v>4.833333333333333</v>
      </c>
      <c r="BF1072" t="s">
        <v>213</v>
      </c>
      <c r="BG1072">
        <v>-6.3325798649973064E-2</v>
      </c>
      <c r="BH1072">
        <v>0.17276515151515101</v>
      </c>
      <c r="BI1072">
        <v>0.793664613467844</v>
      </c>
      <c r="BJ1072">
        <v>90</v>
      </c>
      <c r="BK1072">
        <v>442.04955178465201</v>
      </c>
      <c r="BL1072">
        <v>196.87513465121609</v>
      </c>
      <c r="BM1072">
        <v>1.5055282523760669</v>
      </c>
      <c r="BN1072">
        <v>255.93980290393139</v>
      </c>
      <c r="BO1072">
        <v>186.10974888072059</v>
      </c>
    </row>
    <row r="1073" spans="1:67" x14ac:dyDescent="0.25">
      <c r="A1073" s="1">
        <v>1071</v>
      </c>
      <c r="B1073" t="s">
        <v>210</v>
      </c>
      <c r="C1073" t="s">
        <v>211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67</v>
      </c>
      <c r="J1073">
        <v>1.2130000000000001</v>
      </c>
      <c r="K1073">
        <v>500</v>
      </c>
      <c r="L1073">
        <v>100</v>
      </c>
      <c r="N1073" t="s">
        <v>68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15646.5861503549</v>
      </c>
      <c r="Z1073">
        <v>78232930.751774505</v>
      </c>
      <c r="AA1073">
        <v>94896545.001902476</v>
      </c>
      <c r="AB1073">
        <v>94896.545001902472</v>
      </c>
      <c r="AC1073">
        <v>0</v>
      </c>
      <c r="AD1073">
        <v>810.82718378405991</v>
      </c>
      <c r="AE1073">
        <v>486496.31027043599</v>
      </c>
      <c r="AF1073">
        <v>486496.31027043599</v>
      </c>
      <c r="AG1073">
        <v>15.587857467153659</v>
      </c>
      <c r="AH1073">
        <v>16.058026961251421</v>
      </c>
      <c r="AI1073">
        <v>16.058026961251421</v>
      </c>
      <c r="AJ1073">
        <v>3084.137712561831</v>
      </c>
      <c r="AK1073">
        <v>854.70085470085473</v>
      </c>
      <c r="AL1073" t="s">
        <v>69</v>
      </c>
      <c r="AM1073">
        <v>1244.4970894969849</v>
      </c>
      <c r="AN1073">
        <v>170.35358650650761</v>
      </c>
      <c r="AO1073">
        <v>2729.864583412741</v>
      </c>
      <c r="AP1073">
        <v>5353.689243266178</v>
      </c>
      <c r="AQ1073">
        <v>2623.824659853437</v>
      </c>
      <c r="AR1073">
        <v>6.3394883937504167E-3</v>
      </c>
      <c r="AS1073">
        <v>197.85513942892081</v>
      </c>
      <c r="AT1073">
        <v>79.837597445278035</v>
      </c>
      <c r="AU1073">
        <v>10.928608172449129</v>
      </c>
      <c r="AV1073">
        <v>175.1276331057712</v>
      </c>
      <c r="AW1073">
        <v>343.45254019337409</v>
      </c>
      <c r="AX1073">
        <v>168.3249070876029</v>
      </c>
      <c r="AY1073">
        <v>1.030162547681007</v>
      </c>
      <c r="AZ1073" t="str">
        <f>VLOOKUP(BA1073,Sheet1!$A$1:$B$58,2,FALSE)</f>
        <v>L-Malate</v>
      </c>
      <c r="BA1073" t="s">
        <v>152</v>
      </c>
      <c r="BB1073" t="s">
        <v>153</v>
      </c>
      <c r="BC1073">
        <v>132.06916000000001</v>
      </c>
      <c r="BD1073">
        <v>2.5</v>
      </c>
      <c r="BF1073" t="s">
        <v>213</v>
      </c>
      <c r="BG1073">
        <v>-0.47650988031631009</v>
      </c>
      <c r="BH1073">
        <v>0.38909803921568598</v>
      </c>
      <c r="BI1073">
        <v>1.6038124580417401</v>
      </c>
      <c r="BJ1073">
        <v>90</v>
      </c>
      <c r="BK1073">
        <v>237.94174414516351</v>
      </c>
      <c r="BL1073">
        <v>116.6144293268194</v>
      </c>
      <c r="BM1073">
        <v>1.1901999674830399</v>
      </c>
      <c r="BN1073">
        <v>202.33399447211681</v>
      </c>
      <c r="BO1073">
        <v>35.607749673046698</v>
      </c>
    </row>
    <row r="1074" spans="1:67" x14ac:dyDescent="0.25">
      <c r="A1074" s="1">
        <v>1072</v>
      </c>
      <c r="B1074" t="s">
        <v>210</v>
      </c>
      <c r="C1074" t="s">
        <v>211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67</v>
      </c>
      <c r="J1074">
        <v>1.2130000000000001</v>
      </c>
      <c r="K1074">
        <v>500</v>
      </c>
      <c r="L1074">
        <v>100</v>
      </c>
      <c r="N1074" t="s">
        <v>68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15962.11188073516</v>
      </c>
      <c r="Z1074">
        <v>79810559.40367578</v>
      </c>
      <c r="AA1074">
        <v>96810208.55665873</v>
      </c>
      <c r="AB1074">
        <v>96810.208556658734</v>
      </c>
      <c r="AC1074">
        <v>0</v>
      </c>
      <c r="AD1074">
        <v>827.17815241818778</v>
      </c>
      <c r="AE1074">
        <v>496306.89145091269</v>
      </c>
      <c r="AF1074">
        <v>496306.89145091269</v>
      </c>
      <c r="AG1074">
        <v>15.90219888739218</v>
      </c>
      <c r="AH1074">
        <v>16.381849719565999</v>
      </c>
      <c r="AI1074">
        <v>16.381849719565999</v>
      </c>
      <c r="AJ1074">
        <v>3146.331778091409</v>
      </c>
      <c r="AK1074">
        <v>854.70085470085473</v>
      </c>
      <c r="AL1074" t="s">
        <v>69</v>
      </c>
      <c r="AM1074">
        <v>1269.5933532663651</v>
      </c>
      <c r="AN1074">
        <v>173.78890072066559</v>
      </c>
      <c r="AO1074">
        <v>2784.9144523262198</v>
      </c>
      <c r="AP1074">
        <v>5444.4148867792937</v>
      </c>
      <c r="AQ1074">
        <v>2659.5004344530739</v>
      </c>
      <c r="AR1074">
        <v>6.3394883937504167E-3</v>
      </c>
      <c r="AS1074">
        <v>197.85513942892081</v>
      </c>
      <c r="AT1074">
        <v>79.837597445278007</v>
      </c>
      <c r="AU1074">
        <v>10.928608172449129</v>
      </c>
      <c r="AV1074">
        <v>175.12763310577111</v>
      </c>
      <c r="AW1074">
        <v>342.36868280498089</v>
      </c>
      <c r="AX1074">
        <v>167.24104969920981</v>
      </c>
      <c r="AY1074">
        <v>1.030162547681007</v>
      </c>
      <c r="AZ1074" t="str">
        <f>VLOOKUP(BA1074,Sheet1!$A$1:$B$58,2,FALSE)</f>
        <v>Malonate</v>
      </c>
      <c r="BA1074" t="s">
        <v>154</v>
      </c>
      <c r="BB1074" t="s">
        <v>155</v>
      </c>
      <c r="BC1074">
        <v>102.04378</v>
      </c>
      <c r="BD1074">
        <v>2</v>
      </c>
      <c r="BE1074">
        <v>199</v>
      </c>
      <c r="BF1074" t="s">
        <v>213</v>
      </c>
      <c r="BG1074">
        <v>-0.42015776952391432</v>
      </c>
      <c r="BH1074">
        <v>0.49363184079602002</v>
      </c>
      <c r="BI1074">
        <v>1.57210962943124</v>
      </c>
      <c r="BJ1074">
        <v>90</v>
      </c>
      <c r="BK1074">
        <v>241.97399496796859</v>
      </c>
      <c r="BL1074">
        <v>118.20001930902551</v>
      </c>
      <c r="BM1074">
        <v>1.148239979282403</v>
      </c>
      <c r="BN1074">
        <v>195.2007964780085</v>
      </c>
      <c r="BO1074">
        <v>46.773198489960123</v>
      </c>
    </row>
    <row r="1075" spans="1:67" x14ac:dyDescent="0.25">
      <c r="A1075" s="1">
        <v>1073</v>
      </c>
      <c r="B1075" t="s">
        <v>210</v>
      </c>
      <c r="C1075" t="s">
        <v>211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67</v>
      </c>
      <c r="J1075">
        <v>1.2130000000000001</v>
      </c>
      <c r="K1075">
        <v>500</v>
      </c>
      <c r="L1075">
        <v>100</v>
      </c>
      <c r="N1075" t="s">
        <v>68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67436.743324551004</v>
      </c>
      <c r="Z1075">
        <v>337183716.62275499</v>
      </c>
      <c r="AA1075">
        <v>409003848.26340181</v>
      </c>
      <c r="AB1075">
        <v>409003.84826340177</v>
      </c>
      <c r="AC1075">
        <v>0</v>
      </c>
      <c r="AD1075">
        <v>3494.6629346475002</v>
      </c>
      <c r="AE1075">
        <v>2096797.7607885001</v>
      </c>
      <c r="AF1075">
        <v>2096797.7607885001</v>
      </c>
      <c r="AG1075">
        <v>67.183622861289976</v>
      </c>
      <c r="AH1075">
        <v>69.210052089226423</v>
      </c>
      <c r="AI1075">
        <v>69.210052089226423</v>
      </c>
      <c r="AJ1075">
        <v>13292.625068560559</v>
      </c>
      <c r="AK1075">
        <v>854.70085470085473</v>
      </c>
      <c r="AL1075" t="s">
        <v>69</v>
      </c>
      <c r="AM1075">
        <v>5363.779036915048</v>
      </c>
      <c r="AN1075">
        <v>734.22348985663371</v>
      </c>
      <c r="AO1075">
        <v>11765.70885516849</v>
      </c>
      <c r="AP1075">
        <v>20245.328450033099</v>
      </c>
      <c r="AQ1075">
        <v>8479.6195948646073</v>
      </c>
      <c r="AR1075">
        <v>6.3394883937504167E-3</v>
      </c>
      <c r="AS1075">
        <v>197.85513942892081</v>
      </c>
      <c r="AT1075">
        <v>79.837597445278035</v>
      </c>
      <c r="AU1075">
        <v>10.928608172449129</v>
      </c>
      <c r="AV1075">
        <v>175.1276331057712</v>
      </c>
      <c r="AW1075">
        <v>301.34320817786829</v>
      </c>
      <c r="AX1075">
        <v>126.2155750720971</v>
      </c>
      <c r="AY1075">
        <v>1.030162547681007</v>
      </c>
      <c r="AZ1075" t="str">
        <f>VLOOKUP(BA1075,Sheet1!$A$1:$B$58,2,FALSE)</f>
        <v>Nonane</v>
      </c>
      <c r="BA1075" t="s">
        <v>156</v>
      </c>
      <c r="BB1075" t="s">
        <v>157</v>
      </c>
      <c r="BC1075">
        <v>128.25309999999999</v>
      </c>
      <c r="BD1075">
        <v>6.2222222222222223</v>
      </c>
      <c r="BE1075">
        <v>151</v>
      </c>
      <c r="BF1075" t="s">
        <v>213</v>
      </c>
      <c r="BG1075">
        <v>0.60285637554898097</v>
      </c>
      <c r="BH1075">
        <v>9.2964169381107506E-2</v>
      </c>
      <c r="BI1075">
        <v>0.37211449658819401</v>
      </c>
      <c r="BJ1075">
        <v>90</v>
      </c>
      <c r="BK1075">
        <v>899.79237555702639</v>
      </c>
      <c r="BL1075">
        <v>376.87198199398239</v>
      </c>
      <c r="BM1075">
        <v>2.4731459395277491</v>
      </c>
      <c r="BN1075">
        <v>420.43480971971741</v>
      </c>
      <c r="BO1075">
        <v>479.35756583730898</v>
      </c>
    </row>
    <row r="1076" spans="1:67" x14ac:dyDescent="0.25">
      <c r="A1076" s="1">
        <v>1074</v>
      </c>
      <c r="B1076" t="s">
        <v>210</v>
      </c>
      <c r="C1076" t="s">
        <v>211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67</v>
      </c>
      <c r="J1076">
        <v>1.2130000000000001</v>
      </c>
      <c r="K1076">
        <v>500</v>
      </c>
      <c r="L1076">
        <v>100</v>
      </c>
      <c r="N1076" t="s">
        <v>68</v>
      </c>
      <c r="O1076">
        <v>0</v>
      </c>
      <c r="P1076">
        <v>0.125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66444.030649489301</v>
      </c>
      <c r="Z1076">
        <v>332220153.24744648</v>
      </c>
      <c r="AA1076">
        <v>402983045.88915259</v>
      </c>
      <c r="AB1076">
        <v>402983.04588915262</v>
      </c>
      <c r="AC1076">
        <v>0</v>
      </c>
      <c r="AD1076">
        <v>3443.2192257839688</v>
      </c>
      <c r="AE1076">
        <v>2065931.5354703809</v>
      </c>
      <c r="AF1076">
        <v>2065931.5354703809</v>
      </c>
      <c r="AG1076">
        <v>66.194636283898618</v>
      </c>
      <c r="AH1076">
        <v>68.191235157038619</v>
      </c>
      <c r="AI1076">
        <v>68.191235157038619</v>
      </c>
      <c r="AJ1076">
        <v>13096.948991397459</v>
      </c>
      <c r="AK1076">
        <v>854.70085470085473</v>
      </c>
      <c r="AL1076" t="s">
        <v>69</v>
      </c>
      <c r="AM1076">
        <v>5284.8207246704933</v>
      </c>
      <c r="AN1076">
        <v>723.41524306451197</v>
      </c>
      <c r="AO1076">
        <v>11592.50997669656</v>
      </c>
      <c r="AP1076">
        <v>19959.88581383332</v>
      </c>
      <c r="AQ1076">
        <v>8367.3758371367549</v>
      </c>
      <c r="AR1076">
        <v>6.3394883937504167E-3</v>
      </c>
      <c r="AS1076">
        <v>197.85513942892081</v>
      </c>
      <c r="AT1076">
        <v>79.837597445278035</v>
      </c>
      <c r="AU1076">
        <v>10.928608172449129</v>
      </c>
      <c r="AV1076">
        <v>175.1276331057712</v>
      </c>
      <c r="AW1076">
        <v>301.5332802529262</v>
      </c>
      <c r="AX1076">
        <v>126.40564714715499</v>
      </c>
      <c r="AY1076">
        <v>1.030162547681007</v>
      </c>
      <c r="AZ1076" t="str">
        <f>VLOOKUP(BA1076,Sheet1!$A$1:$B$58,2,FALSE)</f>
        <v>Octane</v>
      </c>
      <c r="BA1076" t="s">
        <v>158</v>
      </c>
      <c r="BB1076" t="s">
        <v>159</v>
      </c>
      <c r="BC1076">
        <v>114.22672</v>
      </c>
      <c r="BD1076">
        <v>6.25</v>
      </c>
      <c r="BE1076">
        <v>126</v>
      </c>
      <c r="BF1076" t="s">
        <v>213</v>
      </c>
      <c r="BG1076">
        <v>0.55457479638726248</v>
      </c>
      <c r="BH1076">
        <v>0.105939123979213</v>
      </c>
      <c r="BI1076">
        <v>0.377674104783639</v>
      </c>
      <c r="BJ1076">
        <v>90</v>
      </c>
      <c r="BK1076">
        <v>887.10603617036986</v>
      </c>
      <c r="BL1076">
        <v>371.88337053941137</v>
      </c>
      <c r="BM1076">
        <v>2.4761467661477878</v>
      </c>
      <c r="BN1076">
        <v>420.94495024512389</v>
      </c>
      <c r="BO1076">
        <v>466.16108592524591</v>
      </c>
    </row>
    <row r="1077" spans="1:67" x14ac:dyDescent="0.25">
      <c r="A1077" s="1">
        <v>1075</v>
      </c>
      <c r="B1077" t="s">
        <v>210</v>
      </c>
      <c r="C1077" t="s">
        <v>211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67</v>
      </c>
      <c r="J1077">
        <v>1.2130000000000001</v>
      </c>
      <c r="K1077">
        <v>500</v>
      </c>
      <c r="L1077">
        <v>100</v>
      </c>
      <c r="N1077" t="s">
        <v>68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70287.293644573045</v>
      </c>
      <c r="Z1077">
        <v>351436468.22286522</v>
      </c>
      <c r="AA1077">
        <v>426292435.95433557</v>
      </c>
      <c r="AB1077">
        <v>426292.43595433561</v>
      </c>
      <c r="AC1077">
        <v>66773.504273504266</v>
      </c>
      <c r="AD1077">
        <v>3642.3822943856499</v>
      </c>
      <c r="AE1077">
        <v>2185429.3766313898</v>
      </c>
      <c r="AF1077">
        <v>2185429.3766313898</v>
      </c>
      <c r="AG1077">
        <v>70.023473782408985</v>
      </c>
      <c r="AH1077">
        <v>72.135560149160611</v>
      </c>
      <c r="AI1077">
        <v>72.135560149160611</v>
      </c>
      <c r="AJ1077">
        <v>13854.50416851591</v>
      </c>
      <c r="AK1077">
        <v>2170.1388888888891</v>
      </c>
      <c r="AL1077" t="s">
        <v>107</v>
      </c>
      <c r="AM1077">
        <v>5590.505911559947</v>
      </c>
      <c r="AN1077">
        <v>765.25910784171174</v>
      </c>
      <c r="AO1077">
        <v>12263.0452253573</v>
      </c>
      <c r="AP1077">
        <v>22380.408076806449</v>
      </c>
      <c r="AQ1077">
        <v>10117.36285144915</v>
      </c>
      <c r="AR1077">
        <v>6.3394883937504167E-3</v>
      </c>
      <c r="AS1077">
        <v>197.85513942892081</v>
      </c>
      <c r="AT1077">
        <v>79.837597445278007</v>
      </c>
      <c r="AU1077">
        <v>10.92860817244912</v>
      </c>
      <c r="AV1077">
        <v>175.12763310577111</v>
      </c>
      <c r="AW1077">
        <v>319.61293646115519</v>
      </c>
      <c r="AX1077">
        <v>144.4853033553841</v>
      </c>
      <c r="AY1077">
        <v>1.030162547681007</v>
      </c>
      <c r="AZ1077" t="str">
        <f>VLOOKUP(BA1077,Sheet1!$A$1:$B$58,2,FALSE)</f>
        <v>Pentane</v>
      </c>
      <c r="BA1077" t="s">
        <v>160</v>
      </c>
      <c r="BB1077" t="s">
        <v>161</v>
      </c>
      <c r="BC1077">
        <v>72.147580000000005</v>
      </c>
      <c r="BD1077">
        <v>6.4</v>
      </c>
      <c r="BE1077">
        <v>36.1</v>
      </c>
      <c r="BF1077" t="s">
        <v>213</v>
      </c>
      <c r="BG1077">
        <v>0.79723152401886821</v>
      </c>
      <c r="BH1077">
        <v>0.158555555555556</v>
      </c>
      <c r="BI1077">
        <v>0.35702313309512501</v>
      </c>
      <c r="BJ1077">
        <v>90</v>
      </c>
      <c r="BK1077">
        <v>994.6848034136201</v>
      </c>
      <c r="BL1077">
        <v>449.6605711755177</v>
      </c>
      <c r="BM1077">
        <v>2.4087933714993812</v>
      </c>
      <c r="BN1077">
        <v>409.49487315489472</v>
      </c>
      <c r="BO1077">
        <v>585.18993025872533</v>
      </c>
    </row>
    <row r="1078" spans="1:67" x14ac:dyDescent="0.25">
      <c r="A1078" s="1">
        <v>1076</v>
      </c>
      <c r="B1078" t="s">
        <v>210</v>
      </c>
      <c r="C1078" t="s">
        <v>211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67</v>
      </c>
      <c r="J1078">
        <v>1.2130000000000001</v>
      </c>
      <c r="K1078">
        <v>500</v>
      </c>
      <c r="L1078">
        <v>100</v>
      </c>
      <c r="N1078" t="s">
        <v>68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50968.26243241498</v>
      </c>
      <c r="Z1078">
        <v>254841312.16207489</v>
      </c>
      <c r="AA1078">
        <v>309122511.65259689</v>
      </c>
      <c r="AB1078">
        <v>309122.51165259688</v>
      </c>
      <c r="AC1078">
        <v>0</v>
      </c>
      <c r="AD1078">
        <v>2641.2440575418791</v>
      </c>
      <c r="AE1078">
        <v>1584746.4345251271</v>
      </c>
      <c r="AF1078">
        <v>1584746.4345251271</v>
      </c>
      <c r="AG1078">
        <v>50.776955593405681</v>
      </c>
      <c r="AH1078">
        <v>52.308517937588142</v>
      </c>
      <c r="AI1078">
        <v>52.308517937588142</v>
      </c>
      <c r="AJ1078">
        <v>10046.4816287094</v>
      </c>
      <c r="AK1078">
        <v>854.70085470085473</v>
      </c>
      <c r="AL1078" t="s">
        <v>69</v>
      </c>
      <c r="AM1078">
        <v>4053.910140163081</v>
      </c>
      <c r="AN1078">
        <v>554.92145187017957</v>
      </c>
      <c r="AO1078">
        <v>8892.4480493899828</v>
      </c>
      <c r="AP1078">
        <v>15510.014075443511</v>
      </c>
      <c r="AQ1078">
        <v>6617.5660260535305</v>
      </c>
      <c r="AR1078">
        <v>6.3394883937504158E-3</v>
      </c>
      <c r="AS1078">
        <v>197.85513942892081</v>
      </c>
      <c r="AT1078">
        <v>79.837597445278007</v>
      </c>
      <c r="AU1078">
        <v>10.928608172449129</v>
      </c>
      <c r="AV1078">
        <v>175.12763310577111</v>
      </c>
      <c r="AW1078">
        <v>305.45380072880488</v>
      </c>
      <c r="AX1078">
        <v>130.32616762303371</v>
      </c>
      <c r="AY1078">
        <v>1.030162547681007</v>
      </c>
      <c r="AZ1078" t="str">
        <f>VLOOKUP(BA1078,Sheet1!$A$1:$B$58,2,FALSE)</f>
        <v>Pentanol (PW1)</v>
      </c>
      <c r="BA1078" t="s">
        <v>162</v>
      </c>
      <c r="BB1078" t="s">
        <v>83</v>
      </c>
      <c r="BC1078">
        <v>88.14658</v>
      </c>
      <c r="BD1078">
        <v>6</v>
      </c>
      <c r="BE1078">
        <v>138</v>
      </c>
      <c r="BF1078" t="s">
        <v>213</v>
      </c>
      <c r="BG1078">
        <v>0.29337766619619432</v>
      </c>
      <c r="BH1078">
        <v>0.17896774193548401</v>
      </c>
      <c r="BI1078">
        <v>0.492349328703092</v>
      </c>
      <c r="BJ1078">
        <v>90</v>
      </c>
      <c r="BK1078">
        <v>689.33395890860061</v>
      </c>
      <c r="BL1078">
        <v>294.11404560237912</v>
      </c>
      <c r="BM1078">
        <v>2.0314453532521668</v>
      </c>
      <c r="BN1078">
        <v>345.34571005286841</v>
      </c>
      <c r="BO1078">
        <v>343.98824885573219</v>
      </c>
    </row>
    <row r="1079" spans="1:67" x14ac:dyDescent="0.25">
      <c r="A1079" s="1">
        <v>1077</v>
      </c>
      <c r="B1079" t="s">
        <v>210</v>
      </c>
      <c r="C1079" t="s">
        <v>211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67</v>
      </c>
      <c r="J1079">
        <v>1.2130000000000001</v>
      </c>
      <c r="K1079">
        <v>500</v>
      </c>
      <c r="L1079">
        <v>100</v>
      </c>
      <c r="N1079" t="s">
        <v>68</v>
      </c>
      <c r="O1079">
        <v>0</v>
      </c>
      <c r="P1079">
        <v>0.125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60729.375181744574</v>
      </c>
      <c r="Z1079">
        <v>303646875.90872282</v>
      </c>
      <c r="AA1079">
        <v>368323660.4772808</v>
      </c>
      <c r="AB1079">
        <v>368323.66047728079</v>
      </c>
      <c r="AC1079">
        <v>0</v>
      </c>
      <c r="AD1079">
        <v>3147.0780768661562</v>
      </c>
      <c r="AE1079">
        <v>1888246.8461196939</v>
      </c>
      <c r="AF1079">
        <v>1888246.8461196939</v>
      </c>
      <c r="AG1079">
        <v>60.501430491331867</v>
      </c>
      <c r="AH1079">
        <v>62.326307773295781</v>
      </c>
      <c r="AI1079">
        <v>62.326307773295781</v>
      </c>
      <c r="AJ1079">
        <v>11970.51896551163</v>
      </c>
      <c r="AK1079">
        <v>854.70085470085473</v>
      </c>
      <c r="AL1079" t="s">
        <v>69</v>
      </c>
      <c r="AM1079">
        <v>4830.2888524304226</v>
      </c>
      <c r="AN1079">
        <v>661.19642771243218</v>
      </c>
      <c r="AO1079">
        <v>10595.47232146028</v>
      </c>
      <c r="AP1079">
        <v>18316.705100355339</v>
      </c>
      <c r="AQ1079">
        <v>7721.2327788950524</v>
      </c>
      <c r="AR1079">
        <v>6.3394883937504158E-3</v>
      </c>
      <c r="AS1079">
        <v>197.85513942892081</v>
      </c>
      <c r="AT1079">
        <v>79.837597445277993</v>
      </c>
      <c r="AU1079">
        <v>10.92860817244912</v>
      </c>
      <c r="AV1079">
        <v>175.12763310577111</v>
      </c>
      <c r="AW1079">
        <v>302.74829787668563</v>
      </c>
      <c r="AX1079">
        <v>127.6206647709145</v>
      </c>
      <c r="AY1079">
        <v>1.030162547681007</v>
      </c>
      <c r="AZ1079" t="str">
        <f>VLOOKUP(BA1079,Sheet1!$A$1:$B$58,2,FALSE)</f>
        <v>Pentanol (PW2)</v>
      </c>
      <c r="BA1079" t="s">
        <v>163</v>
      </c>
      <c r="BB1079" t="s">
        <v>83</v>
      </c>
      <c r="BC1079">
        <v>88.14658</v>
      </c>
      <c r="BD1079">
        <v>6</v>
      </c>
      <c r="BE1079">
        <v>138</v>
      </c>
      <c r="BF1079" t="s">
        <v>213</v>
      </c>
      <c r="BG1079">
        <v>0.8276597907672697</v>
      </c>
      <c r="BH1079">
        <v>0.15020202020202</v>
      </c>
      <c r="BI1079">
        <v>0.413213370278605</v>
      </c>
      <c r="BJ1079">
        <v>90</v>
      </c>
      <c r="BK1079">
        <v>814.07578223801477</v>
      </c>
      <c r="BL1079">
        <v>343.16590128422439</v>
      </c>
      <c r="BM1079">
        <v>1.94239833249032</v>
      </c>
      <c r="BN1079">
        <v>330.20771652335452</v>
      </c>
      <c r="BO1079">
        <v>483.8680657146603</v>
      </c>
    </row>
    <row r="1080" spans="1:67" x14ac:dyDescent="0.25">
      <c r="A1080" s="1">
        <v>1078</v>
      </c>
      <c r="B1080" t="s">
        <v>210</v>
      </c>
      <c r="C1080" t="s">
        <v>211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67</v>
      </c>
      <c r="J1080">
        <v>1.2130000000000001</v>
      </c>
      <c r="K1080">
        <v>500</v>
      </c>
      <c r="L1080">
        <v>100</v>
      </c>
      <c r="N1080" t="s">
        <v>68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54334.204019735502</v>
      </c>
      <c r="Z1080">
        <v>271671020.09867752</v>
      </c>
      <c r="AA1080">
        <v>329536947.37969577</v>
      </c>
      <c r="AB1080">
        <v>329536.94737969578</v>
      </c>
      <c r="AC1080">
        <v>0</v>
      </c>
      <c r="AD1080">
        <v>2815.6716874288518</v>
      </c>
      <c r="AE1080">
        <v>1689403.0124573109</v>
      </c>
      <c r="AF1080">
        <v>1689403.0124573109</v>
      </c>
      <c r="AG1080">
        <v>54.130263286325452</v>
      </c>
      <c r="AH1080">
        <v>55.762969933684687</v>
      </c>
      <c r="AI1080">
        <v>55.762969933684687</v>
      </c>
      <c r="AJ1080">
        <v>10709.950789840121</v>
      </c>
      <c r="AK1080">
        <v>854.70085470085473</v>
      </c>
      <c r="AL1080" t="s">
        <v>69</v>
      </c>
      <c r="AM1080">
        <v>4321.6301698605639</v>
      </c>
      <c r="AN1080">
        <v>591.56843772775937</v>
      </c>
      <c r="AO1080">
        <v>9479.7048887263973</v>
      </c>
      <c r="AP1080">
        <v>16477.85025212929</v>
      </c>
      <c r="AQ1080">
        <v>6998.1453634028967</v>
      </c>
      <c r="AR1080">
        <v>6.3394883937504167E-3</v>
      </c>
      <c r="AS1080">
        <v>197.85513942892081</v>
      </c>
      <c r="AT1080">
        <v>79.837597445278021</v>
      </c>
      <c r="AU1080">
        <v>10.928608172449129</v>
      </c>
      <c r="AV1080">
        <v>175.12763310577111</v>
      </c>
      <c r="AW1080">
        <v>304.4110494155305</v>
      </c>
      <c r="AX1080">
        <v>129.28341630975939</v>
      </c>
      <c r="AY1080">
        <v>1.030162547681007</v>
      </c>
      <c r="AZ1080" t="str">
        <f>VLOOKUP(BA1080,Sheet1!$A$1:$B$58,2,FALSE)</f>
        <v>Phenol</v>
      </c>
      <c r="BA1080" t="s">
        <v>164</v>
      </c>
      <c r="BB1080" t="s">
        <v>165</v>
      </c>
      <c r="BC1080">
        <v>94.11023999999999</v>
      </c>
      <c r="BD1080">
        <v>4.666666666666667</v>
      </c>
      <c r="BE1080">
        <v>181.7</v>
      </c>
      <c r="BF1080" t="s">
        <v>213</v>
      </c>
      <c r="BG1080">
        <v>0.1681667420799913</v>
      </c>
      <c r="BH1080">
        <v>0.15724247226624399</v>
      </c>
      <c r="BI1080">
        <v>0.46184885278981402</v>
      </c>
      <c r="BJ1080">
        <v>90</v>
      </c>
      <c r="BK1080">
        <v>732.34890009463527</v>
      </c>
      <c r="BL1080">
        <v>311.0286828179066</v>
      </c>
      <c r="BM1080">
        <v>2.310187477194884</v>
      </c>
      <c r="BN1080">
        <v>392.7318711231303</v>
      </c>
      <c r="BO1080">
        <v>339.61702897150502</v>
      </c>
    </row>
    <row r="1081" spans="1:67" x14ac:dyDescent="0.25">
      <c r="A1081" s="1">
        <v>1079</v>
      </c>
      <c r="B1081" t="s">
        <v>210</v>
      </c>
      <c r="C1081" t="s">
        <v>211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67</v>
      </c>
      <c r="J1081">
        <v>1.2130000000000001</v>
      </c>
      <c r="K1081">
        <v>500</v>
      </c>
      <c r="L1081">
        <v>100</v>
      </c>
      <c r="N1081" t="s">
        <v>68</v>
      </c>
      <c r="O1081">
        <v>0</v>
      </c>
      <c r="P1081">
        <v>0.125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74113.359495617362</v>
      </c>
      <c r="Z1081">
        <v>370566797.47808683</v>
      </c>
      <c r="AA1081">
        <v>449497525.34091938</v>
      </c>
      <c r="AB1081">
        <v>449497.52534091938</v>
      </c>
      <c r="AC1081">
        <v>66773.504273504266</v>
      </c>
      <c r="AD1081">
        <v>3840.6541838037938</v>
      </c>
      <c r="AE1081">
        <v>2304392.5102822762</v>
      </c>
      <c r="AF1081">
        <v>2304392.5102822762</v>
      </c>
      <c r="AG1081">
        <v>73.835178685505028</v>
      </c>
      <c r="AH1081">
        <v>76.062235783142228</v>
      </c>
      <c r="AI1081">
        <v>76.062235783142228</v>
      </c>
      <c r="AJ1081">
        <v>14608.66957357988</v>
      </c>
      <c r="AK1081">
        <v>2170.1388888888891</v>
      </c>
      <c r="AL1081" t="s">
        <v>107</v>
      </c>
      <c r="AM1081">
        <v>5894.8232731935223</v>
      </c>
      <c r="AN1081">
        <v>806.91573719665178</v>
      </c>
      <c r="AO1081">
        <v>12930.58008313418</v>
      </c>
      <c r="AP1081">
        <v>23480.54747285894</v>
      </c>
      <c r="AQ1081">
        <v>10549.967389724759</v>
      </c>
      <c r="AR1081">
        <v>6.3394883937504176E-3</v>
      </c>
      <c r="AS1081">
        <v>197.85513942892081</v>
      </c>
      <c r="AT1081">
        <v>79.837597445278007</v>
      </c>
      <c r="AU1081">
        <v>10.928608172449129</v>
      </c>
      <c r="AV1081">
        <v>175.12763310577111</v>
      </c>
      <c r="AW1081">
        <v>318.01301074752502</v>
      </c>
      <c r="AX1081">
        <v>142.88537764175379</v>
      </c>
      <c r="AY1081">
        <v>1.030162547681007</v>
      </c>
      <c r="AZ1081" t="str">
        <f>VLOOKUP(BA1081,Sheet1!$A$1:$B$58,2,FALSE)</f>
        <v>Propane (PW1)</v>
      </c>
      <c r="BA1081" t="s">
        <v>166</v>
      </c>
      <c r="BB1081" t="s">
        <v>167</v>
      </c>
      <c r="BC1081">
        <v>44.094819999999999</v>
      </c>
      <c r="BD1081">
        <v>6.666666666666667</v>
      </c>
      <c r="BE1081">
        <v>-42</v>
      </c>
      <c r="BF1081" t="s">
        <v>213</v>
      </c>
      <c r="BG1081">
        <v>1.0624233209617799</v>
      </c>
      <c r="BH1081">
        <v>0.246034482758621</v>
      </c>
      <c r="BI1081">
        <v>0.33859198887410402</v>
      </c>
      <c r="BJ1081">
        <v>90</v>
      </c>
      <c r="BK1081">
        <v>1043.5798876826191</v>
      </c>
      <c r="BL1081">
        <v>468.88743954332261</v>
      </c>
      <c r="BM1081">
        <v>2.3181204916223188</v>
      </c>
      <c r="BN1081">
        <v>394.08048357579429</v>
      </c>
      <c r="BO1081">
        <v>649.49940410682507</v>
      </c>
    </row>
    <row r="1082" spans="1:67" x14ac:dyDescent="0.25">
      <c r="A1082" s="1">
        <v>1080</v>
      </c>
      <c r="B1082" t="s">
        <v>210</v>
      </c>
      <c r="C1082" t="s">
        <v>211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67</v>
      </c>
      <c r="J1082">
        <v>1.2130000000000001</v>
      </c>
      <c r="K1082">
        <v>500</v>
      </c>
      <c r="L1082">
        <v>100</v>
      </c>
      <c r="N1082" t="s">
        <v>68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87806.302097951455</v>
      </c>
      <c r="Z1082">
        <v>439031510.4897573</v>
      </c>
      <c r="AA1082">
        <v>532545222.22407562</v>
      </c>
      <c r="AB1082">
        <v>532545.22222407558</v>
      </c>
      <c r="AC1082">
        <v>66773.504273504266</v>
      </c>
      <c r="AD1082">
        <v>4550.2409256832998</v>
      </c>
      <c r="AE1082">
        <v>2730144.55540998</v>
      </c>
      <c r="AF1082">
        <v>2730144.55540998</v>
      </c>
      <c r="AG1082">
        <v>87.476725508564499</v>
      </c>
      <c r="AH1082">
        <v>90.115246412694901</v>
      </c>
      <c r="AI1082">
        <v>90.115246412694901</v>
      </c>
      <c r="AJ1082">
        <v>17307.719722282462</v>
      </c>
      <c r="AK1082">
        <v>2170.1388888888891</v>
      </c>
      <c r="AL1082" t="s">
        <v>107</v>
      </c>
      <c r="AM1082">
        <v>6983.9315969838544</v>
      </c>
      <c r="AN1082">
        <v>955.99885729198672</v>
      </c>
      <c r="AO1082">
        <v>15319.59189015813</v>
      </c>
      <c r="AP1082">
        <v>27417.789065447181</v>
      </c>
      <c r="AQ1082">
        <v>12098.197175289049</v>
      </c>
      <c r="AR1082">
        <v>6.3394883937504158E-3</v>
      </c>
      <c r="AS1082">
        <v>197.85513942892081</v>
      </c>
      <c r="AT1082">
        <v>79.837597445277993</v>
      </c>
      <c r="AU1082">
        <v>10.92860817244912</v>
      </c>
      <c r="AV1082">
        <v>175.12763310577111</v>
      </c>
      <c r="AW1082">
        <v>313.42953118155771</v>
      </c>
      <c r="AX1082">
        <v>138.3018980757866</v>
      </c>
      <c r="AY1082">
        <v>1.030162547681007</v>
      </c>
      <c r="AZ1082" t="str">
        <f>VLOOKUP(BA1082,Sheet1!$A$1:$B$58,2,FALSE)</f>
        <v>Propane (PW2)</v>
      </c>
      <c r="BA1082" t="s">
        <v>168</v>
      </c>
      <c r="BB1082" t="s">
        <v>167</v>
      </c>
      <c r="BC1082">
        <v>44.094819999999999</v>
      </c>
      <c r="BD1082">
        <v>6.666666666666667</v>
      </c>
      <c r="BE1082">
        <v>-42</v>
      </c>
      <c r="BF1082" t="s">
        <v>213</v>
      </c>
      <c r="BG1082">
        <v>1.8119172212045911</v>
      </c>
      <c r="BH1082">
        <v>0.207666666666667</v>
      </c>
      <c r="BI1082">
        <v>0.28579030427416202</v>
      </c>
      <c r="BJ1082">
        <v>90</v>
      </c>
      <c r="BK1082">
        <v>1218.568402908764</v>
      </c>
      <c r="BL1082">
        <v>537.69765223506886</v>
      </c>
      <c r="BM1082">
        <v>2.1932048415818488</v>
      </c>
      <c r="BN1082">
        <v>372.84482306891442</v>
      </c>
      <c r="BO1082">
        <v>845.72357983984921</v>
      </c>
    </row>
    <row r="1083" spans="1:67" x14ac:dyDescent="0.25">
      <c r="A1083" s="1">
        <v>1081</v>
      </c>
      <c r="B1083" t="s">
        <v>210</v>
      </c>
      <c r="C1083" t="s">
        <v>211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67</v>
      </c>
      <c r="J1083">
        <v>1.2130000000000001</v>
      </c>
      <c r="K1083">
        <v>500</v>
      </c>
      <c r="L1083">
        <v>100</v>
      </c>
      <c r="N1083" t="s">
        <v>68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27707.922904726089</v>
      </c>
      <c r="Z1083">
        <v>138539614.5236305</v>
      </c>
      <c r="AA1083">
        <v>168048552.41716379</v>
      </c>
      <c r="AB1083">
        <v>168048.5524171638</v>
      </c>
      <c r="AC1083">
        <v>0</v>
      </c>
      <c r="AD1083">
        <v>1435.8619114390849</v>
      </c>
      <c r="AE1083">
        <v>861517.14686345123</v>
      </c>
      <c r="AF1083">
        <v>861517.14686345123</v>
      </c>
      <c r="AG1083">
        <v>27.60392259368065</v>
      </c>
      <c r="AH1083">
        <v>28.436527225095361</v>
      </c>
      <c r="AI1083">
        <v>28.436527225095361</v>
      </c>
      <c r="AJ1083">
        <v>5461.5779535578222</v>
      </c>
      <c r="AK1083">
        <v>854.70085470085473</v>
      </c>
      <c r="AL1083" t="s">
        <v>69</v>
      </c>
      <c r="AM1083">
        <v>2203.830859944891</v>
      </c>
      <c r="AN1083">
        <v>301.67245404895152</v>
      </c>
      <c r="AO1083">
        <v>4834.2096282662123</v>
      </c>
      <c r="AP1083">
        <v>8821.7821222525181</v>
      </c>
      <c r="AQ1083">
        <v>3987.5724939863062</v>
      </c>
      <c r="AR1083">
        <v>6.3394883937504167E-3</v>
      </c>
      <c r="AS1083">
        <v>197.85513942892081</v>
      </c>
      <c r="AT1083">
        <v>79.837597445278007</v>
      </c>
      <c r="AU1083">
        <v>10.928608172449129</v>
      </c>
      <c r="AV1083">
        <v>175.12763310577111</v>
      </c>
      <c r="AW1083">
        <v>319.58436676213847</v>
      </c>
      <c r="AX1083">
        <v>144.45673365636731</v>
      </c>
      <c r="AY1083">
        <v>1.030162547681007</v>
      </c>
      <c r="AZ1083" t="str">
        <f>VLOOKUP(BA1083,Sheet1!$A$1:$B$58,2,FALSE)</f>
        <v>Shikimate</v>
      </c>
      <c r="BA1083" t="s">
        <v>169</v>
      </c>
      <c r="BB1083" t="s">
        <v>170</v>
      </c>
      <c r="BC1083">
        <v>173.14045999999999</v>
      </c>
      <c r="BD1083">
        <v>3.8571428571428572</v>
      </c>
      <c r="BE1083">
        <v>400.5</v>
      </c>
      <c r="BF1083" t="s">
        <v>213</v>
      </c>
      <c r="BG1083">
        <v>-0.26269202717669299</v>
      </c>
      <c r="BH1083">
        <v>0.16760135135135101</v>
      </c>
      <c r="BI1083">
        <v>0.905668385178099</v>
      </c>
      <c r="BJ1083">
        <v>90</v>
      </c>
      <c r="BK1083">
        <v>392.07920543344528</v>
      </c>
      <c r="BL1083">
        <v>177.22544417716921</v>
      </c>
      <c r="BM1083">
        <v>1.526537681625376</v>
      </c>
      <c r="BN1083">
        <v>259.51140587631392</v>
      </c>
      <c r="BO1083">
        <v>132.56779955713139</v>
      </c>
    </row>
    <row r="1084" spans="1:67" x14ac:dyDescent="0.25">
      <c r="A1084" s="1">
        <v>1082</v>
      </c>
      <c r="B1084" t="s">
        <v>210</v>
      </c>
      <c r="C1084" t="s">
        <v>211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67</v>
      </c>
      <c r="J1084">
        <v>1.2130000000000001</v>
      </c>
      <c r="K1084">
        <v>500</v>
      </c>
      <c r="L1084">
        <v>100</v>
      </c>
      <c r="N1084" t="s">
        <v>68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66370.882646206679</v>
      </c>
      <c r="Z1084">
        <v>331854413.23103338</v>
      </c>
      <c r="AA1084">
        <v>402539403.2492435</v>
      </c>
      <c r="AB1084">
        <v>402539.40324924351</v>
      </c>
      <c r="AC1084">
        <v>0</v>
      </c>
      <c r="AD1084">
        <v>3439.428597660291</v>
      </c>
      <c r="AE1084">
        <v>2063657.158596175</v>
      </c>
      <c r="AF1084">
        <v>2063657.158596175</v>
      </c>
      <c r="AG1084">
        <v>66.121762838009559</v>
      </c>
      <c r="AH1084">
        <v>68.116163662363249</v>
      </c>
      <c r="AI1084">
        <v>68.116163662363249</v>
      </c>
      <c r="AJ1084">
        <v>13082.53060560041</v>
      </c>
      <c r="AK1084">
        <v>854.70085470085473</v>
      </c>
      <c r="AL1084" t="s">
        <v>69</v>
      </c>
      <c r="AM1084">
        <v>5279.0026838331514</v>
      </c>
      <c r="AN1084">
        <v>722.61883772821432</v>
      </c>
      <c r="AO1084">
        <v>11579.74782260175</v>
      </c>
      <c r="AP1084">
        <v>19938.852981862641</v>
      </c>
      <c r="AQ1084">
        <v>8359.1051592608856</v>
      </c>
      <c r="AR1084">
        <v>6.3394883937504167E-3</v>
      </c>
      <c r="AS1084">
        <v>197.85513942892081</v>
      </c>
      <c r="AT1084">
        <v>79.837597445278021</v>
      </c>
      <c r="AU1084">
        <v>10.928608172449129</v>
      </c>
      <c r="AV1084">
        <v>175.1276331057712</v>
      </c>
      <c r="AW1084">
        <v>301.5475106238539</v>
      </c>
      <c r="AX1084">
        <v>126.4198775180827</v>
      </c>
      <c r="AY1084">
        <v>1.030162547681007</v>
      </c>
      <c r="AZ1084" t="str">
        <f>VLOOKUP(BA1084,Sheet1!$A$1:$B$58,2,FALSE)</f>
        <v>Styrene</v>
      </c>
      <c r="BA1084" t="s">
        <v>171</v>
      </c>
      <c r="BB1084" t="s">
        <v>172</v>
      </c>
      <c r="BC1084">
        <v>104.14832</v>
      </c>
      <c r="BD1084">
        <v>5</v>
      </c>
      <c r="BE1084">
        <v>145</v>
      </c>
      <c r="BF1084" t="s">
        <v>213</v>
      </c>
      <c r="BG1084">
        <v>0.25229865012010311</v>
      </c>
      <c r="BH1084">
        <v>0.116318874560375</v>
      </c>
      <c r="BI1084">
        <v>0.378090343133274</v>
      </c>
      <c r="BJ1084">
        <v>90</v>
      </c>
      <c r="BK1084">
        <v>886.17124363833932</v>
      </c>
      <c r="BL1084">
        <v>371.51578485603932</v>
      </c>
      <c r="BM1084">
        <v>2.7750864015404848</v>
      </c>
      <c r="BN1084">
        <v>471.7646882618825</v>
      </c>
      <c r="BO1084">
        <v>414.40655537645682</v>
      </c>
    </row>
    <row r="1085" spans="1:67" x14ac:dyDescent="0.25">
      <c r="A1085" s="1">
        <v>1083</v>
      </c>
      <c r="B1085" t="s">
        <v>210</v>
      </c>
      <c r="C1085" t="s">
        <v>211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67</v>
      </c>
      <c r="J1085">
        <v>1.2130000000000001</v>
      </c>
      <c r="K1085">
        <v>500</v>
      </c>
      <c r="L1085">
        <v>100</v>
      </c>
      <c r="N1085" t="s">
        <v>68</v>
      </c>
      <c r="O1085">
        <v>0</v>
      </c>
      <c r="P1085">
        <v>0.125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18641.098836742709</v>
      </c>
      <c r="Z1085">
        <v>93205494.18371357</v>
      </c>
      <c r="AA1085">
        <v>113058264.4448446</v>
      </c>
      <c r="AB1085">
        <v>113058.26444484459</v>
      </c>
      <c r="AC1085">
        <v>0</v>
      </c>
      <c r="AD1085">
        <v>966.00686738899753</v>
      </c>
      <c r="AE1085">
        <v>579604.12043339852</v>
      </c>
      <c r="AF1085">
        <v>579604.12043339852</v>
      </c>
      <c r="AG1085">
        <v>18.57113039905375</v>
      </c>
      <c r="AH1085">
        <v>19.1312830052054</v>
      </c>
      <c r="AI1085">
        <v>19.1312830052054</v>
      </c>
      <c r="AJ1085">
        <v>3674.3935944574491</v>
      </c>
      <c r="AK1085">
        <v>854.70085470085473</v>
      </c>
      <c r="AL1085" t="s">
        <v>69</v>
      </c>
      <c r="AM1085">
        <v>1482.6744329034179</v>
      </c>
      <c r="AN1085">
        <v>202.9566074507172</v>
      </c>
      <c r="AO1085">
        <v>3252.318110884918</v>
      </c>
      <c r="AP1085">
        <v>6214.7254895124388</v>
      </c>
      <c r="AQ1085">
        <v>2962.4073786275212</v>
      </c>
      <c r="AR1085">
        <v>6.3394883937504176E-3</v>
      </c>
      <c r="AS1085">
        <v>197.85513942892081</v>
      </c>
      <c r="AT1085">
        <v>79.837597445277993</v>
      </c>
      <c r="AU1085">
        <v>10.928608172449129</v>
      </c>
      <c r="AV1085">
        <v>175.12763310577111</v>
      </c>
      <c r="AW1085">
        <v>334.64443768210771</v>
      </c>
      <c r="AX1085">
        <v>159.5168045763366</v>
      </c>
      <c r="AY1085">
        <v>1.0301625476810059</v>
      </c>
      <c r="AZ1085" t="str">
        <f>VLOOKUP(BA1085,Sheet1!$A$1:$B$58,2,FALSE)</f>
        <v>Succinate</v>
      </c>
      <c r="BA1085" t="s">
        <v>173</v>
      </c>
      <c r="BB1085" t="s">
        <v>174</v>
      </c>
      <c r="BC1085">
        <v>116.07016</v>
      </c>
      <c r="BD1085">
        <v>3</v>
      </c>
      <c r="BE1085">
        <v>235</v>
      </c>
      <c r="BF1085" t="s">
        <v>213</v>
      </c>
      <c r="BG1085">
        <v>-0.49633379010558321</v>
      </c>
      <c r="BH1085">
        <v>0.37161048689138598</v>
      </c>
      <c r="BI1085">
        <v>1.3461754595872</v>
      </c>
      <c r="BJ1085">
        <v>90</v>
      </c>
      <c r="BK1085">
        <v>276.21002175610829</v>
      </c>
      <c r="BL1085">
        <v>131.66255016122321</v>
      </c>
      <c r="BM1085">
        <v>1.3466130347813789</v>
      </c>
      <c r="BN1085">
        <v>228.92421591283431</v>
      </c>
      <c r="BO1085">
        <v>47.285805843274012</v>
      </c>
    </row>
    <row r="1086" spans="1:67" x14ac:dyDescent="0.25">
      <c r="A1086" s="1">
        <v>1084</v>
      </c>
      <c r="B1086" t="s">
        <v>210</v>
      </c>
      <c r="C1086" t="s">
        <v>211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67</v>
      </c>
      <c r="J1086">
        <v>1.2130000000000001</v>
      </c>
      <c r="K1086">
        <v>500</v>
      </c>
      <c r="L1086">
        <v>100</v>
      </c>
      <c r="N1086" t="s">
        <v>68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51299.045217081031</v>
      </c>
      <c r="Z1086">
        <v>256495226.0854052</v>
      </c>
      <c r="AA1086">
        <v>311128709.24159652</v>
      </c>
      <c r="AB1086">
        <v>311128.70924159652</v>
      </c>
      <c r="AC1086">
        <v>0</v>
      </c>
      <c r="AD1086">
        <v>2658.3856672935331</v>
      </c>
      <c r="AE1086">
        <v>1595031.4003761199</v>
      </c>
      <c r="AF1086">
        <v>1595031.4003761199</v>
      </c>
      <c r="AG1086">
        <v>51.106496801335282</v>
      </c>
      <c r="AH1086">
        <v>52.647998947914779</v>
      </c>
      <c r="AI1086">
        <v>52.647998947914779</v>
      </c>
      <c r="AJ1086">
        <v>10111.68305035189</v>
      </c>
      <c r="AK1086">
        <v>854.70085470085473</v>
      </c>
      <c r="AL1086" t="s">
        <v>69</v>
      </c>
      <c r="AM1086">
        <v>4080.219918463396</v>
      </c>
      <c r="AN1086">
        <v>558.52287860831791</v>
      </c>
      <c r="AO1086">
        <v>8950.159821145513</v>
      </c>
      <c r="AP1086">
        <v>15605.126702124449</v>
      </c>
      <c r="AQ1086">
        <v>6654.9668809789418</v>
      </c>
      <c r="AR1086">
        <v>6.3394883937504176E-3</v>
      </c>
      <c r="AS1086">
        <v>197.85513942892081</v>
      </c>
      <c r="AT1086">
        <v>79.837597445278021</v>
      </c>
      <c r="AU1086">
        <v>10.928608172449129</v>
      </c>
      <c r="AV1086">
        <v>175.1276331057712</v>
      </c>
      <c r="AW1086">
        <v>305.34526290827142</v>
      </c>
      <c r="AX1086">
        <v>130.21762980250031</v>
      </c>
      <c r="AY1086">
        <v>1.030162547681007</v>
      </c>
      <c r="AZ1086" t="str">
        <f>VLOOKUP(BA1086,Sheet1!$A$1:$B$58,2,FALSE)</f>
        <v>1,3-Butanediol (PW1)</v>
      </c>
      <c r="BA1086" t="s">
        <v>70</v>
      </c>
      <c r="BB1086" t="s">
        <v>71</v>
      </c>
      <c r="BC1086">
        <v>90.119200000000006</v>
      </c>
      <c r="BD1086">
        <v>5.5</v>
      </c>
      <c r="BE1086">
        <v>207</v>
      </c>
      <c r="BF1086" t="s">
        <v>214</v>
      </c>
      <c r="BG1086">
        <v>0.8544804639703395</v>
      </c>
      <c r="BH1086">
        <v>0.17392156862745101</v>
      </c>
      <c r="BI1086">
        <v>0.48917459745248698</v>
      </c>
      <c r="BJ1086">
        <v>90</v>
      </c>
      <c r="BK1086">
        <v>693.56118676108679</v>
      </c>
      <c r="BL1086">
        <v>295.77630582128631</v>
      </c>
      <c r="BM1086">
        <v>1.485430600381429</v>
      </c>
      <c r="BN1086">
        <v>252.52320206484279</v>
      </c>
      <c r="BO1086">
        <v>441.03798469624388</v>
      </c>
    </row>
    <row r="1087" spans="1:67" x14ac:dyDescent="0.25">
      <c r="A1087" s="1">
        <v>1085</v>
      </c>
      <c r="B1087" t="s">
        <v>210</v>
      </c>
      <c r="C1087" t="s">
        <v>211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67</v>
      </c>
      <c r="J1087">
        <v>1.2130000000000001</v>
      </c>
      <c r="K1087">
        <v>500</v>
      </c>
      <c r="L1087">
        <v>100</v>
      </c>
      <c r="N1087" t="s">
        <v>68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50293.181585373728</v>
      </c>
      <c r="Z1087">
        <v>251465907.92686859</v>
      </c>
      <c r="AA1087">
        <v>305028146.3152917</v>
      </c>
      <c r="AB1087">
        <v>305028.1463152917</v>
      </c>
      <c r="AC1087">
        <v>0</v>
      </c>
      <c r="AD1087">
        <v>2606.2604581309229</v>
      </c>
      <c r="AE1087">
        <v>1563756.274878554</v>
      </c>
      <c r="AF1087">
        <v>1563756.274878554</v>
      </c>
      <c r="AG1087">
        <v>50.104408628760247</v>
      </c>
      <c r="AH1087">
        <v>51.615685243053868</v>
      </c>
      <c r="AI1087">
        <v>51.615685243053868</v>
      </c>
      <c r="AJ1087">
        <v>9913.4147552469803</v>
      </c>
      <c r="AK1087">
        <v>854.70085470085473</v>
      </c>
      <c r="AL1087" t="s">
        <v>69</v>
      </c>
      <c r="AM1087">
        <v>4000.2156063366751</v>
      </c>
      <c r="AN1087">
        <v>547.57144961599977</v>
      </c>
      <c r="AO1087">
        <v>8774.666491319158</v>
      </c>
      <c r="AP1087">
        <v>15315.90266590051</v>
      </c>
      <c r="AQ1087">
        <v>6541.2361745813523</v>
      </c>
      <c r="AR1087">
        <v>6.3394883937504167E-3</v>
      </c>
      <c r="AS1087">
        <v>197.85513942892081</v>
      </c>
      <c r="AT1087">
        <v>79.837597445278007</v>
      </c>
      <c r="AU1087">
        <v>10.928608172449129</v>
      </c>
      <c r="AV1087">
        <v>175.12763310577111</v>
      </c>
      <c r="AW1087">
        <v>305.67974126550382</v>
      </c>
      <c r="AX1087">
        <v>130.55210815973271</v>
      </c>
      <c r="AY1087">
        <v>1.030162547681007</v>
      </c>
      <c r="AZ1087" t="str">
        <f>VLOOKUP(BA1087,Sheet1!$A$1:$B$58,2,FALSE)</f>
        <v>1,3-Butanediol (PW2)</v>
      </c>
      <c r="BA1087" t="s">
        <v>72</v>
      </c>
      <c r="BB1087" t="s">
        <v>71</v>
      </c>
      <c r="BC1087">
        <v>90.119200000000006</v>
      </c>
      <c r="BD1087">
        <v>5.5</v>
      </c>
      <c r="BE1087">
        <v>207</v>
      </c>
      <c r="BF1087" t="s">
        <v>214</v>
      </c>
      <c r="BG1087">
        <v>0.79942373304442027</v>
      </c>
      <c r="BH1087">
        <v>0.177399999999999</v>
      </c>
      <c r="BI1087">
        <v>0.49895808940153502</v>
      </c>
      <c r="BJ1087">
        <v>90</v>
      </c>
      <c r="BK1087">
        <v>680.70678515113377</v>
      </c>
      <c r="BL1087">
        <v>290.72160775917109</v>
      </c>
      <c r="BM1087">
        <v>1.494606722202418</v>
      </c>
      <c r="BN1087">
        <v>254.0831427744111</v>
      </c>
      <c r="BO1087">
        <v>426.62364237672261</v>
      </c>
    </row>
    <row r="1088" spans="1:67" x14ac:dyDescent="0.25">
      <c r="A1088" s="1">
        <v>1086</v>
      </c>
      <c r="B1088" t="s">
        <v>210</v>
      </c>
      <c r="C1088" t="s">
        <v>211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67</v>
      </c>
      <c r="J1088">
        <v>1.2130000000000001</v>
      </c>
      <c r="K1088">
        <v>500</v>
      </c>
      <c r="L1088">
        <v>100</v>
      </c>
      <c r="N1088" t="s">
        <v>68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51788.7243696101</v>
      </c>
      <c r="Z1088">
        <v>258943621.8480505</v>
      </c>
      <c r="AA1088">
        <v>314098613.30168527</v>
      </c>
      <c r="AB1088">
        <v>314098.61330168531</v>
      </c>
      <c r="AC1088">
        <v>0</v>
      </c>
      <c r="AD1088">
        <v>2683.761500998568</v>
      </c>
      <c r="AE1088">
        <v>1610256.9005991409</v>
      </c>
      <c r="AF1088">
        <v>1610256.9005991409</v>
      </c>
      <c r="AG1088">
        <v>51.594337967511102</v>
      </c>
      <c r="AH1088">
        <v>53.150554646526139</v>
      </c>
      <c r="AI1088">
        <v>53.150554646526139</v>
      </c>
      <c r="AJ1088">
        <v>10208.20493230477</v>
      </c>
      <c r="AK1088">
        <v>854.70085470085473</v>
      </c>
      <c r="AL1088" t="s">
        <v>69</v>
      </c>
      <c r="AM1088">
        <v>4119.1679851057761</v>
      </c>
      <c r="AN1088">
        <v>563.85430356384416</v>
      </c>
      <c r="AO1088">
        <v>9035.5942899094443</v>
      </c>
      <c r="AP1088">
        <v>15745.928075675251</v>
      </c>
      <c r="AQ1088">
        <v>6710.3337857658034</v>
      </c>
      <c r="AR1088">
        <v>6.3394883937504167E-3</v>
      </c>
      <c r="AS1088">
        <v>197.85513942892081</v>
      </c>
      <c r="AT1088">
        <v>79.837597445278035</v>
      </c>
      <c r="AU1088">
        <v>10.928608172449129</v>
      </c>
      <c r="AV1088">
        <v>175.1276331057712</v>
      </c>
      <c r="AW1088">
        <v>305.18713285148527</v>
      </c>
      <c r="AX1088">
        <v>130.05949974571419</v>
      </c>
      <c r="AY1088">
        <v>1.030162547681007</v>
      </c>
      <c r="AZ1088" t="str">
        <f>VLOOKUP(BA1088,Sheet1!$A$1:$B$58,2,FALSE)</f>
        <v>1,3-Diaminopropane</v>
      </c>
      <c r="BA1088" t="s">
        <v>73</v>
      </c>
      <c r="BB1088" t="s">
        <v>74</v>
      </c>
      <c r="BC1088">
        <v>76.139580000000009</v>
      </c>
      <c r="BD1088">
        <v>6</v>
      </c>
      <c r="BE1088">
        <v>139.30000000000001</v>
      </c>
      <c r="BF1088" t="s">
        <v>214</v>
      </c>
      <c r="BG1088">
        <v>1.100644129323924</v>
      </c>
      <c r="BH1088">
        <v>0.20390804597701201</v>
      </c>
      <c r="BI1088">
        <v>0.48454929329149399</v>
      </c>
      <c r="BJ1088">
        <v>90</v>
      </c>
      <c r="BK1088">
        <v>699.81902558556635</v>
      </c>
      <c r="BL1088">
        <v>298.23705714514671</v>
      </c>
      <c r="BM1088">
        <v>1.261602743855015</v>
      </c>
      <c r="BN1088">
        <v>214.4724664553525</v>
      </c>
      <c r="BO1088">
        <v>485.34655913021379</v>
      </c>
    </row>
    <row r="1089" spans="1:67" x14ac:dyDescent="0.25">
      <c r="A1089" s="1">
        <v>1087</v>
      </c>
      <c r="B1089" t="s">
        <v>210</v>
      </c>
      <c r="C1089" t="s">
        <v>211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67</v>
      </c>
      <c r="J1089">
        <v>1.2130000000000001</v>
      </c>
      <c r="K1089">
        <v>500</v>
      </c>
      <c r="L1089">
        <v>100</v>
      </c>
      <c r="N1089" t="s">
        <v>68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45864.164230541239</v>
      </c>
      <c r="Z1089">
        <v>229320821.15270621</v>
      </c>
      <c r="AA1089">
        <v>278166156.05823272</v>
      </c>
      <c r="AB1089">
        <v>278166.15605823259</v>
      </c>
      <c r="AC1089">
        <v>0</v>
      </c>
      <c r="AD1089">
        <v>2376.7428090897561</v>
      </c>
      <c r="AE1089">
        <v>1426045.6854538531</v>
      </c>
      <c r="AF1089">
        <v>1426045.6854538531</v>
      </c>
      <c r="AG1089">
        <v>45.692015370368033</v>
      </c>
      <c r="AH1089">
        <v>47.070202962618062</v>
      </c>
      <c r="AI1089">
        <v>47.070202962618062</v>
      </c>
      <c r="AJ1089">
        <v>9040.4000718925618</v>
      </c>
      <c r="AK1089">
        <v>854.70085470085473</v>
      </c>
      <c r="AL1089" t="s">
        <v>69</v>
      </c>
      <c r="AM1089">
        <v>3647.9407296028999</v>
      </c>
      <c r="AN1089">
        <v>499.35013259227532</v>
      </c>
      <c r="AO1089">
        <v>8001.9345036450704</v>
      </c>
      <c r="AP1089">
        <v>14042.391788788589</v>
      </c>
      <c r="AQ1089">
        <v>6040.4572851435223</v>
      </c>
      <c r="AR1089">
        <v>6.3394883937504176E-3</v>
      </c>
      <c r="AS1089">
        <v>197.85513942892081</v>
      </c>
      <c r="AT1089">
        <v>79.837597445278035</v>
      </c>
      <c r="AU1089">
        <v>10.928608172449129</v>
      </c>
      <c r="AV1089">
        <v>175.1276331057712</v>
      </c>
      <c r="AW1089">
        <v>307.32703897966587</v>
      </c>
      <c r="AX1089">
        <v>132.19940587389479</v>
      </c>
      <c r="AY1089">
        <v>1.030162547681007</v>
      </c>
      <c r="AZ1089" t="str">
        <f>VLOOKUP(BA1089,Sheet1!$A$1:$B$58,2,FALSE)</f>
        <v>1,3-Propanediol</v>
      </c>
      <c r="BA1089" t="s">
        <v>75</v>
      </c>
      <c r="BB1089" t="s">
        <v>76</v>
      </c>
      <c r="BC1089">
        <v>76.092820000000003</v>
      </c>
      <c r="BD1089">
        <v>5.333333333333333</v>
      </c>
      <c r="BE1089">
        <v>213</v>
      </c>
      <c r="BF1089" t="s">
        <v>214</v>
      </c>
      <c r="BG1089">
        <v>0.77529310923017225</v>
      </c>
      <c r="BH1089">
        <v>0.230389610389611</v>
      </c>
      <c r="BI1089">
        <v>0.54714154754077404</v>
      </c>
      <c r="BJ1089">
        <v>90</v>
      </c>
      <c r="BK1089">
        <v>624.10630172393746</v>
      </c>
      <c r="BL1089">
        <v>268.46476822860097</v>
      </c>
      <c r="BM1089">
        <v>1.316715911330631</v>
      </c>
      <c r="BN1089">
        <v>223.8417049262072</v>
      </c>
      <c r="BO1089">
        <v>400.26459679773029</v>
      </c>
    </row>
    <row r="1090" spans="1:67" x14ac:dyDescent="0.25">
      <c r="A1090" s="1">
        <v>1088</v>
      </c>
      <c r="B1090" t="s">
        <v>210</v>
      </c>
      <c r="C1090" t="s">
        <v>211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67</v>
      </c>
      <c r="J1090">
        <v>1.2130000000000001</v>
      </c>
      <c r="K1090">
        <v>500</v>
      </c>
      <c r="L1090">
        <v>100</v>
      </c>
      <c r="N1090" t="s">
        <v>68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51801.977032934781</v>
      </c>
      <c r="Z1090">
        <v>259009885.16467389</v>
      </c>
      <c r="AA1090">
        <v>314178990.70474952</v>
      </c>
      <c r="AB1090">
        <v>314178.99070474948</v>
      </c>
      <c r="AC1090">
        <v>0</v>
      </c>
      <c r="AD1090">
        <v>2684.4482718748432</v>
      </c>
      <c r="AE1090">
        <v>1610668.9631249059</v>
      </c>
      <c r="AF1090">
        <v>1610668.9631249059</v>
      </c>
      <c r="AG1090">
        <v>51.607540887622903</v>
      </c>
      <c r="AH1090">
        <v>53.164155800345327</v>
      </c>
      <c r="AI1090">
        <v>53.164155800345327</v>
      </c>
      <c r="AJ1090">
        <v>10210.81719790436</v>
      </c>
      <c r="AK1090">
        <v>854.70085470085473</v>
      </c>
      <c r="AL1090" t="s">
        <v>69</v>
      </c>
      <c r="AM1090">
        <v>4120.2220745267632</v>
      </c>
      <c r="AN1090">
        <v>563.998593104478</v>
      </c>
      <c r="AO1090">
        <v>9037.9064860587059</v>
      </c>
      <c r="AP1090">
        <v>15749.73872023645</v>
      </c>
      <c r="AQ1090">
        <v>6711.8322341777484</v>
      </c>
      <c r="AR1090">
        <v>6.3394883937504167E-3</v>
      </c>
      <c r="AS1090">
        <v>197.85513942892081</v>
      </c>
      <c r="AT1090">
        <v>79.837597445278021</v>
      </c>
      <c r="AU1090">
        <v>10.928608172449129</v>
      </c>
      <c r="AV1090">
        <v>175.1276331057712</v>
      </c>
      <c r="AW1090">
        <v>305.18289477369251</v>
      </c>
      <c r="AX1090">
        <v>130.05526166792129</v>
      </c>
      <c r="AY1090">
        <v>1.030162547681007</v>
      </c>
      <c r="AZ1090" t="str">
        <f>VLOOKUP(BA1090,Sheet1!$A$1:$B$58,2,FALSE)</f>
        <v>1,4-Butanediol</v>
      </c>
      <c r="BA1090" t="s">
        <v>77</v>
      </c>
      <c r="BB1090" t="s">
        <v>71</v>
      </c>
      <c r="BC1090">
        <v>90.119200000000006</v>
      </c>
      <c r="BD1090">
        <v>5.5</v>
      </c>
      <c r="BE1090">
        <v>230</v>
      </c>
      <c r="BF1090" t="s">
        <v>214</v>
      </c>
      <c r="BG1090">
        <v>0.88200882943330228</v>
      </c>
      <c r="BH1090">
        <v>0.17223300970873801</v>
      </c>
      <c r="BI1090">
        <v>0.48442532951605499</v>
      </c>
      <c r="BJ1090">
        <v>90</v>
      </c>
      <c r="BK1090">
        <v>699.98838756606449</v>
      </c>
      <c r="BL1090">
        <v>298.30365485234421</v>
      </c>
      <c r="BM1090">
        <v>1.4808425394709339</v>
      </c>
      <c r="BN1090">
        <v>251.74323171005881</v>
      </c>
      <c r="BO1090">
        <v>448.24515585600568</v>
      </c>
    </row>
    <row r="1091" spans="1:67" x14ac:dyDescent="0.25">
      <c r="A1091" s="1">
        <v>1089</v>
      </c>
      <c r="B1091" t="s">
        <v>210</v>
      </c>
      <c r="C1091" t="s">
        <v>211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67</v>
      </c>
      <c r="J1091">
        <v>1.2130000000000001</v>
      </c>
      <c r="K1091">
        <v>500</v>
      </c>
      <c r="L1091">
        <v>100</v>
      </c>
      <c r="N1091" t="s">
        <v>68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66371.143241304773</v>
      </c>
      <c r="Z1091">
        <v>331855716.2065239</v>
      </c>
      <c r="AA1091">
        <v>402540983.75851351</v>
      </c>
      <c r="AB1091">
        <v>402540.98375851352</v>
      </c>
      <c r="AC1091">
        <v>0</v>
      </c>
      <c r="AD1091">
        <v>3439.442102049522</v>
      </c>
      <c r="AE1091">
        <v>2063665.261229713</v>
      </c>
      <c r="AF1091">
        <v>2063665.261229713</v>
      </c>
      <c r="AG1091">
        <v>66.122022454976914</v>
      </c>
      <c r="AH1091">
        <v>68.11643111003977</v>
      </c>
      <c r="AI1091">
        <v>68.11643111003977</v>
      </c>
      <c r="AJ1091">
        <v>13082.581972151689</v>
      </c>
      <c r="AK1091">
        <v>854.70085470085473</v>
      </c>
      <c r="AL1091" t="s">
        <v>69</v>
      </c>
      <c r="AM1091">
        <v>5279.0234110280826</v>
      </c>
      <c r="AN1091">
        <v>722.62167498032522</v>
      </c>
      <c r="AO1091">
        <v>11579.79328870676</v>
      </c>
      <c r="AP1091">
        <v>19938.927912860949</v>
      </c>
      <c r="AQ1091">
        <v>8359.1346241541924</v>
      </c>
      <c r="AR1091">
        <v>6.3394883937504167E-3</v>
      </c>
      <c r="AS1091">
        <v>197.85513942892081</v>
      </c>
      <c r="AT1091">
        <v>79.837597445278035</v>
      </c>
      <c r="AU1091">
        <v>10.92860817244912</v>
      </c>
      <c r="AV1091">
        <v>175.1276331057712</v>
      </c>
      <c r="AW1091">
        <v>301.5474598714452</v>
      </c>
      <c r="AX1091">
        <v>126.419826765674</v>
      </c>
      <c r="AY1091">
        <v>1.030162547681007</v>
      </c>
      <c r="AZ1091" t="str">
        <f>VLOOKUP(BA1091,Sheet1!$A$1:$B$58,2,FALSE)</f>
        <v>1-Propanol (PW1)</v>
      </c>
      <c r="BA1091" t="s">
        <v>78</v>
      </c>
      <c r="BB1091" t="s">
        <v>79</v>
      </c>
      <c r="BC1091">
        <v>60.093820000000001</v>
      </c>
      <c r="BD1091">
        <v>6</v>
      </c>
      <c r="BE1091">
        <v>97</v>
      </c>
      <c r="BF1091" t="s">
        <v>214</v>
      </c>
      <c r="BG1091">
        <v>1.43581180242859</v>
      </c>
      <c r="BH1091">
        <v>0.20159090909090799</v>
      </c>
      <c r="BI1091">
        <v>0.37808885862531999</v>
      </c>
      <c r="BJ1091">
        <v>90</v>
      </c>
      <c r="BK1091">
        <v>886.17457390493109</v>
      </c>
      <c r="BL1091">
        <v>371.51709440685289</v>
      </c>
      <c r="BM1091">
        <v>1.5915851357954001</v>
      </c>
      <c r="BN1091">
        <v>270.56947308521802</v>
      </c>
      <c r="BO1091">
        <v>615.60510081971302</v>
      </c>
    </row>
    <row r="1092" spans="1:67" x14ac:dyDescent="0.25">
      <c r="A1092" s="1">
        <v>1090</v>
      </c>
      <c r="B1092" t="s">
        <v>210</v>
      </c>
      <c r="C1092" t="s">
        <v>211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67</v>
      </c>
      <c r="J1092">
        <v>1.2130000000000001</v>
      </c>
      <c r="K1092">
        <v>500</v>
      </c>
      <c r="L1092">
        <v>100</v>
      </c>
      <c r="N1092" t="s">
        <v>68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73913.31860963424</v>
      </c>
      <c r="Z1092">
        <v>369566593.04817122</v>
      </c>
      <c r="AA1092">
        <v>448284277.3674317</v>
      </c>
      <c r="AB1092">
        <v>448284.27736743173</v>
      </c>
      <c r="AC1092">
        <v>0</v>
      </c>
      <c r="AD1092">
        <v>3830.2877954642081</v>
      </c>
      <c r="AE1092">
        <v>2298172.6772785252</v>
      </c>
      <c r="AF1092">
        <v>2298172.6772785252</v>
      </c>
      <c r="AG1092">
        <v>73.635888643041852</v>
      </c>
      <c r="AH1092">
        <v>75.856934645270911</v>
      </c>
      <c r="AI1092">
        <v>75.856934645270911</v>
      </c>
      <c r="AJ1092">
        <v>14569.239014441529</v>
      </c>
      <c r="AK1092">
        <v>854.70085470085473</v>
      </c>
      <c r="AL1092" t="s">
        <v>69</v>
      </c>
      <c r="AM1092">
        <v>5878.9124350084958</v>
      </c>
      <c r="AN1092">
        <v>804.73777440990114</v>
      </c>
      <c r="AO1092">
        <v>12895.678889696061</v>
      </c>
      <c r="AP1092">
        <v>22107.590078560781</v>
      </c>
      <c r="AQ1092">
        <v>9211.9111888647258</v>
      </c>
      <c r="AR1092">
        <v>6.3394883937504176E-3</v>
      </c>
      <c r="AS1092">
        <v>197.85513942892081</v>
      </c>
      <c r="AT1092">
        <v>79.837597445278021</v>
      </c>
      <c r="AU1092">
        <v>10.928608172449129</v>
      </c>
      <c r="AV1092">
        <v>175.1276331057712</v>
      </c>
      <c r="AW1092">
        <v>300.22846856279261</v>
      </c>
      <c r="AX1092">
        <v>125.1008354570214</v>
      </c>
      <c r="AY1092">
        <v>1.030162547681007</v>
      </c>
      <c r="AZ1092" t="str">
        <f>VLOOKUP(BA1092,Sheet1!$A$1:$B$58,2,FALSE)</f>
        <v>1-Propanol (PW2)</v>
      </c>
      <c r="BA1092" t="s">
        <v>80</v>
      </c>
      <c r="BB1092" t="s">
        <v>79</v>
      </c>
      <c r="BC1092">
        <v>60.093820000000001</v>
      </c>
      <c r="BD1092">
        <v>6</v>
      </c>
      <c r="BE1092">
        <v>97</v>
      </c>
      <c r="BF1092" t="s">
        <v>214</v>
      </c>
      <c r="BG1092">
        <v>1.848638657640949</v>
      </c>
      <c r="BH1092">
        <v>0.18102040816326601</v>
      </c>
      <c r="BI1092">
        <v>0.33950836284722902</v>
      </c>
      <c r="BJ1092">
        <v>90</v>
      </c>
      <c r="BK1092">
        <v>982.55955904714585</v>
      </c>
      <c r="BL1092">
        <v>409.41827506065459</v>
      </c>
      <c r="BM1092">
        <v>1.522780659926646</v>
      </c>
      <c r="BN1092">
        <v>258.87271218752983</v>
      </c>
      <c r="BO1092">
        <v>723.68684685961603</v>
      </c>
    </row>
    <row r="1093" spans="1:67" x14ac:dyDescent="0.25">
      <c r="A1093" s="1">
        <v>1091</v>
      </c>
      <c r="B1093" t="s">
        <v>210</v>
      </c>
      <c r="C1093" t="s">
        <v>211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67</v>
      </c>
      <c r="J1093">
        <v>1.2130000000000001</v>
      </c>
      <c r="K1093">
        <v>500</v>
      </c>
      <c r="L1093">
        <v>100</v>
      </c>
      <c r="N1093" t="s">
        <v>68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52304.908848788487</v>
      </c>
      <c r="Z1093">
        <v>261524544.24394241</v>
      </c>
      <c r="AA1093">
        <v>317229272.16790217</v>
      </c>
      <c r="AB1093">
        <v>317229.27216790209</v>
      </c>
      <c r="AC1093">
        <v>0</v>
      </c>
      <c r="AD1093">
        <v>2710.510876456151</v>
      </c>
      <c r="AE1093">
        <v>1626306.5258736899</v>
      </c>
      <c r="AF1093">
        <v>1626306.5258736899</v>
      </c>
      <c r="AG1093">
        <v>52.10858497391046</v>
      </c>
      <c r="AH1093">
        <v>53.680312652775832</v>
      </c>
      <c r="AI1093">
        <v>53.680312652775832</v>
      </c>
      <c r="AJ1093">
        <v>10309.95134545682</v>
      </c>
      <c r="AK1093">
        <v>854.70085470085473</v>
      </c>
      <c r="AL1093" t="s">
        <v>69</v>
      </c>
      <c r="AM1093">
        <v>4160.2242305901264</v>
      </c>
      <c r="AN1093">
        <v>569.47430760063764</v>
      </c>
      <c r="AO1093">
        <v>9125.6531509718898</v>
      </c>
      <c r="AP1093">
        <v>15894.350738348439</v>
      </c>
      <c r="AQ1093">
        <v>6768.6975873765496</v>
      </c>
      <c r="AR1093">
        <v>6.3394883937504167E-3</v>
      </c>
      <c r="AS1093">
        <v>197.85513942892081</v>
      </c>
      <c r="AT1093">
        <v>79.837597445278007</v>
      </c>
      <c r="AU1093">
        <v>10.928608172449129</v>
      </c>
      <c r="AV1093">
        <v>175.12763310577111</v>
      </c>
      <c r="AW1093">
        <v>305.02364910324019</v>
      </c>
      <c r="AX1093">
        <v>129.89601599746899</v>
      </c>
      <c r="AY1093">
        <v>1.030162547681007</v>
      </c>
      <c r="AZ1093" t="str">
        <f>VLOOKUP(BA1093,Sheet1!$A$1:$B$58,2,FALSE)</f>
        <v>2,3-Butanediol</v>
      </c>
      <c r="BA1093" t="s">
        <v>81</v>
      </c>
      <c r="BB1093" t="s">
        <v>71</v>
      </c>
      <c r="BC1093">
        <v>90.119200000000006</v>
      </c>
      <c r="BD1093">
        <v>5.5</v>
      </c>
      <c r="BE1093">
        <v>177</v>
      </c>
      <c r="BF1093" t="s">
        <v>214</v>
      </c>
      <c r="BG1093">
        <v>0.90953719489626494</v>
      </c>
      <c r="BH1093">
        <v>0.17057692307692299</v>
      </c>
      <c r="BI1093">
        <v>0.479767393655324</v>
      </c>
      <c r="BJ1093">
        <v>90</v>
      </c>
      <c r="BK1093">
        <v>706.41558837104174</v>
      </c>
      <c r="BL1093">
        <v>300.8310038834021</v>
      </c>
      <c r="BM1093">
        <v>1.476254478560439</v>
      </c>
      <c r="BN1093">
        <v>250.9632613552746</v>
      </c>
      <c r="BO1093">
        <v>455.4523270157672</v>
      </c>
    </row>
    <row r="1094" spans="1:67" x14ac:dyDescent="0.25">
      <c r="A1094" s="1">
        <v>1092</v>
      </c>
      <c r="B1094" t="s">
        <v>210</v>
      </c>
      <c r="C1094" t="s">
        <v>211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67</v>
      </c>
      <c r="J1094">
        <v>1.2130000000000001</v>
      </c>
      <c r="K1094">
        <v>500</v>
      </c>
      <c r="L1094">
        <v>100</v>
      </c>
      <c r="N1094" t="s">
        <v>68</v>
      </c>
      <c r="O1094">
        <v>0</v>
      </c>
      <c r="P1094">
        <v>0.125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80213.149645608661</v>
      </c>
      <c r="Z1094">
        <v>401065748.22804332</v>
      </c>
      <c r="AA1094">
        <v>486492752.60061657</v>
      </c>
      <c r="AB1094">
        <v>486492.7526006166</v>
      </c>
      <c r="AC1094">
        <v>0</v>
      </c>
      <c r="AD1094">
        <v>4156.7535310648582</v>
      </c>
      <c r="AE1094">
        <v>2494052.118638915</v>
      </c>
      <c r="AF1094">
        <v>2494052.118638915</v>
      </c>
      <c r="AG1094">
        <v>79.912073576436583</v>
      </c>
      <c r="AH1094">
        <v>82.322425305973979</v>
      </c>
      <c r="AI1094">
        <v>82.322425305973979</v>
      </c>
      <c r="AJ1094">
        <v>15811.01445952004</v>
      </c>
      <c r="AK1094">
        <v>854.70085470085473</v>
      </c>
      <c r="AL1094" t="s">
        <v>69</v>
      </c>
      <c r="AM1094">
        <v>6379.9879612129826</v>
      </c>
      <c r="AN1094">
        <v>873.32774036480089</v>
      </c>
      <c r="AO1094">
        <v>13994.81230201558</v>
      </c>
      <c r="AP1094">
        <v>23919.031015798679</v>
      </c>
      <c r="AQ1094">
        <v>9924.2187137831061</v>
      </c>
      <c r="AR1094">
        <v>6.3394883937504176E-3</v>
      </c>
      <c r="AS1094">
        <v>197.85513942892081</v>
      </c>
      <c r="AT1094">
        <v>79.837597445278021</v>
      </c>
      <c r="AU1094">
        <v>10.928608172449129</v>
      </c>
      <c r="AV1094">
        <v>175.1276331057712</v>
      </c>
      <c r="AW1094">
        <v>299.31686096119029</v>
      </c>
      <c r="AX1094">
        <v>124.1892278554192</v>
      </c>
      <c r="AY1094">
        <v>1.030162547681007</v>
      </c>
      <c r="AZ1094" t="str">
        <f>VLOOKUP(BA1094,Sheet1!$A$1:$B$58,2,FALSE)</f>
        <v>2-Methyl-1-Butanol</v>
      </c>
      <c r="BA1094" t="s">
        <v>82</v>
      </c>
      <c r="BB1094" t="s">
        <v>83</v>
      </c>
      <c r="BC1094">
        <v>88.14658</v>
      </c>
      <c r="BD1094">
        <v>6</v>
      </c>
      <c r="BE1094">
        <v>129</v>
      </c>
      <c r="BF1094" t="s">
        <v>214</v>
      </c>
      <c r="BG1094">
        <v>1.894119392510099</v>
      </c>
      <c r="BH1094">
        <v>0.11371794871794901</v>
      </c>
      <c r="BI1094">
        <v>0.31284384050036301</v>
      </c>
      <c r="BJ1094">
        <v>90</v>
      </c>
      <c r="BK1094">
        <v>1063.068045146608</v>
      </c>
      <c r="BL1094">
        <v>441.0763872792491</v>
      </c>
      <c r="BM1094">
        <v>1.764655065533189</v>
      </c>
      <c r="BN1094">
        <v>299.99136114064208</v>
      </c>
      <c r="BO1094">
        <v>763.07668400596594</v>
      </c>
    </row>
    <row r="1095" spans="1:67" x14ac:dyDescent="0.25">
      <c r="A1095" s="1">
        <v>1093</v>
      </c>
      <c r="B1095" t="s">
        <v>210</v>
      </c>
      <c r="C1095" t="s">
        <v>211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67</v>
      </c>
      <c r="J1095">
        <v>1.2130000000000001</v>
      </c>
      <c r="K1095">
        <v>500</v>
      </c>
      <c r="L1095">
        <v>100</v>
      </c>
      <c r="N1095" t="s">
        <v>68</v>
      </c>
      <c r="O1095">
        <v>0</v>
      </c>
      <c r="P1095">
        <v>0.125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34765.304498969323</v>
      </c>
      <c r="Z1095">
        <v>173826522.49484661</v>
      </c>
      <c r="AA1095">
        <v>210851571.78624889</v>
      </c>
      <c r="AB1095">
        <v>210851.57178624891</v>
      </c>
      <c r="AC1095">
        <v>0</v>
      </c>
      <c r="AD1095">
        <v>1801.5849380444699</v>
      </c>
      <c r="AE1095">
        <v>1080950.962826682</v>
      </c>
      <c r="AF1095">
        <v>1080950.962826682</v>
      </c>
      <c r="AG1095">
        <v>34.634814656987487</v>
      </c>
      <c r="AH1095">
        <v>35.679488905501707</v>
      </c>
      <c r="AI1095">
        <v>35.679488905501707</v>
      </c>
      <c r="AJ1095">
        <v>6852.6760830530902</v>
      </c>
      <c r="AK1095">
        <v>1835.336538461539</v>
      </c>
      <c r="AL1095" t="s">
        <v>84</v>
      </c>
      <c r="AM1095">
        <v>2765.1603901763829</v>
      </c>
      <c r="AN1095">
        <v>378.51031851161429</v>
      </c>
      <c r="AO1095">
        <v>6065.5131139352916</v>
      </c>
      <c r="AP1095">
        <v>11831.68333020263</v>
      </c>
      <c r="AQ1095">
        <v>5766.1702162673346</v>
      </c>
      <c r="AR1095">
        <v>6.3394883937504167E-3</v>
      </c>
      <c r="AS1095">
        <v>197.85513942892081</v>
      </c>
      <c r="AT1095">
        <v>79.837597445278021</v>
      </c>
      <c r="AU1095">
        <v>10.928608172449129</v>
      </c>
      <c r="AV1095">
        <v>175.12763310577111</v>
      </c>
      <c r="AW1095">
        <v>341.61243382936971</v>
      </c>
      <c r="AX1095">
        <v>166.4848007235986</v>
      </c>
      <c r="AY1095">
        <v>1.030162547681007</v>
      </c>
      <c r="AZ1095" t="str">
        <f>VLOOKUP(BA1095,Sheet1!$A$1:$B$58,2,FALSE)</f>
        <v>2-Pyrone-4,6-Dicarboxylate</v>
      </c>
      <c r="BA1095" t="s">
        <v>85</v>
      </c>
      <c r="BB1095" t="s">
        <v>86</v>
      </c>
      <c r="BC1095">
        <v>182.08457999999999</v>
      </c>
      <c r="BD1095">
        <v>2.5714285714285721</v>
      </c>
      <c r="BE1095">
        <v>355.5</v>
      </c>
      <c r="BF1095" t="s">
        <v>214</v>
      </c>
      <c r="BG1095">
        <v>0.21100003876526591</v>
      </c>
      <c r="BH1095">
        <v>0.127016706443914</v>
      </c>
      <c r="BI1095">
        <v>0.72181705742017899</v>
      </c>
      <c r="BJ1095">
        <v>90</v>
      </c>
      <c r="BK1095">
        <v>525.85259245345003</v>
      </c>
      <c r="BL1095">
        <v>256.27423183410372</v>
      </c>
      <c r="BM1095">
        <v>1.374755023701477</v>
      </c>
      <c r="BN1095">
        <v>233.7083540292511</v>
      </c>
      <c r="BO1095">
        <v>292.14423842419887</v>
      </c>
    </row>
    <row r="1096" spans="1:67" x14ac:dyDescent="0.25">
      <c r="A1096" s="1">
        <v>1094</v>
      </c>
      <c r="B1096" t="s">
        <v>210</v>
      </c>
      <c r="C1096" t="s">
        <v>211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67</v>
      </c>
      <c r="J1096">
        <v>1.2130000000000001</v>
      </c>
      <c r="K1096">
        <v>500</v>
      </c>
      <c r="L1096">
        <v>100</v>
      </c>
      <c r="N1096" t="s">
        <v>68</v>
      </c>
      <c r="O1096">
        <v>0</v>
      </c>
      <c r="P1096">
        <v>0.125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84727.390336578566</v>
      </c>
      <c r="Z1096">
        <v>423636951.6828928</v>
      </c>
      <c r="AA1096">
        <v>513871622.39134902</v>
      </c>
      <c r="AB1096">
        <v>513871.622391349</v>
      </c>
      <c r="AC1096">
        <v>0</v>
      </c>
      <c r="AD1096">
        <v>4390.6875682541468</v>
      </c>
      <c r="AE1096">
        <v>2634412.5409524878</v>
      </c>
      <c r="AF1096">
        <v>2634412.5409524878</v>
      </c>
      <c r="AG1096">
        <v>84.409370289411129</v>
      </c>
      <c r="AH1096">
        <v>86.955371945489247</v>
      </c>
      <c r="AI1096">
        <v>86.955371945489247</v>
      </c>
      <c r="AJ1096">
        <v>16700.827727718839</v>
      </c>
      <c r="AK1096">
        <v>854.70085470085473</v>
      </c>
      <c r="AL1096" t="s">
        <v>69</v>
      </c>
      <c r="AM1096">
        <v>6739.0413257754162</v>
      </c>
      <c r="AN1096">
        <v>922.47693397614307</v>
      </c>
      <c r="AO1096">
        <v>14782.413230733169</v>
      </c>
      <c r="AP1096">
        <v>25217.046842171261</v>
      </c>
      <c r="AQ1096">
        <v>10434.633611438079</v>
      </c>
      <c r="AR1096">
        <v>6.3394883937504176E-3</v>
      </c>
      <c r="AS1096">
        <v>197.85513942892081</v>
      </c>
      <c r="AT1096">
        <v>79.837597445278021</v>
      </c>
      <c r="AU1096">
        <v>10.928608172449129</v>
      </c>
      <c r="AV1096">
        <v>175.1276331057712</v>
      </c>
      <c r="AW1096">
        <v>298.74700824932762</v>
      </c>
      <c r="AX1096">
        <v>123.6193751435565</v>
      </c>
      <c r="AY1096">
        <v>1.030162547681007</v>
      </c>
      <c r="AZ1096" t="str">
        <f>VLOOKUP(BA1096,Sheet1!$A$1:$B$58,2,FALSE)</f>
        <v>3-Methyl-1-Pentanol</v>
      </c>
      <c r="BA1096" t="s">
        <v>87</v>
      </c>
      <c r="BB1096" t="s">
        <v>88</v>
      </c>
      <c r="BC1096">
        <v>102.17296</v>
      </c>
      <c r="BD1096">
        <v>6</v>
      </c>
      <c r="BE1096">
        <v>153</v>
      </c>
      <c r="BF1096" t="s">
        <v>214</v>
      </c>
      <c r="BG1096">
        <v>2.0531787090291291</v>
      </c>
      <c r="BH1096">
        <v>9.2879581151832397E-2</v>
      </c>
      <c r="BI1096">
        <v>0.29617564867838098</v>
      </c>
      <c r="BJ1096">
        <v>90</v>
      </c>
      <c r="BK1096">
        <v>1120.7576374298339</v>
      </c>
      <c r="BL1096">
        <v>463.76149384169258</v>
      </c>
      <c r="BM1096">
        <v>1.811504488548171</v>
      </c>
      <c r="BN1096">
        <v>307.955763053189</v>
      </c>
      <c r="BO1096">
        <v>812.80187437664472</v>
      </c>
    </row>
    <row r="1097" spans="1:67" x14ac:dyDescent="0.25">
      <c r="A1097" s="1">
        <v>1095</v>
      </c>
      <c r="B1097" t="s">
        <v>210</v>
      </c>
      <c r="C1097" t="s">
        <v>211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67</v>
      </c>
      <c r="J1097">
        <v>1.2130000000000001</v>
      </c>
      <c r="K1097">
        <v>500</v>
      </c>
      <c r="L1097">
        <v>100</v>
      </c>
      <c r="N1097" t="s">
        <v>68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82488.790322668472</v>
      </c>
      <c r="Z1097">
        <v>412443951.61334229</v>
      </c>
      <c r="AA1097">
        <v>500294513.30698431</v>
      </c>
      <c r="AB1097">
        <v>500294.51330698433</v>
      </c>
      <c r="AC1097">
        <v>0</v>
      </c>
      <c r="AD1097">
        <v>4274.6802982046029</v>
      </c>
      <c r="AE1097">
        <v>2564808.1789227622</v>
      </c>
      <c r="AF1097">
        <v>2564808.1789227622</v>
      </c>
      <c r="AG1097">
        <v>82.179172749354947</v>
      </c>
      <c r="AH1097">
        <v>84.657905965793063</v>
      </c>
      <c r="AI1097">
        <v>84.657905965793063</v>
      </c>
      <c r="AJ1097">
        <v>16259.57168247699</v>
      </c>
      <c r="AK1097">
        <v>854.70085470085473</v>
      </c>
      <c r="AL1097" t="s">
        <v>69</v>
      </c>
      <c r="AM1097">
        <v>6560.9877123489623</v>
      </c>
      <c r="AN1097">
        <v>898.10397891370917</v>
      </c>
      <c r="AO1097">
        <v>14391.84401418482</v>
      </c>
      <c r="AP1097">
        <v>24573.364228440521</v>
      </c>
      <c r="AQ1097">
        <v>10181.520214255699</v>
      </c>
      <c r="AR1097">
        <v>6.3394883937504176E-3</v>
      </c>
      <c r="AS1097">
        <v>197.85513942892081</v>
      </c>
      <c r="AT1097">
        <v>79.837597445278021</v>
      </c>
      <c r="AU1097">
        <v>10.928608172449129</v>
      </c>
      <c r="AV1097">
        <v>175.1276331057712</v>
      </c>
      <c r="AW1097">
        <v>299.02180085687718</v>
      </c>
      <c r="AX1097">
        <v>123.894167751106</v>
      </c>
      <c r="AY1097">
        <v>1.030162547681007</v>
      </c>
      <c r="AZ1097" t="str">
        <f>VLOOKUP(BA1097,Sheet1!$A$1:$B$58,2,FALSE)</f>
        <v>4-Hydroxystyrene</v>
      </c>
      <c r="BA1097" t="s">
        <v>89</v>
      </c>
      <c r="BB1097" t="s">
        <v>90</v>
      </c>
      <c r="BC1097">
        <v>120.14731999999999</v>
      </c>
      <c r="BD1097">
        <v>4.75</v>
      </c>
      <c r="BE1097">
        <v>229</v>
      </c>
      <c r="BF1097" t="s">
        <v>214</v>
      </c>
      <c r="BG1097">
        <v>1.5846858755743121</v>
      </c>
      <c r="BH1097">
        <v>8.1128048780487697E-2</v>
      </c>
      <c r="BI1097">
        <v>0.30421333244920301</v>
      </c>
      <c r="BJ1097">
        <v>90</v>
      </c>
      <c r="BK1097">
        <v>1092.149521264023</v>
      </c>
      <c r="BL1097">
        <v>452.51200952247558</v>
      </c>
      <c r="BM1097">
        <v>2.1778877229053788</v>
      </c>
      <c r="BN1097">
        <v>370.24091289391453</v>
      </c>
      <c r="BO1097">
        <v>721.90860837010871</v>
      </c>
    </row>
    <row r="1098" spans="1:67" x14ac:dyDescent="0.25">
      <c r="A1098" s="1">
        <v>1096</v>
      </c>
      <c r="B1098" t="s">
        <v>210</v>
      </c>
      <c r="C1098" t="s">
        <v>211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67</v>
      </c>
      <c r="J1098">
        <v>1.2130000000000001</v>
      </c>
      <c r="K1098">
        <v>500</v>
      </c>
      <c r="L1098">
        <v>100</v>
      </c>
      <c r="N1098" t="s">
        <v>68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58035.805496982161</v>
      </c>
      <c r="Z1098">
        <v>290179027.48491079</v>
      </c>
      <c r="AA1098">
        <v>351987160.3391968</v>
      </c>
      <c r="AB1098">
        <v>351987.16033919679</v>
      </c>
      <c r="AC1098">
        <v>0</v>
      </c>
      <c r="AD1098">
        <v>3007.4936652357319</v>
      </c>
      <c r="AE1098">
        <v>1804496.1991414391</v>
      </c>
      <c r="AF1098">
        <v>1804496.1991414391</v>
      </c>
      <c r="AG1098">
        <v>57.817970986462811</v>
      </c>
      <c r="AH1098">
        <v>59.561908293161054</v>
      </c>
      <c r="AI1098">
        <v>59.561908293161054</v>
      </c>
      <c r="AJ1098">
        <v>11439.582711023901</v>
      </c>
      <c r="AK1098">
        <v>854.70085470085473</v>
      </c>
      <c r="AL1098" t="s">
        <v>69</v>
      </c>
      <c r="AM1098">
        <v>4616.047892719982</v>
      </c>
      <c r="AN1098">
        <v>631.86995023708403</v>
      </c>
      <c r="AO1098">
        <v>10125.524409837381</v>
      </c>
      <c r="AP1098">
        <v>17542.20140868182</v>
      </c>
      <c r="AQ1098">
        <v>7416.6769988444412</v>
      </c>
      <c r="AR1098">
        <v>6.3394883937504176E-3</v>
      </c>
      <c r="AS1098">
        <v>197.85513942892081</v>
      </c>
      <c r="AT1098">
        <v>79.837597445278021</v>
      </c>
      <c r="AU1098">
        <v>10.928608172449129</v>
      </c>
      <c r="AV1098">
        <v>175.12763310577111</v>
      </c>
      <c r="AW1098">
        <v>303.4039609032468</v>
      </c>
      <c r="AX1098">
        <v>128.27632779747569</v>
      </c>
      <c r="AY1098">
        <v>1.030162547681007</v>
      </c>
      <c r="AZ1098" t="str">
        <f>VLOOKUP(BA1098,Sheet1!$A$1:$B$58,2,FALSE)</f>
        <v>5-Aminopentanoate</v>
      </c>
      <c r="BA1098" t="s">
        <v>91</v>
      </c>
      <c r="BB1098" t="s">
        <v>92</v>
      </c>
      <c r="BC1098">
        <v>117.14444</v>
      </c>
      <c r="BD1098">
        <v>4.8</v>
      </c>
      <c r="BE1098">
        <v>247.5</v>
      </c>
      <c r="BF1098" t="s">
        <v>214</v>
      </c>
      <c r="BG1098">
        <v>1.298184881198494</v>
      </c>
      <c r="BH1098">
        <v>0.11826666666666701</v>
      </c>
      <c r="BI1098">
        <v>0.43239151380551499</v>
      </c>
      <c r="BJ1098">
        <v>90</v>
      </c>
      <c r="BK1098">
        <v>779.65339594141415</v>
      </c>
      <c r="BL1098">
        <v>329.63008883753059</v>
      </c>
      <c r="BM1098">
        <v>1.349011042941997</v>
      </c>
      <c r="BN1098">
        <v>229.3318773001395</v>
      </c>
      <c r="BO1098">
        <v>550.32151864127468</v>
      </c>
    </row>
    <row r="1099" spans="1:67" x14ac:dyDescent="0.25">
      <c r="A1099" s="1">
        <v>1097</v>
      </c>
      <c r="B1099" t="s">
        <v>210</v>
      </c>
      <c r="C1099" t="s">
        <v>211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67</v>
      </c>
      <c r="J1099">
        <v>1.2130000000000001</v>
      </c>
      <c r="K1099">
        <v>500</v>
      </c>
      <c r="L1099">
        <v>100</v>
      </c>
      <c r="N1099" t="s">
        <v>68</v>
      </c>
      <c r="O1099">
        <v>0</v>
      </c>
      <c r="P1099">
        <v>0.125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58529.525350612923</v>
      </c>
      <c r="Z1099">
        <v>292647626.75306457</v>
      </c>
      <c r="AA1099">
        <v>354981571.25146741</v>
      </c>
      <c r="AB1099">
        <v>354981.57125146739</v>
      </c>
      <c r="AC1099">
        <v>0</v>
      </c>
      <c r="AD1099">
        <v>3033.078893518174</v>
      </c>
      <c r="AE1099">
        <v>1819847.336110905</v>
      </c>
      <c r="AF1099">
        <v>1819847.336110905</v>
      </c>
      <c r="AG1099">
        <v>58.309837687169662</v>
      </c>
      <c r="AH1099">
        <v>60.068610946680657</v>
      </c>
      <c r="AI1099">
        <v>60.068610946680657</v>
      </c>
      <c r="AJ1099">
        <v>11536.90106567269</v>
      </c>
      <c r="AK1099">
        <v>854.70085470085473</v>
      </c>
      <c r="AL1099" t="s">
        <v>69</v>
      </c>
      <c r="AM1099">
        <v>4655.317348367751</v>
      </c>
      <c r="AN1099">
        <v>637.24536868218445</v>
      </c>
      <c r="AO1099">
        <v>10211.663860935711</v>
      </c>
      <c r="AP1099">
        <v>17684.164637423481</v>
      </c>
      <c r="AQ1099">
        <v>7472.5007764877682</v>
      </c>
      <c r="AR1099">
        <v>6.3394883937504158E-3</v>
      </c>
      <c r="AS1099">
        <v>197.85513942892081</v>
      </c>
      <c r="AT1099">
        <v>79.837597445277979</v>
      </c>
      <c r="AU1099">
        <v>10.928608172449129</v>
      </c>
      <c r="AV1099">
        <v>175.12763310577111</v>
      </c>
      <c r="AW1099">
        <v>303.27926365184612</v>
      </c>
      <c r="AX1099">
        <v>128.15163054607501</v>
      </c>
      <c r="AY1099">
        <v>1.030162547681007</v>
      </c>
      <c r="AZ1099" t="str">
        <f>VLOOKUP(BA1099,Sheet1!$A$1:$B$58,2,FALSE)</f>
        <v>Acetone</v>
      </c>
      <c r="BA1099" t="s">
        <v>93</v>
      </c>
      <c r="BB1099" t="s">
        <v>94</v>
      </c>
      <c r="BC1099">
        <v>58.078139999999998</v>
      </c>
      <c r="BD1099">
        <v>5.333333333333333</v>
      </c>
      <c r="BE1099">
        <v>56</v>
      </c>
      <c r="BF1099" t="s">
        <v>214</v>
      </c>
      <c r="BG1099">
        <v>0.9303426463421921</v>
      </c>
      <c r="BH1099">
        <v>0.23653333333333301</v>
      </c>
      <c r="BI1099">
        <v>0.42874411920204902</v>
      </c>
      <c r="BJ1099">
        <v>90</v>
      </c>
      <c r="BK1099">
        <v>785.96287277437693</v>
      </c>
      <c r="BL1099">
        <v>332.11114562167859</v>
      </c>
      <c r="BM1099">
        <v>1.7393733957325039</v>
      </c>
      <c r="BN1099">
        <v>295.69347727452572</v>
      </c>
      <c r="BO1099">
        <v>490.26939549985121</v>
      </c>
    </row>
    <row r="1100" spans="1:67" x14ac:dyDescent="0.25">
      <c r="A1100" s="1">
        <v>1098</v>
      </c>
      <c r="B1100" t="s">
        <v>210</v>
      </c>
      <c r="C1100" t="s">
        <v>211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67</v>
      </c>
      <c r="J1100">
        <v>1.2130000000000001</v>
      </c>
      <c r="K1100">
        <v>500</v>
      </c>
      <c r="L1100">
        <v>100</v>
      </c>
      <c r="N1100" t="s">
        <v>68</v>
      </c>
      <c r="O1100">
        <v>0</v>
      </c>
      <c r="P1100">
        <v>0.125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47203.255155010527</v>
      </c>
      <c r="Z1100">
        <v>236016275.7750527</v>
      </c>
      <c r="AA1100">
        <v>286287742.51513892</v>
      </c>
      <c r="AB1100">
        <v>286287.74251513887</v>
      </c>
      <c r="AC1100">
        <v>0</v>
      </c>
      <c r="AD1100">
        <v>2446.1363057084159</v>
      </c>
      <c r="AE1100">
        <v>1467681.7834250501</v>
      </c>
      <c r="AF1100">
        <v>1467681.7834250501</v>
      </c>
      <c r="AG1100">
        <v>47.026080083629019</v>
      </c>
      <c r="AH1100">
        <v>48.444506466402323</v>
      </c>
      <c r="AI1100">
        <v>48.444506466402323</v>
      </c>
      <c r="AJ1100">
        <v>9304.3516317420163</v>
      </c>
      <c r="AK1100">
        <v>854.70085470085473</v>
      </c>
      <c r="AL1100" t="s">
        <v>69</v>
      </c>
      <c r="AM1100">
        <v>3754.4492511461799</v>
      </c>
      <c r="AN1100">
        <v>513.92960312019511</v>
      </c>
      <c r="AO1100">
        <v>8235.566099288395</v>
      </c>
      <c r="AP1100">
        <v>14427.43134070925</v>
      </c>
      <c r="AQ1100">
        <v>6191.8652414208518</v>
      </c>
      <c r="AR1100">
        <v>6.3394883937504176E-3</v>
      </c>
      <c r="AS1100">
        <v>197.85513942892081</v>
      </c>
      <c r="AT1100">
        <v>79.837597445278007</v>
      </c>
      <c r="AU1100">
        <v>10.92860817244912</v>
      </c>
      <c r="AV1100">
        <v>175.12763310577111</v>
      </c>
      <c r="AW1100">
        <v>306.79638436910261</v>
      </c>
      <c r="AX1100">
        <v>131.66875126333139</v>
      </c>
      <c r="AY1100">
        <v>1.030162547681007</v>
      </c>
      <c r="AZ1100" t="str">
        <f>VLOOKUP(BA1100,Sheet1!$A$1:$B$58,2,FALSE)</f>
        <v>Acrylate (PW1)</v>
      </c>
      <c r="BA1100" t="s">
        <v>95</v>
      </c>
      <c r="BB1100" t="s">
        <v>96</v>
      </c>
      <c r="BC1100">
        <v>71.053619999999995</v>
      </c>
      <c r="BD1100">
        <v>3.666666666666667</v>
      </c>
      <c r="BE1100">
        <v>80</v>
      </c>
      <c r="BF1100" t="s">
        <v>214</v>
      </c>
      <c r="BG1100">
        <v>0.72553286080853374</v>
      </c>
      <c r="BH1100">
        <v>0.23972972972973</v>
      </c>
      <c r="BI1100">
        <v>0.53161990018179595</v>
      </c>
      <c r="BJ1100">
        <v>90</v>
      </c>
      <c r="BK1100">
        <v>641.21917069818869</v>
      </c>
      <c r="BL1100">
        <v>275.19401072981572</v>
      </c>
      <c r="BM1100">
        <v>1.427556315476014</v>
      </c>
      <c r="BN1100">
        <v>242.68457363092239</v>
      </c>
      <c r="BO1100">
        <v>398.5345970672663</v>
      </c>
    </row>
    <row r="1101" spans="1:67" x14ac:dyDescent="0.25">
      <c r="A1101" s="1">
        <v>1099</v>
      </c>
      <c r="B1101" t="s">
        <v>210</v>
      </c>
      <c r="C1101" t="s">
        <v>211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67</v>
      </c>
      <c r="J1101">
        <v>1.2130000000000001</v>
      </c>
      <c r="K1101">
        <v>500</v>
      </c>
      <c r="L1101">
        <v>100</v>
      </c>
      <c r="N1101" t="s">
        <v>68</v>
      </c>
      <c r="O1101">
        <v>0</v>
      </c>
      <c r="P1101">
        <v>0.125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38272.909585143861</v>
      </c>
      <c r="Z1101">
        <v>191364547.92571929</v>
      </c>
      <c r="AA1101">
        <v>232125196.63389751</v>
      </c>
      <c r="AB1101">
        <v>232125.19663389749</v>
      </c>
      <c r="AC1101">
        <v>0</v>
      </c>
      <c r="AD1101">
        <v>1983.353761385212</v>
      </c>
      <c r="AE1101">
        <v>1190012.256831127</v>
      </c>
      <c r="AF1101">
        <v>1190012.256831127</v>
      </c>
      <c r="AG1101">
        <v>38.129254121861557</v>
      </c>
      <c r="AH1101">
        <v>39.279329567353429</v>
      </c>
      <c r="AI1101">
        <v>39.279329567353429</v>
      </c>
      <c r="AJ1101">
        <v>7544.0688906016703</v>
      </c>
      <c r="AK1101">
        <v>854.70085470085473</v>
      </c>
      <c r="AL1101" t="s">
        <v>69</v>
      </c>
      <c r="AM1101">
        <v>3044.1480414698908</v>
      </c>
      <c r="AN1101">
        <v>416.6996782055657</v>
      </c>
      <c r="AO1101">
        <v>6677.486026450083</v>
      </c>
      <c r="AP1101">
        <v>11859.61746497798</v>
      </c>
      <c r="AQ1101">
        <v>5182.1314385278993</v>
      </c>
      <c r="AR1101">
        <v>6.3394883937504158E-3</v>
      </c>
      <c r="AS1101">
        <v>197.85513942892081</v>
      </c>
      <c r="AT1101">
        <v>79.837597445278007</v>
      </c>
      <c r="AU1101">
        <v>10.928608172449129</v>
      </c>
      <c r="AV1101">
        <v>175.12763310577111</v>
      </c>
      <c r="AW1101">
        <v>311.0372268776751</v>
      </c>
      <c r="AX1101">
        <v>135.90959377190401</v>
      </c>
      <c r="AY1101">
        <v>1.030162547681007</v>
      </c>
      <c r="AZ1101" t="str">
        <f>VLOOKUP(BA1101,Sheet1!$A$1:$B$58,2,FALSE)</f>
        <v>Acrylate (PW2)</v>
      </c>
      <c r="BA1101" t="s">
        <v>97</v>
      </c>
      <c r="BB1101" t="s">
        <v>96</v>
      </c>
      <c r="BC1101">
        <v>71.053619999999995</v>
      </c>
      <c r="BD1101">
        <v>3.666666666666667</v>
      </c>
      <c r="BE1101">
        <v>80</v>
      </c>
      <c r="BF1101" t="s">
        <v>214</v>
      </c>
      <c r="BG1101">
        <v>0.23672342619257949</v>
      </c>
      <c r="BH1101">
        <v>0.29566666666666502</v>
      </c>
      <c r="BI1101">
        <v>0.655664543557545</v>
      </c>
      <c r="BJ1101">
        <v>90</v>
      </c>
      <c r="BK1101">
        <v>527.0941095545769</v>
      </c>
      <c r="BL1101">
        <v>230.3169528234622</v>
      </c>
      <c r="BM1101">
        <v>1.509024554578684</v>
      </c>
      <c r="BN1101">
        <v>256.53417427837633</v>
      </c>
      <c r="BO1101">
        <v>270.55993527620058</v>
      </c>
    </row>
    <row r="1102" spans="1:67" x14ac:dyDescent="0.25">
      <c r="A1102" s="1">
        <v>1100</v>
      </c>
      <c r="B1102" t="s">
        <v>210</v>
      </c>
      <c r="C1102" t="s">
        <v>211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67</v>
      </c>
      <c r="J1102">
        <v>1.2130000000000001</v>
      </c>
      <c r="K1102">
        <v>500</v>
      </c>
      <c r="L1102">
        <v>100</v>
      </c>
      <c r="N1102" t="s">
        <v>68</v>
      </c>
      <c r="O1102">
        <v>0</v>
      </c>
      <c r="P1102">
        <v>0.125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51155.455113944001</v>
      </c>
      <c r="Z1102">
        <v>255777275.56972</v>
      </c>
      <c r="AA1102">
        <v>310257835.26607043</v>
      </c>
      <c r="AB1102">
        <v>310257.83526607038</v>
      </c>
      <c r="AC1102">
        <v>0</v>
      </c>
      <c r="AD1102">
        <v>2650.944634609019</v>
      </c>
      <c r="AE1102">
        <v>1590566.780765411</v>
      </c>
      <c r="AF1102">
        <v>1590566.780765411</v>
      </c>
      <c r="AG1102">
        <v>50.963445656511382</v>
      </c>
      <c r="AH1102">
        <v>52.5006330161143</v>
      </c>
      <c r="AI1102">
        <v>52.5006330161143</v>
      </c>
      <c r="AJ1102">
        <v>10083.37964614729</v>
      </c>
      <c r="AK1102">
        <v>854.70085470085473</v>
      </c>
      <c r="AL1102" t="s">
        <v>69</v>
      </c>
      <c r="AM1102">
        <v>4068.799058748858</v>
      </c>
      <c r="AN1102">
        <v>556.95952869791734</v>
      </c>
      <c r="AO1102">
        <v>8925.1076127394317</v>
      </c>
      <c r="AP1102">
        <v>15563.839088294921</v>
      </c>
      <c r="AQ1102">
        <v>6638.7314755554871</v>
      </c>
      <c r="AR1102">
        <v>6.3394883937504176E-3</v>
      </c>
      <c r="AS1102">
        <v>197.85513942892081</v>
      </c>
      <c r="AT1102">
        <v>79.837597445278021</v>
      </c>
      <c r="AU1102">
        <v>10.928608172449129</v>
      </c>
      <c r="AV1102">
        <v>175.12763310577111</v>
      </c>
      <c r="AW1102">
        <v>305.39220588014518</v>
      </c>
      <c r="AX1102">
        <v>130.2645727743741</v>
      </c>
      <c r="AY1102">
        <v>1.030162547681007</v>
      </c>
      <c r="AZ1102" t="str">
        <f>VLOOKUP(BA1102,Sheet1!$A$1:$B$58,2,FALSE)</f>
        <v>Adipate</v>
      </c>
      <c r="BA1102" t="s">
        <v>98</v>
      </c>
      <c r="BB1102" t="s">
        <v>99</v>
      </c>
      <c r="BC1102">
        <v>144.12291999999999</v>
      </c>
      <c r="BD1102">
        <v>4</v>
      </c>
      <c r="BE1102">
        <v>337.5</v>
      </c>
      <c r="BF1102" t="s">
        <v>214</v>
      </c>
      <c r="BG1102">
        <v>0.96784773520853939</v>
      </c>
      <c r="BH1102">
        <v>0.10905737704918</v>
      </c>
      <c r="BI1102">
        <v>0.49054767937979599</v>
      </c>
      <c r="BJ1102">
        <v>90</v>
      </c>
      <c r="BK1102">
        <v>691.72618170199621</v>
      </c>
      <c r="BL1102">
        <v>295.05473224691048</v>
      </c>
      <c r="BM1102">
        <v>1.365513732174318</v>
      </c>
      <c r="BN1102">
        <v>232.13733446963411</v>
      </c>
      <c r="BO1102">
        <v>459.58884723236213</v>
      </c>
    </row>
    <row r="1103" spans="1:67" x14ac:dyDescent="0.25">
      <c r="A1103" s="1">
        <v>1101</v>
      </c>
      <c r="B1103" t="s">
        <v>210</v>
      </c>
      <c r="C1103" t="s">
        <v>211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67</v>
      </c>
      <c r="J1103">
        <v>1.2130000000000001</v>
      </c>
      <c r="K1103">
        <v>500</v>
      </c>
      <c r="L1103">
        <v>100</v>
      </c>
      <c r="N1103" t="s">
        <v>68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68733.624764458364</v>
      </c>
      <c r="Z1103">
        <v>343668123.82229179</v>
      </c>
      <c r="AA1103">
        <v>416869434.19643998</v>
      </c>
      <c r="AB1103">
        <v>416869.43419643998</v>
      </c>
      <c r="AC1103">
        <v>0</v>
      </c>
      <c r="AD1103">
        <v>3561.8690788835102</v>
      </c>
      <c r="AE1103">
        <v>2137121.447330106</v>
      </c>
      <c r="AF1103">
        <v>2137121.447330106</v>
      </c>
      <c r="AG1103">
        <v>68.475636521190779</v>
      </c>
      <c r="AH1103">
        <v>70.541036172748477</v>
      </c>
      <c r="AI1103">
        <v>70.541036172748477</v>
      </c>
      <c r="AJ1103">
        <v>13548.2566113843</v>
      </c>
      <c r="AK1103">
        <v>854.70085470085473</v>
      </c>
      <c r="AL1103" t="s">
        <v>69</v>
      </c>
      <c r="AM1103">
        <v>5466.9303033880069</v>
      </c>
      <c r="AN1103">
        <v>748.34340089914133</v>
      </c>
      <c r="AO1103">
        <v>11991.976149367239</v>
      </c>
      <c r="AP1103">
        <v>20618.23117037231</v>
      </c>
      <c r="AQ1103">
        <v>8626.2550210050649</v>
      </c>
      <c r="AR1103">
        <v>6.3394883937504167E-3</v>
      </c>
      <c r="AS1103">
        <v>197.85513942892081</v>
      </c>
      <c r="AT1103">
        <v>79.837597445278021</v>
      </c>
      <c r="AU1103">
        <v>10.928608172449129</v>
      </c>
      <c r="AV1103">
        <v>175.1276331057712</v>
      </c>
      <c r="AW1103">
        <v>301.10316921247892</v>
      </c>
      <c r="AX1103">
        <v>125.97553610670781</v>
      </c>
      <c r="AY1103">
        <v>1.030162547681007</v>
      </c>
      <c r="AZ1103" t="str">
        <f>VLOOKUP(BA1103,Sheet1!$A$1:$B$58,2,FALSE)</f>
        <v>Benzoate (PW1)</v>
      </c>
      <c r="BA1103" t="s">
        <v>100</v>
      </c>
      <c r="BB1103" t="s">
        <v>101</v>
      </c>
      <c r="BC1103">
        <v>121.1121</v>
      </c>
      <c r="BD1103">
        <v>4.1428571428571432</v>
      </c>
      <c r="BE1103">
        <v>249.2</v>
      </c>
      <c r="BF1103" t="s">
        <v>214</v>
      </c>
      <c r="BG1103">
        <v>1.2185121176419731</v>
      </c>
      <c r="BH1103">
        <v>9.6588021778584193E-2</v>
      </c>
      <c r="BI1103">
        <v>0.365093356850555</v>
      </c>
      <c r="BJ1103">
        <v>90</v>
      </c>
      <c r="BK1103">
        <v>916.36582979432467</v>
      </c>
      <c r="BL1103">
        <v>383.38911204466962</v>
      </c>
      <c r="BM1103">
        <v>1.9166450455912929</v>
      </c>
      <c r="BN1103">
        <v>325.82965775051969</v>
      </c>
      <c r="BO1103">
        <v>590.53617204380498</v>
      </c>
    </row>
    <row r="1104" spans="1:67" x14ac:dyDescent="0.25">
      <c r="A1104" s="1">
        <v>1102</v>
      </c>
      <c r="B1104" t="s">
        <v>210</v>
      </c>
      <c r="C1104" t="s">
        <v>211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67</v>
      </c>
      <c r="J1104">
        <v>1.2130000000000001</v>
      </c>
      <c r="K1104">
        <v>500</v>
      </c>
      <c r="L1104">
        <v>100</v>
      </c>
      <c r="N1104" t="s">
        <v>68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68733.62476445816</v>
      </c>
      <c r="Z1104">
        <v>343668123.82229078</v>
      </c>
      <c r="AA1104">
        <v>416869434.19643873</v>
      </c>
      <c r="AB1104">
        <v>416869.43419643881</v>
      </c>
      <c r="AC1104">
        <v>0</v>
      </c>
      <c r="AD1104">
        <v>3561.8690788835002</v>
      </c>
      <c r="AE1104">
        <v>2137121.4473301</v>
      </c>
      <c r="AF1104">
        <v>2137121.4473301</v>
      </c>
      <c r="AG1104">
        <v>68.47563652119058</v>
      </c>
      <c r="AH1104">
        <v>70.54103617274825</v>
      </c>
      <c r="AI1104">
        <v>70.54103617274825</v>
      </c>
      <c r="AJ1104">
        <v>13548.25661138426</v>
      </c>
      <c r="AK1104">
        <v>854.70085470085473</v>
      </c>
      <c r="AL1104" t="s">
        <v>69</v>
      </c>
      <c r="AM1104">
        <v>5466.9303033879896</v>
      </c>
      <c r="AN1104">
        <v>748.34340089913906</v>
      </c>
      <c r="AO1104">
        <v>11991.976149367199</v>
      </c>
      <c r="AP1104">
        <v>20618.231170372241</v>
      </c>
      <c r="AQ1104">
        <v>8626.2550210050413</v>
      </c>
      <c r="AR1104">
        <v>6.3394883937504158E-3</v>
      </c>
      <c r="AS1104">
        <v>197.85513942892081</v>
      </c>
      <c r="AT1104">
        <v>79.837597445277993</v>
      </c>
      <c r="AU1104">
        <v>10.92860817244912</v>
      </c>
      <c r="AV1104">
        <v>175.12763310577111</v>
      </c>
      <c r="AW1104">
        <v>301.10316921247892</v>
      </c>
      <c r="AX1104">
        <v>125.97553610670781</v>
      </c>
      <c r="AY1104">
        <v>1.0301625476810059</v>
      </c>
      <c r="AZ1104" t="str">
        <f>VLOOKUP(BA1104,Sheet1!$A$1:$B$58,2,FALSE)</f>
        <v>Benzoate (PW2)</v>
      </c>
      <c r="BA1104" t="s">
        <v>102</v>
      </c>
      <c r="BB1104" t="s">
        <v>101</v>
      </c>
      <c r="BC1104">
        <v>121.1121</v>
      </c>
      <c r="BD1104">
        <v>4.1428571428571432</v>
      </c>
      <c r="BE1104">
        <v>249.2</v>
      </c>
      <c r="BF1104" t="s">
        <v>214</v>
      </c>
      <c r="BG1104">
        <v>1.218512117641976</v>
      </c>
      <c r="BH1104">
        <v>9.6588021778584193E-2</v>
      </c>
      <c r="BI1104">
        <v>0.36509335685055599</v>
      </c>
      <c r="BJ1104">
        <v>90</v>
      </c>
      <c r="BK1104">
        <v>916.36582979432205</v>
      </c>
      <c r="BL1104">
        <v>383.38911204466848</v>
      </c>
      <c r="BM1104">
        <v>1.91664504559128</v>
      </c>
      <c r="BN1104">
        <v>325.82965775051758</v>
      </c>
      <c r="BO1104">
        <v>590.53617204380441</v>
      </c>
    </row>
    <row r="1105" spans="1:67" x14ac:dyDescent="0.25">
      <c r="A1105" s="1">
        <v>1103</v>
      </c>
      <c r="B1105" t="s">
        <v>210</v>
      </c>
      <c r="C1105" t="s">
        <v>211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67</v>
      </c>
      <c r="J1105">
        <v>1.2130000000000001</v>
      </c>
      <c r="K1105">
        <v>500</v>
      </c>
      <c r="L1105">
        <v>100</v>
      </c>
      <c r="N1105" t="s">
        <v>68</v>
      </c>
      <c r="O1105">
        <v>0</v>
      </c>
      <c r="P1105">
        <v>0.125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90812.524577816046</v>
      </c>
      <c r="Z1105">
        <v>454062622.88908023</v>
      </c>
      <c r="AA1105">
        <v>550777961.56445432</v>
      </c>
      <c r="AB1105">
        <v>550777.96156445437</v>
      </c>
      <c r="AC1105">
        <v>0</v>
      </c>
      <c r="AD1105">
        <v>4706.0274265694143</v>
      </c>
      <c r="AE1105">
        <v>2823616.4559416492</v>
      </c>
      <c r="AF1105">
        <v>2823616.4559416492</v>
      </c>
      <c r="AG1105">
        <v>90.47166428181373</v>
      </c>
      <c r="AH1105">
        <v>93.200520169493956</v>
      </c>
      <c r="AI1105">
        <v>93.200520169493956</v>
      </c>
      <c r="AJ1105">
        <v>17900.28375084477</v>
      </c>
      <c r="AK1105">
        <v>854.70085470085473</v>
      </c>
      <c r="AL1105" t="s">
        <v>69</v>
      </c>
      <c r="AM1105">
        <v>7223.0403131357816</v>
      </c>
      <c r="AN1105">
        <v>988.72936964530334</v>
      </c>
      <c r="AO1105">
        <v>15844.08842881397</v>
      </c>
      <c r="AP1105">
        <v>26966.754288326709</v>
      </c>
      <c r="AQ1105">
        <v>11122.66585951273</v>
      </c>
      <c r="AR1105">
        <v>6.3394883937504167E-3</v>
      </c>
      <c r="AS1105">
        <v>197.85513942892081</v>
      </c>
      <c r="AT1105">
        <v>79.837597445278007</v>
      </c>
      <c r="AU1105">
        <v>10.928608172449129</v>
      </c>
      <c r="AV1105">
        <v>175.12763310577111</v>
      </c>
      <c r="AW1105">
        <v>298.06851131119811</v>
      </c>
      <c r="AX1105">
        <v>122.9408782054269</v>
      </c>
      <c r="AY1105">
        <v>1.030162547681007</v>
      </c>
      <c r="AZ1105" t="str">
        <f>VLOOKUP(BA1105,Sheet1!$A$1:$B$58,2,FALSE)</f>
        <v>Benzyl Alcohol</v>
      </c>
      <c r="BA1105" t="s">
        <v>103</v>
      </c>
      <c r="BB1105" t="s">
        <v>104</v>
      </c>
      <c r="BC1105">
        <v>108.13661999999999</v>
      </c>
      <c r="BD1105">
        <v>4.8571428571428568</v>
      </c>
      <c r="BE1105">
        <v>205</v>
      </c>
      <c r="BF1105" t="s">
        <v>214</v>
      </c>
      <c r="BG1105">
        <v>2.1217982626648491</v>
      </c>
      <c r="BH1105">
        <v>8.1876923076923097E-2</v>
      </c>
      <c r="BI1105">
        <v>0.27632961323809102</v>
      </c>
      <c r="BJ1105">
        <v>90</v>
      </c>
      <c r="BK1105">
        <v>1198.5224128145201</v>
      </c>
      <c r="BL1105">
        <v>494.3407048672326</v>
      </c>
      <c r="BM1105">
        <v>2.02044707820155</v>
      </c>
      <c r="BN1105">
        <v>343.47600329426342</v>
      </c>
      <c r="BO1105">
        <v>855.04640952025693</v>
      </c>
    </row>
    <row r="1106" spans="1:67" x14ac:dyDescent="0.25">
      <c r="A1106" s="1">
        <v>1104</v>
      </c>
      <c r="B1106" t="s">
        <v>210</v>
      </c>
      <c r="C1106" t="s">
        <v>211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67</v>
      </c>
      <c r="J1106">
        <v>1.2130000000000001</v>
      </c>
      <c r="K1106">
        <v>500</v>
      </c>
      <c r="L1106">
        <v>100</v>
      </c>
      <c r="N1106" t="s">
        <v>68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97930.435370313804</v>
      </c>
      <c r="Z1106">
        <v>489652176.851569</v>
      </c>
      <c r="AA1106">
        <v>593948090.52095318</v>
      </c>
      <c r="AB1106">
        <v>593948.09052095318</v>
      </c>
      <c r="AC1106">
        <v>0</v>
      </c>
      <c r="AD1106">
        <v>5074.8871578134858</v>
      </c>
      <c r="AE1106">
        <v>3044932.2946880911</v>
      </c>
      <c r="AF1106">
        <v>3044932.2946880911</v>
      </c>
      <c r="AG1106">
        <v>97.562858350038809</v>
      </c>
      <c r="AH1106">
        <v>100.5056027169172</v>
      </c>
      <c r="AI1106">
        <v>100.5056027169172</v>
      </c>
      <c r="AJ1106">
        <v>19303.312941930981</v>
      </c>
      <c r="AK1106">
        <v>854.70085470085473</v>
      </c>
      <c r="AL1106" t="s">
        <v>69</v>
      </c>
      <c r="AM1106">
        <v>7789.1842105610813</v>
      </c>
      <c r="AN1106">
        <v>1066.226251091731</v>
      </c>
      <c r="AO1106">
        <v>17085.952461875921</v>
      </c>
      <c r="AP1106">
        <v>29013.424258284649</v>
      </c>
      <c r="AQ1106">
        <v>11927.47179640873</v>
      </c>
      <c r="AR1106">
        <v>6.3394883937504176E-3</v>
      </c>
      <c r="AS1106">
        <v>197.85513942892081</v>
      </c>
      <c r="AT1106">
        <v>79.837597445278021</v>
      </c>
      <c r="AU1106">
        <v>10.928608172449129</v>
      </c>
      <c r="AV1106">
        <v>175.1276331057712</v>
      </c>
      <c r="AW1106">
        <v>297.38185974614908</v>
      </c>
      <c r="AX1106">
        <v>122.25422664037789</v>
      </c>
      <c r="AY1106">
        <v>1.030162547681007</v>
      </c>
      <c r="AZ1106" t="str">
        <f>VLOOKUP(BA1106,Sheet1!$A$1:$B$58,2,FALSE)</f>
        <v>Beta Carotene</v>
      </c>
      <c r="BA1106" t="s">
        <v>105</v>
      </c>
      <c r="BB1106" t="s">
        <v>106</v>
      </c>
      <c r="BC1106">
        <v>536.86703999999997</v>
      </c>
      <c r="BD1106">
        <v>5.4</v>
      </c>
      <c r="BE1106">
        <v>633</v>
      </c>
      <c r="BF1106" t="s">
        <v>214</v>
      </c>
      <c r="BG1106">
        <v>2.081274642009177</v>
      </c>
      <c r="BH1106">
        <v>1.52931034482759E-2</v>
      </c>
      <c r="BI1106">
        <v>0.256245054960406</v>
      </c>
      <c r="BJ1106">
        <v>90</v>
      </c>
      <c r="BK1106">
        <v>1289.4855225904289</v>
      </c>
      <c r="BL1106">
        <v>530.10985761816573</v>
      </c>
      <c r="BM1106">
        <v>2.3856410342982528</v>
      </c>
      <c r="BN1106">
        <v>405.55897583070299</v>
      </c>
      <c r="BO1106">
        <v>883.92654675972585</v>
      </c>
    </row>
    <row r="1107" spans="1:67" x14ac:dyDescent="0.25">
      <c r="A1107" s="1">
        <v>1105</v>
      </c>
      <c r="B1107" t="s">
        <v>210</v>
      </c>
      <c r="C1107" t="s">
        <v>211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67</v>
      </c>
      <c r="J1107">
        <v>1.2130000000000001</v>
      </c>
      <c r="K1107">
        <v>500</v>
      </c>
      <c r="L1107">
        <v>100</v>
      </c>
      <c r="N1107" t="s">
        <v>68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104495.2776010184</v>
      </c>
      <c r="Z1107">
        <v>522476388.00509179</v>
      </c>
      <c r="AA1107">
        <v>633763858.65017641</v>
      </c>
      <c r="AB1107">
        <v>633763.85865017644</v>
      </c>
      <c r="AC1107">
        <v>66773.504273504266</v>
      </c>
      <c r="AD1107">
        <v>5415.086130724143</v>
      </c>
      <c r="AE1107">
        <v>3249051.678434486</v>
      </c>
      <c r="AF1107">
        <v>3249051.678434486</v>
      </c>
      <c r="AG1107">
        <v>104.1030597718201</v>
      </c>
      <c r="AH1107">
        <v>107.24307327592631</v>
      </c>
      <c r="AI1107">
        <v>107.24307327592631</v>
      </c>
      <c r="AJ1107">
        <v>20597.325406130731</v>
      </c>
      <c r="AK1107">
        <v>2170.1388888888891</v>
      </c>
      <c r="AL1107" t="s">
        <v>107</v>
      </c>
      <c r="AM1107">
        <v>8311.3381788842871</v>
      </c>
      <c r="AN1107">
        <v>1137.7015497992729</v>
      </c>
      <c r="AO1107">
        <v>18231.32245690747</v>
      </c>
      <c r="AP1107">
        <v>32216.504023703179</v>
      </c>
      <c r="AQ1107">
        <v>13985.181566795711</v>
      </c>
      <c r="AR1107">
        <v>6.3394883937504176E-3</v>
      </c>
      <c r="AS1107">
        <v>197.85513942892081</v>
      </c>
      <c r="AT1107">
        <v>79.837597445278021</v>
      </c>
      <c r="AU1107">
        <v>10.928608172449129</v>
      </c>
      <c r="AV1107">
        <v>175.12763310577111</v>
      </c>
      <c r="AW1107">
        <v>309.467407531704</v>
      </c>
      <c r="AX1107">
        <v>134.33977442593289</v>
      </c>
      <c r="AY1107">
        <v>1.030162547681007</v>
      </c>
      <c r="AZ1107" t="str">
        <f>VLOOKUP(BA1107,Sheet1!$A$1:$B$58,2,FALSE)</f>
        <v>Butane</v>
      </c>
      <c r="BA1107" t="s">
        <v>108</v>
      </c>
      <c r="BB1107" t="s">
        <v>109</v>
      </c>
      <c r="BC1107">
        <v>58.121200000000002</v>
      </c>
      <c r="BD1107">
        <v>6.5</v>
      </c>
      <c r="BE1107">
        <v>-1</v>
      </c>
      <c r="BF1107" t="s">
        <v>214</v>
      </c>
      <c r="BG1107">
        <v>2.6907873987320992</v>
      </c>
      <c r="BH1107">
        <v>0.132388059701493</v>
      </c>
      <c r="BI1107">
        <v>0.24014663982784601</v>
      </c>
      <c r="BJ1107">
        <v>90</v>
      </c>
      <c r="BK1107">
        <v>1431.8446232756969</v>
      </c>
      <c r="BL1107">
        <v>621.56362519092056</v>
      </c>
      <c r="BM1107">
        <v>2.075571413531291</v>
      </c>
      <c r="BN1107">
        <v>352.8471403003195</v>
      </c>
      <c r="BO1107">
        <v>1078.9974829753769</v>
      </c>
    </row>
    <row r="1108" spans="1:67" x14ac:dyDescent="0.25">
      <c r="A1108" s="1">
        <v>1106</v>
      </c>
      <c r="B1108" t="s">
        <v>210</v>
      </c>
      <c r="C1108" t="s">
        <v>211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67</v>
      </c>
      <c r="J1108">
        <v>1.2130000000000001</v>
      </c>
      <c r="K1108">
        <v>500</v>
      </c>
      <c r="L1108">
        <v>100</v>
      </c>
      <c r="N1108" t="s">
        <v>68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65429.504780391828</v>
      </c>
      <c r="Z1108">
        <v>327147523.90195912</v>
      </c>
      <c r="AA1108">
        <v>396829946.49307638</v>
      </c>
      <c r="AB1108">
        <v>396829.94649307651</v>
      </c>
      <c r="AC1108">
        <v>0</v>
      </c>
      <c r="AD1108">
        <v>3390.6451278042809</v>
      </c>
      <c r="AE1108">
        <v>2034387.076682569</v>
      </c>
      <c r="AF1108">
        <v>2034387.076682569</v>
      </c>
      <c r="AG1108">
        <v>65.183918387210795</v>
      </c>
      <c r="AH1108">
        <v>67.150031433599892</v>
      </c>
      <c r="AI1108">
        <v>67.150031433599892</v>
      </c>
      <c r="AJ1108">
        <v>12896.973261024979</v>
      </c>
      <c r="AK1108">
        <v>854.70085470085473</v>
      </c>
      <c r="AL1108" t="s">
        <v>69</v>
      </c>
      <c r="AM1108">
        <v>5204.1274361039914</v>
      </c>
      <c r="AN1108">
        <v>712.36950319872881</v>
      </c>
      <c r="AO1108">
        <v>11415.50534371198</v>
      </c>
      <c r="AP1108">
        <v>19668.171055028561</v>
      </c>
      <c r="AQ1108">
        <v>8252.6657113165784</v>
      </c>
      <c r="AR1108">
        <v>6.3394883937504167E-3</v>
      </c>
      <c r="AS1108">
        <v>197.85513942892081</v>
      </c>
      <c r="AT1108">
        <v>79.837597445278007</v>
      </c>
      <c r="AU1108">
        <v>10.928608172449129</v>
      </c>
      <c r="AV1108">
        <v>175.12763310577111</v>
      </c>
      <c r="AW1108">
        <v>301.73348797772633</v>
      </c>
      <c r="AX1108">
        <v>126.6058548719551</v>
      </c>
      <c r="AY1108">
        <v>1.030162547681007</v>
      </c>
      <c r="AZ1108" t="str">
        <f>VLOOKUP(BA1108,Sheet1!$A$1:$B$58,2,FALSE)</f>
        <v>Butanol (PW1)</v>
      </c>
      <c r="BA1108" t="s">
        <v>110</v>
      </c>
      <c r="BB1108" t="s">
        <v>111</v>
      </c>
      <c r="BC1108">
        <v>74.120199999999997</v>
      </c>
      <c r="BD1108">
        <v>6</v>
      </c>
      <c r="BE1108">
        <v>117.7</v>
      </c>
      <c r="BF1108" t="s">
        <v>214</v>
      </c>
      <c r="BG1108">
        <v>1.206273960307505</v>
      </c>
      <c r="BH1108">
        <v>0.165794392523365</v>
      </c>
      <c r="BI1108">
        <v>0.38353018073404199</v>
      </c>
      <c r="BJ1108">
        <v>90</v>
      </c>
      <c r="BK1108">
        <v>874.14093577904714</v>
      </c>
      <c r="BL1108">
        <v>366.78514272518117</v>
      </c>
      <c r="BM1108">
        <v>1.7781718811858229</v>
      </c>
      <c r="BN1108">
        <v>302.28921980158998</v>
      </c>
      <c r="BO1108">
        <v>571.85171597745716</v>
      </c>
    </row>
    <row r="1109" spans="1:67" x14ac:dyDescent="0.25">
      <c r="A1109" s="1">
        <v>1107</v>
      </c>
      <c r="B1109" t="s">
        <v>210</v>
      </c>
      <c r="C1109" t="s">
        <v>211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67</v>
      </c>
      <c r="J1109">
        <v>1.2130000000000001</v>
      </c>
      <c r="K1109">
        <v>500</v>
      </c>
      <c r="L1109">
        <v>100</v>
      </c>
      <c r="N1109" t="s">
        <v>68</v>
      </c>
      <c r="O1109">
        <v>0</v>
      </c>
      <c r="P1109">
        <v>0.125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80105.28155356404</v>
      </c>
      <c r="Z1109">
        <v>400526407.76782018</v>
      </c>
      <c r="AA1109">
        <v>485838532.62236589</v>
      </c>
      <c r="AB1109">
        <v>485838.53262236592</v>
      </c>
      <c r="AC1109">
        <v>0</v>
      </c>
      <c r="AD1109">
        <v>4151.1636611435706</v>
      </c>
      <c r="AE1109">
        <v>2490698.1966861421</v>
      </c>
      <c r="AF1109">
        <v>2490698.1966861421</v>
      </c>
      <c r="AG1109">
        <v>79.804610361912495</v>
      </c>
      <c r="AH1109">
        <v>82.211720727117836</v>
      </c>
      <c r="AI1109">
        <v>82.211720727117836</v>
      </c>
      <c r="AJ1109">
        <v>15789.75231022689</v>
      </c>
      <c r="AK1109">
        <v>854.70085470085473</v>
      </c>
      <c r="AL1109" t="s">
        <v>69</v>
      </c>
      <c r="AM1109">
        <v>6371.4083563516324</v>
      </c>
      <c r="AN1109">
        <v>872.15331700031516</v>
      </c>
      <c r="AO1109">
        <v>13975.99252361003</v>
      </c>
      <c r="AP1109">
        <v>23888.014838279691</v>
      </c>
      <c r="AQ1109">
        <v>9912.0223146696626</v>
      </c>
      <c r="AR1109">
        <v>6.3394883937504167E-3</v>
      </c>
      <c r="AS1109">
        <v>197.85513942892081</v>
      </c>
      <c r="AT1109">
        <v>79.837597445278021</v>
      </c>
      <c r="AU1109">
        <v>10.928608172449129</v>
      </c>
      <c r="AV1109">
        <v>175.12763310577111</v>
      </c>
      <c r="AW1109">
        <v>299.33126331859739</v>
      </c>
      <c r="AX1109">
        <v>124.2036302128263</v>
      </c>
      <c r="AY1109">
        <v>1.030162547681007</v>
      </c>
      <c r="AZ1109" t="str">
        <f>VLOOKUP(BA1109,Sheet1!$A$1:$B$58,2,FALSE)</f>
        <v>Butanol (PW2)</v>
      </c>
      <c r="BA1109" t="s">
        <v>112</v>
      </c>
      <c r="BB1109" t="s">
        <v>111</v>
      </c>
      <c r="BC1109">
        <v>74.120199999999997</v>
      </c>
      <c r="BD1109">
        <v>6</v>
      </c>
      <c r="BE1109">
        <v>117.7</v>
      </c>
      <c r="BF1109" t="s">
        <v>214</v>
      </c>
      <c r="BG1109">
        <v>2.0095640559617891</v>
      </c>
      <c r="BH1109">
        <v>0.135419847328244</v>
      </c>
      <c r="BI1109">
        <v>0.31326510945452202</v>
      </c>
      <c r="BJ1109">
        <v>90</v>
      </c>
      <c r="BK1109">
        <v>1061.6895483679859</v>
      </c>
      <c r="BL1109">
        <v>440.53432509642943</v>
      </c>
      <c r="BM1109">
        <v>1.644290198576781</v>
      </c>
      <c r="BN1109">
        <v>279.52933375805281</v>
      </c>
      <c r="BO1109">
        <v>782.16021460993363</v>
      </c>
    </row>
    <row r="1110" spans="1:67" x14ac:dyDescent="0.25">
      <c r="A1110" s="1">
        <v>1108</v>
      </c>
      <c r="B1110" t="s">
        <v>210</v>
      </c>
      <c r="C1110" t="s">
        <v>211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67</v>
      </c>
      <c r="J1110">
        <v>1.2130000000000001</v>
      </c>
      <c r="K1110">
        <v>500</v>
      </c>
      <c r="L1110">
        <v>100</v>
      </c>
      <c r="N1110" t="s">
        <v>68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46835.195051416413</v>
      </c>
      <c r="Z1110">
        <v>234175975.25708199</v>
      </c>
      <c r="AA1110">
        <v>284055457.98684049</v>
      </c>
      <c r="AB1110">
        <v>284055.45798684063</v>
      </c>
      <c r="AC1110">
        <v>0</v>
      </c>
      <c r="AD1110">
        <v>2427.0629350451468</v>
      </c>
      <c r="AE1110">
        <v>1456237.7610270879</v>
      </c>
      <c r="AF1110">
        <v>1456237.7610270879</v>
      </c>
      <c r="AG1110">
        <v>46.65940147533459</v>
      </c>
      <c r="AH1110">
        <v>48.066767897101613</v>
      </c>
      <c r="AI1110">
        <v>48.066767897101613</v>
      </c>
      <c r="AJ1110">
        <v>9231.8023845723183</v>
      </c>
      <c r="AK1110">
        <v>854.70085470085473</v>
      </c>
      <c r="AL1110" t="s">
        <v>69</v>
      </c>
      <c r="AM1110">
        <v>3725.174512025375</v>
      </c>
      <c r="AN1110">
        <v>509.92231628492652</v>
      </c>
      <c r="AO1110">
        <v>8171.3505425072744</v>
      </c>
      <c r="AP1110">
        <v>14321.600067583469</v>
      </c>
      <c r="AQ1110">
        <v>6150.2495250762004</v>
      </c>
      <c r="AR1110">
        <v>6.3394883937504167E-3</v>
      </c>
      <c r="AS1110">
        <v>197.85513942892081</v>
      </c>
      <c r="AT1110">
        <v>79.837597445278021</v>
      </c>
      <c r="AU1110">
        <v>10.928608172449129</v>
      </c>
      <c r="AV1110">
        <v>175.1276331057712</v>
      </c>
      <c r="AW1110">
        <v>306.93921513661621</v>
      </c>
      <c r="AX1110">
        <v>131.81158203084499</v>
      </c>
      <c r="AY1110">
        <v>1.030162547681007</v>
      </c>
      <c r="AZ1110" t="str">
        <f>VLOOKUP(BA1110,Sheet1!$A$1:$B$58,2,FALSE)</f>
        <v>Butyrate</v>
      </c>
      <c r="BA1110" t="s">
        <v>113</v>
      </c>
      <c r="BB1110" t="s">
        <v>114</v>
      </c>
      <c r="BC1110">
        <v>87.095680000000002</v>
      </c>
      <c r="BD1110">
        <v>4.75</v>
      </c>
      <c r="BE1110">
        <v>163.5</v>
      </c>
      <c r="BF1110" t="s">
        <v>214</v>
      </c>
      <c r="BG1110">
        <v>0.54233556193233234</v>
      </c>
      <c r="BH1110">
        <v>0.19711111111111099</v>
      </c>
      <c r="BI1110">
        <v>0.53579770013157302</v>
      </c>
      <c r="BJ1110">
        <v>90</v>
      </c>
      <c r="BK1110">
        <v>636.5155585592654</v>
      </c>
      <c r="BL1110">
        <v>273.3444233367199</v>
      </c>
      <c r="BM1110">
        <v>1.5939652334944061</v>
      </c>
      <c r="BN1110">
        <v>270.9740896940491</v>
      </c>
      <c r="BO1110">
        <v>365.5414688652163</v>
      </c>
    </row>
    <row r="1111" spans="1:67" x14ac:dyDescent="0.25">
      <c r="A1111" s="1">
        <v>1109</v>
      </c>
      <c r="B1111" t="s">
        <v>210</v>
      </c>
      <c r="C1111" t="s">
        <v>211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67</v>
      </c>
      <c r="J1111">
        <v>1.2130000000000001</v>
      </c>
      <c r="K1111">
        <v>500</v>
      </c>
      <c r="L1111">
        <v>100</v>
      </c>
      <c r="N1111" t="s">
        <v>68</v>
      </c>
      <c r="O1111">
        <v>0</v>
      </c>
      <c r="P1111">
        <v>0.125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60371.795850756309</v>
      </c>
      <c r="Z1111">
        <v>301858979.25378162</v>
      </c>
      <c r="AA1111">
        <v>366154941.83483708</v>
      </c>
      <c r="AB1111">
        <v>366154.94183483708</v>
      </c>
      <c r="AC1111">
        <v>0</v>
      </c>
      <c r="AD1111">
        <v>3128.5478339659812</v>
      </c>
      <c r="AE1111">
        <v>1877128.7003795879</v>
      </c>
      <c r="AF1111">
        <v>1877128.7003795879</v>
      </c>
      <c r="AG1111">
        <v>60.145193316584411</v>
      </c>
      <c r="AH1111">
        <v>61.959325577779268</v>
      </c>
      <c r="AI1111">
        <v>61.959325577779268</v>
      </c>
      <c r="AJ1111">
        <v>11900.035609632199</v>
      </c>
      <c r="AK1111">
        <v>854.70085470085473</v>
      </c>
      <c r="AL1111" t="s">
        <v>69</v>
      </c>
      <c r="AM1111">
        <v>4801.8477322778936</v>
      </c>
      <c r="AN1111">
        <v>657.30325121315695</v>
      </c>
      <c r="AO1111">
        <v>10533.085348222479</v>
      </c>
      <c r="AP1111">
        <v>18213.887447824109</v>
      </c>
      <c r="AQ1111">
        <v>7680.8020996016367</v>
      </c>
      <c r="AR1111">
        <v>6.3394883937504176E-3</v>
      </c>
      <c r="AS1111">
        <v>197.85513942892081</v>
      </c>
      <c r="AT1111">
        <v>79.837597445278035</v>
      </c>
      <c r="AU1111">
        <v>10.928608172449129</v>
      </c>
      <c r="AV1111">
        <v>175.1276331057712</v>
      </c>
      <c r="AW1111">
        <v>302.83197115939481</v>
      </c>
      <c r="AX1111">
        <v>127.7043380536236</v>
      </c>
      <c r="AY1111">
        <v>1.030162547681007</v>
      </c>
      <c r="AZ1111" t="str">
        <f>VLOOKUP(BA1111,Sheet1!$A$1:$B$58,2,FALSE)</f>
        <v>Catechol</v>
      </c>
      <c r="BA1111" t="s">
        <v>115</v>
      </c>
      <c r="BB1111" t="s">
        <v>116</v>
      </c>
      <c r="BC1111">
        <v>110.10924</v>
      </c>
      <c r="BD1111">
        <v>4.333333333333333</v>
      </c>
      <c r="BE1111">
        <v>245</v>
      </c>
      <c r="BF1111" t="s">
        <v>214</v>
      </c>
      <c r="BG1111">
        <v>0.90633350433046966</v>
      </c>
      <c r="BH1111">
        <v>0.12095454545454599</v>
      </c>
      <c r="BI1111">
        <v>0.41566081379784198</v>
      </c>
      <c r="BJ1111">
        <v>90</v>
      </c>
      <c r="BK1111">
        <v>809.50610879218266</v>
      </c>
      <c r="BL1111">
        <v>341.36898220451712</v>
      </c>
      <c r="BM1111">
        <v>1.8474142991263871</v>
      </c>
      <c r="BN1111">
        <v>314.06043085148571</v>
      </c>
      <c r="BO1111">
        <v>495.44567794069701</v>
      </c>
    </row>
    <row r="1112" spans="1:67" x14ac:dyDescent="0.25">
      <c r="A1112" s="1">
        <v>1110</v>
      </c>
      <c r="B1112" t="s">
        <v>210</v>
      </c>
      <c r="C1112" t="s">
        <v>211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67</v>
      </c>
      <c r="J1112">
        <v>1.2130000000000001</v>
      </c>
      <c r="K1112">
        <v>500</v>
      </c>
      <c r="L1112">
        <v>100</v>
      </c>
      <c r="N1112" t="s">
        <v>68</v>
      </c>
      <c r="O1112">
        <v>0</v>
      </c>
      <c r="P1112">
        <v>0.125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48098.116577191031</v>
      </c>
      <c r="Z1112">
        <v>240490582.88595521</v>
      </c>
      <c r="AA1112">
        <v>291715077.0406636</v>
      </c>
      <c r="AB1112">
        <v>291715.07704066357</v>
      </c>
      <c r="AC1112">
        <v>0</v>
      </c>
      <c r="AD1112">
        <v>2492.5092307574469</v>
      </c>
      <c r="AE1112">
        <v>1495505.5384544679</v>
      </c>
      <c r="AF1112">
        <v>1495505.5384544679</v>
      </c>
      <c r="AG1112">
        <v>47.917582687951921</v>
      </c>
      <c r="AH1112">
        <v>49.362899060535852</v>
      </c>
      <c r="AI1112">
        <v>49.362899060535852</v>
      </c>
      <c r="AJ1112">
        <v>9480.7400038215656</v>
      </c>
      <c r="AK1112">
        <v>854.70085470085473</v>
      </c>
      <c r="AL1112" t="s">
        <v>69</v>
      </c>
      <c r="AM1112">
        <v>3825.624677191528</v>
      </c>
      <c r="AN1112">
        <v>523.67248576755799</v>
      </c>
      <c r="AO1112">
        <v>8391.6928402910944</v>
      </c>
      <c r="AP1112">
        <v>14684.738021481509</v>
      </c>
      <c r="AQ1112">
        <v>6293.0451811904131</v>
      </c>
      <c r="AR1112">
        <v>6.339488393750415E-3</v>
      </c>
      <c r="AS1112">
        <v>197.85513942892069</v>
      </c>
      <c r="AT1112">
        <v>79.837597445278007</v>
      </c>
      <c r="AU1112">
        <v>10.92860817244912</v>
      </c>
      <c r="AV1112">
        <v>175.12763310577111</v>
      </c>
      <c r="AW1112">
        <v>306.45823928788752</v>
      </c>
      <c r="AX1112">
        <v>131.33060618211641</v>
      </c>
      <c r="AY1112">
        <v>1.030162547681007</v>
      </c>
      <c r="AZ1112" t="str">
        <f>VLOOKUP(BA1112,Sheet1!$A$1:$B$58,2,FALSE)</f>
        <v>cis,cis-Muconate</v>
      </c>
      <c r="BA1112" t="s">
        <v>117</v>
      </c>
      <c r="BB1112" t="s">
        <v>118</v>
      </c>
      <c r="BC1112">
        <v>140.09155999999999</v>
      </c>
      <c r="BD1112">
        <v>3.333333333333333</v>
      </c>
      <c r="BE1112">
        <v>345.4</v>
      </c>
      <c r="BF1112" t="s">
        <v>214</v>
      </c>
      <c r="BG1112">
        <v>0.74777782397472536</v>
      </c>
      <c r="BH1112">
        <v>0.119327354260089</v>
      </c>
      <c r="BI1112">
        <v>0.52172915655625995</v>
      </c>
      <c r="BJ1112">
        <v>90</v>
      </c>
      <c r="BK1112">
        <v>652.65502317695586</v>
      </c>
      <c r="BL1112">
        <v>279.6908969417961</v>
      </c>
      <c r="BM1112">
        <v>1.4461288009379789</v>
      </c>
      <c r="BN1112">
        <v>245.8418961594565</v>
      </c>
      <c r="BO1112">
        <v>406.81312701749943</v>
      </c>
    </row>
    <row r="1113" spans="1:67" x14ac:dyDescent="0.25">
      <c r="A1113" s="1">
        <v>1111</v>
      </c>
      <c r="B1113" t="s">
        <v>210</v>
      </c>
      <c r="C1113" t="s">
        <v>211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67</v>
      </c>
      <c r="J1113">
        <v>1.2130000000000001</v>
      </c>
      <c r="K1113">
        <v>500</v>
      </c>
      <c r="L1113">
        <v>100</v>
      </c>
      <c r="N1113" t="s">
        <v>68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24208.31439851765</v>
      </c>
      <c r="Z1113">
        <v>121041571.99258821</v>
      </c>
      <c r="AA1113">
        <v>146823426.8270095</v>
      </c>
      <c r="AB1113">
        <v>146823.42682700951</v>
      </c>
      <c r="AC1113">
        <v>0</v>
      </c>
      <c r="AD1113">
        <v>1254.5074816504909</v>
      </c>
      <c r="AE1113">
        <v>752704.4889902944</v>
      </c>
      <c r="AF1113">
        <v>752704.4889902944</v>
      </c>
      <c r="AG1113">
        <v>24.117449694007359</v>
      </c>
      <c r="AH1113">
        <v>24.844893420347141</v>
      </c>
      <c r="AI1113">
        <v>24.844893420347141</v>
      </c>
      <c r="AJ1113">
        <v>4771.7613718778102</v>
      </c>
      <c r="AK1113">
        <v>854.70085470085473</v>
      </c>
      <c r="AL1113" t="s">
        <v>69</v>
      </c>
      <c r="AM1113">
        <v>1925.479240076904</v>
      </c>
      <c r="AN1113">
        <v>263.5701578245596</v>
      </c>
      <c r="AO1113">
        <v>4223.6318814590149</v>
      </c>
      <c r="AP1113">
        <v>7815.5116244801284</v>
      </c>
      <c r="AQ1113">
        <v>3591.879743021113</v>
      </c>
      <c r="AR1113">
        <v>6.3394883937504176E-3</v>
      </c>
      <c r="AS1113">
        <v>197.85513942892081</v>
      </c>
      <c r="AT1113">
        <v>79.837597445278035</v>
      </c>
      <c r="AU1113">
        <v>10.928608172449129</v>
      </c>
      <c r="AV1113">
        <v>175.1276331057712</v>
      </c>
      <c r="AW1113">
        <v>324.06045098632899</v>
      </c>
      <c r="AX1113">
        <v>148.93281788055779</v>
      </c>
      <c r="AY1113">
        <v>1.030162547681007</v>
      </c>
      <c r="AZ1113" t="str">
        <f>VLOOKUP(BA1113,Sheet1!$A$1:$B$58,2,FALSE)</f>
        <v>Citrate</v>
      </c>
      <c r="BA1113" t="s">
        <v>119</v>
      </c>
      <c r="BB1113" t="s">
        <v>120</v>
      </c>
      <c r="BC1113">
        <v>189.09639999999999</v>
      </c>
      <c r="BD1113">
        <v>2.5</v>
      </c>
      <c r="BF1113" t="s">
        <v>214</v>
      </c>
      <c r="BG1113">
        <v>-7.1369621231255023E-2</v>
      </c>
      <c r="BH1113">
        <v>0.17564356435643599</v>
      </c>
      <c r="BI1113">
        <v>1.0365938487356701</v>
      </c>
      <c r="BJ1113">
        <v>90</v>
      </c>
      <c r="BK1113">
        <v>347.3560721991168</v>
      </c>
      <c r="BL1113">
        <v>159.6390996898273</v>
      </c>
      <c r="BM1113">
        <v>1.175587106580017</v>
      </c>
      <c r="BN1113">
        <v>199.84980811860291</v>
      </c>
      <c r="BO1113">
        <v>147.50626408051389</v>
      </c>
    </row>
    <row r="1114" spans="1:67" x14ac:dyDescent="0.25">
      <c r="A1114" s="1">
        <v>1112</v>
      </c>
      <c r="B1114" t="s">
        <v>210</v>
      </c>
      <c r="C1114" t="s">
        <v>211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67</v>
      </c>
      <c r="J1114">
        <v>1.2130000000000001</v>
      </c>
      <c r="K1114">
        <v>500</v>
      </c>
      <c r="L1114">
        <v>100</v>
      </c>
      <c r="N1114" t="s">
        <v>68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61025.081004334912</v>
      </c>
      <c r="Z1114">
        <v>305125405.02167457</v>
      </c>
      <c r="AA1114">
        <v>370117116.2912913</v>
      </c>
      <c r="AB1114">
        <v>370117.11629129131</v>
      </c>
      <c r="AC1114">
        <v>0</v>
      </c>
      <c r="AD1114">
        <v>3162.4019511640681</v>
      </c>
      <c r="AE1114">
        <v>1897441.1706984411</v>
      </c>
      <c r="AF1114">
        <v>1897441.1706984411</v>
      </c>
      <c r="AG1114">
        <v>60.796026396818981</v>
      </c>
      <c r="AH1114">
        <v>62.629789441828763</v>
      </c>
      <c r="AI1114">
        <v>62.629789441828763</v>
      </c>
      <c r="AJ1114">
        <v>12028.806279466969</v>
      </c>
      <c r="AK1114">
        <v>854.70085470085473</v>
      </c>
      <c r="AL1114" t="s">
        <v>69</v>
      </c>
      <c r="AM1114">
        <v>4853.8086817417288</v>
      </c>
      <c r="AN1114">
        <v>664.4159509327086</v>
      </c>
      <c r="AO1114">
        <v>10647.06420511089</v>
      </c>
      <c r="AP1114">
        <v>18401.731766842258</v>
      </c>
      <c r="AQ1114">
        <v>7754.6675617313686</v>
      </c>
      <c r="AR1114">
        <v>6.3394883937504167E-3</v>
      </c>
      <c r="AS1114">
        <v>197.85513942892081</v>
      </c>
      <c r="AT1114">
        <v>79.837597445277993</v>
      </c>
      <c r="AU1114">
        <v>10.92860817244912</v>
      </c>
      <c r="AV1114">
        <v>175.12763310577111</v>
      </c>
      <c r="AW1114">
        <v>302.67984369131551</v>
      </c>
      <c r="AX1114">
        <v>127.5522105855443</v>
      </c>
      <c r="AY1114">
        <v>1.030162547681007</v>
      </c>
      <c r="AZ1114" t="str">
        <f>VLOOKUP(BA1114,Sheet1!$A$1:$B$58,2,FALSE)</f>
        <v>Coumaric Acid</v>
      </c>
      <c r="BA1114" t="s">
        <v>121</v>
      </c>
      <c r="BB1114" t="s">
        <v>122</v>
      </c>
      <c r="BC1114">
        <v>163.14818</v>
      </c>
      <c r="BD1114">
        <v>4.1111111111111107</v>
      </c>
      <c r="BE1114">
        <v>346</v>
      </c>
      <c r="BF1114" t="s">
        <v>214</v>
      </c>
      <c r="BG1114">
        <v>0.91246249431000914</v>
      </c>
      <c r="BH1114">
        <v>8.0758725341426404E-2</v>
      </c>
      <c r="BI1114">
        <v>0.41121108535652701</v>
      </c>
      <c r="BJ1114">
        <v>90</v>
      </c>
      <c r="BK1114">
        <v>817.85474519298918</v>
      </c>
      <c r="BL1114">
        <v>344.65189163250523</v>
      </c>
      <c r="BM1114">
        <v>1.871083703104603</v>
      </c>
      <c r="BN1114">
        <v>318.0842295277825</v>
      </c>
      <c r="BO1114">
        <v>499.77051566520669</v>
      </c>
    </row>
    <row r="1115" spans="1:67" x14ac:dyDescent="0.25">
      <c r="A1115" s="1">
        <v>1113</v>
      </c>
      <c r="B1115" t="s">
        <v>210</v>
      </c>
      <c r="C1115" t="s">
        <v>211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67</v>
      </c>
      <c r="J1115">
        <v>1.2130000000000001</v>
      </c>
      <c r="K1115">
        <v>500</v>
      </c>
      <c r="L1115">
        <v>100</v>
      </c>
      <c r="N1115" t="s">
        <v>68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47842.749071019993</v>
      </c>
      <c r="Z1115">
        <v>239213745.35509989</v>
      </c>
      <c r="AA1115">
        <v>290166273.11573619</v>
      </c>
      <c r="AB1115">
        <v>290166.27311573632</v>
      </c>
      <c r="AC1115">
        <v>0</v>
      </c>
      <c r="AD1115">
        <v>2479.2757423869539</v>
      </c>
      <c r="AE1115">
        <v>1487565.4454321731</v>
      </c>
      <c r="AF1115">
        <v>1487565.4454321731</v>
      </c>
      <c r="AG1115">
        <v>47.663173691018969</v>
      </c>
      <c r="AH1115">
        <v>49.100816440102442</v>
      </c>
      <c r="AI1115">
        <v>49.100816440102442</v>
      </c>
      <c r="AJ1115">
        <v>9430.4038762614291</v>
      </c>
      <c r="AK1115">
        <v>854.70085470085473</v>
      </c>
      <c r="AL1115" t="s">
        <v>69</v>
      </c>
      <c r="AM1115">
        <v>3805.3132741079389</v>
      </c>
      <c r="AN1115">
        <v>520.8921495245321</v>
      </c>
      <c r="AO1115">
        <v>8347.1387948174142</v>
      </c>
      <c r="AP1115">
        <v>14611.310154594759</v>
      </c>
      <c r="AQ1115">
        <v>6264.1713597773414</v>
      </c>
      <c r="AR1115">
        <v>6.3394883937504176E-3</v>
      </c>
      <c r="AS1115">
        <v>197.85513942892081</v>
      </c>
      <c r="AT1115">
        <v>79.837597445278021</v>
      </c>
      <c r="AU1115">
        <v>10.928608172449129</v>
      </c>
      <c r="AV1115">
        <v>175.12763310577111</v>
      </c>
      <c r="AW1115">
        <v>306.55344625840388</v>
      </c>
      <c r="AX1115">
        <v>131.4258131526328</v>
      </c>
      <c r="AY1115">
        <v>1.030162547681007</v>
      </c>
      <c r="AZ1115" t="str">
        <f>VLOOKUP(BA1115,Sheet1!$A$1:$B$58,2,FALSE)</f>
        <v>Ethyl Acetate</v>
      </c>
      <c r="BA1115" t="s">
        <v>123</v>
      </c>
      <c r="BB1115" t="s">
        <v>124</v>
      </c>
      <c r="BC1115">
        <v>88.103520000000003</v>
      </c>
      <c r="BD1115">
        <v>5</v>
      </c>
      <c r="BE1115">
        <v>77.099999999999994</v>
      </c>
      <c r="BF1115" t="s">
        <v>214</v>
      </c>
      <c r="BG1115">
        <v>0.62060616162859317</v>
      </c>
      <c r="BH1115">
        <v>0.19075268817204299</v>
      </c>
      <c r="BI1115">
        <v>0.524513960443861</v>
      </c>
      <c r="BJ1115">
        <v>90</v>
      </c>
      <c r="BK1115">
        <v>649.39156242643355</v>
      </c>
      <c r="BL1115">
        <v>278.40761599010409</v>
      </c>
      <c r="BM1115">
        <v>1.561652346820404</v>
      </c>
      <c r="BN1115">
        <v>265.48089895946868</v>
      </c>
      <c r="BO1115">
        <v>383.91066346696482</v>
      </c>
    </row>
    <row r="1116" spans="1:67" x14ac:dyDescent="0.25">
      <c r="A1116" s="1">
        <v>1114</v>
      </c>
      <c r="B1116" t="s">
        <v>210</v>
      </c>
      <c r="C1116" t="s">
        <v>211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67</v>
      </c>
      <c r="J1116">
        <v>1.2130000000000001</v>
      </c>
      <c r="K1116">
        <v>500</v>
      </c>
      <c r="L1116">
        <v>100</v>
      </c>
      <c r="N1116" t="s">
        <v>68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96925.060516609214</v>
      </c>
      <c r="Z1116">
        <v>484625302.58304608</v>
      </c>
      <c r="AA1116">
        <v>587850492.03323495</v>
      </c>
      <c r="AB1116">
        <v>587850.49203323491</v>
      </c>
      <c r="AC1116">
        <v>0</v>
      </c>
      <c r="AD1116">
        <v>5022.7872777857838</v>
      </c>
      <c r="AE1116">
        <v>3013672.36667147</v>
      </c>
      <c r="AF1116">
        <v>3013672.36667147</v>
      </c>
      <c r="AG1116">
        <v>96.561257120862592</v>
      </c>
      <c r="AH1116">
        <v>99.473790642908554</v>
      </c>
      <c r="AI1116">
        <v>99.473790642908554</v>
      </c>
      <c r="AJ1116">
        <v>19105.14099108013</v>
      </c>
      <c r="AK1116">
        <v>1835.336538461539</v>
      </c>
      <c r="AL1116" t="s">
        <v>84</v>
      </c>
      <c r="AM1116">
        <v>7709.2187748254128</v>
      </c>
      <c r="AN1116">
        <v>1055.2801437130199</v>
      </c>
      <c r="AO1116">
        <v>16910.544409294449</v>
      </c>
      <c r="AP1116">
        <v>29704.976448080099</v>
      </c>
      <c r="AQ1116">
        <v>12794.43203878565</v>
      </c>
      <c r="AR1116">
        <v>6.3394883937504158E-3</v>
      </c>
      <c r="AS1116">
        <v>197.85513942892081</v>
      </c>
      <c r="AT1116">
        <v>79.837597445278007</v>
      </c>
      <c r="AU1116">
        <v>10.928608172449129</v>
      </c>
      <c r="AV1116">
        <v>175.12763310577111</v>
      </c>
      <c r="AW1116">
        <v>307.62831112378069</v>
      </c>
      <c r="AX1116">
        <v>132.50067801800961</v>
      </c>
      <c r="AY1116">
        <v>1.030162547681007</v>
      </c>
      <c r="AZ1116" t="str">
        <f>VLOOKUP(BA1116,Sheet1!$A$1:$B$58,2,FALSE)</f>
        <v>Farnesene</v>
      </c>
      <c r="BA1116" t="s">
        <v>125</v>
      </c>
      <c r="BB1116" t="s">
        <v>126</v>
      </c>
      <c r="BC1116">
        <v>204.34866</v>
      </c>
      <c r="BD1116">
        <v>5.6</v>
      </c>
      <c r="BE1116" t="s">
        <v>127</v>
      </c>
      <c r="BF1116" t="s">
        <v>214</v>
      </c>
      <c r="BG1116">
        <v>2.0747607409150941</v>
      </c>
      <c r="BH1116">
        <v>4.0594965675057097E-2</v>
      </c>
      <c r="BI1116">
        <v>0.25890300877823402</v>
      </c>
      <c r="BJ1116">
        <v>90</v>
      </c>
      <c r="BK1116">
        <v>1320.2211754702271</v>
      </c>
      <c r="BL1116">
        <v>568.64142394602879</v>
      </c>
      <c r="BM1116">
        <v>2.3462966209919531</v>
      </c>
      <c r="BN1116">
        <v>398.87042556863202</v>
      </c>
      <c r="BO1116">
        <v>921.35074990159467</v>
      </c>
    </row>
    <row r="1117" spans="1:67" x14ac:dyDescent="0.25">
      <c r="A1117" s="1">
        <v>1115</v>
      </c>
      <c r="B1117" t="s">
        <v>210</v>
      </c>
      <c r="C1117" t="s">
        <v>211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67</v>
      </c>
      <c r="J1117">
        <v>1.2130000000000001</v>
      </c>
      <c r="K1117">
        <v>500</v>
      </c>
      <c r="L1117">
        <v>100</v>
      </c>
      <c r="N1117" t="s">
        <v>68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51595.366594515857</v>
      </c>
      <c r="Z1117">
        <v>257976832.9725793</v>
      </c>
      <c r="AA1117">
        <v>312925898.39573872</v>
      </c>
      <c r="AB1117">
        <v>312925.89839573868</v>
      </c>
      <c r="AC1117">
        <v>0</v>
      </c>
      <c r="AD1117">
        <v>2673.7414404731699</v>
      </c>
      <c r="AE1117">
        <v>1604244.8642839021</v>
      </c>
      <c r="AF1117">
        <v>1604244.8642839021</v>
      </c>
      <c r="AG1117">
        <v>51.401705951212357</v>
      </c>
      <c r="AH1117">
        <v>52.952112357850893</v>
      </c>
      <c r="AI1117">
        <v>52.952112357850893</v>
      </c>
      <c r="AJ1117">
        <v>10170.09169786151</v>
      </c>
      <c r="AK1117">
        <v>1835.336538461539</v>
      </c>
      <c r="AL1117" t="s">
        <v>84</v>
      </c>
      <c r="AM1117">
        <v>4103.7887077334444</v>
      </c>
      <c r="AN1117">
        <v>561.7491037362463</v>
      </c>
      <c r="AO1117">
        <v>9001.8591008346521</v>
      </c>
      <c r="AP1117">
        <v>16670.966047792739</v>
      </c>
      <c r="AQ1117">
        <v>7669.1069469580871</v>
      </c>
      <c r="AR1117">
        <v>6.3394883937504176E-3</v>
      </c>
      <c r="AS1117">
        <v>197.85513942892081</v>
      </c>
      <c r="AT1117">
        <v>79.837597445278021</v>
      </c>
      <c r="AU1117">
        <v>10.928608172449129</v>
      </c>
      <c r="AV1117">
        <v>175.1276331057712</v>
      </c>
      <c r="AW1117">
        <v>324.32709652897302</v>
      </c>
      <c r="AX1117">
        <v>149.19946342320179</v>
      </c>
      <c r="AY1117">
        <v>1.030162547681007</v>
      </c>
      <c r="AZ1117" t="str">
        <f>VLOOKUP(BA1117,Sheet1!$A$1:$B$58,2,FALSE)</f>
        <v>Gamma Butyrolactone</v>
      </c>
      <c r="BA1117" t="s">
        <v>128</v>
      </c>
      <c r="BB1117" t="s">
        <v>129</v>
      </c>
      <c r="BC1117">
        <v>86.08784</v>
      </c>
      <c r="BD1117">
        <v>4.5</v>
      </c>
      <c r="BE1117">
        <v>204</v>
      </c>
      <c r="BF1117" t="s">
        <v>214</v>
      </c>
      <c r="BG1117">
        <v>0.7792245540986622</v>
      </c>
      <c r="BH1117">
        <v>0.18102040816326501</v>
      </c>
      <c r="BI1117">
        <v>0.48636518063677903</v>
      </c>
      <c r="BJ1117">
        <v>90</v>
      </c>
      <c r="BK1117">
        <v>740.93182434634389</v>
      </c>
      <c r="BL1117">
        <v>340.84919764258149</v>
      </c>
      <c r="BM1117">
        <v>1.574202661805822</v>
      </c>
      <c r="BN1117">
        <v>267.61445250698978</v>
      </c>
      <c r="BO1117">
        <v>473.31737183935411</v>
      </c>
    </row>
    <row r="1118" spans="1:67" x14ac:dyDescent="0.25">
      <c r="A1118" s="1">
        <v>1116</v>
      </c>
      <c r="B1118" t="s">
        <v>210</v>
      </c>
      <c r="C1118" t="s">
        <v>211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67</v>
      </c>
      <c r="J1118">
        <v>1.2130000000000001</v>
      </c>
      <c r="K1118">
        <v>500</v>
      </c>
      <c r="L1118">
        <v>100</v>
      </c>
      <c r="N1118" t="s">
        <v>68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30398.073460507509</v>
      </c>
      <c r="Z1118">
        <v>151990367.30253759</v>
      </c>
      <c r="AA1118">
        <v>184364315.53797811</v>
      </c>
      <c r="AB1118">
        <v>184364.31553797811</v>
      </c>
      <c r="AC1118">
        <v>0</v>
      </c>
      <c r="AD1118">
        <v>1575.269139197193</v>
      </c>
      <c r="AE1118">
        <v>945161.4835183156</v>
      </c>
      <c r="AF1118">
        <v>945161.4835183156</v>
      </c>
      <c r="AG1118">
        <v>30.283975803099359</v>
      </c>
      <c r="AH1118">
        <v>31.197417667230791</v>
      </c>
      <c r="AI1118">
        <v>31.197417667230791</v>
      </c>
      <c r="AJ1118">
        <v>5991.8402549842876</v>
      </c>
      <c r="AK1118">
        <v>854.70085470085473</v>
      </c>
      <c r="AL1118" t="s">
        <v>69</v>
      </c>
      <c r="AM1118">
        <v>2417.799869210387</v>
      </c>
      <c r="AN1118">
        <v>330.96170545600319</v>
      </c>
      <c r="AO1118">
        <v>5303.5610034292349</v>
      </c>
      <c r="AP1118">
        <v>9595.3026843515327</v>
      </c>
      <c r="AQ1118">
        <v>4291.7416809222977</v>
      </c>
      <c r="AR1118">
        <v>6.3394883937504167E-3</v>
      </c>
      <c r="AS1118">
        <v>197.85513942892081</v>
      </c>
      <c r="AT1118">
        <v>79.837597445277993</v>
      </c>
      <c r="AU1118">
        <v>10.928608172449129</v>
      </c>
      <c r="AV1118">
        <v>175.12763310577111</v>
      </c>
      <c r="AW1118">
        <v>316.84421975299279</v>
      </c>
      <c r="AX1118">
        <v>141.7165866472217</v>
      </c>
      <c r="AY1118">
        <v>1.030162547681007</v>
      </c>
      <c r="AZ1118" t="str">
        <f>VLOOKUP(BA1118,Sheet1!$A$1:$B$58,2,FALSE)</f>
        <v>L-Glutamate</v>
      </c>
      <c r="BA1118" t="s">
        <v>130</v>
      </c>
      <c r="BB1118" t="s">
        <v>131</v>
      </c>
      <c r="BC1118">
        <v>146.11892</v>
      </c>
      <c r="BD1118">
        <v>3.4</v>
      </c>
      <c r="BE1118">
        <v>333.8</v>
      </c>
      <c r="BF1118" t="s">
        <v>214</v>
      </c>
      <c r="BG1118">
        <v>0.1578971343157802</v>
      </c>
      <c r="BH1118">
        <v>0.18102040816326601</v>
      </c>
      <c r="BI1118">
        <v>0.82551908516058903</v>
      </c>
      <c r="BJ1118">
        <v>90</v>
      </c>
      <c r="BK1118">
        <v>426.45789708229029</v>
      </c>
      <c r="BL1118">
        <v>190.7440747076576</v>
      </c>
      <c r="BM1118">
        <v>1.2286547620055881</v>
      </c>
      <c r="BN1118">
        <v>208.87130954094999</v>
      </c>
      <c r="BO1118">
        <v>217.58658754134029</v>
      </c>
    </row>
    <row r="1119" spans="1:67" x14ac:dyDescent="0.25">
      <c r="A1119" s="1">
        <v>1117</v>
      </c>
      <c r="B1119" t="s">
        <v>210</v>
      </c>
      <c r="C1119" t="s">
        <v>211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67</v>
      </c>
      <c r="J1119">
        <v>1.2130000000000001</v>
      </c>
      <c r="K1119">
        <v>500</v>
      </c>
      <c r="L1119">
        <v>100</v>
      </c>
      <c r="N1119" t="s">
        <v>68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47380.495701906482</v>
      </c>
      <c r="Z1119">
        <v>236902478.50953239</v>
      </c>
      <c r="AA1119">
        <v>287362706.43206269</v>
      </c>
      <c r="AB1119">
        <v>287362.70643206273</v>
      </c>
      <c r="AC1119">
        <v>0</v>
      </c>
      <c r="AD1119">
        <v>2455.3211497447442</v>
      </c>
      <c r="AE1119">
        <v>1473192.689846847</v>
      </c>
      <c r="AF1119">
        <v>1473192.689846847</v>
      </c>
      <c r="AG1119">
        <v>47.202655366944199</v>
      </c>
      <c r="AH1119">
        <v>48.626407710119793</v>
      </c>
      <c r="AI1119">
        <v>48.626407710119793</v>
      </c>
      <c r="AJ1119">
        <v>9339.287959042038</v>
      </c>
      <c r="AK1119">
        <v>854.70085470085473</v>
      </c>
      <c r="AL1119" t="s">
        <v>69</v>
      </c>
      <c r="AM1119">
        <v>3768.546597534284</v>
      </c>
      <c r="AN1119">
        <v>515.85932520448614</v>
      </c>
      <c r="AO1119">
        <v>8266.4893107203643</v>
      </c>
      <c r="AP1119">
        <v>14478.394736481659</v>
      </c>
      <c r="AQ1119">
        <v>6211.9054257612988</v>
      </c>
      <c r="AR1119">
        <v>6.339488393750415E-3</v>
      </c>
      <c r="AS1119">
        <v>197.85513942892069</v>
      </c>
      <c r="AT1119">
        <v>79.837597445278021</v>
      </c>
      <c r="AU1119">
        <v>10.928608172449129</v>
      </c>
      <c r="AV1119">
        <v>175.1276331057712</v>
      </c>
      <c r="AW1119">
        <v>306.72839533982687</v>
      </c>
      <c r="AX1119">
        <v>131.60076223405579</v>
      </c>
      <c r="AY1119">
        <v>1.030162547681007</v>
      </c>
      <c r="AZ1119" t="str">
        <f>VLOOKUP(BA1119,Sheet1!$A$1:$B$58,2,FALSE)</f>
        <v>Glutarate</v>
      </c>
      <c r="BA1119" t="s">
        <v>132</v>
      </c>
      <c r="BB1119" t="s">
        <v>133</v>
      </c>
      <c r="BC1119">
        <v>130.09654</v>
      </c>
      <c r="BD1119">
        <v>3.6</v>
      </c>
      <c r="BE1119">
        <v>200</v>
      </c>
      <c r="BF1119" t="s">
        <v>214</v>
      </c>
      <c r="BG1119">
        <v>0.90197219007398721</v>
      </c>
      <c r="BH1119">
        <v>0.13044117647058801</v>
      </c>
      <c r="BI1119">
        <v>0.52963122107548599</v>
      </c>
      <c r="BJ1119">
        <v>90</v>
      </c>
      <c r="BK1119">
        <v>643.48421051029618</v>
      </c>
      <c r="BL1119">
        <v>276.08468558939109</v>
      </c>
      <c r="BM1119">
        <v>1.259201485931337</v>
      </c>
      <c r="BN1119">
        <v>214.06425260832731</v>
      </c>
      <c r="BO1119">
        <v>429.41995790196893</v>
      </c>
    </row>
    <row r="1120" spans="1:67" x14ac:dyDescent="0.25">
      <c r="A1120" s="1">
        <v>1118</v>
      </c>
      <c r="B1120" t="s">
        <v>210</v>
      </c>
      <c r="C1120" t="s">
        <v>211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67</v>
      </c>
      <c r="J1120">
        <v>1.2130000000000001</v>
      </c>
      <c r="K1120">
        <v>500</v>
      </c>
      <c r="L1120">
        <v>100</v>
      </c>
      <c r="N1120" t="s">
        <v>68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21139.29722846915</v>
      </c>
      <c r="Z1120">
        <v>105696486.1423457</v>
      </c>
      <c r="AA1120">
        <v>128209837.69066539</v>
      </c>
      <c r="AB1120">
        <v>128209.8376906654</v>
      </c>
      <c r="AC1120">
        <v>0</v>
      </c>
      <c r="AD1120">
        <v>1095.4668752803329</v>
      </c>
      <c r="AE1120">
        <v>657280.1251682</v>
      </c>
      <c r="AF1120">
        <v>657280.1251682</v>
      </c>
      <c r="AG1120">
        <v>21.059951927321801</v>
      </c>
      <c r="AH1120">
        <v>21.695173731489358</v>
      </c>
      <c r="AI1120">
        <v>21.695173731489358</v>
      </c>
      <c r="AJ1120">
        <v>4166.8197249466248</v>
      </c>
      <c r="AK1120">
        <v>854.70085470085473</v>
      </c>
      <c r="AL1120" t="s">
        <v>69</v>
      </c>
      <c r="AM1120">
        <v>1681.375964190426</v>
      </c>
      <c r="AN1120">
        <v>230.15596274431479</v>
      </c>
      <c r="AO1120">
        <v>3688.1795343531921</v>
      </c>
      <c r="AP1120">
        <v>6933.0525065822194</v>
      </c>
      <c r="AQ1120">
        <v>3244.8729722290282</v>
      </c>
      <c r="AR1120">
        <v>6.3394883937504158E-3</v>
      </c>
      <c r="AS1120">
        <v>197.85513942892081</v>
      </c>
      <c r="AT1120">
        <v>79.837597445278021</v>
      </c>
      <c r="AU1120">
        <v>10.928608172449129</v>
      </c>
      <c r="AV1120">
        <v>175.1276331057712</v>
      </c>
      <c r="AW1120">
        <v>329.20552385438867</v>
      </c>
      <c r="AX1120">
        <v>154.07789074861759</v>
      </c>
      <c r="AY1120">
        <v>1.030162547681007</v>
      </c>
      <c r="AZ1120" t="str">
        <f>VLOOKUP(BA1120,Sheet1!$A$1:$B$58,2,FALSE)</f>
        <v>Glycolate</v>
      </c>
      <c r="BA1120" t="s">
        <v>134</v>
      </c>
      <c r="BB1120" t="s">
        <v>135</v>
      </c>
      <c r="BC1120">
        <v>75.041920000000005</v>
      </c>
      <c r="BD1120">
        <v>2.5</v>
      </c>
      <c r="BE1120">
        <v>112</v>
      </c>
      <c r="BF1120" t="s">
        <v>214</v>
      </c>
      <c r="BG1120">
        <v>-1.5868469929318431E-2</v>
      </c>
      <c r="BH1120">
        <v>0.50685714285714301</v>
      </c>
      <c r="BI1120">
        <v>1.1870872301264199</v>
      </c>
      <c r="BJ1120">
        <v>90</v>
      </c>
      <c r="BK1120">
        <v>308.13566695920969</v>
      </c>
      <c r="BL1120">
        <v>144.2165765435123</v>
      </c>
      <c r="BM1120">
        <v>0.98009841355106775</v>
      </c>
      <c r="BN1120">
        <v>166.61673030368149</v>
      </c>
      <c r="BO1120">
        <v>141.51893665552819</v>
      </c>
    </row>
    <row r="1121" spans="1:67" x14ac:dyDescent="0.25">
      <c r="A1121" s="1">
        <v>1119</v>
      </c>
      <c r="B1121" t="s">
        <v>210</v>
      </c>
      <c r="C1121" t="s">
        <v>211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67</v>
      </c>
      <c r="J1121">
        <v>1.2130000000000001</v>
      </c>
      <c r="K1121">
        <v>500</v>
      </c>
      <c r="L1121">
        <v>100</v>
      </c>
      <c r="N1121" t="s">
        <v>68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91823.381223607226</v>
      </c>
      <c r="Z1121">
        <v>459116906.11803621</v>
      </c>
      <c r="AA1121">
        <v>556908807.12117791</v>
      </c>
      <c r="AB1121">
        <v>556908.8071211779</v>
      </c>
      <c r="AC1121">
        <v>0</v>
      </c>
      <c r="AD1121">
        <v>4758.4113804517556</v>
      </c>
      <c r="AE1121">
        <v>2855046.8282710528</v>
      </c>
      <c r="AF1121">
        <v>2855046.8282710528</v>
      </c>
      <c r="AG1121">
        <v>91.47872672744252</v>
      </c>
      <c r="AH1121">
        <v>94.237958184156781</v>
      </c>
      <c r="AI1121">
        <v>94.237958184156781</v>
      </c>
      <c r="AJ1121">
        <v>18099.53623143828</v>
      </c>
      <c r="AK1121">
        <v>854.70085470085473</v>
      </c>
      <c r="AL1121" t="s">
        <v>69</v>
      </c>
      <c r="AM1121">
        <v>7303.4417592721502</v>
      </c>
      <c r="AN1121">
        <v>999.73516051876857</v>
      </c>
      <c r="AO1121">
        <v>16020.45289130665</v>
      </c>
      <c r="AP1121">
        <v>27257.414005930059</v>
      </c>
      <c r="AQ1121">
        <v>11236.961114623409</v>
      </c>
      <c r="AR1121">
        <v>6.3394883937504176E-3</v>
      </c>
      <c r="AS1121">
        <v>197.85513942892081</v>
      </c>
      <c r="AT1121">
        <v>79.837597445278007</v>
      </c>
      <c r="AU1121">
        <v>10.928608172449129</v>
      </c>
      <c r="AV1121">
        <v>175.12763310577111</v>
      </c>
      <c r="AW1121">
        <v>297.96451023135148</v>
      </c>
      <c r="AX1121">
        <v>122.8368771255804</v>
      </c>
      <c r="AY1121">
        <v>1.030162547681007</v>
      </c>
      <c r="AZ1121" t="str">
        <f>VLOOKUP(BA1121,Sheet1!$A$1:$B$58,2,FALSE)</f>
        <v>Heptane</v>
      </c>
      <c r="BA1121" t="s">
        <v>136</v>
      </c>
      <c r="BB1121" t="s">
        <v>137</v>
      </c>
      <c r="BC1121">
        <v>100.20034</v>
      </c>
      <c r="BD1121">
        <v>6.2857142857142856</v>
      </c>
      <c r="BE1121">
        <v>98</v>
      </c>
      <c r="BF1121" t="s">
        <v>214</v>
      </c>
      <c r="BG1121">
        <v>1.9514839708572129</v>
      </c>
      <c r="BH1121">
        <v>8.7389162561576306E-2</v>
      </c>
      <c r="BI1121">
        <v>0.27328758165257999</v>
      </c>
      <c r="BJ1121">
        <v>90</v>
      </c>
      <c r="BK1121">
        <v>1211.4406224857801</v>
      </c>
      <c r="BL1121">
        <v>499.42049398326242</v>
      </c>
      <c r="BM1121">
        <v>2.2368697262164221</v>
      </c>
      <c r="BN1121">
        <v>380.26785345679173</v>
      </c>
      <c r="BO1121">
        <v>831.17276902898857</v>
      </c>
    </row>
    <row r="1122" spans="1:67" x14ac:dyDescent="0.25">
      <c r="A1122" s="1">
        <v>1120</v>
      </c>
      <c r="B1122" t="s">
        <v>210</v>
      </c>
      <c r="C1122" t="s">
        <v>211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67</v>
      </c>
      <c r="J1122">
        <v>1.2130000000000001</v>
      </c>
      <c r="K1122">
        <v>500</v>
      </c>
      <c r="L1122">
        <v>100</v>
      </c>
      <c r="N1122" t="s">
        <v>68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95198.249387294738</v>
      </c>
      <c r="Z1122">
        <v>475991246.93647373</v>
      </c>
      <c r="AA1122">
        <v>577377382.53394258</v>
      </c>
      <c r="AB1122">
        <v>577377.38253394258</v>
      </c>
      <c r="AC1122">
        <v>0</v>
      </c>
      <c r="AD1122">
        <v>4933.3015975578783</v>
      </c>
      <c r="AE1122">
        <v>2959980.9585347269</v>
      </c>
      <c r="AF1122">
        <v>2959980.9585347269</v>
      </c>
      <c r="AG1122">
        <v>94.840927491268701</v>
      </c>
      <c r="AH1122">
        <v>97.701571488834986</v>
      </c>
      <c r="AI1122">
        <v>97.701571488834986</v>
      </c>
      <c r="AJ1122">
        <v>18764.76493235313</v>
      </c>
      <c r="AK1122">
        <v>854.70085470085473</v>
      </c>
      <c r="AL1122" t="s">
        <v>69</v>
      </c>
      <c r="AM1122">
        <v>7571.8717903847119</v>
      </c>
      <c r="AN1122">
        <v>1036.4793352637339</v>
      </c>
      <c r="AO1122">
        <v>16609.267153101951</v>
      </c>
      <c r="AP1122">
        <v>28227.81691270243</v>
      </c>
      <c r="AQ1122">
        <v>11618.54975960049</v>
      </c>
      <c r="AR1122">
        <v>6.3394883937504158E-3</v>
      </c>
      <c r="AS1122">
        <v>197.85513942892081</v>
      </c>
      <c r="AT1122">
        <v>79.837597445278007</v>
      </c>
      <c r="AU1122">
        <v>10.928608172449129</v>
      </c>
      <c r="AV1122">
        <v>175.12763310577111</v>
      </c>
      <c r="AW1122">
        <v>297.63328617068998</v>
      </c>
      <c r="AX1122">
        <v>122.5056530649188</v>
      </c>
      <c r="AY1122">
        <v>1.030162547681007</v>
      </c>
      <c r="AZ1122" t="str">
        <f>VLOOKUP(BA1122,Sheet1!$A$1:$B$58,2,FALSE)</f>
        <v>Hexane</v>
      </c>
      <c r="BA1122" t="s">
        <v>138</v>
      </c>
      <c r="BB1122" t="s">
        <v>139</v>
      </c>
      <c r="BC1122">
        <v>86.173959999999994</v>
      </c>
      <c r="BD1122">
        <v>6.333333333333333</v>
      </c>
      <c r="BE1122">
        <v>69</v>
      </c>
      <c r="BF1122" t="s">
        <v>214</v>
      </c>
      <c r="BG1122">
        <v>2.146483733394482</v>
      </c>
      <c r="BH1122">
        <v>9.8011049723757002E-2</v>
      </c>
      <c r="BI1122">
        <v>0.26359927787823001</v>
      </c>
      <c r="BJ1122">
        <v>90</v>
      </c>
      <c r="BK1122">
        <v>1254.5696405645531</v>
      </c>
      <c r="BL1122">
        <v>516.37998931557718</v>
      </c>
      <c r="BM1122">
        <v>2.195808332775961</v>
      </c>
      <c r="BN1122">
        <v>373.28741657191352</v>
      </c>
      <c r="BO1122">
        <v>881.28222399263916</v>
      </c>
    </row>
    <row r="1123" spans="1:67" x14ac:dyDescent="0.25">
      <c r="A1123" s="1">
        <v>1121</v>
      </c>
      <c r="B1123" t="s">
        <v>210</v>
      </c>
      <c r="C1123" t="s">
        <v>211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67</v>
      </c>
      <c r="J1123">
        <v>1.2130000000000001</v>
      </c>
      <c r="K1123">
        <v>500</v>
      </c>
      <c r="L1123">
        <v>100</v>
      </c>
      <c r="N1123" t="s">
        <v>68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59462.874039622096</v>
      </c>
      <c r="Z1123">
        <v>297314370.19811052</v>
      </c>
      <c r="AA1123">
        <v>360642331.05030811</v>
      </c>
      <c r="AB1123">
        <v>360642.33105030807</v>
      </c>
      <c r="AC1123">
        <v>0</v>
      </c>
      <c r="AD1123">
        <v>3081.4462806098741</v>
      </c>
      <c r="AE1123">
        <v>1848867.7683659249</v>
      </c>
      <c r="AF1123">
        <v>1848867.7683659249</v>
      </c>
      <c r="AG1123">
        <v>59.239683098278697</v>
      </c>
      <c r="AH1123">
        <v>61.026502864338248</v>
      </c>
      <c r="AI1123">
        <v>61.026502864338248</v>
      </c>
      <c r="AJ1123">
        <v>11720.87575913501</v>
      </c>
      <c r="AK1123">
        <v>854.70085470085473</v>
      </c>
      <c r="AL1123" t="s">
        <v>69</v>
      </c>
      <c r="AM1123">
        <v>4729.5539719862136</v>
      </c>
      <c r="AN1123">
        <v>647.40728484114481</v>
      </c>
      <c r="AO1123">
        <v>10374.5054869375</v>
      </c>
      <c r="AP1123">
        <v>17952.537870663229</v>
      </c>
      <c r="AQ1123">
        <v>7578.0323837257274</v>
      </c>
      <c r="AR1123">
        <v>6.3394883937504176E-3</v>
      </c>
      <c r="AS1123">
        <v>197.85513942892081</v>
      </c>
      <c r="AT1123">
        <v>79.837597445278007</v>
      </c>
      <c r="AU1123">
        <v>10.92860817244912</v>
      </c>
      <c r="AV1123">
        <v>175.12763310577111</v>
      </c>
      <c r="AW1123">
        <v>303.04918817475692</v>
      </c>
      <c r="AX1123">
        <v>127.9215550689858</v>
      </c>
      <c r="AY1123">
        <v>1.030162547681007</v>
      </c>
      <c r="AZ1123" t="str">
        <f>VLOOKUP(BA1123,Sheet1!$A$1:$B$58,2,FALSE)</f>
        <v>Isobutanol</v>
      </c>
      <c r="BA1123" t="s">
        <v>140</v>
      </c>
      <c r="BB1123" t="s">
        <v>141</v>
      </c>
      <c r="BC1123">
        <v>86.130899999999997</v>
      </c>
      <c r="BD1123">
        <v>5.6</v>
      </c>
      <c r="BE1123">
        <v>108</v>
      </c>
      <c r="BF1123" t="s">
        <v>214</v>
      </c>
      <c r="BG1123">
        <v>1.210881029105271</v>
      </c>
      <c r="BH1123">
        <v>0.15699115044247899</v>
      </c>
      <c r="BI1123">
        <v>0.42201441149718799</v>
      </c>
      <c r="BJ1123">
        <v>90</v>
      </c>
      <c r="BK1123">
        <v>797.89057202947686</v>
      </c>
      <c r="BL1123">
        <v>336.801439276699</v>
      </c>
      <c r="BM1123">
        <v>1.5014079870875401</v>
      </c>
      <c r="BN1123">
        <v>255.23935780488179</v>
      </c>
      <c r="BO1123">
        <v>542.65121422459504</v>
      </c>
    </row>
    <row r="1124" spans="1:67" x14ac:dyDescent="0.25">
      <c r="A1124" s="1">
        <v>1122</v>
      </c>
      <c r="B1124" t="s">
        <v>210</v>
      </c>
      <c r="C1124" t="s">
        <v>211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67</v>
      </c>
      <c r="J1124">
        <v>1.2130000000000001</v>
      </c>
      <c r="K1124">
        <v>500</v>
      </c>
      <c r="L1124">
        <v>100</v>
      </c>
      <c r="N1124" t="s">
        <v>68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50998.32350043123</v>
      </c>
      <c r="Z1124">
        <v>254991617.5021562</v>
      </c>
      <c r="AA1124">
        <v>309304832.03011543</v>
      </c>
      <c r="AB1124">
        <v>309304.83203011542</v>
      </c>
      <c r="AC1124">
        <v>0</v>
      </c>
      <c r="AD1124">
        <v>2642.8018626047169</v>
      </c>
      <c r="AE1124">
        <v>1585681.11756283</v>
      </c>
      <c r="AF1124">
        <v>1585681.11756283</v>
      </c>
      <c r="AG1124">
        <v>50.806903828697699</v>
      </c>
      <c r="AH1124">
        <v>52.339369487955118</v>
      </c>
      <c r="AI1124">
        <v>52.339369487955118</v>
      </c>
      <c r="AJ1124">
        <v>10052.407040978749</v>
      </c>
      <c r="AK1124">
        <v>854.70085470085473</v>
      </c>
      <c r="AL1124" t="s">
        <v>69</v>
      </c>
      <c r="AM1124">
        <v>4056.301135316522</v>
      </c>
      <c r="AN1124">
        <v>555.24874439914254</v>
      </c>
      <c r="AO1124">
        <v>8897.6928129523694</v>
      </c>
      <c r="AP1124">
        <v>15518.65777539527</v>
      </c>
      <c r="AQ1124">
        <v>6620.9649624429021</v>
      </c>
      <c r="AR1124">
        <v>6.3394883937504158E-3</v>
      </c>
      <c r="AS1124">
        <v>197.85513942892081</v>
      </c>
      <c r="AT1124">
        <v>79.837597445278021</v>
      </c>
      <c r="AU1124">
        <v>10.928608172449129</v>
      </c>
      <c r="AV1124">
        <v>175.12763310577111</v>
      </c>
      <c r="AW1124">
        <v>305.44387880274132</v>
      </c>
      <c r="AX1124">
        <v>130.3162456969701</v>
      </c>
      <c r="AY1124">
        <v>1.030162547681007</v>
      </c>
      <c r="AZ1124" t="str">
        <f>VLOOKUP(BA1124,Sheet1!$A$1:$B$58,2,FALSE)</f>
        <v>Isobutyrate</v>
      </c>
      <c r="BA1124" t="s">
        <v>142</v>
      </c>
      <c r="BB1124" t="s">
        <v>114</v>
      </c>
      <c r="BC1124">
        <v>87.095680000000002</v>
      </c>
      <c r="BD1124">
        <v>4.75</v>
      </c>
      <c r="BE1124">
        <v>155</v>
      </c>
      <c r="BF1124" t="s">
        <v>214</v>
      </c>
      <c r="BG1124">
        <v>0.77020764677785081</v>
      </c>
      <c r="BH1124">
        <v>0.18102040816326501</v>
      </c>
      <c r="BI1124">
        <v>0.49205911236573002</v>
      </c>
      <c r="BJ1124">
        <v>90</v>
      </c>
      <c r="BK1124">
        <v>689.71812335090101</v>
      </c>
      <c r="BL1124">
        <v>294.26510944190682</v>
      </c>
      <c r="BM1124">
        <v>1.5559865526868211</v>
      </c>
      <c r="BN1124">
        <v>264.51771395675962</v>
      </c>
      <c r="BO1124">
        <v>425.20040939414139</v>
      </c>
    </row>
    <row r="1125" spans="1:67" x14ac:dyDescent="0.25">
      <c r="A1125" s="1">
        <v>1123</v>
      </c>
      <c r="B1125" t="s">
        <v>210</v>
      </c>
      <c r="C1125" t="s">
        <v>211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67</v>
      </c>
      <c r="J1125">
        <v>1.2130000000000001</v>
      </c>
      <c r="K1125">
        <v>500</v>
      </c>
      <c r="L1125">
        <v>100</v>
      </c>
      <c r="N1125" t="s">
        <v>68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107</v>
      </c>
      <c r="AM1125">
        <v>7726.8600077197316</v>
      </c>
      <c r="AN1125">
        <v>1057.694972417167</v>
      </c>
      <c r="AO1125">
        <v>16949.24130725619</v>
      </c>
      <c r="AP1125">
        <v>30103.553718209041</v>
      </c>
      <c r="AQ1125">
        <v>13154.312410952851</v>
      </c>
      <c r="AR1125">
        <v>6.3394883937504176E-3</v>
      </c>
      <c r="AS1125">
        <v>197.85513942892081</v>
      </c>
      <c r="AT1125">
        <v>79.837597445278021</v>
      </c>
      <c r="AU1125">
        <v>10.928608172449129</v>
      </c>
      <c r="AV1125">
        <v>175.12763310577111</v>
      </c>
      <c r="AW1125">
        <v>311.04425355519538</v>
      </c>
      <c r="AX1125">
        <v>135.9166204494243</v>
      </c>
      <c r="AY1125">
        <v>1.030162547681007</v>
      </c>
      <c r="AZ1125" t="str">
        <f>VLOOKUP(BA1125,Sheet1!$A$1:$B$58,2,FALSE)</f>
        <v>Isoprene</v>
      </c>
      <c r="BA1125" t="s">
        <v>143</v>
      </c>
      <c r="BB1125" t="s">
        <v>144</v>
      </c>
      <c r="BC1125">
        <v>68.116219999999998</v>
      </c>
      <c r="BD1125">
        <v>5.6</v>
      </c>
      <c r="BE1125">
        <v>34.07</v>
      </c>
      <c r="BF1125" t="s">
        <v>214</v>
      </c>
      <c r="BG1125">
        <v>2.0869009441972231</v>
      </c>
      <c r="BH1125">
        <v>0.121506849315068</v>
      </c>
      <c r="BI1125">
        <v>0.25831190601846699</v>
      </c>
      <c r="BJ1125">
        <v>90</v>
      </c>
      <c r="BK1125">
        <v>1337.9357208092911</v>
      </c>
      <c r="BL1125">
        <v>584.63610715346022</v>
      </c>
      <c r="BM1125">
        <v>2.3442732537782498</v>
      </c>
      <c r="BN1125">
        <v>398.52645314230261</v>
      </c>
      <c r="BO1125">
        <v>939.40926766698828</v>
      </c>
    </row>
    <row r="1126" spans="1:67" x14ac:dyDescent="0.25">
      <c r="A1126" s="1">
        <v>1124</v>
      </c>
      <c r="B1126" t="s">
        <v>210</v>
      </c>
      <c r="C1126" t="s">
        <v>211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67</v>
      </c>
      <c r="J1126">
        <v>1.2130000000000001</v>
      </c>
      <c r="K1126">
        <v>500</v>
      </c>
      <c r="L1126">
        <v>100</v>
      </c>
      <c r="N1126" t="s">
        <v>68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63354.273093971853</v>
      </c>
      <c r="Z1126">
        <v>316771365.46985918</v>
      </c>
      <c r="AA1126">
        <v>384243666.31493932</v>
      </c>
      <c r="AB1126">
        <v>384243.66631493933</v>
      </c>
      <c r="AC1126">
        <v>0</v>
      </c>
      <c r="AD1126">
        <v>3283.1038246835878</v>
      </c>
      <c r="AE1126">
        <v>1969862.2948101531</v>
      </c>
      <c r="AF1126">
        <v>1969862.2948101531</v>
      </c>
      <c r="AG1126">
        <v>63.116475979749808</v>
      </c>
      <c r="AH1126">
        <v>65.020229695946114</v>
      </c>
      <c r="AI1126">
        <v>65.020229695946114</v>
      </c>
      <c r="AJ1126">
        <v>12487.91915523553</v>
      </c>
      <c r="AK1126">
        <v>854.70085470085473</v>
      </c>
      <c r="AL1126" t="s">
        <v>69</v>
      </c>
      <c r="AM1126">
        <v>5039.0678014358236</v>
      </c>
      <c r="AN1126">
        <v>689.77523520848263</v>
      </c>
      <c r="AO1126">
        <v>11053.43904831084</v>
      </c>
      <c r="AP1126">
        <v>19071.463046580691</v>
      </c>
      <c r="AQ1126">
        <v>8018.0239982698477</v>
      </c>
      <c r="AR1126">
        <v>6.3394883937504158E-3</v>
      </c>
      <c r="AS1126">
        <v>197.85513942892081</v>
      </c>
      <c r="AT1126">
        <v>79.837597445277993</v>
      </c>
      <c r="AU1126">
        <v>10.928608172449129</v>
      </c>
      <c r="AV1126">
        <v>175.12763310577111</v>
      </c>
      <c r="AW1126">
        <v>302.16298914881662</v>
      </c>
      <c r="AX1126">
        <v>127.0353560430455</v>
      </c>
      <c r="AY1126">
        <v>1.030162547681007</v>
      </c>
      <c r="AZ1126" t="str">
        <f>VLOOKUP(BA1126,Sheet1!$A$1:$B$58,2,FALSE)</f>
        <v>Isopropanol</v>
      </c>
      <c r="BA1126" t="s">
        <v>145</v>
      </c>
      <c r="BB1126" t="s">
        <v>79</v>
      </c>
      <c r="BC1126">
        <v>60.093820000000001</v>
      </c>
      <c r="BD1126">
        <v>6</v>
      </c>
      <c r="BE1126">
        <v>82.5</v>
      </c>
      <c r="BF1126" t="s">
        <v>214</v>
      </c>
      <c r="BG1126">
        <v>1.270681060343642</v>
      </c>
      <c r="BH1126">
        <v>0.21119047619047801</v>
      </c>
      <c r="BI1126">
        <v>0.39609308998843601</v>
      </c>
      <c r="BJ1126">
        <v>90</v>
      </c>
      <c r="BK1126">
        <v>847.6205798480305</v>
      </c>
      <c r="BL1126">
        <v>356.35662214532653</v>
      </c>
      <c r="BM1126">
        <v>1.6191069261428519</v>
      </c>
      <c r="BN1126">
        <v>275.24817744428481</v>
      </c>
      <c r="BO1126">
        <v>572.3724024037457</v>
      </c>
    </row>
    <row r="1127" spans="1:67" x14ac:dyDescent="0.25">
      <c r="A1127" s="1">
        <v>1125</v>
      </c>
      <c r="B1127" t="s">
        <v>210</v>
      </c>
      <c r="C1127" t="s">
        <v>211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67</v>
      </c>
      <c r="J1127">
        <v>1.2130000000000001</v>
      </c>
      <c r="K1127">
        <v>500</v>
      </c>
      <c r="L1127">
        <v>100</v>
      </c>
      <c r="N1127" t="s">
        <v>68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34679.136790071861</v>
      </c>
      <c r="Z1127">
        <v>173395683.95035931</v>
      </c>
      <c r="AA1127">
        <v>210328964.6317859</v>
      </c>
      <c r="AB1127">
        <v>210328.9646317859</v>
      </c>
      <c r="AC1127">
        <v>0</v>
      </c>
      <c r="AD1127">
        <v>1797.1196112270379</v>
      </c>
      <c r="AE1127">
        <v>1078271.7667362229</v>
      </c>
      <c r="AF1127">
        <v>1078271.7667362229</v>
      </c>
      <c r="AG1127">
        <v>34.548970374301312</v>
      </c>
      <c r="AH1127">
        <v>35.591055340545871</v>
      </c>
      <c r="AI1127">
        <v>35.591055340545871</v>
      </c>
      <c r="AJ1127">
        <v>6835.6913505330413</v>
      </c>
      <c r="AK1127">
        <v>854.70085470085473</v>
      </c>
      <c r="AL1127" t="s">
        <v>69</v>
      </c>
      <c r="AM1127">
        <v>2758.3067888923051</v>
      </c>
      <c r="AN1127">
        <v>377.57215998229208</v>
      </c>
      <c r="AO1127">
        <v>6050.479407892798</v>
      </c>
      <c r="AP1127">
        <v>10826.27115410849</v>
      </c>
      <c r="AQ1127">
        <v>4775.7917462156956</v>
      </c>
      <c r="AR1127">
        <v>6.3394883937504176E-3</v>
      </c>
      <c r="AS1127">
        <v>197.85513942892081</v>
      </c>
      <c r="AT1127">
        <v>79.837597445278021</v>
      </c>
      <c r="AU1127">
        <v>10.928608172449129</v>
      </c>
      <c r="AV1127">
        <v>175.12763310577111</v>
      </c>
      <c r="AW1127">
        <v>313.36016780868931</v>
      </c>
      <c r="AX1127">
        <v>138.23253470291809</v>
      </c>
      <c r="AY1127">
        <v>1.030162547681007</v>
      </c>
      <c r="AZ1127" t="str">
        <f>VLOOKUP(BA1127,Sheet1!$A$1:$B$58,2,FALSE)</f>
        <v>Itaconate</v>
      </c>
      <c r="BA1127" t="s">
        <v>146</v>
      </c>
      <c r="BB1127" t="s">
        <v>147</v>
      </c>
      <c r="BC1127">
        <v>128.08086</v>
      </c>
      <c r="BD1127">
        <v>3.2</v>
      </c>
      <c r="BE1127">
        <v>381</v>
      </c>
      <c r="BF1127" t="s">
        <v>214</v>
      </c>
      <c r="BG1127">
        <v>0.18013432090725151</v>
      </c>
      <c r="BH1127">
        <v>0.18102040816326501</v>
      </c>
      <c r="BI1127">
        <v>0.72361056578970695</v>
      </c>
      <c r="BJ1127">
        <v>90</v>
      </c>
      <c r="BK1127">
        <v>481.16760684926641</v>
      </c>
      <c r="BL1127">
        <v>212.25741094291979</v>
      </c>
      <c r="BM1127">
        <v>1.4016903608947879</v>
      </c>
      <c r="BN1127">
        <v>238.28736135211389</v>
      </c>
      <c r="BO1127">
        <v>242.88024549715249</v>
      </c>
    </row>
    <row r="1128" spans="1:67" x14ac:dyDescent="0.25">
      <c r="A1128" s="1">
        <v>1126</v>
      </c>
      <c r="B1128" t="s">
        <v>210</v>
      </c>
      <c r="C1128" t="s">
        <v>211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67</v>
      </c>
      <c r="J1128">
        <v>1.2130000000000001</v>
      </c>
      <c r="K1128">
        <v>500</v>
      </c>
      <c r="L1128">
        <v>100</v>
      </c>
      <c r="N1128" t="s">
        <v>68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96814.16227803209</v>
      </c>
      <c r="Z1128">
        <v>484070811.39016038</v>
      </c>
      <c r="AA1128">
        <v>587177894.21626461</v>
      </c>
      <c r="AB1128">
        <v>587177.8942162646</v>
      </c>
      <c r="AC1128">
        <v>0</v>
      </c>
      <c r="AD1128">
        <v>5017.0403815869558</v>
      </c>
      <c r="AE1128">
        <v>3010224.2289521741</v>
      </c>
      <c r="AF1128">
        <v>3010224.2289521741</v>
      </c>
      <c r="AG1128">
        <v>96.45077513331033</v>
      </c>
      <c r="AH1128">
        <v>99.359976237138866</v>
      </c>
      <c r="AI1128">
        <v>99.359976237138866</v>
      </c>
      <c r="AJ1128">
        <v>19083.281562028598</v>
      </c>
      <c r="AK1128">
        <v>854.70085470085473</v>
      </c>
      <c r="AL1128" t="s">
        <v>69</v>
      </c>
      <c r="AM1128">
        <v>7700.3981583782625</v>
      </c>
      <c r="AN1128">
        <v>1054.072729360948</v>
      </c>
      <c r="AO1128">
        <v>16891.195960313609</v>
      </c>
      <c r="AP1128">
        <v>28692.453304468669</v>
      </c>
      <c r="AQ1128">
        <v>11801.257344155059</v>
      </c>
      <c r="AR1128">
        <v>6.3394883937504158E-3</v>
      </c>
      <c r="AS1128">
        <v>197.85513942892081</v>
      </c>
      <c r="AT1128">
        <v>79.837597445278021</v>
      </c>
      <c r="AU1128">
        <v>10.928608172449129</v>
      </c>
      <c r="AV1128">
        <v>175.12763310577111</v>
      </c>
      <c r="AW1128">
        <v>297.48286900557429</v>
      </c>
      <c r="AX1128">
        <v>122.3552358998032</v>
      </c>
      <c r="AY1128">
        <v>1.030162547681007</v>
      </c>
      <c r="AZ1128" t="str">
        <f>VLOOKUP(BA1128,Sheet1!$A$1:$B$58,2,FALSE)</f>
        <v>Limonene</v>
      </c>
      <c r="BA1128" t="s">
        <v>148</v>
      </c>
      <c r="BB1128" t="s">
        <v>149</v>
      </c>
      <c r="BC1128">
        <v>136.23244</v>
      </c>
      <c r="BD1128">
        <v>5.6</v>
      </c>
      <c r="BE1128">
        <v>176</v>
      </c>
      <c r="BF1128" t="s">
        <v>214</v>
      </c>
      <c r="BG1128">
        <v>2.0686906392740299</v>
      </c>
      <c r="BH1128">
        <v>6.0962199312714599E-2</v>
      </c>
      <c r="BI1128">
        <v>0.25919957579859798</v>
      </c>
      <c r="BJ1128">
        <v>90</v>
      </c>
      <c r="BK1128">
        <v>1275.220146865274</v>
      </c>
      <c r="BL1128">
        <v>524.50032640689165</v>
      </c>
      <c r="BM1128">
        <v>2.3473083045988079</v>
      </c>
      <c r="BN1128">
        <v>399.0424117817974</v>
      </c>
      <c r="BO1128">
        <v>876.17773508347659</v>
      </c>
    </row>
    <row r="1129" spans="1:67" x14ac:dyDescent="0.25">
      <c r="A1129" s="1">
        <v>1127</v>
      </c>
      <c r="B1129" t="s">
        <v>210</v>
      </c>
      <c r="C1129" t="s">
        <v>211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67</v>
      </c>
      <c r="J1129">
        <v>1.2130000000000001</v>
      </c>
      <c r="K1129">
        <v>500</v>
      </c>
      <c r="L1129">
        <v>100</v>
      </c>
      <c r="N1129" t="s">
        <v>68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46803.92545777568</v>
      </c>
      <c r="Z1129">
        <v>234019627.28887841</v>
      </c>
      <c r="AA1129">
        <v>283865807.90140951</v>
      </c>
      <c r="AB1129">
        <v>283865.80790140951</v>
      </c>
      <c r="AC1129">
        <v>0</v>
      </c>
      <c r="AD1129">
        <v>2425.4425025555202</v>
      </c>
      <c r="AE1129">
        <v>1455265.501533312</v>
      </c>
      <c r="AF1129">
        <v>1455265.501533312</v>
      </c>
      <c r="AG1129">
        <v>46.628249250558937</v>
      </c>
      <c r="AH1129">
        <v>48.034676041860791</v>
      </c>
      <c r="AI1129">
        <v>48.034676041860791</v>
      </c>
      <c r="AJ1129">
        <v>9225.63875679581</v>
      </c>
      <c r="AK1129">
        <v>854.70085470085473</v>
      </c>
      <c r="AL1129" t="s">
        <v>69</v>
      </c>
      <c r="AM1129">
        <v>3722.6873932442109</v>
      </c>
      <c r="AN1129">
        <v>509.58186582665331</v>
      </c>
      <c r="AO1129">
        <v>8165.8949271163347</v>
      </c>
      <c r="AP1129">
        <v>14312.60887056753</v>
      </c>
      <c r="AQ1129">
        <v>6146.7139434511964</v>
      </c>
      <c r="AR1129">
        <v>6.3394883937504167E-3</v>
      </c>
      <c r="AS1129">
        <v>197.85513942892081</v>
      </c>
      <c r="AT1129">
        <v>79.837597445278021</v>
      </c>
      <c r="AU1129">
        <v>10.928608172449129</v>
      </c>
      <c r="AV1129">
        <v>175.1276331057712</v>
      </c>
      <c r="AW1129">
        <v>306.95145326298012</v>
      </c>
      <c r="AX1129">
        <v>131.82382015720901</v>
      </c>
      <c r="AY1129">
        <v>1.030162547681007</v>
      </c>
      <c r="AZ1129" t="str">
        <f>VLOOKUP(BA1129,Sheet1!$A$1:$B$58,2,FALSE)</f>
        <v>L-Lysine</v>
      </c>
      <c r="BA1129" t="s">
        <v>150</v>
      </c>
      <c r="BB1129" t="s">
        <v>151</v>
      </c>
      <c r="BC1129">
        <v>147.19319999999999</v>
      </c>
      <c r="BD1129">
        <v>4.833333333333333</v>
      </c>
      <c r="BF1129" t="s">
        <v>214</v>
      </c>
      <c r="BG1129">
        <v>0.76788064577796267</v>
      </c>
      <c r="BH1129">
        <v>0.116710526315789</v>
      </c>
      <c r="BI1129">
        <v>0.53615566532771597</v>
      </c>
      <c r="BJ1129">
        <v>90</v>
      </c>
      <c r="BK1129">
        <v>636.11594980300129</v>
      </c>
      <c r="BL1129">
        <v>273.18728637560861</v>
      </c>
      <c r="BM1129">
        <v>1.3669938449714061</v>
      </c>
      <c r="BN1129">
        <v>232.388953645139</v>
      </c>
      <c r="BO1129">
        <v>403.72699615786229</v>
      </c>
    </row>
    <row r="1130" spans="1:67" x14ac:dyDescent="0.25">
      <c r="A1130" s="1">
        <v>1128</v>
      </c>
      <c r="B1130" t="s">
        <v>210</v>
      </c>
      <c r="C1130" t="s">
        <v>211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67</v>
      </c>
      <c r="J1130">
        <v>1.2130000000000001</v>
      </c>
      <c r="K1130">
        <v>500</v>
      </c>
      <c r="L1130">
        <v>100</v>
      </c>
      <c r="N1130" t="s">
        <v>68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22993.221613979789</v>
      </c>
      <c r="Z1130">
        <v>114966108.06989899</v>
      </c>
      <c r="AA1130">
        <v>139453889.08878741</v>
      </c>
      <c r="AB1130">
        <v>139453.8890887874</v>
      </c>
      <c r="AC1130">
        <v>0</v>
      </c>
      <c r="AD1130">
        <v>1191.5397357757261</v>
      </c>
      <c r="AE1130">
        <v>714923.84146543557</v>
      </c>
      <c r="AF1130">
        <v>714923.84146543557</v>
      </c>
      <c r="AG1130">
        <v>22.906917699824511</v>
      </c>
      <c r="AH1130">
        <v>23.59784869717037</v>
      </c>
      <c r="AI1130">
        <v>23.59784869717037</v>
      </c>
      <c r="AJ1130">
        <v>4532.2513953855914</v>
      </c>
      <c r="AK1130">
        <v>854.70085470085473</v>
      </c>
      <c r="AL1130" t="s">
        <v>69</v>
      </c>
      <c r="AM1130">
        <v>1828.833274030703</v>
      </c>
      <c r="AN1130">
        <v>250.3407279799217</v>
      </c>
      <c r="AO1130">
        <v>4011.6342785189622</v>
      </c>
      <c r="AP1130">
        <v>7466.1262520970713</v>
      </c>
      <c r="AQ1130">
        <v>3454.4919735781091</v>
      </c>
      <c r="AR1130">
        <v>6.3394883937504167E-3</v>
      </c>
      <c r="AS1130">
        <v>197.85513942892081</v>
      </c>
      <c r="AT1130">
        <v>79.837597445278021</v>
      </c>
      <c r="AU1130">
        <v>10.928608172449129</v>
      </c>
      <c r="AV1130">
        <v>175.1276331057712</v>
      </c>
      <c r="AW1130">
        <v>325.93325518230978</v>
      </c>
      <c r="AX1130">
        <v>150.8056220765387</v>
      </c>
      <c r="AY1130">
        <v>1.030162547681007</v>
      </c>
      <c r="AZ1130" t="str">
        <f>VLOOKUP(BA1130,Sheet1!$A$1:$B$58,2,FALSE)</f>
        <v>L-Malate</v>
      </c>
      <c r="BA1130" t="s">
        <v>152</v>
      </c>
      <c r="BB1130" t="s">
        <v>153</v>
      </c>
      <c r="BC1130">
        <v>132.06916000000001</v>
      </c>
      <c r="BD1130">
        <v>2.5</v>
      </c>
      <c r="BF1130" t="s">
        <v>214</v>
      </c>
      <c r="BG1130">
        <v>-7.4386054400632576E-2</v>
      </c>
      <c r="BH1130">
        <v>0.26477611940298501</v>
      </c>
      <c r="BI1130">
        <v>1.09137337146811</v>
      </c>
      <c r="BJ1130">
        <v>90</v>
      </c>
      <c r="BK1130">
        <v>331.82783342653647</v>
      </c>
      <c r="BL1130">
        <v>153.53297660347161</v>
      </c>
      <c r="BM1130">
        <v>1.1231793298304269</v>
      </c>
      <c r="BN1130">
        <v>190.9404860711725</v>
      </c>
      <c r="BO1130">
        <v>140.887347355364</v>
      </c>
    </row>
    <row r="1131" spans="1:67" x14ac:dyDescent="0.25">
      <c r="A1131" s="1">
        <v>1129</v>
      </c>
      <c r="B1131" t="s">
        <v>210</v>
      </c>
      <c r="C1131" t="s">
        <v>211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67</v>
      </c>
      <c r="J1131">
        <v>1.2130000000000001</v>
      </c>
      <c r="K1131">
        <v>500</v>
      </c>
      <c r="L1131">
        <v>100</v>
      </c>
      <c r="N1131" t="s">
        <v>68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21763.862844604741</v>
      </c>
      <c r="Z1131">
        <v>108819314.2230237</v>
      </c>
      <c r="AA1131">
        <v>131997828.15252779</v>
      </c>
      <c r="AB1131">
        <v>131997.8281525278</v>
      </c>
      <c r="AC1131">
        <v>0</v>
      </c>
      <c r="AD1131">
        <v>1127.8327073380881</v>
      </c>
      <c r="AE1131">
        <v>676699.62440285308</v>
      </c>
      <c r="AF1131">
        <v>676699.62440285308</v>
      </c>
      <c r="AG1131">
        <v>21.682173267469281</v>
      </c>
      <c r="AH1131">
        <v>22.33616285247717</v>
      </c>
      <c r="AI1131">
        <v>22.33616285247717</v>
      </c>
      <c r="AJ1131">
        <v>4289.9294149571524</v>
      </c>
      <c r="AK1131">
        <v>854.70085470085473</v>
      </c>
      <c r="AL1131" t="s">
        <v>69</v>
      </c>
      <c r="AM1131">
        <v>1731.05262106698</v>
      </c>
      <c r="AN1131">
        <v>236.9559759673227</v>
      </c>
      <c r="AO1131">
        <v>3797.1476849211181</v>
      </c>
      <c r="AP1131">
        <v>7112.6388666923103</v>
      </c>
      <c r="AQ1131">
        <v>3315.4911817711918</v>
      </c>
      <c r="AR1131">
        <v>6.339488393750415E-3</v>
      </c>
      <c r="AS1131">
        <v>197.85513942892069</v>
      </c>
      <c r="AT1131">
        <v>79.837597445277993</v>
      </c>
      <c r="AU1131">
        <v>10.92860817244912</v>
      </c>
      <c r="AV1131">
        <v>175.12763310577111</v>
      </c>
      <c r="AW1131">
        <v>328.04086467493158</v>
      </c>
      <c r="AX1131">
        <v>152.91323156916059</v>
      </c>
      <c r="AY1131">
        <v>1.0301625476810059</v>
      </c>
      <c r="AZ1131" t="str">
        <f>VLOOKUP(BA1131,Sheet1!$A$1:$B$58,2,FALSE)</f>
        <v>Malonate</v>
      </c>
      <c r="BA1131" t="s">
        <v>154</v>
      </c>
      <c r="BB1131" t="s">
        <v>155</v>
      </c>
      <c r="BC1131">
        <v>102.04378</v>
      </c>
      <c r="BD1131">
        <v>2</v>
      </c>
      <c r="BE1131">
        <v>199</v>
      </c>
      <c r="BF1131" t="s">
        <v>214</v>
      </c>
      <c r="BG1131">
        <v>-0.1025944024353229</v>
      </c>
      <c r="BH1131">
        <v>0.36204081632653001</v>
      </c>
      <c r="BI1131">
        <v>1.1530209491273</v>
      </c>
      <c r="BJ1131">
        <v>90</v>
      </c>
      <c r="BK1131">
        <v>316.11728296410269</v>
      </c>
      <c r="BL1131">
        <v>147.35516363427519</v>
      </c>
      <c r="BM1131">
        <v>1.095312751434308</v>
      </c>
      <c r="BN1131">
        <v>186.2031677438323</v>
      </c>
      <c r="BO1131">
        <v>129.91411522027039</v>
      </c>
    </row>
    <row r="1132" spans="1:67" x14ac:dyDescent="0.25">
      <c r="A1132" s="1">
        <v>1130</v>
      </c>
      <c r="B1132" t="s">
        <v>210</v>
      </c>
      <c r="C1132" t="s">
        <v>211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67</v>
      </c>
      <c r="J1132">
        <v>1.2130000000000001</v>
      </c>
      <c r="K1132">
        <v>500</v>
      </c>
      <c r="L1132">
        <v>100</v>
      </c>
      <c r="N1132" t="s">
        <v>68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90822.13151273923</v>
      </c>
      <c r="Z1132">
        <v>454110657.56369609</v>
      </c>
      <c r="AA1132">
        <v>550836227.62476349</v>
      </c>
      <c r="AB1132">
        <v>550836.2276247635</v>
      </c>
      <c r="AC1132">
        <v>0</v>
      </c>
      <c r="AD1132">
        <v>4706.5252708859771</v>
      </c>
      <c r="AE1132">
        <v>2823915.1625315859</v>
      </c>
      <c r="AF1132">
        <v>2823915.1625315859</v>
      </c>
      <c r="AG1132">
        <v>90.481235157584308</v>
      </c>
      <c r="AH1132">
        <v>93.210379727261341</v>
      </c>
      <c r="AI1132">
        <v>93.210379727261341</v>
      </c>
      <c r="AJ1132">
        <v>17902.177397804811</v>
      </c>
      <c r="AK1132">
        <v>854.70085470085473</v>
      </c>
      <c r="AL1132" t="s">
        <v>69</v>
      </c>
      <c r="AM1132">
        <v>7223.8044288627543</v>
      </c>
      <c r="AN1132">
        <v>988.83396599646721</v>
      </c>
      <c r="AO1132">
        <v>15845.76455363443</v>
      </c>
      <c r="AP1132">
        <v>26969.51664736489</v>
      </c>
      <c r="AQ1132">
        <v>11123.75209373046</v>
      </c>
      <c r="AR1132">
        <v>6.3394883937504176E-3</v>
      </c>
      <c r="AS1132">
        <v>197.85513942892081</v>
      </c>
      <c r="AT1132">
        <v>79.837597445278021</v>
      </c>
      <c r="AU1132">
        <v>10.928608172449129</v>
      </c>
      <c r="AV1132">
        <v>175.1276331057712</v>
      </c>
      <c r="AW1132">
        <v>298.06751201389022</v>
      </c>
      <c r="AX1132">
        <v>122.9398789081191</v>
      </c>
      <c r="AY1132">
        <v>1.030162547681007</v>
      </c>
      <c r="AZ1132" t="str">
        <f>VLOOKUP(BA1132,Sheet1!$A$1:$B$58,2,FALSE)</f>
        <v>Nonane</v>
      </c>
      <c r="BA1132" t="s">
        <v>156</v>
      </c>
      <c r="BB1132" t="s">
        <v>157</v>
      </c>
      <c r="BC1132">
        <v>128.25309999999999</v>
      </c>
      <c r="BD1132">
        <v>6.2222222222222223</v>
      </c>
      <c r="BE1132">
        <v>151</v>
      </c>
      <c r="BF1132" t="s">
        <v>214</v>
      </c>
      <c r="BG1132">
        <v>1.8828738495775059</v>
      </c>
      <c r="BH1132">
        <v>6.9027237354085599E-2</v>
      </c>
      <c r="BI1132">
        <v>0.27630038379183702</v>
      </c>
      <c r="BJ1132">
        <v>90</v>
      </c>
      <c r="BK1132">
        <v>1198.645184327328</v>
      </c>
      <c r="BL1132">
        <v>494.38898194357591</v>
      </c>
      <c r="BM1132">
        <v>2.2598096938563299</v>
      </c>
      <c r="BN1132">
        <v>384.16764795557617</v>
      </c>
      <c r="BO1132">
        <v>814.47753637175208</v>
      </c>
    </row>
    <row r="1133" spans="1:67" x14ac:dyDescent="0.25">
      <c r="A1133" s="1">
        <v>1131</v>
      </c>
      <c r="B1133" t="s">
        <v>210</v>
      </c>
      <c r="C1133" t="s">
        <v>211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67</v>
      </c>
      <c r="J1133">
        <v>1.2130000000000001</v>
      </c>
      <c r="K1133">
        <v>500</v>
      </c>
      <c r="L1133">
        <v>100</v>
      </c>
      <c r="N1133" t="s">
        <v>68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93245.223458505963</v>
      </c>
      <c r="Z1133">
        <v>466226117.29252982</v>
      </c>
      <c r="AA1133">
        <v>565532280.27583873</v>
      </c>
      <c r="AB1133">
        <v>565532.28027583868</v>
      </c>
      <c r="AC1133">
        <v>0</v>
      </c>
      <c r="AD1133">
        <v>4832.0931615143954</v>
      </c>
      <c r="AE1133">
        <v>2899255.8969086371</v>
      </c>
      <c r="AF1133">
        <v>2899255.8969086371</v>
      </c>
      <c r="AG1133">
        <v>92.895232148203448</v>
      </c>
      <c r="AH1133">
        <v>95.697189017211841</v>
      </c>
      <c r="AI1133">
        <v>95.697189017211841</v>
      </c>
      <c r="AJ1133">
        <v>18379.799108964758</v>
      </c>
      <c r="AK1133">
        <v>854.70085470085473</v>
      </c>
      <c r="AL1133" t="s">
        <v>69</v>
      </c>
      <c r="AM1133">
        <v>7416.5321488339177</v>
      </c>
      <c r="AN1133">
        <v>1015.215593236415</v>
      </c>
      <c r="AO1133">
        <v>16268.522132926009</v>
      </c>
      <c r="AP1133">
        <v>27666.24770573595</v>
      </c>
      <c r="AQ1133">
        <v>11397.72557280993</v>
      </c>
      <c r="AR1133">
        <v>6.3394883937504176E-3</v>
      </c>
      <c r="AS1133">
        <v>197.85513942892081</v>
      </c>
      <c r="AT1133">
        <v>79.837597445278035</v>
      </c>
      <c r="AU1133">
        <v>10.928608172449129</v>
      </c>
      <c r="AV1133">
        <v>175.1276331057712</v>
      </c>
      <c r="AW1133">
        <v>297.82204173404392</v>
      </c>
      <c r="AX1133">
        <v>122.6944086282728</v>
      </c>
      <c r="AY1133">
        <v>1.030162547681007</v>
      </c>
      <c r="AZ1133" t="str">
        <f>VLOOKUP(BA1133,Sheet1!$A$1:$B$58,2,FALSE)</f>
        <v>Octane</v>
      </c>
      <c r="BA1133" t="s">
        <v>158</v>
      </c>
      <c r="BB1133" t="s">
        <v>159</v>
      </c>
      <c r="BC1133">
        <v>114.22672</v>
      </c>
      <c r="BD1133">
        <v>6.25</v>
      </c>
      <c r="BE1133">
        <v>126</v>
      </c>
      <c r="BF1133" t="s">
        <v>214</v>
      </c>
      <c r="BG1133">
        <v>2.0215590022631691</v>
      </c>
      <c r="BH1133">
        <v>7.5489361702127694E-2</v>
      </c>
      <c r="BI1133">
        <v>0.26912037810633199</v>
      </c>
      <c r="BJ1133">
        <v>90</v>
      </c>
      <c r="BK1133">
        <v>1229.61100914382</v>
      </c>
      <c r="BL1133">
        <v>506.56558101377482</v>
      </c>
      <c r="BM1133">
        <v>2.2316493985018022</v>
      </c>
      <c r="BN1133">
        <v>379.38039774530642</v>
      </c>
      <c r="BO1133">
        <v>850.23061139851336</v>
      </c>
    </row>
    <row r="1134" spans="1:67" x14ac:dyDescent="0.25">
      <c r="A1134" s="1">
        <v>1132</v>
      </c>
      <c r="B1134" t="s">
        <v>210</v>
      </c>
      <c r="C1134" t="s">
        <v>211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67</v>
      </c>
      <c r="J1134">
        <v>1.2130000000000001</v>
      </c>
      <c r="K1134">
        <v>500</v>
      </c>
      <c r="L1134">
        <v>100</v>
      </c>
      <c r="N1134" t="s">
        <v>68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94231.461885386627</v>
      </c>
      <c r="Z1134">
        <v>471157309.42693311</v>
      </c>
      <c r="AA1134">
        <v>571513816.33486986</v>
      </c>
      <c r="AB1134">
        <v>571513.81633486983</v>
      </c>
      <c r="AC1134">
        <v>66773.504273504266</v>
      </c>
      <c r="AD1134">
        <v>4883.2013661107776</v>
      </c>
      <c r="AE1134">
        <v>2929920.8196664662</v>
      </c>
      <c r="AF1134">
        <v>2929920.8196664662</v>
      </c>
      <c r="AG1134">
        <v>93.877768778182428</v>
      </c>
      <c r="AH1134">
        <v>96.709361455140893</v>
      </c>
      <c r="AI1134">
        <v>96.709361455140893</v>
      </c>
      <c r="AJ1134">
        <v>18574.199030883268</v>
      </c>
      <c r="AK1134">
        <v>2170.1388888888891</v>
      </c>
      <c r="AL1134" t="s">
        <v>107</v>
      </c>
      <c r="AM1134">
        <v>7494.9755127734188</v>
      </c>
      <c r="AN1134">
        <v>1025.953351080534</v>
      </c>
      <c r="AO1134">
        <v>16440.59144737395</v>
      </c>
      <c r="AP1134">
        <v>29265.26678362611</v>
      </c>
      <c r="AQ1134">
        <v>12824.675336252159</v>
      </c>
      <c r="AR1134">
        <v>6.3394883937504158E-3</v>
      </c>
      <c r="AS1134">
        <v>197.85513942892081</v>
      </c>
      <c r="AT1134">
        <v>79.837597445278021</v>
      </c>
      <c r="AU1134">
        <v>10.928608172449129</v>
      </c>
      <c r="AV1134">
        <v>175.12763310577111</v>
      </c>
      <c r="AW1134">
        <v>311.73798828533171</v>
      </c>
      <c r="AX1134">
        <v>136.6103551795606</v>
      </c>
      <c r="AY1134">
        <v>1.030162547681007</v>
      </c>
      <c r="AZ1134" t="str">
        <f>VLOOKUP(BA1134,Sheet1!$A$1:$B$58,2,FALSE)</f>
        <v>Pentane</v>
      </c>
      <c r="BA1134" t="s">
        <v>160</v>
      </c>
      <c r="BB1134" t="s">
        <v>161</v>
      </c>
      <c r="BC1134">
        <v>72.147580000000005</v>
      </c>
      <c r="BD1134">
        <v>6.4</v>
      </c>
      <c r="BE1134">
        <v>36.1</v>
      </c>
      <c r="BF1134" t="s">
        <v>214</v>
      </c>
      <c r="BG1134">
        <v>2.1078342603378259</v>
      </c>
      <c r="BH1134">
        <v>0.11826666666666701</v>
      </c>
      <c r="BI1134">
        <v>0.26630373010963698</v>
      </c>
      <c r="BJ1134">
        <v>90</v>
      </c>
      <c r="BK1134">
        <v>1300.678523716716</v>
      </c>
      <c r="BL1134">
        <v>569.98557050009617</v>
      </c>
      <c r="BM1134">
        <v>2.190359582112881</v>
      </c>
      <c r="BN1134">
        <v>372.36112895918978</v>
      </c>
      <c r="BO1134">
        <v>928.31739475752624</v>
      </c>
    </row>
    <row r="1135" spans="1:67" x14ac:dyDescent="0.25">
      <c r="A1135" s="1">
        <v>1133</v>
      </c>
      <c r="B1135" t="s">
        <v>210</v>
      </c>
      <c r="C1135" t="s">
        <v>211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67</v>
      </c>
      <c r="J1135">
        <v>1.2130000000000001</v>
      </c>
      <c r="K1135">
        <v>500</v>
      </c>
      <c r="L1135">
        <v>100</v>
      </c>
      <c r="N1135" t="s">
        <v>68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74557.094221879583</v>
      </c>
      <c r="Z1135">
        <v>372785471.10939789</v>
      </c>
      <c r="AA1135">
        <v>452188776.45569968</v>
      </c>
      <c r="AB1135">
        <v>452188.7764556997</v>
      </c>
      <c r="AC1135">
        <v>0</v>
      </c>
      <c r="AD1135">
        <v>3863.6491154128348</v>
      </c>
      <c r="AE1135">
        <v>2318189.4692477011</v>
      </c>
      <c r="AF1135">
        <v>2318189.4692477011</v>
      </c>
      <c r="AG1135">
        <v>74.277247875533746</v>
      </c>
      <c r="AH1135">
        <v>76.517638906193497</v>
      </c>
      <c r="AI1135">
        <v>76.517638906193497</v>
      </c>
      <c r="AJ1135">
        <v>14696.135234810239</v>
      </c>
      <c r="AK1135">
        <v>854.70085470085473</v>
      </c>
      <c r="AL1135" t="s">
        <v>69</v>
      </c>
      <c r="AM1135">
        <v>5930.1170152299956</v>
      </c>
      <c r="AN1135">
        <v>811.74693815958767</v>
      </c>
      <c r="AO1135">
        <v>13007.998614052891</v>
      </c>
      <c r="AP1135">
        <v>22292.70004290068</v>
      </c>
      <c r="AQ1135">
        <v>9284.7014288477858</v>
      </c>
      <c r="AR1135">
        <v>6.3394883937504176E-3</v>
      </c>
      <c r="AS1135">
        <v>197.85513942892081</v>
      </c>
      <c r="AT1135">
        <v>79.837597445278021</v>
      </c>
      <c r="AU1135">
        <v>10.928608172449129</v>
      </c>
      <c r="AV1135">
        <v>175.12763310577111</v>
      </c>
      <c r="AW1135">
        <v>300.1282449271211</v>
      </c>
      <c r="AX1135">
        <v>125.00061182135001</v>
      </c>
      <c r="AY1135">
        <v>1.030162547681007</v>
      </c>
      <c r="AZ1135" t="str">
        <f>VLOOKUP(BA1135,Sheet1!$A$1:$B$58,2,FALSE)</f>
        <v>Pentanol (PW1)</v>
      </c>
      <c r="BA1135" t="s">
        <v>162</v>
      </c>
      <c r="BB1135" t="s">
        <v>83</v>
      </c>
      <c r="BC1135">
        <v>88.14658</v>
      </c>
      <c r="BD1135">
        <v>6</v>
      </c>
      <c r="BE1135">
        <v>138</v>
      </c>
      <c r="BF1135" t="s">
        <v>214</v>
      </c>
      <c r="BG1135">
        <v>1.5845307845218279</v>
      </c>
      <c r="BH1135">
        <v>0.122344827586207</v>
      </c>
      <c r="BI1135">
        <v>0.33657682150384</v>
      </c>
      <c r="BJ1135">
        <v>90</v>
      </c>
      <c r="BK1135">
        <v>990.78666857336339</v>
      </c>
      <c r="BL1135">
        <v>412.65339683767928</v>
      </c>
      <c r="BM1135">
        <v>1.816253166864549</v>
      </c>
      <c r="BN1135">
        <v>308.76303836697338</v>
      </c>
      <c r="BO1135">
        <v>682.02363020638995</v>
      </c>
    </row>
    <row r="1136" spans="1:67" x14ac:dyDescent="0.25">
      <c r="A1136" s="1">
        <v>1134</v>
      </c>
      <c r="B1136" t="s">
        <v>210</v>
      </c>
      <c r="C1136" t="s">
        <v>211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67</v>
      </c>
      <c r="J1136">
        <v>1.2130000000000001</v>
      </c>
      <c r="K1136">
        <v>500</v>
      </c>
      <c r="L1136">
        <v>100</v>
      </c>
      <c r="N1136" t="s">
        <v>68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84326.644499229558</v>
      </c>
      <c r="Z1136">
        <v>421633222.49614781</v>
      </c>
      <c r="AA1136">
        <v>511441098.88782728</v>
      </c>
      <c r="AB1136">
        <v>511441.09888782742</v>
      </c>
      <c r="AC1136">
        <v>0</v>
      </c>
      <c r="AD1136">
        <v>4369.9203788117711</v>
      </c>
      <c r="AE1136">
        <v>2621952.2272870629</v>
      </c>
      <c r="AF1136">
        <v>2621952.2272870629</v>
      </c>
      <c r="AG1136">
        <v>84.010128631638423</v>
      </c>
      <c r="AH1136">
        <v>86.544088142177714</v>
      </c>
      <c r="AI1136">
        <v>86.544088142177714</v>
      </c>
      <c r="AJ1136">
        <v>16621.835713854391</v>
      </c>
      <c r="AK1136">
        <v>854.70085470085473</v>
      </c>
      <c r="AL1136" t="s">
        <v>69</v>
      </c>
      <c r="AM1136">
        <v>6707.1668310187724</v>
      </c>
      <c r="AN1136">
        <v>918.11377833222582</v>
      </c>
      <c r="AO1136">
        <v>14712.494984170209</v>
      </c>
      <c r="AP1136">
        <v>25101.81717790624</v>
      </c>
      <c r="AQ1136">
        <v>10389.32219373603</v>
      </c>
      <c r="AR1136">
        <v>6.3394883937504167E-3</v>
      </c>
      <c r="AS1136">
        <v>197.85513942892081</v>
      </c>
      <c r="AT1136">
        <v>79.837597445277993</v>
      </c>
      <c r="AU1136">
        <v>10.92860817244912</v>
      </c>
      <c r="AV1136">
        <v>175.12763310577111</v>
      </c>
      <c r="AW1136">
        <v>298.79512847755399</v>
      </c>
      <c r="AX1136">
        <v>123.66749537178291</v>
      </c>
      <c r="AY1136">
        <v>1.030162547681007</v>
      </c>
      <c r="AZ1136" t="str">
        <f>VLOOKUP(BA1136,Sheet1!$A$1:$B$58,2,FALSE)</f>
        <v>Pentanol (PW2)</v>
      </c>
      <c r="BA1136" t="s">
        <v>163</v>
      </c>
      <c r="BB1136" t="s">
        <v>83</v>
      </c>
      <c r="BC1136">
        <v>88.14658</v>
      </c>
      <c r="BD1136">
        <v>6</v>
      </c>
      <c r="BE1136">
        <v>138</v>
      </c>
      <c r="BF1136" t="s">
        <v>214</v>
      </c>
      <c r="BG1136">
        <v>2.119274743774302</v>
      </c>
      <c r="BH1136">
        <v>0.108170731707317</v>
      </c>
      <c r="BI1136">
        <v>0.29758316535400398</v>
      </c>
      <c r="BJ1136">
        <v>90</v>
      </c>
      <c r="BK1136">
        <v>1115.636319018055</v>
      </c>
      <c r="BL1136">
        <v>461.74765305493457</v>
      </c>
      <c r="BM1136">
        <v>1.7271291736558181</v>
      </c>
      <c r="BN1136">
        <v>293.61195952148898</v>
      </c>
      <c r="BO1136">
        <v>822.02435949656592</v>
      </c>
    </row>
    <row r="1137" spans="1:67" x14ac:dyDescent="0.25">
      <c r="A1137" s="1">
        <v>1135</v>
      </c>
      <c r="B1137" t="s">
        <v>210</v>
      </c>
      <c r="C1137" t="s">
        <v>211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67</v>
      </c>
      <c r="J1137">
        <v>1.2130000000000001</v>
      </c>
      <c r="K1137">
        <v>500</v>
      </c>
      <c r="L1137">
        <v>100</v>
      </c>
      <c r="N1137" t="s">
        <v>68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81712.045950000436</v>
      </c>
      <c r="Z1137">
        <v>408560229.75000209</v>
      </c>
      <c r="AA1137">
        <v>495583558.68675262</v>
      </c>
      <c r="AB1137">
        <v>495583.55868675263</v>
      </c>
      <c r="AC1137">
        <v>0</v>
      </c>
      <c r="AD1137">
        <v>4234.4283578670447</v>
      </c>
      <c r="AE1137">
        <v>2540657.0147202271</v>
      </c>
      <c r="AF1137">
        <v>2540657.0147202271</v>
      </c>
      <c r="AG1137">
        <v>81.405343848071681</v>
      </c>
      <c r="AH1137">
        <v>83.860736413377893</v>
      </c>
      <c r="AI1137">
        <v>83.860736413377893</v>
      </c>
      <c r="AJ1137">
        <v>16106.465657319461</v>
      </c>
      <c r="AK1137">
        <v>854.70085470085473</v>
      </c>
      <c r="AL1137" t="s">
        <v>69</v>
      </c>
      <c r="AM1137">
        <v>6499.2070720367856</v>
      </c>
      <c r="AN1137">
        <v>889.64710605906748</v>
      </c>
      <c r="AO1137">
        <v>14256.32519027424</v>
      </c>
      <c r="AP1137">
        <v>24350.020690116169</v>
      </c>
      <c r="AQ1137">
        <v>10093.69549984193</v>
      </c>
      <c r="AR1137">
        <v>6.3394883937504167E-3</v>
      </c>
      <c r="AS1137">
        <v>197.85513942892081</v>
      </c>
      <c r="AT1137">
        <v>79.837597445278007</v>
      </c>
      <c r="AU1137">
        <v>10.928608172449129</v>
      </c>
      <c r="AV1137">
        <v>175.12763310577111</v>
      </c>
      <c r="AW1137">
        <v>299.12066627420762</v>
      </c>
      <c r="AX1137">
        <v>123.9930331684365</v>
      </c>
      <c r="AY1137">
        <v>1.030162547681007</v>
      </c>
      <c r="AZ1137" t="str">
        <f>VLOOKUP(BA1137,Sheet1!$A$1:$B$58,2,FALSE)</f>
        <v>Phenol</v>
      </c>
      <c r="BA1137" t="s">
        <v>164</v>
      </c>
      <c r="BB1137" t="s">
        <v>165</v>
      </c>
      <c r="BC1137">
        <v>94.11023999999999</v>
      </c>
      <c r="BD1137">
        <v>4.666666666666667</v>
      </c>
      <c r="BE1137">
        <v>181.7</v>
      </c>
      <c r="BF1137" t="s">
        <v>214</v>
      </c>
      <c r="BG1137">
        <v>1.6667142876635881</v>
      </c>
      <c r="BH1137">
        <v>0.10455795677799599</v>
      </c>
      <c r="BI1137">
        <v>0.30710514590612098</v>
      </c>
      <c r="BJ1137">
        <v>90</v>
      </c>
      <c r="BK1137">
        <v>1082.223141782941</v>
      </c>
      <c r="BL1137">
        <v>448.60868888186349</v>
      </c>
      <c r="BM1137">
        <v>2.060429552930986</v>
      </c>
      <c r="BN1137">
        <v>350.27302399826749</v>
      </c>
      <c r="BO1137">
        <v>731.95011778467324</v>
      </c>
    </row>
    <row r="1138" spans="1:67" x14ac:dyDescent="0.25">
      <c r="A1138" s="1">
        <v>1136</v>
      </c>
      <c r="B1138" t="s">
        <v>210</v>
      </c>
      <c r="C1138" t="s">
        <v>211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67</v>
      </c>
      <c r="J1138">
        <v>1.2130000000000001</v>
      </c>
      <c r="K1138">
        <v>500</v>
      </c>
      <c r="L1138">
        <v>100</v>
      </c>
      <c r="N1138" t="s">
        <v>68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98675.672977720707</v>
      </c>
      <c r="Z1138">
        <v>493378364.88860351</v>
      </c>
      <c r="AA1138">
        <v>598467956.60987604</v>
      </c>
      <c r="AB1138">
        <v>598467.95660987601</v>
      </c>
      <c r="AC1138">
        <v>66773.504273504266</v>
      </c>
      <c r="AD1138">
        <v>5113.5063751083717</v>
      </c>
      <c r="AE1138">
        <v>3068103.8250650228</v>
      </c>
      <c r="AF1138">
        <v>3068103.8250650228</v>
      </c>
      <c r="AG1138">
        <v>98.305298745137904</v>
      </c>
      <c r="AH1138">
        <v>101.2704370058337</v>
      </c>
      <c r="AI1138">
        <v>101.2704370058337</v>
      </c>
      <c r="AJ1138">
        <v>19450.20858982097</v>
      </c>
      <c r="AK1138">
        <v>2170.1388888888891</v>
      </c>
      <c r="AL1138" t="s">
        <v>107</v>
      </c>
      <c r="AM1138">
        <v>7848.4588679521148</v>
      </c>
      <c r="AN1138">
        <v>1074.3400912611669</v>
      </c>
      <c r="AO1138">
        <v>17215.97429099174</v>
      </c>
      <c r="AP1138">
        <v>30543.14643792314</v>
      </c>
      <c r="AQ1138">
        <v>13327.1721469314</v>
      </c>
      <c r="AR1138">
        <v>6.3394883937504167E-3</v>
      </c>
      <c r="AS1138">
        <v>197.85513942892081</v>
      </c>
      <c r="AT1138">
        <v>79.837597445278021</v>
      </c>
      <c r="AU1138">
        <v>10.928608172449129</v>
      </c>
      <c r="AV1138">
        <v>175.1276331057712</v>
      </c>
      <c r="AW1138">
        <v>310.69684775698602</v>
      </c>
      <c r="AX1138">
        <v>135.56921465121479</v>
      </c>
      <c r="AY1138">
        <v>1.030162547681007</v>
      </c>
      <c r="AZ1138" t="str">
        <f>VLOOKUP(BA1138,Sheet1!$A$1:$B$58,2,FALSE)</f>
        <v>Propane (PW1)</v>
      </c>
      <c r="BA1138" t="s">
        <v>166</v>
      </c>
      <c r="BB1138" t="s">
        <v>167</v>
      </c>
      <c r="BC1138">
        <v>44.094819999999999</v>
      </c>
      <c r="BD1138">
        <v>6.666666666666667</v>
      </c>
      <c r="BE1138">
        <v>-42</v>
      </c>
      <c r="BF1138" t="s">
        <v>214</v>
      </c>
      <c r="BG1138">
        <v>2.4068607195053091</v>
      </c>
      <c r="BH1138">
        <v>0.18479166666666699</v>
      </c>
      <c r="BI1138">
        <v>0.25430979122309499</v>
      </c>
      <c r="BJ1138">
        <v>90</v>
      </c>
      <c r="BK1138">
        <v>1357.4731750188059</v>
      </c>
      <c r="BL1138">
        <v>592.31876208584004</v>
      </c>
      <c r="BM1138">
        <v>2.0940475918650789</v>
      </c>
      <c r="BN1138">
        <v>355.98809061706351</v>
      </c>
      <c r="BO1138">
        <v>1001.4850844017431</v>
      </c>
    </row>
    <row r="1139" spans="1:67" x14ac:dyDescent="0.25">
      <c r="A1139" s="1">
        <v>1137</v>
      </c>
      <c r="B1139" t="s">
        <v>210</v>
      </c>
      <c r="C1139" t="s">
        <v>211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67</v>
      </c>
      <c r="J1139">
        <v>1.2130000000000001</v>
      </c>
      <c r="K1139">
        <v>500</v>
      </c>
      <c r="L1139">
        <v>100</v>
      </c>
      <c r="N1139" t="s">
        <v>68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123344.5912221508</v>
      </c>
      <c r="Z1139">
        <v>616722956.11075425</v>
      </c>
      <c r="AA1139">
        <v>748084945.76234496</v>
      </c>
      <c r="AB1139">
        <v>748084.94576234499</v>
      </c>
      <c r="AC1139">
        <v>66773.504273504266</v>
      </c>
      <c r="AD1139">
        <v>6391.882968885463</v>
      </c>
      <c r="AE1139">
        <v>3835129.7813312779</v>
      </c>
      <c r="AF1139">
        <v>3835129.7813312779</v>
      </c>
      <c r="AG1139">
        <v>122.8816234314224</v>
      </c>
      <c r="AH1139">
        <v>126.58804625729221</v>
      </c>
      <c r="AI1139">
        <v>126.58804625729221</v>
      </c>
      <c r="AJ1139">
        <v>24312.76073727621</v>
      </c>
      <c r="AK1139">
        <v>2170.1388888888891</v>
      </c>
      <c r="AL1139" t="s">
        <v>107</v>
      </c>
      <c r="AM1139">
        <v>9810.5735849401426</v>
      </c>
      <c r="AN1139">
        <v>1342.9251140764591</v>
      </c>
      <c r="AO1139">
        <v>21519.967863739668</v>
      </c>
      <c r="AP1139">
        <v>37636.398325181697</v>
      </c>
      <c r="AQ1139">
        <v>16116.43046144204</v>
      </c>
      <c r="AR1139">
        <v>6.3394883937504176E-3</v>
      </c>
      <c r="AS1139">
        <v>197.85513942892081</v>
      </c>
      <c r="AT1139">
        <v>79.837597445278021</v>
      </c>
      <c r="AU1139">
        <v>10.928608172449129</v>
      </c>
      <c r="AV1139">
        <v>175.1276331057712</v>
      </c>
      <c r="AW1139">
        <v>306.28174721491848</v>
      </c>
      <c r="AX1139">
        <v>131.15411410914729</v>
      </c>
      <c r="AY1139">
        <v>1.030162547681007</v>
      </c>
      <c r="AZ1139" t="str">
        <f>VLOOKUP(BA1139,Sheet1!$A$1:$B$58,2,FALSE)</f>
        <v>Propane (PW2)</v>
      </c>
      <c r="BA1139" t="s">
        <v>168</v>
      </c>
      <c r="BB1139" t="s">
        <v>167</v>
      </c>
      <c r="BC1139">
        <v>44.094819999999999</v>
      </c>
      <c r="BD1139">
        <v>6.666666666666667</v>
      </c>
      <c r="BE1139">
        <v>-42</v>
      </c>
      <c r="BF1139" t="s">
        <v>214</v>
      </c>
      <c r="BG1139">
        <v>3.7571332129164192</v>
      </c>
      <c r="BH1139">
        <v>0.14783333333333301</v>
      </c>
      <c r="BI1139">
        <v>0.20344783297847599</v>
      </c>
      <c r="BJ1139">
        <v>90</v>
      </c>
      <c r="BK1139">
        <v>1672.728814452521</v>
      </c>
      <c r="BL1139">
        <v>716.2857982863128</v>
      </c>
      <c r="BM1139">
        <v>1.869002176296567</v>
      </c>
      <c r="BN1139">
        <v>317.7303699704164</v>
      </c>
      <c r="BO1139">
        <v>1354.9984444821041</v>
      </c>
    </row>
    <row r="1140" spans="1:67" x14ac:dyDescent="0.25">
      <c r="A1140" s="1">
        <v>1138</v>
      </c>
      <c r="B1140" t="s">
        <v>210</v>
      </c>
      <c r="C1140" t="s">
        <v>211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67</v>
      </c>
      <c r="J1140">
        <v>1.2130000000000001</v>
      </c>
      <c r="K1140">
        <v>500</v>
      </c>
      <c r="L1140">
        <v>100</v>
      </c>
      <c r="N1140" t="s">
        <v>68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41011.388600647173</v>
      </c>
      <c r="Z1140">
        <v>205056943.00323579</v>
      </c>
      <c r="AA1140">
        <v>248734071.86292511</v>
      </c>
      <c r="AB1140">
        <v>248734.07186292499</v>
      </c>
      <c r="AC1140">
        <v>0</v>
      </c>
      <c r="AD1140">
        <v>2125.2654350663061</v>
      </c>
      <c r="AE1140">
        <v>1275159.261039783</v>
      </c>
      <c r="AF1140">
        <v>1275159.261039783</v>
      </c>
      <c r="AG1140">
        <v>40.857454392531359</v>
      </c>
      <c r="AH1140">
        <v>42.08981930877065</v>
      </c>
      <c r="AI1140">
        <v>42.08981930877065</v>
      </c>
      <c r="AJ1140">
        <v>8083.8573355450644</v>
      </c>
      <c r="AK1140">
        <v>854.70085470085473</v>
      </c>
      <c r="AL1140" t="s">
        <v>69</v>
      </c>
      <c r="AM1140">
        <v>3261.960996429726</v>
      </c>
      <c r="AN1140">
        <v>446.5151099796858</v>
      </c>
      <c r="AO1140">
        <v>7155.2692824910109</v>
      </c>
      <c r="AP1140">
        <v>12647.034296655331</v>
      </c>
      <c r="AQ1140">
        <v>5491.7650141643198</v>
      </c>
      <c r="AR1140">
        <v>6.3394883937504176E-3</v>
      </c>
      <c r="AS1140">
        <v>197.85513942892081</v>
      </c>
      <c r="AT1140">
        <v>79.837597445278035</v>
      </c>
      <c r="AU1140">
        <v>10.928608172449129</v>
      </c>
      <c r="AV1140">
        <v>175.1276331057712</v>
      </c>
      <c r="AW1140">
        <v>309.54043722721929</v>
      </c>
      <c r="AX1140">
        <v>134.4128041214482</v>
      </c>
      <c r="AY1140">
        <v>1.030162547681007</v>
      </c>
      <c r="AZ1140" t="str">
        <f>VLOOKUP(BA1140,Sheet1!$A$1:$B$58,2,FALSE)</f>
        <v>Shikimate</v>
      </c>
      <c r="BA1140" t="s">
        <v>169</v>
      </c>
      <c r="BB1140" t="s">
        <v>170</v>
      </c>
      <c r="BC1140">
        <v>173.14045999999999</v>
      </c>
      <c r="BD1140">
        <v>3.8571428571428572</v>
      </c>
      <c r="BE1140">
        <v>400.5</v>
      </c>
      <c r="BF1140" t="s">
        <v>214</v>
      </c>
      <c r="BG1140">
        <v>0.46548355061932201</v>
      </c>
      <c r="BH1140">
        <v>0.113234042553192</v>
      </c>
      <c r="BI1140">
        <v>0.61188344628171298</v>
      </c>
      <c r="BJ1140">
        <v>90</v>
      </c>
      <c r="BK1140">
        <v>562.09041318468132</v>
      </c>
      <c r="BL1140">
        <v>244.07844507396979</v>
      </c>
      <c r="BM1140">
        <v>1.4051750853260401</v>
      </c>
      <c r="BN1140">
        <v>238.87976450542689</v>
      </c>
      <c r="BO1140">
        <v>323.21064867925452</v>
      </c>
    </row>
    <row r="1141" spans="1:67" x14ac:dyDescent="0.25">
      <c r="A1141" s="1">
        <v>1139</v>
      </c>
      <c r="B1141" t="s">
        <v>210</v>
      </c>
      <c r="C1141" t="s">
        <v>211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67</v>
      </c>
      <c r="J1141">
        <v>1.2130000000000001</v>
      </c>
      <c r="K1141">
        <v>500</v>
      </c>
      <c r="L1141">
        <v>100</v>
      </c>
      <c r="N1141" t="s">
        <v>68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98206.80523320497</v>
      </c>
      <c r="Z1141">
        <v>491034026.16602492</v>
      </c>
      <c r="AA1141">
        <v>595624273.73938823</v>
      </c>
      <c r="AB1141">
        <v>595624.27373938821</v>
      </c>
      <c r="AC1141">
        <v>0</v>
      </c>
      <c r="AD1141">
        <v>5089.2090166175394</v>
      </c>
      <c r="AE1141">
        <v>3053525.4099705238</v>
      </c>
      <c r="AF1141">
        <v>3053525.4099705238</v>
      </c>
      <c r="AG1141">
        <v>97.838190872390157</v>
      </c>
      <c r="AH1141">
        <v>100.78923996960199</v>
      </c>
      <c r="AI1141">
        <v>100.78923996960199</v>
      </c>
      <c r="AJ1141">
        <v>19357.788896530121</v>
      </c>
      <c r="AK1141">
        <v>854.70085470085473</v>
      </c>
      <c r="AL1141" t="s">
        <v>69</v>
      </c>
      <c r="AM1141">
        <v>7811.1660976441581</v>
      </c>
      <c r="AN1141">
        <v>1069.23525234564</v>
      </c>
      <c r="AO1141">
        <v>17134.170794832349</v>
      </c>
      <c r="AP1141">
        <v>29092.891101220772</v>
      </c>
      <c r="AQ1141">
        <v>11958.720306388421</v>
      </c>
      <c r="AR1141">
        <v>6.3394883937504158E-3</v>
      </c>
      <c r="AS1141">
        <v>197.85513942892081</v>
      </c>
      <c r="AT1141">
        <v>79.837597445277993</v>
      </c>
      <c r="AU1141">
        <v>10.928608172449129</v>
      </c>
      <c r="AV1141">
        <v>175.12763310577111</v>
      </c>
      <c r="AW1141">
        <v>297.35720623827228</v>
      </c>
      <c r="AX1141">
        <v>122.2295731325012</v>
      </c>
      <c r="AY1141">
        <v>1.0301625476810059</v>
      </c>
      <c r="AZ1141" t="str">
        <f>VLOOKUP(BA1141,Sheet1!$A$1:$B$58,2,FALSE)</f>
        <v>Styrene</v>
      </c>
      <c r="BA1141" t="s">
        <v>171</v>
      </c>
      <c r="BB1141" t="s">
        <v>172</v>
      </c>
      <c r="BC1141">
        <v>104.14832</v>
      </c>
      <c r="BD1141">
        <v>5</v>
      </c>
      <c r="BE1141">
        <v>145</v>
      </c>
      <c r="BF1141" t="s">
        <v>214</v>
      </c>
      <c r="BG1141">
        <v>1.9948627198395179</v>
      </c>
      <c r="BH1141">
        <v>7.8611521418020802E-2</v>
      </c>
      <c r="BI1141">
        <v>0.25552393985501398</v>
      </c>
      <c r="BJ1141">
        <v>90</v>
      </c>
      <c r="BK1141">
        <v>1293.017382276478</v>
      </c>
      <c r="BL1141">
        <v>531.49868028392996</v>
      </c>
      <c r="BM1141">
        <v>2.4846590565872391</v>
      </c>
      <c r="BN1141">
        <v>422.39203961983048</v>
      </c>
      <c r="BO1141">
        <v>870.62534265664794</v>
      </c>
    </row>
    <row r="1142" spans="1:67" x14ac:dyDescent="0.25">
      <c r="A1142" s="1">
        <v>1140</v>
      </c>
      <c r="B1142" t="s">
        <v>210</v>
      </c>
      <c r="C1142" t="s">
        <v>211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67</v>
      </c>
      <c r="J1142">
        <v>1.2130000000000001</v>
      </c>
      <c r="K1142">
        <v>500</v>
      </c>
      <c r="L1142">
        <v>100</v>
      </c>
      <c r="N1142" t="s">
        <v>68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27724.530713572749</v>
      </c>
      <c r="Z1142">
        <v>138622653.56786379</v>
      </c>
      <c r="AA1142">
        <v>168149278.7778188</v>
      </c>
      <c r="AB1142">
        <v>168149.27877781881</v>
      </c>
      <c r="AC1142">
        <v>0</v>
      </c>
      <c r="AD1142">
        <v>1436.7225504785899</v>
      </c>
      <c r="AE1142">
        <v>862033.5302871539</v>
      </c>
      <c r="AF1142">
        <v>862033.5302871539</v>
      </c>
      <c r="AG1142">
        <v>27.620468065942521</v>
      </c>
      <c r="AH1142">
        <v>28.45357175095323</v>
      </c>
      <c r="AI1142">
        <v>28.45357175095323</v>
      </c>
      <c r="AJ1142">
        <v>5464.8515602791103</v>
      </c>
      <c r="AK1142">
        <v>854.70085470085473</v>
      </c>
      <c r="AL1142" t="s">
        <v>69</v>
      </c>
      <c r="AM1142">
        <v>2205.151810698876</v>
      </c>
      <c r="AN1142">
        <v>301.85327303232953</v>
      </c>
      <c r="AO1142">
        <v>4837.1071976620487</v>
      </c>
      <c r="AP1142">
        <v>8826.5574987111704</v>
      </c>
      <c r="AQ1142">
        <v>3989.4503010491221</v>
      </c>
      <c r="AR1142">
        <v>6.3394883937504167E-3</v>
      </c>
      <c r="AS1142">
        <v>197.85513942892081</v>
      </c>
      <c r="AT1142">
        <v>79.837597445278021</v>
      </c>
      <c r="AU1142">
        <v>10.928608172449129</v>
      </c>
      <c r="AV1142">
        <v>175.12763310577111</v>
      </c>
      <c r="AW1142">
        <v>319.56581900198779</v>
      </c>
      <c r="AX1142">
        <v>144.43818589621671</v>
      </c>
      <c r="AY1142">
        <v>1.030162547681007</v>
      </c>
      <c r="AZ1142" t="str">
        <f>VLOOKUP(BA1142,Sheet1!$A$1:$B$58,2,FALSE)</f>
        <v>Succinate</v>
      </c>
      <c r="BA1142" t="s">
        <v>173</v>
      </c>
      <c r="BB1142" t="s">
        <v>174</v>
      </c>
      <c r="BC1142">
        <v>116.07016</v>
      </c>
      <c r="BD1142">
        <v>3</v>
      </c>
      <c r="BE1142">
        <v>235</v>
      </c>
      <c r="BF1142" t="s">
        <v>214</v>
      </c>
      <c r="BG1142">
        <v>8.5494300096734051E-4</v>
      </c>
      <c r="BH1142">
        <v>0.249859154929577</v>
      </c>
      <c r="BI1142">
        <v>0.90512586319369104</v>
      </c>
      <c r="BJ1142">
        <v>90</v>
      </c>
      <c r="BK1142">
        <v>392.2914443871631</v>
      </c>
      <c r="BL1142">
        <v>177.30890226884989</v>
      </c>
      <c r="BM1142">
        <v>1.2637482459302869</v>
      </c>
      <c r="BN1142">
        <v>214.83720180814879</v>
      </c>
      <c r="BO1142">
        <v>177.45424257901419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7054-AA53-457D-8753-A73CC41F6570}">
  <dimension ref="A1:B1142"/>
  <sheetViews>
    <sheetView workbookViewId="0">
      <selection activeCell="A2" sqref="A2"/>
    </sheetView>
  </sheetViews>
  <sheetFormatPr defaultRowHeight="15" x14ac:dyDescent="0.25"/>
  <sheetData>
    <row r="1" spans="1:2" x14ac:dyDescent="0.25">
      <c r="B1" s="2" t="s">
        <v>215</v>
      </c>
    </row>
    <row r="2" spans="1:2" x14ac:dyDescent="0.25">
      <c r="A2" t="s">
        <v>70</v>
      </c>
      <c r="B2" s="2" t="s">
        <v>216</v>
      </c>
    </row>
    <row r="3" spans="1:2" x14ac:dyDescent="0.25">
      <c r="A3" t="s">
        <v>72</v>
      </c>
      <c r="B3" s="2" t="s">
        <v>217</v>
      </c>
    </row>
    <row r="4" spans="1:2" x14ac:dyDescent="0.25">
      <c r="A4" t="s">
        <v>73</v>
      </c>
      <c r="B4" s="2" t="s">
        <v>218</v>
      </c>
    </row>
    <row r="5" spans="1:2" x14ac:dyDescent="0.25">
      <c r="A5" t="s">
        <v>75</v>
      </c>
      <c r="B5" s="2" t="s">
        <v>219</v>
      </c>
    </row>
    <row r="6" spans="1:2" x14ac:dyDescent="0.25">
      <c r="A6" t="s">
        <v>77</v>
      </c>
      <c r="B6" s="2" t="s">
        <v>220</v>
      </c>
    </row>
    <row r="7" spans="1:2" x14ac:dyDescent="0.25">
      <c r="A7" t="s">
        <v>78</v>
      </c>
      <c r="B7" s="2" t="s">
        <v>221</v>
      </c>
    </row>
    <row r="8" spans="1:2" x14ac:dyDescent="0.25">
      <c r="A8" t="s">
        <v>80</v>
      </c>
      <c r="B8" s="2" t="s">
        <v>222</v>
      </c>
    </row>
    <row r="9" spans="1:2" x14ac:dyDescent="0.25">
      <c r="A9" t="s">
        <v>81</v>
      </c>
      <c r="B9" s="2" t="s">
        <v>223</v>
      </c>
    </row>
    <row r="10" spans="1:2" x14ac:dyDescent="0.25">
      <c r="A10" t="s">
        <v>82</v>
      </c>
      <c r="B10" s="2" t="s">
        <v>82</v>
      </c>
    </row>
    <row r="11" spans="1:2" x14ac:dyDescent="0.25">
      <c r="A11" t="s">
        <v>85</v>
      </c>
      <c r="B11" s="2" t="s">
        <v>224</v>
      </c>
    </row>
    <row r="12" spans="1:2" x14ac:dyDescent="0.25">
      <c r="A12" t="s">
        <v>87</v>
      </c>
      <c r="B12" s="2" t="s">
        <v>87</v>
      </c>
    </row>
    <row r="13" spans="1:2" x14ac:dyDescent="0.25">
      <c r="A13" t="s">
        <v>89</v>
      </c>
      <c r="B13" s="2" t="s">
        <v>89</v>
      </c>
    </row>
    <row r="14" spans="1:2" x14ac:dyDescent="0.25">
      <c r="A14" t="s">
        <v>91</v>
      </c>
      <c r="B14" s="2" t="s">
        <v>91</v>
      </c>
    </row>
    <row r="15" spans="1:2" x14ac:dyDescent="0.25">
      <c r="A15" t="s">
        <v>93</v>
      </c>
      <c r="B15" s="2" t="s">
        <v>93</v>
      </c>
    </row>
    <row r="16" spans="1:2" x14ac:dyDescent="0.25">
      <c r="A16" t="s">
        <v>95</v>
      </c>
      <c r="B16" s="2" t="s">
        <v>225</v>
      </c>
    </row>
    <row r="17" spans="1:2" x14ac:dyDescent="0.25">
      <c r="A17" t="s">
        <v>97</v>
      </c>
      <c r="B17" s="2" t="s">
        <v>226</v>
      </c>
    </row>
    <row r="18" spans="1:2" x14ac:dyDescent="0.25">
      <c r="A18" t="s">
        <v>98</v>
      </c>
      <c r="B18" s="2" t="s">
        <v>98</v>
      </c>
    </row>
    <row r="19" spans="1:2" x14ac:dyDescent="0.25">
      <c r="A19" t="s">
        <v>100</v>
      </c>
      <c r="B19" s="2" t="s">
        <v>227</v>
      </c>
    </row>
    <row r="20" spans="1:2" x14ac:dyDescent="0.25">
      <c r="A20" t="s">
        <v>102</v>
      </c>
      <c r="B20" s="2" t="s">
        <v>228</v>
      </c>
    </row>
    <row r="21" spans="1:2" x14ac:dyDescent="0.25">
      <c r="A21" t="s">
        <v>103</v>
      </c>
      <c r="B21" s="2" t="s">
        <v>229</v>
      </c>
    </row>
    <row r="22" spans="1:2" x14ac:dyDescent="0.25">
      <c r="A22" t="s">
        <v>105</v>
      </c>
      <c r="B22" s="2" t="s">
        <v>230</v>
      </c>
    </row>
    <row r="23" spans="1:2" x14ac:dyDescent="0.25">
      <c r="A23" t="s">
        <v>108</v>
      </c>
      <c r="B23" s="2" t="s">
        <v>108</v>
      </c>
    </row>
    <row r="24" spans="1:2" x14ac:dyDescent="0.25">
      <c r="A24" t="s">
        <v>110</v>
      </c>
      <c r="B24" s="2" t="s">
        <v>231</v>
      </c>
    </row>
    <row r="25" spans="1:2" x14ac:dyDescent="0.25">
      <c r="A25" t="s">
        <v>112</v>
      </c>
      <c r="B25" s="2" t="s">
        <v>232</v>
      </c>
    </row>
    <row r="26" spans="1:2" x14ac:dyDescent="0.25">
      <c r="A26" t="s">
        <v>113</v>
      </c>
      <c r="B26" s="2" t="s">
        <v>113</v>
      </c>
    </row>
    <row r="27" spans="1:2" x14ac:dyDescent="0.25">
      <c r="A27" t="s">
        <v>115</v>
      </c>
      <c r="B27" s="2" t="s">
        <v>115</v>
      </c>
    </row>
    <row r="28" spans="1:2" x14ac:dyDescent="0.25">
      <c r="A28" t="s">
        <v>117</v>
      </c>
      <c r="B28" s="2" t="s">
        <v>233</v>
      </c>
    </row>
    <row r="29" spans="1:2" x14ac:dyDescent="0.25">
      <c r="A29" t="s">
        <v>119</v>
      </c>
      <c r="B29" s="2" t="s">
        <v>119</v>
      </c>
    </row>
    <row r="30" spans="1:2" x14ac:dyDescent="0.25">
      <c r="A30" t="s">
        <v>121</v>
      </c>
      <c r="B30" s="2" t="s">
        <v>234</v>
      </c>
    </row>
    <row r="31" spans="1:2" x14ac:dyDescent="0.25">
      <c r="A31" t="s">
        <v>123</v>
      </c>
      <c r="B31" s="2" t="s">
        <v>235</v>
      </c>
    </row>
    <row r="32" spans="1:2" x14ac:dyDescent="0.25">
      <c r="A32" t="s">
        <v>125</v>
      </c>
      <c r="B32" s="2" t="s">
        <v>125</v>
      </c>
    </row>
    <row r="33" spans="1:2" x14ac:dyDescent="0.25">
      <c r="A33" t="s">
        <v>128</v>
      </c>
      <c r="B33" s="2" t="s">
        <v>236</v>
      </c>
    </row>
    <row r="34" spans="1:2" x14ac:dyDescent="0.25">
      <c r="A34" t="s">
        <v>130</v>
      </c>
      <c r="B34" s="2" t="s">
        <v>237</v>
      </c>
    </row>
    <row r="35" spans="1:2" x14ac:dyDescent="0.25">
      <c r="A35" t="s">
        <v>132</v>
      </c>
      <c r="B35" s="2" t="s">
        <v>132</v>
      </c>
    </row>
    <row r="36" spans="1:2" x14ac:dyDescent="0.25">
      <c r="A36" t="s">
        <v>134</v>
      </c>
      <c r="B36" s="2" t="s">
        <v>134</v>
      </c>
    </row>
    <row r="37" spans="1:2" x14ac:dyDescent="0.25">
      <c r="A37" t="s">
        <v>136</v>
      </c>
      <c r="B37" s="2" t="s">
        <v>136</v>
      </c>
    </row>
    <row r="38" spans="1:2" x14ac:dyDescent="0.25">
      <c r="A38" t="s">
        <v>138</v>
      </c>
      <c r="B38" s="2" t="s">
        <v>138</v>
      </c>
    </row>
    <row r="39" spans="1:2" x14ac:dyDescent="0.25">
      <c r="A39" t="s">
        <v>140</v>
      </c>
      <c r="B39" s="2" t="s">
        <v>140</v>
      </c>
    </row>
    <row r="40" spans="1:2" x14ac:dyDescent="0.25">
      <c r="A40" t="s">
        <v>142</v>
      </c>
      <c r="B40" s="2" t="s">
        <v>142</v>
      </c>
    </row>
    <row r="41" spans="1:2" x14ac:dyDescent="0.25">
      <c r="A41" t="s">
        <v>143</v>
      </c>
      <c r="B41" s="2" t="s">
        <v>143</v>
      </c>
    </row>
    <row r="42" spans="1:2" x14ac:dyDescent="0.25">
      <c r="A42" t="s">
        <v>145</v>
      </c>
      <c r="B42" s="2" t="s">
        <v>145</v>
      </c>
    </row>
    <row r="43" spans="1:2" x14ac:dyDescent="0.25">
      <c r="A43" t="s">
        <v>146</v>
      </c>
      <c r="B43" s="2" t="s">
        <v>146</v>
      </c>
    </row>
    <row r="44" spans="1:2" x14ac:dyDescent="0.25">
      <c r="A44" t="s">
        <v>148</v>
      </c>
      <c r="B44" s="2" t="s">
        <v>148</v>
      </c>
    </row>
    <row r="45" spans="1:2" x14ac:dyDescent="0.25">
      <c r="A45" t="s">
        <v>150</v>
      </c>
      <c r="B45" s="2" t="s">
        <v>238</v>
      </c>
    </row>
    <row r="46" spans="1:2" x14ac:dyDescent="0.25">
      <c r="A46" t="s">
        <v>152</v>
      </c>
      <c r="B46" s="2" t="s">
        <v>239</v>
      </c>
    </row>
    <row r="47" spans="1:2" x14ac:dyDescent="0.25">
      <c r="A47" t="s">
        <v>154</v>
      </c>
      <c r="B47" s="2" t="s">
        <v>154</v>
      </c>
    </row>
    <row r="48" spans="1:2" x14ac:dyDescent="0.25">
      <c r="A48" t="s">
        <v>156</v>
      </c>
      <c r="B48" s="2" t="s">
        <v>156</v>
      </c>
    </row>
    <row r="49" spans="1:2" x14ac:dyDescent="0.25">
      <c r="A49" t="s">
        <v>158</v>
      </c>
      <c r="B49" s="2" t="s">
        <v>158</v>
      </c>
    </row>
    <row r="50" spans="1:2" x14ac:dyDescent="0.25">
      <c r="A50" t="s">
        <v>160</v>
      </c>
      <c r="B50" s="2" t="s">
        <v>160</v>
      </c>
    </row>
    <row r="51" spans="1:2" x14ac:dyDescent="0.25">
      <c r="A51" t="s">
        <v>162</v>
      </c>
      <c r="B51" s="2" t="s">
        <v>240</v>
      </c>
    </row>
    <row r="52" spans="1:2" x14ac:dyDescent="0.25">
      <c r="A52" t="s">
        <v>163</v>
      </c>
      <c r="B52" s="2" t="s">
        <v>241</v>
      </c>
    </row>
    <row r="53" spans="1:2" x14ac:dyDescent="0.25">
      <c r="A53" t="s">
        <v>164</v>
      </c>
      <c r="B53" s="2" t="s">
        <v>164</v>
      </c>
    </row>
    <row r="54" spans="1:2" x14ac:dyDescent="0.25">
      <c r="A54" t="s">
        <v>166</v>
      </c>
      <c r="B54" s="2" t="s">
        <v>242</v>
      </c>
    </row>
    <row r="55" spans="1:2" x14ac:dyDescent="0.25">
      <c r="A55" t="s">
        <v>168</v>
      </c>
      <c r="B55" s="2" t="s">
        <v>243</v>
      </c>
    </row>
    <row r="56" spans="1:2" x14ac:dyDescent="0.25">
      <c r="A56" t="s">
        <v>169</v>
      </c>
      <c r="B56" s="2" t="s">
        <v>169</v>
      </c>
    </row>
    <row r="57" spans="1:2" x14ac:dyDescent="0.25">
      <c r="A57" t="s">
        <v>171</v>
      </c>
      <c r="B57" s="2" t="s">
        <v>171</v>
      </c>
    </row>
    <row r="58" spans="1:2" x14ac:dyDescent="0.25">
      <c r="A58" t="s">
        <v>173</v>
      </c>
      <c r="B58" s="2" t="s">
        <v>173</v>
      </c>
    </row>
    <row r="59" spans="1:2" x14ac:dyDescent="0.25">
      <c r="B59" s="2"/>
    </row>
    <row r="60" spans="1:2" x14ac:dyDescent="0.25">
      <c r="B60" s="2"/>
    </row>
    <row r="61" spans="1:2" x14ac:dyDescent="0.25">
      <c r="B61" s="2"/>
    </row>
    <row r="62" spans="1:2" x14ac:dyDescent="0.25">
      <c r="B62" s="2"/>
    </row>
    <row r="63" spans="1:2" x14ac:dyDescent="0.25">
      <c r="B63" s="2"/>
    </row>
    <row r="64" spans="1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Zheng</cp:lastModifiedBy>
  <dcterms:created xsi:type="dcterms:W3CDTF">2023-10-03T19:15:51Z</dcterms:created>
  <dcterms:modified xsi:type="dcterms:W3CDTF">2023-10-03T20:10:32Z</dcterms:modified>
</cp:coreProperties>
</file>